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Default Extension="jpeg" ContentType="image/jpeg"/>
  <Override PartName="/xl/drawings/drawingBase1.xml" ContentType="application/vnd.openxmlformats-officedocument.drawing+xml"/>
  <Override PartName="/xl/drawings/drawingBase2.xml" ContentType="application/vnd.openxmlformats-officedocument.drawing+xml"/>
  <Default Extension="png" ContentType="image/png"/>
  <Override PartName="/xl/drawings/drawingBase3.xml" ContentType="application/vnd.openxmlformats-officedocument.drawing+xml"/>
  <Override PartName="/xl/drawings/drawingBase4.xml" ContentType="application/vnd.openxmlformats-officedocument.drawing+xml"/>
  <Override PartName="/xl/drawings/drawingBase5.xml" ContentType="application/vnd.openxmlformats-officedocument.drawing+xml"/>
  <Override PartName="/xl/drawings/drawingBase6.xml" ContentType="application/vnd.openxmlformats-officedocument.drawing+xml"/>
  <Override PartName="/xl/drawings/drawingBase7.xml" ContentType="application/vnd.openxmlformats-officedocument.drawing+xml"/>
  <Override PartName="/xl/drawings/drawingBase8.xml" ContentType="application/vnd.openxmlformats-officedocument.drawing+xml"/>
  <Override PartName="/xl/drawings/drawingBase9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0" activeTab="0" autoFilterDateGrouping="1"/>
  </bookViews>
  <sheets>
    <sheet name="BASE TROCA" sheetId="1" state="visible" r:id="rId1"/>
    <sheet name="PRODUTOS" sheetId="2" state="visible" r:id="rId2"/>
    <sheet name="COELBA" sheetId="3" state="hidden" r:id="rId3"/>
    <sheet name="COSERN" sheetId="4" state="hidden" r:id="rId4"/>
    <sheet name="CELPE" sheetId="5" state="hidden" r:id="rId5"/>
    <sheet name="PQ EOLICO" sheetId="6" state="hidden" r:id="rId6"/>
    <sheet name="USINAS" sheetId="7" state="hidden" r:id="rId7"/>
    <sheet name="TRANSMISSÃO" sheetId="8" state="hidden" r:id="rId8"/>
    <sheet name="HOLDING" sheetId="9" state="hidden" r:id="rId9"/>
  </sheets>
  <definedNames>
    <definedName name="_xleta.T" hidden="1" xlm="1">#NAME?</definedName>
    <definedName name="_xlnm._FilterDatabase" localSheetId="0" hidden="1">'BASE TROCA'!$A$5:$BG$455</definedName>
    <definedName name="_xlnm.Print_Area" localSheetId="0">'BASE TROCA'!$A$1:$BG$460</definedName>
    <definedName name="_xlnm.Print_Area" localSheetId="1">'PRODUTOS'!$A$1:$E$74</definedName>
    <definedName name="_xlnm._FilterDatabase" localSheetId="2" hidden="1">'COELBA'!$A$2:$AK$518</definedName>
    <definedName name="_xlnm.Print_Area" localSheetId="2">'COELBA'!$A$1:$AK$518</definedName>
    <definedName name="_xlnm._FilterDatabase" localSheetId="3" hidden="1">'COSERN'!$A$2:$AK$113</definedName>
    <definedName name="_xlnm.Print_Area" localSheetId="3">'COSERN'!$A$1:$AK$115</definedName>
    <definedName name="_xlnm._FilterDatabase" localSheetId="4" hidden="1">'CELPE'!$A$2:$AJ$231</definedName>
    <definedName name="_xlnm.Print_Area" localSheetId="4">'CELPE'!$A$1:$AJ$232</definedName>
    <definedName name="_xlnm._FilterDatabase" localSheetId="5" hidden="1">'PQ EOLICO'!$A$2:$AK$34</definedName>
    <definedName name="_xlnm.Print_Area" localSheetId="5">'PQ EOLICO'!$A$1:$AK$36</definedName>
    <definedName name="_xlnm._FilterDatabase" localSheetId="6" hidden="1">'USINAS'!$A$2:$AK$5</definedName>
    <definedName name="_xlnm.Print_Area" localSheetId="6">'USINAS'!$A$1:$AK$7</definedName>
    <definedName name="_xlnm._FilterDatabase" localSheetId="7" hidden="1">'TRANSMISSÃO'!$A$2:$AK$11</definedName>
    <definedName name="_xlnm.Print_Area" localSheetId="7">'TRANSMISSÃO'!$A$1:$AK$12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10">
    <numFmt numFmtId="164" formatCode="m/d/yyyy"/>
    <numFmt numFmtId="165" formatCode="&quot;R$ &quot;#,##0.00"/>
    <numFmt numFmtId="166" formatCode="#,##0;\-#,##0;&quot;&quot;"/>
    <numFmt numFmtId="167" formatCode="&quot;R$ &quot;#,##0.00;[Red]&quot;-R$ &quot;#,##0.00;\-"/>
    <numFmt numFmtId="168" formatCode="mmm\-yy"/>
    <numFmt numFmtId="169" formatCode="[$-416]mmmm\-yy;@"/>
    <numFmt numFmtId="170" formatCode="&quot;R$ &quot;#,##0;[Red]&quot;-R$ &quot;#,##0"/>
    <numFmt numFmtId="171" formatCode="_-&quot;R$ &quot;* #,##0.00_-;&quot;-R$ &quot;* #,##0.00_-;_-&quot;R$ &quot;* \-??_-;_-@_-"/>
    <numFmt numFmtId="172" formatCode="_(\$* #,##0.00_);_(\$* \(#,##0.00\);_(\$* \-??_);_(@_)"/>
    <numFmt numFmtId="173" formatCode="yyyy-mm-dd h:mm:ss"/>
  </numFmts>
  <fonts count="28">
    <font>
      <name val="Calibri"/>
      <charset val="1"/>
      <family val="2"/>
      <color theme="1"/>
      <sz val="11"/>
    </font>
    <font>
      <name val="Segoe UI"/>
      <charset val="1"/>
      <b val="1"/>
      <color rgb="FF1E293B"/>
      <sz val="10"/>
    </font>
    <font>
      <name val="Segoe UI"/>
      <charset val="1"/>
      <b val="1"/>
      <color rgb="FF065F46"/>
      <sz val="11"/>
    </font>
    <font>
      <name val="Calibri"/>
      <charset val="1"/>
      <i val="1"/>
      <sz val="9"/>
    </font>
    <font>
      <name val="Calibri"/>
      <charset val="1"/>
      <sz val="9"/>
    </font>
    <font>
      <name val="Calibri"/>
      <charset val="1"/>
      <sz val="8"/>
    </font>
    <font>
      <name val="Segoe UI"/>
      <charset val="1"/>
      <family val="2"/>
      <b val="1"/>
      <color rgb="FFFFFFFF"/>
      <sz val="10"/>
    </font>
    <font>
      <name val="Segoe UI"/>
      <charset val="1"/>
      <family val="2"/>
      <b val="1"/>
      <color rgb="FFFFFFFF"/>
      <sz val="9.5"/>
    </font>
    <font>
      <name val="Segoe UI"/>
      <charset val="1"/>
      <color rgb="FF1E293B"/>
      <sz val="9"/>
    </font>
    <font>
      <name val="Segoe UI"/>
      <charset val="1"/>
      <b val="1"/>
      <color rgb="FF1E293B"/>
      <sz val="9"/>
    </font>
    <font>
      <name val="Segoe UI"/>
      <charset val="1"/>
      <b val="1"/>
      <color rgb="FF065F46"/>
      <sz val="9"/>
    </font>
    <font>
      <name val="Calibri"/>
      <charset val="1"/>
      <family val="2"/>
      <sz val="11"/>
    </font>
    <font>
      <name val="Arial"/>
      <family val="2"/>
      <sz val="10"/>
    </font>
    <font>
      <name val="Calibri"/>
      <charset val="1"/>
      <family val="2"/>
      <color rgb="FF003C6C"/>
      <sz val="11"/>
    </font>
    <font>
      <name val="Calibri"/>
      <charset val="1"/>
      <family val="2"/>
      <b val="1"/>
      <color theme="0"/>
      <sz val="24"/>
    </font>
    <font>
      <name val="Calibri"/>
      <charset val="1"/>
      <family val="2"/>
      <color rgb="FFFFFFFF"/>
      <sz val="24"/>
      <u val="single"/>
    </font>
    <font>
      <name val="Calibri"/>
      <charset val="1"/>
      <family val="2"/>
      <color theme="10"/>
      <sz val="11"/>
      <u val="single"/>
    </font>
    <font>
      <name val="Calibri"/>
      <charset val="1"/>
      <family val="2"/>
      <b val="1"/>
      <color rgb="FFFFFFFF"/>
      <sz val="11"/>
    </font>
    <font>
      <name val="Calibri"/>
      <charset val="1"/>
      <family val="2"/>
      <b val="1"/>
      <color theme="0"/>
      <sz val="11"/>
    </font>
    <font>
      <name val="Calibri"/>
      <charset val="1"/>
      <family val="2"/>
      <b val="1"/>
      <color theme="0"/>
      <sz val="12"/>
    </font>
    <font>
      <name val="Calibri"/>
      <charset val="1"/>
      <family val="2"/>
      <b val="1"/>
      <color theme="1"/>
      <sz val="12"/>
    </font>
    <font>
      <name val="Calibri"/>
      <charset val="1"/>
      <family val="2"/>
      <color rgb="FF000000"/>
      <sz val="11"/>
    </font>
    <font>
      <name val="Calibri"/>
      <charset val="1"/>
      <family val="2"/>
      <color theme="8" tint="-0.499984740745262"/>
      <sz val="11"/>
    </font>
    <font>
      <name val="Calibri"/>
      <charset val="1"/>
      <family val="2"/>
      <b val="1"/>
      <color theme="1"/>
      <sz val="11"/>
    </font>
    <font>
      <name val="Calibri"/>
      <charset val="1"/>
      <family val="2"/>
      <color theme="0"/>
      <sz val="11"/>
    </font>
    <font>
      <name val="Arial"/>
      <family val="2"/>
      <b val="1"/>
      <color rgb="FFFFFFFF"/>
      <sz val="10"/>
    </font>
    <font>
      <name val="Arial"/>
      <family val="2"/>
      <b val="1"/>
      <color rgb="FF1F1F1F"/>
      <sz val="10"/>
    </font>
    <font>
      <name val="Calibri"/>
      <charset val="1"/>
      <family val="2"/>
      <color theme="1"/>
      <sz val="11"/>
    </font>
  </fonts>
  <fills count="36">
    <fill>
      <patternFill/>
    </fill>
    <fill>
      <patternFill patternType="gray125"/>
    </fill>
    <fill>
      <patternFill patternType="solid">
        <fgColor rgb="FFFCE4D6"/>
        <bgColor rgb="FFFFF2CC"/>
      </patternFill>
    </fill>
    <fill>
      <patternFill patternType="solid">
        <fgColor rgb="FFF1F5F9"/>
        <bgColor rgb="FFF8FAFC"/>
      </patternFill>
    </fill>
    <fill>
      <patternFill patternType="solid">
        <fgColor rgb="FFD1FAE5"/>
        <bgColor rgb="FFDCFCE7"/>
      </patternFill>
    </fill>
    <fill>
      <patternFill patternType="solid">
        <fgColor rgb="FFFFF2CC"/>
        <bgColor rgb="FFFCE4D6"/>
      </patternFill>
    </fill>
    <fill>
      <patternFill patternType="solid">
        <fgColor rgb="FF554133"/>
        <bgColor rgb="FF5B5252"/>
      </patternFill>
    </fill>
    <fill>
      <patternFill patternType="solid">
        <fgColor rgb="FF3B291E"/>
        <bgColor rgb="FF1E293B"/>
      </patternFill>
    </fill>
    <fill>
      <patternFill patternType="solid">
        <fgColor rgb="FF695547"/>
        <bgColor rgb="FF5B5252"/>
      </patternFill>
    </fill>
    <fill>
      <patternFill patternType="solid">
        <fgColor rgb="FF465F06"/>
        <bgColor rgb="FF554133"/>
      </patternFill>
    </fill>
    <fill>
      <patternFill patternType="solid">
        <fgColor rgb="FFC78402"/>
        <bgColor rgb="FFC55A11"/>
      </patternFill>
    </fill>
    <fill>
      <patternFill patternType="solid">
        <fgColor rgb="FF0674D7"/>
        <bgColor rgb="FF00B0F0"/>
      </patternFill>
    </fill>
    <fill>
      <patternFill patternType="solid">
        <fgColor rgb="FF5B5252"/>
        <bgColor rgb="FF595959"/>
      </patternFill>
    </fill>
    <fill>
      <patternFill patternType="solid">
        <fgColor rgb="FF88940D"/>
        <bgColor rgb="FFC78402"/>
      </patternFill>
    </fill>
    <fill>
      <patternFill patternType="solid">
        <fgColor rgb="FFEB6325"/>
        <bgColor rgb="FFC55A11"/>
      </patternFill>
    </fill>
    <fill>
      <patternFill patternType="solid">
        <fgColor rgb="FFD9286D"/>
        <bgColor rgb="FFCA3843"/>
      </patternFill>
    </fill>
    <fill>
      <patternFill patternType="solid">
        <fgColor rgb="FFFFFFFF"/>
        <bgColor rgb="FFFCFAF8"/>
      </patternFill>
    </fill>
    <fill>
      <patternFill patternType="solid">
        <fgColor rgb="FF1E293B"/>
        <bgColor rgb="FF3B291E"/>
      </patternFill>
    </fill>
    <fill>
      <patternFill patternType="solid">
        <fgColor rgb="FF065F46"/>
        <bgColor rgb="FF006100"/>
      </patternFill>
    </fill>
    <fill>
      <patternFill patternType="solid">
        <fgColor rgb="FFF0FDF4"/>
        <bgColor rgb="FFF4FDF0"/>
      </patternFill>
    </fill>
    <fill>
      <patternFill patternType="solid">
        <fgColor rgb="FFF8FAFC"/>
        <bgColor rgb="FFFCFAF8"/>
      </patternFill>
    </fill>
    <fill>
      <patternFill patternType="solid">
        <fgColor rgb="FFDCFCE7"/>
        <bgColor rgb="FFD1FAE5"/>
      </patternFill>
    </fill>
    <fill>
      <patternFill patternType="solid">
        <fgColor rgb="FF003C6C"/>
        <bgColor rgb="FF1F4E79"/>
      </patternFill>
    </fill>
    <fill>
      <patternFill patternType="solid">
        <fgColor theme="9" tint="0.5997802667317729"/>
        <bgColor rgb="FFC6EFCE"/>
      </patternFill>
    </fill>
    <fill>
      <patternFill patternType="solid">
        <fgColor theme="5" tint="0.5997802667317729"/>
        <bgColor rgb="FFFFC7CE"/>
      </patternFill>
    </fill>
    <fill>
      <patternFill patternType="solid">
        <fgColor theme="7" tint="0.5997802667317729"/>
        <bgColor rgb="FFFFEB9C"/>
      </patternFill>
    </fill>
    <fill>
      <patternFill patternType="solid">
        <fgColor theme="8" tint="0.5997802667317729"/>
        <bgColor rgb="FFCBD5E1"/>
      </patternFill>
    </fill>
    <fill>
      <patternFill patternType="solid">
        <fgColor rgb="FFFFC000"/>
        <bgColor rgb="FFC78402"/>
      </patternFill>
    </fill>
    <fill>
      <patternFill patternType="solid">
        <fgColor rgb="FF92D050"/>
        <bgColor rgb="FF7FD7A7"/>
      </patternFill>
    </fill>
    <fill>
      <patternFill patternType="solid">
        <fgColor rgb="FFD9D9D9"/>
        <bgColor rgb="FFE1D5CB"/>
      </patternFill>
    </fill>
    <fill>
      <patternFill patternType="solid">
        <fgColor theme="2" tint="-0.09997863704336681"/>
        <bgColor rgb="FFCBD5E1"/>
      </patternFill>
    </fill>
    <fill>
      <patternFill patternType="solid">
        <fgColor theme="0" tint="-0.249977111117893"/>
        <bgColor rgb="FFD0CECE"/>
      </patternFill>
    </fill>
    <fill>
      <patternFill patternType="solid">
        <fgColor theme="2" tint="-0.249977111117893"/>
        <bgColor rgb="FFA6A6A6"/>
      </patternFill>
    </fill>
    <fill>
      <patternFill patternType="solid">
        <fgColor theme="0" tint="-0.3499862666707358"/>
        <bgColor rgb="FFAFABAB"/>
      </patternFill>
    </fill>
    <fill>
      <patternFill patternType="solid">
        <fgColor rgb="FF1F4E78"/>
        <bgColor indexed="64"/>
      </patternFill>
    </fill>
    <fill>
      <patternFill patternType="solid">
        <fgColor rgb="FF3B291E"/>
        <bgColor indexed="64"/>
      </patternFill>
    </fill>
  </fills>
  <borders count="2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94A3B8"/>
      </bottom>
      <diagonal/>
    </border>
    <border>
      <left style="thin">
        <color rgb="FFE1D5CB"/>
      </left>
      <right style="thin">
        <color rgb="FFE1D5CB"/>
      </right>
      <top style="thin">
        <color rgb="FFE1D5CB"/>
      </top>
      <bottom style="thin">
        <color rgb="FFE1D5C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1E293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theme="4" tint="0.5997802667317729"/>
      </left>
      <right style="thin">
        <color theme="4" tint="0.5997802667317729"/>
      </right>
      <top style="thin">
        <color theme="4" tint="0.5997802667317729"/>
      </top>
      <bottom/>
      <diagonal/>
    </border>
    <border>
      <left style="thin">
        <color theme="4" tint="0.5997802667317729"/>
      </left>
      <right style="thin">
        <color theme="4" tint="0.5997802667317729"/>
      </right>
      <top style="thin">
        <color theme="4" tint="0.5997802667317729"/>
      </top>
      <bottom style="thin">
        <color theme="4" tint="0.5997802667317729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"/>
      </left>
      <right style="thin">
        <color theme="0" tint="-0.1499984740745262"/>
      </right>
      <top style="thin">
        <color theme="0" tint="-0.1499984740745262"/>
      </top>
      <bottom style="thin">
        <color theme="0" tint="-0.1499984740745262"/>
      </bottom>
      <diagonal/>
    </border>
    <border>
      <left style="thin">
        <color theme="0" tint="-0.1499984740745262"/>
      </left>
      <right/>
      <top style="thin">
        <color theme="0" tint="-0.1499984740745262"/>
      </top>
      <bottom style="thin">
        <color theme="0" tint="-0.1499984740745262"/>
      </bottom>
      <diagonal/>
    </border>
    <border>
      <left style="dashDotDot">
        <color theme="1" tint="0.3497726371044038"/>
      </left>
      <right style="dashDotDot">
        <color theme="1" tint="0.3497726371044038"/>
      </right>
      <top style="dashDotDot">
        <color theme="1" tint="0.3497726371044038"/>
      </top>
      <bottom style="dashDotDot">
        <color theme="1" tint="0.3497726371044038"/>
      </bottom>
      <diagonal/>
    </border>
    <border>
      <left/>
      <right/>
      <top style="thin">
        <color theme="0" tint="-0.1499984740745262"/>
      </top>
      <bottom style="thin">
        <color theme="0" tint="-0.1499984740745262"/>
      </bottom>
      <diagonal/>
    </border>
    <border>
      <left/>
      <right/>
      <top style="thin">
        <color rgb="FFE1D5CB"/>
      </top>
      <bottom/>
      <diagonal/>
    </border>
    <border>
      <left/>
      <right style="thin">
        <color rgb="FFE1D5CB"/>
      </right>
      <top style="thin">
        <color rgb="FFE1D5CB"/>
      </top>
      <bottom/>
      <diagonal/>
    </border>
    <border>
      <left/>
      <right/>
      <top style="thin">
        <color rgb="FFE1D5CB"/>
      </top>
      <bottom style="thin">
        <color rgb="FFE1D5CB"/>
      </bottom>
      <diagonal/>
    </border>
    <border>
      <left/>
      <right style="thin">
        <color rgb="FFE1D5CB"/>
      </right>
      <top style="thin">
        <color rgb="FFE1D5CB"/>
      </top>
      <bottom style="thin">
        <color rgb="FFE1D5CB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4">
    <xf numFmtId="0" fontId="27" fillId="0" borderId="0"/>
    <xf numFmtId="172" fontId="27" fillId="0" borderId="0"/>
    <xf numFmtId="0" fontId="16" fillId="0" borderId="0"/>
    <xf numFmtId="0" fontId="27" fillId="2" borderId="0"/>
  </cellStyleXfs>
  <cellXfs count="127">
    <xf numFmtId="0" fontId="0" fillId="0" borderId="0" pivotButton="0" quotePrefix="0" xfId="0"/>
    <xf numFmtId="0" fontId="20" fillId="26" borderId="10" applyAlignment="1" pivotButton="0" quotePrefix="0" xfId="0">
      <alignment horizontal="center" vertical="center"/>
    </xf>
    <xf numFmtId="0" fontId="20" fillId="25" borderId="10" applyAlignment="1" pivotButton="0" quotePrefix="0" xfId="0">
      <alignment horizontal="center" vertical="center"/>
    </xf>
    <xf numFmtId="0" fontId="20" fillId="24" borderId="10" applyAlignment="1" pivotButton="0" quotePrefix="0" xfId="0">
      <alignment horizontal="center" vertical="center"/>
    </xf>
    <xf numFmtId="0" fontId="20" fillId="23" borderId="10" applyAlignment="1" pivotButton="0" quotePrefix="0" xfId="0">
      <alignment horizontal="center" vertical="center" wrapText="1"/>
    </xf>
    <xf numFmtId="0" fontId="19" fillId="22" borderId="10" applyAlignment="1" pivotButton="0" quotePrefix="0" xfId="0">
      <alignment horizontal="center" vertical="center" wrapText="1"/>
    </xf>
    <xf numFmtId="0" fontId="6" fillId="15" borderId="2" applyAlignment="1" pivotButton="0" quotePrefix="0" xfId="0">
      <alignment horizontal="center" vertical="center"/>
    </xf>
    <xf numFmtId="0" fontId="6" fillId="14" borderId="2" applyAlignment="1" pivotButton="0" quotePrefix="0" xfId="0">
      <alignment horizontal="center" vertical="center"/>
    </xf>
    <xf numFmtId="0" fontId="6" fillId="13" borderId="2" applyAlignment="1" pivotButton="0" quotePrefix="0" xfId="0">
      <alignment horizontal="center" vertical="center"/>
    </xf>
    <xf numFmtId="0" fontId="6" fillId="12" borderId="2" applyAlignment="1" pivotButton="0" quotePrefix="0" xfId="0">
      <alignment horizontal="center" vertical="center"/>
    </xf>
    <xf numFmtId="0" fontId="6" fillId="11" borderId="2" applyAlignment="1" pivotButton="0" quotePrefix="0" xfId="0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6" fillId="10" borderId="2" applyAlignment="1" pivotButton="0" quotePrefix="0" xfId="0">
      <alignment horizontal="center" vertical="center"/>
    </xf>
    <xf numFmtId="0" fontId="6" fillId="6" borderId="2" applyAlignment="1" pivotButton="0" quotePrefix="0" xfId="0">
      <alignment horizontal="center" vertical="center"/>
    </xf>
    <xf numFmtId="164" fontId="6" fillId="7" borderId="2" applyAlignment="1" pivotButton="0" quotePrefix="0" xfId="0">
      <alignment horizontal="center" vertical="center"/>
    </xf>
    <xf numFmtId="0" fontId="0" fillId="3" borderId="1" pivotButton="0" quotePrefix="0" xfId="0"/>
    <xf numFmtId="0" fontId="3" fillId="0" borderId="0" applyAlignment="1" pivotButton="0" quotePrefix="0" xfId="0">
      <alignment horizontal="right" vertical="center"/>
    </xf>
    <xf numFmtId="165" fontId="4" fillId="0" borderId="0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 wrapText="1"/>
    </xf>
    <xf numFmtId="0" fontId="6" fillId="9" borderId="2" applyAlignment="1" pivotButton="0" quotePrefix="0" xfId="0">
      <alignment horizontal="center" vertical="center"/>
    </xf>
    <xf numFmtId="3" fontId="1" fillId="3" borderId="1" applyAlignment="1" pivotButton="0" quotePrefix="0" xfId="0">
      <alignment horizontal="center" vertical="center" wrapText="1"/>
    </xf>
    <xf numFmtId="165" fontId="2" fillId="4" borderId="1" applyAlignment="1" pivotButton="0" quotePrefix="0" xfId="0">
      <alignment horizontal="right" vertical="center"/>
    </xf>
    <xf numFmtId="166" fontId="1" fillId="3" borderId="1" applyAlignment="1" pivotButton="0" quotePrefix="0" xfId="0">
      <alignment horizontal="center" vertical="center" wrapText="1"/>
    </xf>
    <xf numFmtId="0" fontId="7" fillId="17" borderId="3" applyAlignment="1" pivotButton="0" quotePrefix="0" xfId="0">
      <alignment horizontal="center" vertical="center"/>
    </xf>
    <xf numFmtId="0" fontId="7" fillId="18" borderId="3" applyAlignment="1" pivotButton="0" quotePrefix="0" xfId="0">
      <alignment horizontal="center" vertical="center"/>
    </xf>
    <xf numFmtId="12" fontId="7" fillId="17" borderId="3" applyAlignment="1" pivotButton="0" quotePrefix="0" xfId="0">
      <alignment horizontal="center" vertical="center"/>
    </xf>
    <xf numFmtId="0" fontId="8" fillId="16" borderId="4" applyAlignment="1" pivotButton="0" quotePrefix="0" xfId="0">
      <alignment horizontal="left" vertical="center"/>
    </xf>
    <xf numFmtId="0" fontId="8" fillId="16" borderId="4" applyAlignment="1" pivotButton="0" quotePrefix="0" xfId="0">
      <alignment horizontal="center" vertical="center" wrapText="1"/>
    </xf>
    <xf numFmtId="164" fontId="9" fillId="16" borderId="4" applyAlignment="1" pivotButton="0" quotePrefix="0" xfId="0">
      <alignment horizontal="center" vertical="center" wrapText="1"/>
    </xf>
    <xf numFmtId="166" fontId="9" fillId="16" borderId="4" applyAlignment="1" pivotButton="0" quotePrefix="0" xfId="0">
      <alignment horizontal="center" vertical="center" wrapText="1"/>
    </xf>
    <xf numFmtId="167" fontId="10" fillId="19" borderId="4" applyAlignment="1" pivotButton="0" quotePrefix="0" xfId="0">
      <alignment horizontal="right" vertical="center"/>
    </xf>
    <xf numFmtId="166" fontId="8" fillId="16" borderId="4" applyAlignment="1" pivotButton="0" quotePrefix="0" xfId="0">
      <alignment horizontal="center" vertical="center" wrapText="1"/>
    </xf>
    <xf numFmtId="0" fontId="8" fillId="20" borderId="4" applyAlignment="1" pivotButton="0" quotePrefix="0" xfId="0">
      <alignment horizontal="left" vertical="center"/>
    </xf>
    <xf numFmtId="0" fontId="8" fillId="20" borderId="4" applyAlignment="1" pivotButton="0" quotePrefix="0" xfId="0">
      <alignment horizontal="center" vertical="center" wrapText="1"/>
    </xf>
    <xf numFmtId="164" fontId="9" fillId="20" borderId="4" applyAlignment="1" pivotButton="0" quotePrefix="0" xfId="0">
      <alignment horizontal="center" vertical="center" wrapText="1"/>
    </xf>
    <xf numFmtId="166" fontId="9" fillId="20" borderId="4" applyAlignment="1" pivotButton="0" quotePrefix="0" xfId="0">
      <alignment horizontal="center" vertical="center" wrapText="1"/>
    </xf>
    <xf numFmtId="167" fontId="10" fillId="21" borderId="4" applyAlignment="1" pivotButton="0" quotePrefix="0" xfId="0">
      <alignment horizontal="right" vertical="center"/>
    </xf>
    <xf numFmtId="166" fontId="8" fillId="20" borderId="4" applyAlignment="1" pivotButton="0" quotePrefix="0" xfId="0">
      <alignment horizontal="center" vertical="center" wrapText="1"/>
    </xf>
    <xf numFmtId="168" fontId="8" fillId="20" borderId="4" applyAlignment="1" pivotButton="0" quotePrefix="0" xfId="0">
      <alignment horizontal="left" vertical="center"/>
    </xf>
    <xf numFmtId="0" fontId="11" fillId="16" borderId="5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 wrapText="1"/>
    </xf>
    <xf numFmtId="169" fontId="11" fillId="16" borderId="6" applyAlignment="1" pivotButton="0" quotePrefix="0" xfId="0">
      <alignment horizontal="center" vertical="center"/>
    </xf>
    <xf numFmtId="1" fontId="11" fillId="16" borderId="5" applyAlignment="1" pivotButton="0" quotePrefix="0" xfId="0">
      <alignment horizontal="center" vertical="center"/>
    </xf>
    <xf numFmtId="165" fontId="11" fillId="16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170" fontId="0" fillId="0" borderId="0" pivotButton="0" quotePrefix="0" xfId="0"/>
    <xf numFmtId="164" fontId="13" fillId="22" borderId="7" applyAlignment="1" pivotButton="0" quotePrefix="0" xfId="0">
      <alignment horizontal="center"/>
    </xf>
    <xf numFmtId="0" fontId="0" fillId="22" borderId="8" applyAlignment="1" pivotButton="0" quotePrefix="0" xfId="0">
      <alignment horizontal="center"/>
    </xf>
    <xf numFmtId="0" fontId="14" fillId="22" borderId="8" applyAlignment="1" pivotButton="0" quotePrefix="0" xfId="0">
      <alignment horizontal="center" vertical="center"/>
    </xf>
    <xf numFmtId="0" fontId="15" fillId="22" borderId="8" applyAlignment="1" pivotButton="0" quotePrefix="0" xfId="2">
      <alignment horizontal="left" vertical="top"/>
    </xf>
    <xf numFmtId="0" fontId="17" fillId="22" borderId="8" applyAlignment="1" pivotButton="0" quotePrefix="0" xfId="0">
      <alignment horizontal="left" vertical="top"/>
    </xf>
    <xf numFmtId="0" fontId="18" fillId="22" borderId="8" applyAlignment="1" pivotButton="0" quotePrefix="0" xfId="0">
      <alignment horizontal="right" vertical="top"/>
    </xf>
    <xf numFmtId="0" fontId="0" fillId="22" borderId="9" applyAlignment="1" pivotButton="0" quotePrefix="0" xfId="0">
      <alignment horizontal="center"/>
    </xf>
    <xf numFmtId="0" fontId="18" fillId="22" borderId="11" applyAlignment="1" pivotButton="0" quotePrefix="0" xfId="0">
      <alignment horizontal="center" vertical="center"/>
    </xf>
    <xf numFmtId="0" fontId="18" fillId="22" borderId="11" applyAlignment="1" pivotButton="0" quotePrefix="0" xfId="0">
      <alignment horizontal="center" vertical="center" wrapText="1"/>
    </xf>
    <xf numFmtId="0" fontId="19" fillId="22" borderId="11" applyAlignment="1" pivotButton="0" quotePrefix="0" xfId="0">
      <alignment horizontal="center" vertical="center"/>
    </xf>
    <xf numFmtId="12" fontId="18" fillId="22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0" fillId="0" borderId="14" pivotButton="0" quotePrefix="0" xfId="0"/>
    <xf numFmtId="0" fontId="0" fillId="29" borderId="14" pivotButton="0" quotePrefix="0" xfId="0"/>
    <xf numFmtId="169" fontId="0" fillId="0" borderId="14" applyAlignment="1" pivotButton="0" quotePrefix="0" xfId="0">
      <alignment horizontal="center"/>
    </xf>
    <xf numFmtId="171" fontId="27" fillId="16" borderId="14" applyAlignment="1" pivotButton="0" quotePrefix="0" xfId="1">
      <alignment horizontal="center"/>
    </xf>
    <xf numFmtId="0" fontId="0" fillId="16" borderId="14" applyAlignment="1" pivotButton="0" quotePrefix="0" xfId="0">
      <alignment horizontal="center"/>
    </xf>
    <xf numFmtId="0" fontId="0" fillId="16" borderId="14" pivotButton="0" quotePrefix="0" xfId="0"/>
    <xf numFmtId="0" fontId="0" fillId="16" borderId="12" applyAlignment="1" pivotButton="0" quotePrefix="0" xfId="0">
      <alignment horizontal="center"/>
    </xf>
    <xf numFmtId="0" fontId="21" fillId="29" borderId="14" pivotButton="0" quotePrefix="0" xfId="0"/>
    <xf numFmtId="0" fontId="0" fillId="0" borderId="12" pivotButton="0" quotePrefix="0" xfId="0"/>
    <xf numFmtId="0" fontId="0" fillId="29" borderId="12" pivotButton="0" quotePrefix="0" xfId="0"/>
    <xf numFmtId="169" fontId="0" fillId="0" borderId="12" applyAlignment="1" pivotButton="0" quotePrefix="0" xfId="0">
      <alignment horizontal="center"/>
    </xf>
    <xf numFmtId="164" fontId="22" fillId="22" borderId="7" applyAlignment="1" pivotButton="0" quotePrefix="0" xfId="0">
      <alignment horizontal="center" vertical="center"/>
    </xf>
    <xf numFmtId="0" fontId="18" fillId="22" borderId="8" applyAlignment="1" pivotButton="0" quotePrefix="0" xfId="0">
      <alignment horizontal="center" vertical="top"/>
    </xf>
    <xf numFmtId="0" fontId="0" fillId="29" borderId="14" applyAlignment="1" pivotButton="0" quotePrefix="0" xfId="0">
      <alignment horizontal="left"/>
    </xf>
    <xf numFmtId="0" fontId="0" fillId="0" borderId="14" applyAlignment="1" pivotButton="0" quotePrefix="0" xfId="0">
      <alignment horizontal="left"/>
    </xf>
    <xf numFmtId="168" fontId="0" fillId="0" borderId="13" applyAlignment="1" pivotButton="0" quotePrefix="0" xfId="0">
      <alignment horizontal="center"/>
    </xf>
    <xf numFmtId="0" fontId="0" fillId="30" borderId="14" applyAlignment="1" pivotButton="0" quotePrefix="0" xfId="0">
      <alignment horizontal="left"/>
    </xf>
    <xf numFmtId="169" fontId="23" fillId="0" borderId="15" applyAlignment="1" pivotButton="0" quotePrefix="0" xfId="0">
      <alignment horizontal="center"/>
    </xf>
    <xf numFmtId="0" fontId="20" fillId="0" borderId="16" applyAlignment="1" pivotButton="0" quotePrefix="0" xfId="0">
      <alignment horizontal="center"/>
    </xf>
    <xf numFmtId="171" fontId="20" fillId="0" borderId="16" applyAlignment="1" pivotButton="0" quotePrefix="0" xfId="1">
      <alignment horizontal="center"/>
    </xf>
    <xf numFmtId="0" fontId="24" fillId="22" borderId="8" applyAlignment="1" pivotButton="0" quotePrefix="0" xfId="0">
      <alignment horizontal="left" vertical="top"/>
    </xf>
    <xf numFmtId="0" fontId="21" fillId="31" borderId="14" applyAlignment="1" pivotButton="0" quotePrefix="0" xfId="0">
      <alignment horizontal="left"/>
    </xf>
    <xf numFmtId="0" fontId="0" fillId="31" borderId="14" pivotButton="0" quotePrefix="0" xfId="0"/>
    <xf numFmtId="0" fontId="21" fillId="16" borderId="14" applyAlignment="1" pivotButton="0" quotePrefix="0" xfId="0">
      <alignment horizontal="left"/>
    </xf>
    <xf numFmtId="0" fontId="21" fillId="16" borderId="14" pivotButton="0" quotePrefix="0" xfId="0"/>
    <xf numFmtId="0" fontId="0" fillId="32" borderId="14" applyAlignment="1" pivotButton="0" quotePrefix="0" xfId="0">
      <alignment horizontal="center"/>
    </xf>
    <xf numFmtId="0" fontId="0" fillId="33" borderId="14" applyAlignment="1" pivotButton="0" quotePrefix="0" xfId="0">
      <alignment horizontal="center"/>
    </xf>
    <xf numFmtId="0" fontId="18" fillId="22" borderId="8" applyAlignment="1" pivotButton="0" quotePrefix="0" xfId="0">
      <alignment horizontal="right" vertical="top" indent="2"/>
    </xf>
    <xf numFmtId="0" fontId="0" fillId="0" borderId="15" pivotButton="0" quotePrefix="0" xfId="0"/>
    <xf numFmtId="0" fontId="0" fillId="0" borderId="17" applyAlignment="1" pivotButton="0" quotePrefix="0" xfId="0">
      <alignment horizontal="center"/>
    </xf>
    <xf numFmtId="0" fontId="0" fillId="0" borderId="17" pivotButton="0" quotePrefix="0" xfId="0"/>
    <xf numFmtId="169" fontId="0" fillId="0" borderId="17" applyAlignment="1" pivotButton="0" quotePrefix="0" xfId="0">
      <alignment horizontal="center"/>
    </xf>
    <xf numFmtId="0" fontId="0" fillId="31" borderId="14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25" fillId="34" borderId="0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center" vertical="center"/>
    </xf>
    <xf numFmtId="0" fontId="0" fillId="35" borderId="0" applyAlignment="1" pivotButton="0" quotePrefix="0" xfId="0">
      <alignment horizontal="center" vertical="center"/>
    </xf>
    <xf numFmtId="0" fontId="20" fillId="27" borderId="10" applyAlignment="1" pivotButton="0" quotePrefix="0" xfId="0">
      <alignment horizontal="center" vertical="center"/>
    </xf>
    <xf numFmtId="0" fontId="20" fillId="28" borderId="10" applyAlignment="1" pivotButton="0" quotePrefix="0" xfId="0">
      <alignment horizontal="center" vertical="center"/>
    </xf>
    <xf numFmtId="165" fontId="0" fillId="0" borderId="0" pivotButton="0" quotePrefix="0" xfId="0"/>
    <xf numFmtId="165" fontId="2" fillId="4" borderId="1" applyAlignment="1" pivotButton="0" quotePrefix="0" xfId="0">
      <alignment horizontal="right" vertical="center"/>
    </xf>
    <xf numFmtId="166" fontId="1" fillId="3" borderId="1" applyAlignment="1" pivotButton="0" quotePrefix="0" xfId="0">
      <alignment horizontal="center" vertical="center" wrapText="1"/>
    </xf>
    <xf numFmtId="165" fontId="4" fillId="0" borderId="0" applyAlignment="1" pivotButton="0" quotePrefix="0" xfId="0">
      <alignment horizontal="center"/>
    </xf>
    <xf numFmtId="164" fontId="6" fillId="7" borderId="2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21" pivotButton="0" quotePrefix="0" xfId="0"/>
    <xf numFmtId="164" fontId="9" fillId="16" borderId="4" applyAlignment="1" pivotButton="0" quotePrefix="0" xfId="0">
      <alignment horizontal="center" vertical="center" wrapText="1"/>
    </xf>
    <xf numFmtId="166" fontId="9" fillId="16" borderId="4" applyAlignment="1" pivotButton="0" quotePrefix="0" xfId="0">
      <alignment horizontal="center" vertical="center" wrapText="1"/>
    </xf>
    <xf numFmtId="167" fontId="10" fillId="19" borderId="4" applyAlignment="1" pivotButton="0" quotePrefix="0" xfId="0">
      <alignment horizontal="right" vertical="center"/>
    </xf>
    <xf numFmtId="166" fontId="8" fillId="16" borderId="4" applyAlignment="1" pivotButton="0" quotePrefix="0" xfId="0">
      <alignment horizontal="center" vertical="center" wrapText="1"/>
    </xf>
    <xf numFmtId="173" fontId="0" fillId="0" borderId="0" pivotButton="0" quotePrefix="0" xfId="0"/>
    <xf numFmtId="169" fontId="11" fillId="16" borderId="6" applyAlignment="1" pivotButton="0" quotePrefix="0" xfId="0">
      <alignment horizontal="center" vertical="center"/>
    </xf>
    <xf numFmtId="165" fontId="11" fillId="16" borderId="5" applyAlignment="1" pivotButton="0" quotePrefix="0" xfId="0">
      <alignment horizontal="center" vertical="center"/>
    </xf>
    <xf numFmtId="170" fontId="0" fillId="0" borderId="0" pivotButton="0" quotePrefix="0" xfId="0"/>
    <xf numFmtId="165" fontId="0" fillId="0" borderId="0" pivotButton="0" quotePrefix="0" xfId="0"/>
    <xf numFmtId="164" fontId="13" fillId="22" borderId="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169" fontId="0" fillId="0" borderId="14" applyAlignment="1" pivotButton="0" quotePrefix="0" xfId="0">
      <alignment horizontal="center"/>
    </xf>
    <xf numFmtId="171" fontId="27" fillId="16" borderId="14" applyAlignment="1" pivotButton="0" quotePrefix="0" xfId="1">
      <alignment horizontal="center"/>
    </xf>
    <xf numFmtId="169" fontId="0" fillId="0" borderId="12" applyAlignment="1" pivotButton="0" quotePrefix="0" xfId="0">
      <alignment horizontal="center"/>
    </xf>
    <xf numFmtId="164" fontId="22" fillId="22" borderId="7" applyAlignment="1" pivotButton="0" quotePrefix="0" xfId="0">
      <alignment horizontal="center" vertical="center"/>
    </xf>
    <xf numFmtId="168" fontId="0" fillId="0" borderId="13" applyAlignment="1" pivotButton="0" quotePrefix="0" xfId="0">
      <alignment horizontal="center"/>
    </xf>
    <xf numFmtId="169" fontId="23" fillId="0" borderId="15" applyAlignment="1" pivotButton="0" quotePrefix="0" xfId="0">
      <alignment horizontal="center"/>
    </xf>
    <xf numFmtId="171" fontId="20" fillId="0" borderId="16" applyAlignment="1" pivotButton="0" quotePrefix="0" xfId="1">
      <alignment horizontal="center"/>
    </xf>
    <xf numFmtId="169" fontId="0" fillId="0" borderId="17" applyAlignment="1" pivotButton="0" quotePrefix="0" xfId="0">
      <alignment horizontal="center"/>
    </xf>
  </cellXfs>
  <cellStyles count="4">
    <cellStyle name="Normal" xfId="0" builtinId="0"/>
    <cellStyle name="Currency" xfId="1" builtinId="4"/>
    <cellStyle name="Hyperlink" xfId="2" builtinId="8"/>
    <cellStyle name="AjusteDestaque" xfId="3"/>
  </cellStyles>
  <dxfs count="193"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ill>
        <patternFill>
          <bgColor theme="4" tint="0.5997802667317729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7985778374584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 val="1"/>
        <color rgb="FF000000"/>
      </font>
      <fill>
        <patternFill>
          <bgColor rgb="FF7FD7A7"/>
        </patternFill>
      </fill>
    </dxf>
    <dxf>
      <font>
        <color rgb="FF006100"/>
      </font>
      <fill>
        <patternFill>
          <bgColor rgb="FFC6EFCE"/>
        </patternFill>
      </fill>
    </dxf>
    <dxf>
      <font>
        <b val="1"/>
        <color rgb="FF000000"/>
      </font>
      <fill>
        <patternFill>
          <bgColor rgb="FFFF0000"/>
        </patternFill>
      </fill>
    </dxf>
    <dxf>
      <font>
        <b val="1"/>
        <color rgb="FF000000"/>
      </font>
      <fill>
        <patternFill>
          <bgColor rgb="FF00B050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>
          <bgColor theme="8" tint="0.7997985778374584"/>
        </patternFill>
      </fill>
    </dxf>
    <dxf>
      <fill>
        <patternFill patternType="solid">
          <fgColor rgb="FFFCE4D6"/>
          <bgColor rgb="FFFCE4D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 val="1"/>
        <color rgb="FF9C5700"/>
      </font>
      <fill>
        <patternFill patternType="solid">
          <fgColor rgb="FFFFEB9C"/>
          <bgColor rgb="FFFFEB9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0CECE"/>
      <rgbColor rgb="FFF0FDF4"/>
      <rgbColor rgb="FFFFE699"/>
      <rgbColor rgb="FFE1D5CB"/>
      <rgbColor rgb="FFBDD7EE"/>
      <rgbColor rgb="FF9C0006"/>
      <rgbColor rgb="FF006100"/>
      <rgbColor rgb="FFF4FDF0"/>
      <rgbColor rgb="FF88940D"/>
      <rgbColor rgb="FFDAE3F3"/>
      <rgbColor rgb="FF065F46"/>
      <rgbColor rgb="FFBFBFBF"/>
      <rgbColor rgb="FF695547"/>
      <rgbColor rgb="FFA6A6A6"/>
      <rgbColor rgb="FFCA3843"/>
      <rgbColor rgb="FFFFF2CC"/>
      <rgbColor rgb="FFDCFCE7"/>
      <rgbColor rgb="FFF1F5F9"/>
      <rgbColor rgb="FFC55A11"/>
      <rgbColor rgb="FF0674D7"/>
      <rgbColor rgb="FFCBD5E1"/>
      <rgbColor rgb="FFFCFAF8"/>
      <rgbColor rgb="FFD9D9D9"/>
      <rgbColor rgb="FFC5E0B4"/>
      <rgbColor rgb="FFC6EFCE"/>
      <rgbColor rgb="FFFCE4D6"/>
      <rgbColor rgb="FFE7FCDC"/>
      <rgbColor rgb="FF465F06"/>
      <rgbColor rgb="FFF8FAFC"/>
      <rgbColor rgb="FF00B0F0"/>
      <rgbColor rgb="FFDEEBF7"/>
      <rgbColor rgb="FFD1FAE5"/>
      <rgbColor rgb="FFFFEB9C"/>
      <rgbColor rgb="FFB4C7E7"/>
      <rgbColor rgb="FFFFC7CE"/>
      <rgbColor rgb="FFAFABAB"/>
      <rgbColor rgb="FFF8CBAD"/>
      <rgbColor rgb="FF5B5252"/>
      <rgbColor rgb="FF7FD7A7"/>
      <rgbColor rgb="FF92D050"/>
      <rgbColor rgb="FFFFC000"/>
      <rgbColor rgb="FFC78402"/>
      <rgbColor rgb="FFEB6325"/>
      <rgbColor rgb="FF595959"/>
      <rgbColor rgb="FF94A3B8"/>
      <rgbColor rgb="FF003C6C"/>
      <rgbColor rgb="FF00B050"/>
      <rgbColor rgb="FF554133"/>
      <rgbColor rgb="FF1E293B"/>
      <rgbColor rgb="FF9C6500"/>
      <rgbColor rgb="FFD9286D"/>
      <rgbColor rgb="FF1F4E79"/>
      <rgbColor rgb="FF3B291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omments/comment1.xml><?xml version="1.0" encoding="utf-8"?>
<comments xmlns="http://schemas.openxmlformats.org/spreadsheetml/2006/main">
  <authors>
    <author>Unknown Author</author>
  </authors>
  <commentList>
    <comment ref="C37" authorId="0" shapeId="0">
      <text>
        <t>Descrição alterada de "1 ½ 30 MTS" (duplicada na linha 35) para "2 ½ 30 MTS". Confirme se o preço R$ 1.250 é deste produto.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Base1.xml.rels><?xml version="1.0" encoding="UTF-8" standalone="yes"?><Relationships xmlns="http://schemas.openxmlformats.org/package/2006/relationships"><Relationship Id="rIdImg1" Type="http://schemas.openxmlformats.org/officeDocument/2006/relationships/image" Target="../media/botAimagem1.jpeg"/></Relationships>
</file>

<file path=xl/drawings/_rels/drawingBase2.xml.rels><?xml version="1.0" encoding="UTF-8" standalone="yes"?><Relationships xmlns="http://schemas.openxmlformats.org/package/2006/relationships"></Relationships>
</file>

<file path=xl/drawings/_rels/drawingBase3.xml.rels><?xml version="1.0" encoding="UTF-8" standalone="yes"?><Relationships xmlns="http://schemas.openxmlformats.org/package/2006/relationships"><Relationship Id="rIdImg2" Type="http://schemas.openxmlformats.org/officeDocument/2006/relationships/image" Target="../media/botAimagem2.jpeg"/><Relationship Id="rIdImg3" Type="http://schemas.openxmlformats.org/officeDocument/2006/relationships/image" Target="../media/botAimagem3.png"/></Relationships>
</file>

<file path=xl/drawings/_rels/drawingBase4.xml.rels><?xml version="1.0" encoding="UTF-8" standalone="yes"?><Relationships xmlns="http://schemas.openxmlformats.org/package/2006/relationships"><Relationship Id="rIdImg1" Type="http://schemas.openxmlformats.org/officeDocument/2006/relationships/image" Target="../media/botAimagem1.png"/><Relationship Id="rIdImg2" Type="http://schemas.openxmlformats.org/officeDocument/2006/relationships/image" Target="../media/botAimagem2.png"/><Relationship Id="rIdImg4" Type="http://schemas.openxmlformats.org/officeDocument/2006/relationships/image" Target="../media/botAimagem4.png"/></Relationships>
</file>

<file path=xl/drawings/_rels/drawingBase5.xml.rels><?xml version="1.0" encoding="UTF-8" standalone="yes"?><Relationships xmlns="http://schemas.openxmlformats.org/package/2006/relationships"><Relationship Id="rIdImg5" Type="http://schemas.openxmlformats.org/officeDocument/2006/relationships/image" Target="../media/botAimagem5.png"/><Relationship Id="rIdImg6" Type="http://schemas.openxmlformats.org/officeDocument/2006/relationships/image" Target="../media/botAimagem6.png"/><Relationship Id="rIdImg7" Type="http://schemas.openxmlformats.org/officeDocument/2006/relationships/image" Target="../media/botAimagem7.png"/></Relationships>
</file>

<file path=xl/drawings/_rels/drawingBase6.xml.rels><?xml version="1.0" encoding="UTF-8" standalone="yes"?><Relationships xmlns="http://schemas.openxmlformats.org/package/2006/relationships"><Relationship Id="rIdImg8" Type="http://schemas.openxmlformats.org/officeDocument/2006/relationships/image" Target="../media/botAimagem8.png"/><Relationship Id="rIdImg9" Type="http://schemas.openxmlformats.org/officeDocument/2006/relationships/image" Target="../media/botAimagem9.png"/></Relationships>
</file>

<file path=xl/drawings/_rels/drawingBase7.xml.rels><?xml version="1.0" encoding="UTF-8" standalone="yes"?><Relationships xmlns="http://schemas.openxmlformats.org/package/2006/relationships"><Relationship Id="rIdImg10" Type="http://schemas.openxmlformats.org/officeDocument/2006/relationships/image" Target="../media/botAimagem10.png"/><Relationship Id="rIdImg11" Type="http://schemas.openxmlformats.org/officeDocument/2006/relationships/image" Target="../media/botAimagem11.png"/></Relationships>
</file>

<file path=xl/drawings/_rels/drawingBase8.xml.rels><?xml version="1.0" encoding="UTF-8" standalone="yes"?><Relationships xmlns="http://schemas.openxmlformats.org/package/2006/relationships"><Relationship Id="rIdImg12" Type="http://schemas.openxmlformats.org/officeDocument/2006/relationships/image" Target="../media/botAimagem12.png"/><Relationship Id="rIdImg13" Type="http://schemas.openxmlformats.org/officeDocument/2006/relationships/image" Target="../media/botAimagem13.png"/></Relationships>
</file>

<file path=xl/drawings/_rels/drawingBase9.xml.rels><?xml version="1.0" encoding="UTF-8" standalone="yes"?><Relationships xmlns="http://schemas.openxmlformats.org/package/2006/relationships"><Relationship Id="rIdImg14" Type="http://schemas.openxmlformats.org/officeDocument/2006/relationships/image" Target="../media/botAimagem14.png"/><Relationship Id="rIdImg15" Type="http://schemas.openxmlformats.org/officeDocument/2006/relationships/image" Target="../media/botAimagem15.png"/></Relationships>
</file>

<file path=xl/drawings/drawingBase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</xdr:colOff>
      <xdr:row>0</xdr:row>
      <xdr:rowOff>9390</xdr:rowOff>
    </xdr:from>
    <xdr:to>
      <xdr:col>7</xdr:col>
      <xdr:colOff>9525</xdr:colOff>
      <xdr:row>3</xdr:row>
      <xdr:rowOff>28575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Img1"/>
        <a:stretch/>
      </xdr:blipFill>
      <xdr:spPr>
        <a:xfrm>
          <a:off x="60" y="9390"/>
          <a:ext cx="7943790" cy="84786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28574</xdr:rowOff>
        </xdr:from>
        <xdr:to>
          <xdr:col>2</xdr:col>
          <xdr:colOff>9524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 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1590676</xdr:colOff>
          <xdr:row>3</xdr:row>
          <xdr:rowOff>28575</xdr:rowOff>
        </xdr:from>
        <xdr:to>
          <xdr:col>7</xdr:col>
          <xdr:colOff>9526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Base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95250</xdr:rowOff>
        </xdr:from>
        <xdr:to>
          <xdr:col>9</xdr:col>
          <xdr:colOff>533400</xdr:colOff>
          <xdr:row>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Produto</a:t>
              </a:r>
            </a:p>
          </xdr:txBody>
        </xdr:sp>
        <xdr:clientData fPrintsWithSheet="0"/>
      </xdr:twoCellAnchor>
    </mc:Choice>
    <mc:Fallback/>
  </mc:AlternateContent>
</xdr:wsDr>
</file>

<file path=xl/drawings/drawingBase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157320</xdr:colOff>
      <xdr:row>0</xdr:row>
      <xdr:rowOff>33480</xdr:rowOff>
    </xdr:from>
    <xdr:to>
      <xdr:col>1</xdr:col>
      <xdr:colOff>576000</xdr:colOff>
      <xdr:row>0</xdr:row>
      <xdr:rowOff>666000</xdr:rowOff>
    </xdr:to>
    <xdr:pic>
      <xdr:nvPicPr>
        <xdr:cNvPr id="2" name="Imagem 1" descr="Macontrin Extintores Logo Header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Img3"/>
        <a:stretch/>
      </xdr:blipFill>
      <xdr:spPr>
        <a:xfrm>
          <a:off x="157320" y="33480"/>
          <a:ext cx="1515960" cy="632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83520</xdr:colOff>
      <xdr:row>0</xdr:row>
      <xdr:rowOff>42840</xdr:rowOff>
    </xdr:from>
    <xdr:to>
      <xdr:col>8</xdr:col>
      <xdr:colOff>833040</xdr:colOff>
      <xdr:row>0</xdr:row>
      <xdr:rowOff>606600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Img2"/>
        <a:srcRect l="21476" t="4329" r="19728" b="11630"/>
        <a:stretch/>
      </xdr:blipFill>
      <xdr:spPr>
        <a:xfrm>
          <a:off x="15629040" y="42840"/>
          <a:ext cx="749520" cy="5637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207000</xdr:colOff>
      <xdr:row>0</xdr:row>
      <xdr:rowOff>73800</xdr:rowOff>
    </xdr:from>
    <xdr:to>
      <xdr:col>1</xdr:col>
      <xdr:colOff>658800</xdr:colOff>
      <xdr:row>0</xdr:row>
      <xdr:rowOff>594720</xdr:rowOff>
    </xdr:to>
    <xdr:pic>
      <xdr:nvPicPr>
        <xdr:cNvPr id="4" name="Imagem 1" descr="Macontrin Extintores Logo Head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Img4"/>
        <a:stretch/>
      </xdr:blipFill>
      <xdr:spPr>
        <a:xfrm>
          <a:off x="207000" y="73800"/>
          <a:ext cx="1357920" cy="520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35640</xdr:colOff>
      <xdr:row>0</xdr:row>
      <xdr:rowOff>35640</xdr:rowOff>
    </xdr:from>
    <xdr:to>
      <xdr:col>8</xdr:col>
      <xdr:colOff>839160</xdr:colOff>
      <xdr:row>0</xdr:row>
      <xdr:rowOff>618480</xdr:rowOff>
    </xdr:to>
    <xdr:pic>
      <xdr:nvPicPr>
        <xdr:cNvPr id="5" name="Imagem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Img2"/>
        <a:stretch/>
      </xdr:blipFill>
      <xdr:spPr>
        <a:xfrm>
          <a:off x="11653560" y="35640"/>
          <a:ext cx="803520" cy="582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521640</xdr:colOff>
      <xdr:row>0</xdr:row>
      <xdr:rowOff>0</xdr:rowOff>
    </xdr:from>
    <xdr:to>
      <xdr:col>4</xdr:col>
      <xdr:colOff>1261440</xdr:colOff>
      <xdr:row>1</xdr:row>
      <xdr:rowOff>18360</xdr:rowOff>
    </xdr:to>
    <xdr:pic>
      <xdr:nvPicPr>
        <xdr:cNvPr id="6" name="Imagem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Img1"/>
        <a:stretch/>
      </xdr:blipFill>
      <xdr:spPr>
        <a:xfrm>
          <a:off x="7176600" y="0"/>
          <a:ext cx="739800" cy="666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95400</xdr:colOff>
      <xdr:row>0</xdr:row>
      <xdr:rowOff>88200</xdr:rowOff>
    </xdr:from>
    <xdr:to>
      <xdr:col>1</xdr:col>
      <xdr:colOff>497160</xdr:colOff>
      <xdr:row>0</xdr:row>
      <xdr:rowOff>570960</xdr:rowOff>
    </xdr:to>
    <xdr:pic>
      <xdr:nvPicPr>
        <xdr:cNvPr id="7" name="Imagem 1" descr="Macontrin Extintores Logo Heade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Img7"/>
        <a:stretch/>
      </xdr:blipFill>
      <xdr:spPr>
        <a:xfrm>
          <a:off x="95400" y="88200"/>
          <a:ext cx="1357920" cy="482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7</xdr:col>
      <xdr:colOff>142920</xdr:colOff>
      <xdr:row>0</xdr:row>
      <xdr:rowOff>9360</xdr:rowOff>
    </xdr:from>
    <xdr:to>
      <xdr:col>7</xdr:col>
      <xdr:colOff>856440</xdr:colOff>
      <xdr:row>0</xdr:row>
      <xdr:rowOff>606240</xdr:rowOff>
    </xdr:to>
    <xdr:pic>
      <xdr:nvPicPr>
        <xdr:cNvPr id="8" name="Imagem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Img6"/>
        <a:stretch/>
      </xdr:blipFill>
      <xdr:spPr>
        <a:xfrm>
          <a:off x="10915560" y="9360"/>
          <a:ext cx="713520" cy="5968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547560</xdr:colOff>
      <xdr:row>0</xdr:row>
      <xdr:rowOff>16560</xdr:rowOff>
    </xdr:from>
    <xdr:to>
      <xdr:col>3</xdr:col>
      <xdr:colOff>1382760</xdr:colOff>
      <xdr:row>0</xdr:row>
      <xdr:rowOff>637200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/>
      </xdr:nvPicPr>
      <xdr:blipFill>
        <a:blip xmlns:r="http://schemas.openxmlformats.org/officeDocument/2006/relationships" r:embed="rIdImg5"/>
        <a:stretch/>
      </xdr:blipFill>
      <xdr:spPr>
        <a:xfrm>
          <a:off x="5994720" y="16560"/>
          <a:ext cx="835200" cy="6206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11160</xdr:colOff>
      <xdr:row>0</xdr:row>
      <xdr:rowOff>570600</xdr:rowOff>
    </xdr:to>
    <xdr:pic>
      <xdr:nvPicPr>
        <xdr:cNvPr id="10" name="Imagem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/>
      </xdr:nvPicPr>
      <xdr:blipFill>
        <a:blip xmlns:r="http://schemas.openxmlformats.org/officeDocument/2006/relationships" r:embed="rIdImg9"/>
        <a:stretch/>
      </xdr:blipFill>
      <xdr:spPr>
        <a:xfrm>
          <a:off x="10078200" y="28440"/>
          <a:ext cx="726120" cy="542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212040</xdr:colOff>
      <xdr:row>0</xdr:row>
      <xdr:rowOff>107280</xdr:rowOff>
    </xdr:from>
    <xdr:to>
      <xdr:col>1</xdr:col>
      <xdr:colOff>687600</xdr:colOff>
      <xdr:row>0</xdr:row>
      <xdr:rowOff>535320</xdr:rowOff>
    </xdr:to>
    <xdr:pic>
      <xdr:nvPicPr>
        <xdr:cNvPr id="11" name="Imagem 1" descr="Macontrin Extintores Logo Header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/>
      </xdr:nvPicPr>
      <xdr:blipFill>
        <a:blip xmlns:r="http://schemas.openxmlformats.org/officeDocument/2006/relationships" r:embed="rIdImg8"/>
        <a:stretch/>
      </xdr:blipFill>
      <xdr:spPr>
        <a:xfrm>
          <a:off x="212040" y="107280"/>
          <a:ext cx="1351080" cy="428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320760</xdr:colOff>
      <xdr:row>0</xdr:row>
      <xdr:rowOff>618120</xdr:rowOff>
    </xdr:to>
    <xdr:pic>
      <xdr:nvPicPr>
        <xdr:cNvPr id="12" name="Imagem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Img11"/>
        <a:stretch/>
      </xdr:blipFill>
      <xdr:spPr>
        <a:xfrm>
          <a:off x="4781520" y="28440"/>
          <a:ext cx="623160" cy="589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88920</xdr:colOff>
      <xdr:row>0</xdr:row>
      <xdr:rowOff>80280</xdr:rowOff>
    </xdr:from>
    <xdr:to>
      <xdr:col>1</xdr:col>
      <xdr:colOff>561960</xdr:colOff>
      <xdr:row>0</xdr:row>
      <xdr:rowOff>594720</xdr:rowOff>
    </xdr:to>
    <xdr:pic>
      <xdr:nvPicPr>
        <xdr:cNvPr id="13" name="Imagem 1" descr="Macontrin Extintores Logo Header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Img10"/>
        <a:stretch/>
      </xdr:blipFill>
      <xdr:spPr>
        <a:xfrm>
          <a:off x="88920" y="80280"/>
          <a:ext cx="1348560" cy="5144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1094760</xdr:colOff>
      <xdr:row>1</xdr:row>
      <xdr:rowOff>11160</xdr:rowOff>
    </xdr:to>
    <xdr:pic>
      <xdr:nvPicPr>
        <xdr:cNvPr id="14" name="Imagem 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/>
      </xdr:nvPicPr>
      <xdr:blipFill>
        <a:blip xmlns:r="http://schemas.openxmlformats.org/officeDocument/2006/relationships" r:embed="rIdImg13"/>
        <a:stretch/>
      </xdr:blipFill>
      <xdr:spPr>
        <a:xfrm>
          <a:off x="6000120" y="28440"/>
          <a:ext cx="561240" cy="601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157320</xdr:colOff>
      <xdr:row>0</xdr:row>
      <xdr:rowOff>104760</xdr:rowOff>
    </xdr:from>
    <xdr:to>
      <xdr:col>1</xdr:col>
      <xdr:colOff>632880</xdr:colOff>
      <xdr:row>0</xdr:row>
      <xdr:rowOff>558720</xdr:rowOff>
    </xdr:to>
    <xdr:pic>
      <xdr:nvPicPr>
        <xdr:cNvPr id="15" name="Imagem 1" descr="Macontrin Extintores Logo Header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/>
      </xdr:nvPicPr>
      <xdr:blipFill>
        <a:blip xmlns:r="http://schemas.openxmlformats.org/officeDocument/2006/relationships" r:embed="rIdImg12"/>
        <a:stretch/>
      </xdr:blipFill>
      <xdr:spPr>
        <a:xfrm>
          <a:off x="157320" y="10476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Base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930600</xdr:colOff>
      <xdr:row>0</xdr:row>
      <xdr:rowOff>594360</xdr:rowOff>
    </xdr:to>
    <xdr:pic>
      <xdr:nvPicPr>
        <xdr:cNvPr id="16" name="Imagem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/>
      </xdr:nvPicPr>
      <xdr:blipFill>
        <a:blip xmlns:r="http://schemas.openxmlformats.org/officeDocument/2006/relationships" r:embed="rIdImg15"/>
        <a:stretch/>
      </xdr:blipFill>
      <xdr:spPr>
        <a:xfrm>
          <a:off x="4711320" y="28440"/>
          <a:ext cx="397080" cy="565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171360</xdr:colOff>
      <xdr:row>0</xdr:row>
      <xdr:rowOff>116640</xdr:rowOff>
    </xdr:from>
    <xdr:to>
      <xdr:col>1</xdr:col>
      <xdr:colOff>646920</xdr:colOff>
      <xdr:row>0</xdr:row>
      <xdr:rowOff>570600</xdr:rowOff>
    </xdr:to>
    <xdr:pic>
      <xdr:nvPicPr>
        <xdr:cNvPr id="17" name="Imagem 1" descr="Macontrin Extintores Logo Header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/>
      </xdr:nvPicPr>
      <xdr:blipFill>
        <a:blip xmlns:r="http://schemas.openxmlformats.org/officeDocument/2006/relationships" r:embed="rIdImg14"/>
        <a:stretch/>
      </xdr:blipFill>
      <xdr:spPr>
        <a:xfrm>
          <a:off x="171360" y="11664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Relationship Id="rIdDrw1" Type="http://schemas.openxmlformats.org/officeDocument/2006/relationships/drawing" Target="../drawings/drawingBase1.x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Relationship Id="rIdDrw1" Type="http://schemas.openxmlformats.org/officeDocument/2006/relationships/drawing" Target="../drawings/drawingBase2.xml"/></Relationships>
</file>

<file path=xl/worksheets/_rels/sheet3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3.xml"/></Relationships>
</file>

<file path=xl/worksheets/_rels/sheet4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4.xml"/></Relationships>
</file>

<file path=xl/worksheets/_rels/sheet5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5.xml"/></Relationships>
</file>

<file path=xl/worksheets/_rels/sheet6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6.xml"/></Relationships>
</file>

<file path=xl/worksheets/_rels/sheet7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7.xml"/></Relationships>
</file>

<file path=xl/worksheets/_rels/sheet8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8.xml"/></Relationships>
</file>

<file path=xl/worksheets/_rels/sheet9.xml.rels><?xml version="1.0" encoding="UTF-8" standalone="yes"?><Relationships xmlns="http://schemas.openxmlformats.org/package/2006/relationships"><Relationship Id="rIdDrw1" Type="http://schemas.openxmlformats.org/officeDocument/2006/relationships/drawing" Target="../drawings/drawingBase9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FF000000"/>
    <outlinePr summaryBelow="1" summaryRight="1"/>
    <pageSetUpPr fitToPage="1"/>
  </sheetPr>
  <dimension ref="A1:BG1000"/>
  <sheetViews>
    <sheetView tabSelected="1" view="pageBreakPreview" zoomScaleNormal="100" zoomScaleSheetLayoutView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I11" activeCellId="1" sqref="L3 I11"/>
    </sheetView>
  </sheetViews>
  <sheetFormatPr baseColWidth="8" defaultColWidth="8.7109375" defaultRowHeight="15"/>
  <cols>
    <col width="16" customWidth="1" min="1" max="1"/>
    <col width="18" customWidth="1" min="2" max="2"/>
    <col width="7" customWidth="1" min="3" max="3"/>
    <col width="34" customWidth="1" min="4" max="4"/>
    <col width="24" customWidth="1" min="5" max="5"/>
    <col width="6" customWidth="1" min="6" max="6"/>
    <col width="14" customWidth="1" min="7" max="9"/>
    <col width="20.28515625" customWidth="1" min="10" max="10"/>
    <col width="11.7109375" customWidth="1" min="11" max="54"/>
    <col width="9.85546875" bestFit="1" customWidth="1" min="55" max="55"/>
    <col width="10.7109375" bestFit="1" customWidth="1" min="57" max="57"/>
    <col width="27.140625" bestFit="1" customWidth="1" min="58" max="58"/>
    <col width="13.42578125" bestFit="1" customWidth="1" min="59" max="59"/>
  </cols>
  <sheetData>
    <row r="1" ht="16.5" customHeight="1">
      <c r="B1" s="15" t="n"/>
      <c r="C1" s="15" t="n"/>
      <c r="D1" s="15" t="n"/>
      <c r="E1" s="15" t="n"/>
      <c r="F1" s="15" t="n"/>
      <c r="G1" s="15" t="n"/>
      <c r="H1" s="20">
        <f>SUM(H6:H1000)</f>
        <v/>
      </c>
      <c r="I1" s="20">
        <f>SUM(I6:I1000)</f>
        <v/>
      </c>
      <c r="J1" s="101">
        <f>SUM(J6:J1000)</f>
        <v/>
      </c>
      <c r="K1" s="102">
        <f>SUM(K6:K1000)</f>
        <v/>
      </c>
      <c r="L1" s="102">
        <f>SUM(L6:L1000)</f>
        <v/>
      </c>
      <c r="M1" s="102">
        <f>SUM(M6:M1000)</f>
        <v/>
      </c>
      <c r="N1" s="102">
        <f>SUM(N6:N1000)</f>
        <v/>
      </c>
      <c r="O1" s="102">
        <f>SUM(O6:O1000)</f>
        <v/>
      </c>
      <c r="P1" s="102">
        <f>SUM(P6:P1000)</f>
        <v/>
      </c>
      <c r="Q1" s="102">
        <f>SUM(Q6:Q1000)</f>
        <v/>
      </c>
      <c r="R1" s="102">
        <f>SUM(R6:R1000)</f>
        <v/>
      </c>
      <c r="S1" s="102">
        <f>SUM(S6:S1000)</f>
        <v/>
      </c>
      <c r="T1" s="102">
        <f>SUM(T6:T1000)</f>
        <v/>
      </c>
      <c r="U1" s="102">
        <f>SUM(U6:U1000)</f>
        <v/>
      </c>
      <c r="V1" s="102">
        <f>SUM(V6:V1000)</f>
        <v/>
      </c>
      <c r="W1" s="102">
        <f>SUM(W6:W1000)</f>
        <v/>
      </c>
      <c r="X1" s="102">
        <f>SUM(X6:X1000)</f>
        <v/>
      </c>
      <c r="Y1" s="102">
        <f>SUM(Y6:Y1000)</f>
        <v/>
      </c>
      <c r="Z1" s="102">
        <f>SUM(Z6:Z1000)</f>
        <v/>
      </c>
      <c r="AA1" s="102">
        <f>SUM(AA6:AA1000)</f>
        <v/>
      </c>
      <c r="AB1" s="102">
        <f>SUM(AB6:AB1000)</f>
        <v/>
      </c>
      <c r="AC1" s="102">
        <f>SUM(AC6:AC1000)</f>
        <v/>
      </c>
      <c r="AD1" s="102">
        <f>SUM(AD6:AD1000)</f>
        <v/>
      </c>
      <c r="AE1" s="102">
        <f>SUM(AE6:AE1000)</f>
        <v/>
      </c>
      <c r="AF1" s="102">
        <f>SUM(AF6:AF1000)</f>
        <v/>
      </c>
      <c r="AG1" s="102">
        <f>SUM(AG6:AG1000)</f>
        <v/>
      </c>
      <c r="AH1" s="102">
        <f>SUM(AH6:AH1000)</f>
        <v/>
      </c>
      <c r="AI1" s="102">
        <f>SUM(AI6:AI1000)</f>
        <v/>
      </c>
      <c r="AJ1" s="102">
        <f>SUM(AJ6:AJ1000)</f>
        <v/>
      </c>
      <c r="AK1" s="102">
        <f>SUM(AK6:AK1000)</f>
        <v/>
      </c>
      <c r="AL1" s="102">
        <f>SUM(AL6:AL1000)</f>
        <v/>
      </c>
      <c r="AM1" s="102">
        <f>SUM(AM6:AM1000)</f>
        <v/>
      </c>
      <c r="AN1" s="102">
        <f>SUM(AN6:AN2000)</f>
        <v/>
      </c>
      <c r="AO1" s="102">
        <f>SUM(AO6:AO1000)</f>
        <v/>
      </c>
      <c r="AP1" s="102">
        <f>SUM(AP6:AP1000)</f>
        <v/>
      </c>
      <c r="AQ1" s="102">
        <f>SUM(AQ6:AQ1000)</f>
        <v/>
      </c>
      <c r="AR1" s="102">
        <f>SUM(AR6:AR1000)</f>
        <v/>
      </c>
      <c r="AS1" s="102">
        <f>SUM(AS6:AS1000)</f>
        <v/>
      </c>
      <c r="AT1" s="102">
        <f>SUM(AT6:AT1000)</f>
        <v/>
      </c>
      <c r="AU1" s="102">
        <f>SUM(AU6:AU1000)</f>
        <v/>
      </c>
      <c r="AV1" s="102">
        <f>SUM(AV6:AV1000)</f>
        <v/>
      </c>
      <c r="AW1" s="102">
        <f>SUM(AW6:AW1000)</f>
        <v/>
      </c>
      <c r="AX1" s="102">
        <f>SUM(AX6:AX1000)</f>
        <v/>
      </c>
      <c r="AY1" s="102">
        <f>SUM(AY6:AY1000)</f>
        <v/>
      </c>
      <c r="AZ1" s="102">
        <f>SUM(AZ6:AZ1000)</f>
        <v/>
      </c>
      <c r="BA1" s="102">
        <f>SUM(BA6:BA1000)</f>
        <v/>
      </c>
      <c r="BB1" s="102">
        <f>SUM(BB6:BB1000)</f>
        <v/>
      </c>
    </row>
    <row r="2">
      <c r="I2" s="16" t="n"/>
      <c r="K2" s="103">
        <f>IF(K3="","",IFERROR(INDEX(PRODUTOS!$E$2:$E$200,MATCH(K3,PRODUTOS!$C$2:$C$200,0)),0))</f>
        <v/>
      </c>
      <c r="L2" s="103">
        <f>IF(L3="","",IFERROR(INDEX(PRODUTOS!$E$2:$E$200,MATCH(L3,PRODUTOS!$C$2:$C$200,0)),0))</f>
        <v/>
      </c>
      <c r="M2" s="103">
        <f>IF(M3="","",IFERROR(INDEX(PRODUTOS!$E$2:$E$200,MATCH(M3,PRODUTOS!$C$2:$C$200,0)),0))</f>
        <v/>
      </c>
      <c r="N2" s="103">
        <f>IF(N3="","",IFERROR(INDEX(PRODUTOS!$E$2:$E$200,MATCH(N3,PRODUTOS!$C$2:$C$200,0)),0))</f>
        <v/>
      </c>
      <c r="O2" s="103">
        <f>IF(O3="","",IFERROR(INDEX(PRODUTOS!$E$2:$E$200,MATCH(O3,PRODUTOS!$C$2:$C$200,0)),0))</f>
        <v/>
      </c>
      <c r="P2" s="103">
        <f>IF(P3="","",IFERROR(INDEX(PRODUTOS!$E$2:$E$200,MATCH(P3,PRODUTOS!$C$2:$C$200,0)),0))</f>
        <v/>
      </c>
      <c r="Q2" s="103">
        <f>IF(Q3="","",IFERROR(INDEX(PRODUTOS!$E$2:$E$200,MATCH(Q3,PRODUTOS!$C$2:$C$200,0)),0))</f>
        <v/>
      </c>
      <c r="R2" s="103">
        <f>IF(R3="","",IFERROR(INDEX(PRODUTOS!$E$2:$E$200,MATCH(R3,PRODUTOS!$C$2:$C$200,0)),0))</f>
        <v/>
      </c>
      <c r="S2" s="103">
        <f>IF(S3="","",IFERROR(INDEX(PRODUTOS!$E$2:$E$200,MATCH(S3,PRODUTOS!$C$2:$C$200,0)),0))</f>
        <v/>
      </c>
      <c r="T2" s="103">
        <f>IF(T3="","",IFERROR(INDEX(PRODUTOS!$E$2:$E$200,MATCH(T3,PRODUTOS!$C$2:$C$200,0)),0))</f>
        <v/>
      </c>
      <c r="U2" s="103">
        <f>IF(U3="","",IFERROR(INDEX(PRODUTOS!$E$2:$E$200,MATCH(U3,PRODUTOS!$C$2:$C$200,0)),0))</f>
        <v/>
      </c>
      <c r="V2" s="103">
        <f>IF(V3="","",IFERROR(INDEX(PRODUTOS!$E$2:$E$200,MATCH(V3,PRODUTOS!$C$2:$C$200,0)),0))</f>
        <v/>
      </c>
      <c r="W2" s="103">
        <f>IF(W3="","",IFERROR(INDEX(PRODUTOS!$E$2:$E$200,MATCH(W3,PRODUTOS!$C$2:$C$200,0)),0))</f>
        <v/>
      </c>
      <c r="X2" s="103">
        <f>IF(X3="","",IFERROR(INDEX(PRODUTOS!$E$2:$E$200,MATCH(X3,PRODUTOS!$C$2:$C$200,0)),0))</f>
        <v/>
      </c>
      <c r="Y2" s="103">
        <f>IF(Y3="","",IFERROR(INDEX(PRODUTOS!$E$2:$E$200,MATCH(Y3,PRODUTOS!$C$2:$C$200,0)),0))</f>
        <v/>
      </c>
      <c r="Z2" s="103">
        <f>IF(Z3="","",IFERROR(INDEX(PRODUTOS!$E$2:$E$200,MATCH(Z3,PRODUTOS!$C$2:$C$200,0)),0))</f>
        <v/>
      </c>
      <c r="AA2" s="103">
        <f>IF(AA3="","",IFERROR(INDEX(PRODUTOS!$E$2:$E$200,MATCH(AA3,PRODUTOS!$C$2:$C$200,0)),0))</f>
        <v/>
      </c>
      <c r="AB2" s="103">
        <f>IF(AB3="","",IFERROR(INDEX(PRODUTOS!$E$2:$E$200,MATCH(AB3,PRODUTOS!$C$2:$C$200,0)),0))</f>
        <v/>
      </c>
      <c r="AC2" s="103">
        <f>IF(AC3="","",IFERROR(INDEX(PRODUTOS!$E$2:$E$200,MATCH(AC3,PRODUTOS!$C$2:$C$200,0)),0))</f>
        <v/>
      </c>
      <c r="AD2" s="103">
        <f>IF(AD3="","",IFERROR(INDEX(PRODUTOS!$E$2:$E$200,MATCH(AD3,PRODUTOS!$C$2:$C$200,0)),0))</f>
        <v/>
      </c>
      <c r="AE2" s="103">
        <f>IF(AE3="","",IFERROR(INDEX(PRODUTOS!$E$2:$E$200,MATCH(AE3,PRODUTOS!$C$2:$C$200,0)),0))</f>
        <v/>
      </c>
      <c r="AF2" s="103">
        <f>IF(AF3="","",IFERROR(INDEX(PRODUTOS!$E$2:$E$200,MATCH(AF3,PRODUTOS!$C$2:$C$200,0)),0))</f>
        <v/>
      </c>
      <c r="AG2" s="103">
        <f>IF(AG3="","",IFERROR(INDEX(PRODUTOS!$E$2:$E$200,MATCH(AG3,PRODUTOS!$C$2:$C$200,0)),0))</f>
        <v/>
      </c>
      <c r="AH2" s="103">
        <f>IF(AH3="","",IFERROR(INDEX(PRODUTOS!$E$2:$E$200,MATCH(AH3,PRODUTOS!$C$2:$C$200,0)),0))</f>
        <v/>
      </c>
      <c r="AI2" s="103">
        <f>IF(AI3="","",IFERROR(INDEX(PRODUTOS!$E$2:$E$200,MATCH(AI3,PRODUTOS!$C$2:$C$200,0)),0))</f>
        <v/>
      </c>
      <c r="AJ2" s="103">
        <f>IF(AJ3="","",IFERROR(INDEX(PRODUTOS!$E$2:$E$200,MATCH(AJ3,PRODUTOS!$C$2:$C$200,0)),0))</f>
        <v/>
      </c>
      <c r="AK2" s="103">
        <f>IF(AK3="","",IFERROR(INDEX(PRODUTOS!$E$2:$E$200,MATCH(AK3,PRODUTOS!$C$2:$C$200,0)),0))</f>
        <v/>
      </c>
      <c r="AL2" s="103">
        <f>IF(AL3="","",IFERROR(INDEX(PRODUTOS!$E$2:$E$200,MATCH(AL3,PRODUTOS!$C$2:$C$200,0)),0))</f>
        <v/>
      </c>
      <c r="AM2" s="103">
        <f>IF(AM3="","",IFERROR(INDEX(PRODUTOS!$E$2:$E$200,MATCH(AM3,PRODUTOS!$C$2:$C$200,0)),0))</f>
        <v/>
      </c>
      <c r="AN2" s="103">
        <f>IF(AN3="","",IFERROR(INDEX(PRODUTOS!$E$2:$E$200,MATCH(AN3,PRODUTOS!$C$2:$C$200,0)),0))</f>
        <v/>
      </c>
      <c r="AO2" s="103">
        <f>IF(AO3="","",IFERROR(INDEX(PRODUTOS!$E$2:$E$200,MATCH(AO3,PRODUTOS!$C$2:$C$200,0)),0))</f>
        <v/>
      </c>
      <c r="AP2" s="103">
        <f>IF(AP3="","",IFERROR(INDEX(PRODUTOS!$E$2:$E$200,MATCH(AP3,PRODUTOS!$C$2:$C$200,0)),0))</f>
        <v/>
      </c>
      <c r="AQ2" s="103">
        <f>IF(AQ3="","",IFERROR(INDEX(PRODUTOS!$E$2:$E$200,MATCH(AQ3,PRODUTOS!$C$2:$C$200,0)),0))</f>
        <v/>
      </c>
      <c r="AR2" s="103">
        <f>IF(AR3="","",IFERROR(INDEX(PRODUTOS!$E$2:$E$200,MATCH(AR3,PRODUTOS!$C$2:$C$200,0)),0))</f>
        <v/>
      </c>
      <c r="AS2" s="103">
        <f>IF(AS3="","",IFERROR(INDEX(PRODUTOS!$E$2:$E$200,MATCH(AS3,PRODUTOS!$C$2:$C$200,0)),0))</f>
        <v/>
      </c>
      <c r="AT2" s="103">
        <f>IF(AT3="","",IFERROR(INDEX(PRODUTOS!$E$2:$E$200,MATCH(AT3,PRODUTOS!$C$2:$C$200,0)),0))</f>
        <v/>
      </c>
      <c r="AU2" s="103">
        <f>IF(AU3="","",IFERROR(INDEX(PRODUTOS!$E$2:$E$200,MATCH(AU3,PRODUTOS!$C$2:$C$200,0)),0))</f>
        <v/>
      </c>
      <c r="AV2" s="103">
        <f>IF(AV3="","",IFERROR(INDEX(PRODUTOS!$E$2:$E$200,MATCH(AV3,PRODUTOS!$C$2:$C$200,0)),0))</f>
        <v/>
      </c>
      <c r="AW2" s="103">
        <f>IF(AW3="","",IFERROR(INDEX(PRODUTOS!$E$2:$E$200,MATCH(AW3,PRODUTOS!$C$2:$C$200,0)),0))</f>
        <v/>
      </c>
      <c r="AX2" s="103">
        <f>IF(AX3="","",IFERROR(INDEX(PRODUTOS!$E$2:$E$200,MATCH(AX3,PRODUTOS!$C$2:$C$200,0)),0))</f>
        <v/>
      </c>
      <c r="AY2" s="103">
        <f>IF(AY3="","",IFERROR(INDEX(PRODUTOS!$E$2:$E$200,MATCH(AY3,PRODUTOS!$C$2:$C$200,0)),0))</f>
        <v/>
      </c>
      <c r="AZ2" s="103">
        <f>IF(AZ3="","",IFERROR(INDEX(PRODUTOS!$E$2:$E$200,MATCH(AZ3,PRODUTOS!$C$2:$C$200,0)),0))</f>
        <v/>
      </c>
      <c r="BA2" s="103">
        <f>IF(BA3="","",IFERROR(INDEX(PRODUTOS!$E$2:$E$200,MATCH(BA3,PRODUTOS!$C$2:$C$200,0)),0))</f>
        <v/>
      </c>
      <c r="BB2" s="103">
        <f>IF(BB3="","",IFERROR(INDEX(PRODUTOS!$E$2:$E$200,MATCH(BB3,PRODUTOS!$C$2:$C$200,0)),0))</f>
        <v/>
      </c>
    </row>
    <row r="3" ht="33.75" customHeight="1">
      <c r="I3" s="16" t="n"/>
      <c r="K3" s="18" t="inlineStr">
        <is>
          <t>RECARGA EXTINTOR AP 10 LTS</t>
        </is>
      </c>
      <c r="L3" s="18" t="n"/>
      <c r="M3" s="18" t="inlineStr">
        <is>
          <t>RECARGA EXTINTOR PQS BC 4KG</t>
        </is>
      </c>
      <c r="N3" s="18" t="inlineStr">
        <is>
          <t>RECARGA EXTINTOR PQS BC 6 KG</t>
        </is>
      </c>
      <c r="O3" s="18" t="inlineStr">
        <is>
          <t>RECARGA EXTINTOR PQS BC 8 KG</t>
        </is>
      </c>
      <c r="P3" s="18" t="inlineStr">
        <is>
          <t>RECARGA EXTINTOR PQS BC 12 KG</t>
        </is>
      </c>
      <c r="Q3" s="18" t="inlineStr">
        <is>
          <t>RECARGA EXTINTOR PQS BC 20 KG</t>
        </is>
      </c>
      <c r="R3" s="18" t="n"/>
      <c r="S3" s="18" t="inlineStr">
        <is>
          <t>RECARGA EXTINTOR PQS BC 50 KG</t>
        </is>
      </c>
      <c r="T3" s="18" t="inlineStr">
        <is>
          <t>RECARGA EXTINTOR PQS ABC 4KG</t>
        </is>
      </c>
      <c r="U3" s="18" t="inlineStr">
        <is>
          <t>RECARGA EXTINTOR PQS ABC 6 KG</t>
        </is>
      </c>
      <c r="V3" s="18" t="inlineStr">
        <is>
          <t>RECARGA EXTINTOR PQS ABC 8 KG</t>
        </is>
      </c>
      <c r="W3" s="18" t="inlineStr">
        <is>
          <t>RECARGA EXTINTOR PQS ABC 12 KG</t>
        </is>
      </c>
      <c r="X3" s="18" t="n"/>
      <c r="Y3" s="18" t="n"/>
      <c r="Z3" s="18" t="inlineStr">
        <is>
          <t>RECARGA EXTINTOR CO2 4 KG</t>
        </is>
      </c>
      <c r="AA3" s="18" t="inlineStr">
        <is>
          <t>RECARGA EXTINTOR CO2 6 KG</t>
        </is>
      </c>
      <c r="AB3" s="18" t="inlineStr">
        <is>
          <t>RECARGA EXTINTOR CO2 10 KG</t>
        </is>
      </c>
      <c r="AC3" s="18" t="n"/>
      <c r="AD3" s="18" t="inlineStr">
        <is>
          <t>RECARGA EXTINTOR CO2 25 KG</t>
        </is>
      </c>
      <c r="AE3" s="18" t="n"/>
      <c r="AF3" s="18" t="inlineStr">
        <is>
          <t>RECARGA EXTINTOR ESPUMA 9 LTS</t>
        </is>
      </c>
      <c r="AG3" s="18" t="inlineStr">
        <is>
          <t>RECARGA EXTINTOR ESPUMA 50 LTS</t>
        </is>
      </c>
      <c r="AH3" s="18" t="inlineStr">
        <is>
          <t>MANGUEIRA INCÊNDIO 1 ½ 15 MTS TIPO 2</t>
        </is>
      </c>
      <c r="AI3" s="18" t="inlineStr">
        <is>
          <t>MANGUEIRA INCÊNDIO 1 ½ 30 MTS TIPO 2</t>
        </is>
      </c>
      <c r="AJ3" s="18" t="inlineStr">
        <is>
          <t>MANGUEIRA INCÊNDIO 2 ½ 15 MTS TIPO 2</t>
        </is>
      </c>
      <c r="AK3" s="18" t="inlineStr">
        <is>
          <t>MANGUEIRA INCÊNDIO 2 ½ 30 MTS TIPO 2</t>
        </is>
      </c>
      <c r="AL3" s="18" t="n"/>
      <c r="AM3" s="18" t="inlineStr">
        <is>
          <t>RECARGA EXTINTOR CO2 25 KG</t>
        </is>
      </c>
      <c r="AN3" s="18" t="inlineStr">
        <is>
          <t>TESTE</t>
        </is>
      </c>
      <c r="AO3" s="18" t="n"/>
      <c r="AP3" s="18" t="n"/>
      <c r="AQ3" s="18" t="inlineStr">
        <is>
          <t>RECARGA EXTINTOR PQS BC 20 KG</t>
        </is>
      </c>
      <c r="AR3" s="18" t="inlineStr">
        <is>
          <t>RECARGA EXTINTOR PQS BC 50 KG</t>
        </is>
      </c>
      <c r="AS3" s="18" t="n"/>
      <c r="AT3" s="18" t="n"/>
      <c r="AU3" s="18" t="n"/>
      <c r="AV3" s="18" t="n"/>
      <c r="AW3" s="18" t="n"/>
      <c r="AX3" s="18" t="n"/>
      <c r="AY3" s="18" t="n"/>
      <c r="AZ3" s="18" t="n"/>
      <c r="BA3" s="18" t="n"/>
      <c r="BB3" s="18" t="n"/>
    </row>
    <row r="4" ht="25.5" customHeight="1">
      <c r="A4" s="97" t="n"/>
      <c r="B4" s="104" t="inlineStr">
        <is>
          <t>DADOS CADASTRAIS DA LOJA</t>
        </is>
      </c>
      <c r="C4" s="105" t="n"/>
      <c r="D4" s="105" t="n"/>
      <c r="E4" s="105" t="n"/>
      <c r="F4" s="105" t="n"/>
      <c r="G4" s="106" t="n"/>
      <c r="H4" s="13" t="inlineStr">
        <is>
          <t>TOTAL QUANTIDADES</t>
        </is>
      </c>
      <c r="I4" s="106" t="n"/>
      <c r="J4" s="19" t="inlineStr">
        <is>
          <t>TOTAL EM REAIS (R$)</t>
        </is>
      </c>
      <c r="K4" s="12" t="inlineStr">
        <is>
          <t>ÁGUA (AP)</t>
        </is>
      </c>
      <c r="L4" s="106" t="n"/>
      <c r="M4" s="11" t="inlineStr">
        <is>
          <t>EXTINTOR PÓ QUÍMICO BC</t>
        </is>
      </c>
      <c r="N4" s="105" t="n"/>
      <c r="O4" s="105" t="n"/>
      <c r="P4" s="105" t="n"/>
      <c r="Q4" s="105" t="n"/>
      <c r="R4" s="105" t="n"/>
      <c r="S4" s="106" t="n"/>
      <c r="T4" s="10" t="inlineStr">
        <is>
          <t>EXTINTOR PÓ QUÍMICO ABC</t>
        </is>
      </c>
      <c r="U4" s="105" t="n"/>
      <c r="V4" s="105" t="n"/>
      <c r="W4" s="105" t="n"/>
      <c r="X4" s="105" t="n"/>
      <c r="Y4" s="106" t="n"/>
      <c r="Z4" s="9" t="inlineStr">
        <is>
          <t>DIÓXIDO DE CARBONO (CO²)</t>
        </is>
      </c>
      <c r="AA4" s="105" t="n"/>
      <c r="AB4" s="105" t="n"/>
      <c r="AC4" s="105" t="n"/>
      <c r="AD4" s="105" t="n"/>
      <c r="AE4" s="106" t="n"/>
      <c r="AF4" s="8" t="inlineStr">
        <is>
          <t>ESPUMA MECÂNICA</t>
        </is>
      </c>
      <c r="AG4" s="106" t="n"/>
      <c r="AH4" s="7" t="inlineStr">
        <is>
          <t>MANGUEIRAS DE INCÊNDIO</t>
        </is>
      </c>
      <c r="AI4" s="105" t="n"/>
      <c r="AJ4" s="105" t="n"/>
      <c r="AK4" s="105" t="n"/>
      <c r="AL4" s="106" t="n"/>
      <c r="AM4" s="6" t="inlineStr">
        <is>
          <t>CARRETAS &amp; ESPECIAIS</t>
        </is>
      </c>
      <c r="AN4" s="105" t="n"/>
      <c r="AO4" s="105" t="n"/>
      <c r="AP4" s="105" t="n"/>
      <c r="AQ4" s="105" t="n"/>
      <c r="AR4" s="106" t="n"/>
      <c r="AS4" s="13" t="inlineStr">
        <is>
          <t>OUTROS / RESERVAS</t>
        </is>
      </c>
      <c r="AT4" s="105" t="n"/>
      <c r="AU4" s="105" t="n"/>
      <c r="AV4" s="105" t="n"/>
      <c r="AW4" s="105" t="n"/>
      <c r="AX4" s="105" t="n"/>
      <c r="AY4" s="105" t="n"/>
      <c r="AZ4" s="105" t="n"/>
      <c r="BA4" s="105" t="n"/>
      <c r="BB4" s="106" t="n"/>
    </row>
    <row r="5" ht="25.5" customHeight="1">
      <c r="A5" s="95" t="inlineStr">
        <is>
          <t>STATUS</t>
        </is>
      </c>
      <c r="B5" s="23" t="inlineStr">
        <is>
          <t>CLIENTE</t>
        </is>
      </c>
      <c r="C5" s="23" t="inlineStr">
        <is>
          <t>ID</t>
        </is>
      </c>
      <c r="D5" s="23" t="inlineStr">
        <is>
          <t>SITE</t>
        </is>
      </c>
      <c r="E5" s="23" t="inlineStr">
        <is>
          <t>CIDADE</t>
        </is>
      </c>
      <c r="F5" s="23" t="inlineStr">
        <is>
          <t>UF</t>
        </is>
      </c>
      <c r="G5" s="23" t="inlineStr">
        <is>
          <t>VENCIMENTO</t>
        </is>
      </c>
      <c r="H5" s="23" t="inlineStr">
        <is>
          <t xml:space="preserve"> EXTINTORES</t>
        </is>
      </c>
      <c r="I5" s="23" t="inlineStr">
        <is>
          <t>MANGUEIRAS</t>
        </is>
      </c>
      <c r="J5" s="24" t="inlineStr">
        <is>
          <t>TOTAL (R$)</t>
        </is>
      </c>
      <c r="K5" s="23" t="inlineStr">
        <is>
          <t>10L</t>
        </is>
      </c>
      <c r="L5" s="23" t="inlineStr">
        <is>
          <t>75L</t>
        </is>
      </c>
      <c r="M5" s="23" t="inlineStr">
        <is>
          <t>4Kg</t>
        </is>
      </c>
      <c r="N5" s="23" t="inlineStr">
        <is>
          <t>6Kg</t>
        </is>
      </c>
      <c r="O5" s="23" t="inlineStr">
        <is>
          <t>8Kg</t>
        </is>
      </c>
      <c r="P5" s="23" t="inlineStr">
        <is>
          <t>12Kg</t>
        </is>
      </c>
      <c r="Q5" s="23" t="inlineStr">
        <is>
          <t>20Kg</t>
        </is>
      </c>
      <c r="R5" s="23" t="inlineStr">
        <is>
          <t>30Kg</t>
        </is>
      </c>
      <c r="S5" s="23" t="inlineStr">
        <is>
          <t>50Kg</t>
        </is>
      </c>
      <c r="T5" s="23" t="inlineStr">
        <is>
          <t>4Kg</t>
        </is>
      </c>
      <c r="U5" s="23" t="inlineStr">
        <is>
          <t>6Kg</t>
        </is>
      </c>
      <c r="V5" s="23" t="inlineStr">
        <is>
          <t>8Kg</t>
        </is>
      </c>
      <c r="W5" s="23" t="inlineStr">
        <is>
          <t>12kg</t>
        </is>
      </c>
      <c r="X5" s="23" t="inlineStr">
        <is>
          <t>20kg</t>
        </is>
      </c>
      <c r="Y5" s="23" t="inlineStr">
        <is>
          <t>50kg</t>
        </is>
      </c>
      <c r="Z5" s="23" t="inlineStr">
        <is>
          <t>4Kg</t>
        </is>
      </c>
      <c r="AA5" s="23" t="inlineStr">
        <is>
          <t>6Kg</t>
        </is>
      </c>
      <c r="AB5" s="23" t="inlineStr">
        <is>
          <t>10Kg</t>
        </is>
      </c>
      <c r="AC5" s="23" t="inlineStr">
        <is>
          <t>12kg</t>
        </is>
      </c>
      <c r="AD5" s="23" t="inlineStr">
        <is>
          <t>25Kg</t>
        </is>
      </c>
      <c r="AE5" s="23" t="inlineStr">
        <is>
          <t>50Kg</t>
        </is>
      </c>
      <c r="AF5" s="23" t="inlineStr">
        <is>
          <t>9 Lts</t>
        </is>
      </c>
      <c r="AG5" s="23" t="inlineStr">
        <is>
          <t>50 lts</t>
        </is>
      </c>
      <c r="AH5" s="25" t="inlineStr">
        <is>
          <t>1,5 15M</t>
        </is>
      </c>
      <c r="AI5" s="25" t="inlineStr">
        <is>
          <t>1,5 30M</t>
        </is>
      </c>
      <c r="AJ5" s="25" t="inlineStr">
        <is>
          <t>2,5 15M</t>
        </is>
      </c>
      <c r="AK5" s="25" t="inlineStr">
        <is>
          <t>2,5 30M</t>
        </is>
      </c>
      <c r="AL5" s="25" t="inlineStr">
        <is>
          <t>Mangotinho</t>
        </is>
      </c>
      <c r="AM5" s="25" t="inlineStr">
        <is>
          <t>25 KG</t>
        </is>
      </c>
      <c r="AN5" s="23" t="inlineStr">
        <is>
          <t>TESTE</t>
        </is>
      </c>
      <c r="AO5" s="23" t="n"/>
      <c r="AP5" s="23" t="n"/>
      <c r="AQ5" s="25" t="inlineStr">
        <is>
          <t>20KG</t>
        </is>
      </c>
      <c r="AR5" s="25" t="inlineStr">
        <is>
          <t>50 KG</t>
        </is>
      </c>
      <c r="AS5" s="23" t="n"/>
      <c r="AT5" s="23" t="n"/>
      <c r="AU5" s="23" t="n"/>
      <c r="AV5" s="23" t="n"/>
      <c r="AW5" s="23" t="n"/>
      <c r="AX5" s="23" t="n"/>
      <c r="AY5" s="23" t="n"/>
      <c r="AZ5" s="23" t="n"/>
      <c r="BA5" s="23" t="n"/>
      <c r="BB5" s="23" t="n"/>
      <c r="BC5" s="24" t="inlineStr">
        <is>
          <t>TIPO</t>
        </is>
      </c>
      <c r="BD5" s="24" t="inlineStr">
        <is>
          <t>Nº PEDIDO</t>
        </is>
      </c>
      <c r="BE5" s="24" t="inlineStr">
        <is>
          <t>DATA DO LANÇAMENTO</t>
        </is>
      </c>
      <c r="BF5" s="24" t="inlineStr">
        <is>
          <t>TOTAL DO PEDIDO (R$)</t>
        </is>
      </c>
      <c r="BG5" t="inlineStr">
        <is>
          <t>SEQ AJUSTE</t>
        </is>
      </c>
    </row>
    <row r="6" ht="19.5" customHeight="1">
      <c r="A6" s="96" t="inlineStr">
        <is>
          <t>PENDENTE</t>
        </is>
      </c>
      <c r="B6" s="26" t="inlineStr">
        <is>
          <t>RIACHUELO</t>
        </is>
      </c>
      <c r="C6" s="27" t="n">
        <v>1</v>
      </c>
      <c r="D6" s="26" t="inlineStr">
        <is>
          <t>MATRIZ - BUTANTÃ</t>
        </is>
      </c>
      <c r="E6" s="26" t="inlineStr">
        <is>
          <t>SÃO PAULO</t>
        </is>
      </c>
      <c r="F6" s="27" t="inlineStr">
        <is>
          <t>SP</t>
        </is>
      </c>
      <c r="G6" s="107" t="n">
        <v>46082</v>
      </c>
      <c r="H6" s="108">
        <f>IF($B6="","",SUM($K6:$AG6)+SUM($AS6:$BB6))</f>
        <v/>
      </c>
      <c r="I6" s="108">
        <f>IF($B6="","",SUM($AH6:$AL6))</f>
        <v/>
      </c>
      <c r="J6" s="109">
        <f>IF($B6="","",SUMPRODUCT($K6:$BB6,$K$2:$BB$2))</f>
        <v/>
      </c>
      <c r="K6" s="110" t="n">
        <v>21</v>
      </c>
      <c r="L6" s="110" t="n"/>
      <c r="M6" s="110" t="n"/>
      <c r="N6" s="110" t="n">
        <v>10</v>
      </c>
      <c r="O6" s="110" t="n"/>
      <c r="P6" s="110" t="n"/>
      <c r="Q6" s="110" t="n"/>
      <c r="R6" s="110" t="n"/>
      <c r="S6" s="110" t="n"/>
      <c r="T6" s="110" t="n"/>
      <c r="U6" s="110" t="n"/>
      <c r="V6" s="110" t="n"/>
      <c r="W6" s="110" t="n"/>
      <c r="X6" s="110" t="n"/>
      <c r="Y6" s="110" t="n"/>
      <c r="Z6" s="110" t="n"/>
      <c r="AA6" s="110" t="n">
        <v>11</v>
      </c>
      <c r="AB6" s="110" t="n"/>
      <c r="AC6" s="110" t="n"/>
      <c r="AD6" s="110" t="n"/>
      <c r="AE6" s="110" t="n"/>
      <c r="AF6" s="110" t="n"/>
      <c r="AG6" s="110" t="n"/>
      <c r="AH6" s="110" t="n"/>
      <c r="AI6" s="110" t="n"/>
      <c r="AJ6" s="110" t="n"/>
      <c r="AK6" s="110" t="n"/>
      <c r="AL6" s="110" t="n"/>
      <c r="AM6" s="110" t="n"/>
      <c r="AN6" s="110" t="n"/>
      <c r="AO6" s="110" t="n"/>
      <c r="AP6" s="110" t="n"/>
      <c r="AQ6" s="110" t="n"/>
      <c r="AR6" s="110" t="n"/>
      <c r="AS6" s="110" t="n"/>
      <c r="AT6" s="110" t="n"/>
      <c r="AU6" s="110" t="n"/>
      <c r="AV6" s="110" t="n"/>
      <c r="AW6" s="110" t="n"/>
      <c r="AX6" s="110" t="n"/>
      <c r="AY6" s="110" t="n"/>
      <c r="AZ6" s="110" t="n"/>
      <c r="BA6" s="110" t="n"/>
      <c r="BB6" s="110" t="n"/>
      <c r="BC6" t="inlineStr">
        <is>
          <t>ORIGINAL</t>
        </is>
      </c>
      <c r="BD6" t="n">
        <v>1</v>
      </c>
      <c r="BF6" s="109">
        <f>IF($BD6="","",SUMIF($BD$6:$BD$2000,$BD6,$J$6:$J$2000))</f>
        <v/>
      </c>
    </row>
    <row r="7" ht="19.5" customHeight="1">
      <c r="A7" s="96" t="inlineStr">
        <is>
          <t>PENDENTE</t>
        </is>
      </c>
      <c r="B7" s="26" t="inlineStr">
        <is>
          <t>RIACHUELO</t>
        </is>
      </c>
      <c r="C7" s="27" t="n">
        <v>1</v>
      </c>
      <c r="D7" s="26" t="inlineStr">
        <is>
          <t>MATRIZ - BUTANTÃ</t>
        </is>
      </c>
      <c r="E7" s="26" t="inlineStr">
        <is>
          <t>SÃO PAULO</t>
        </is>
      </c>
      <c r="F7" s="27" t="inlineStr">
        <is>
          <t>SP</t>
        </is>
      </c>
      <c r="G7" s="107" t="n">
        <v>46082</v>
      </c>
      <c r="H7" s="108">
        <f>IF($B7="","",SUM($K7:$AG7)+SUM($AS7:$BB7))</f>
        <v/>
      </c>
      <c r="I7" s="108">
        <f>IF($B7="","",SUM($AH7:$AL7))</f>
        <v/>
      </c>
      <c r="J7" s="109">
        <f>IF($B7="","",SUMPRODUCT($K7:$BB7,$K$2:$BB$2))</f>
        <v/>
      </c>
      <c r="K7" s="110" t="n">
        <v>4</v>
      </c>
      <c r="L7" s="110" t="n"/>
      <c r="M7" s="110" t="n"/>
      <c r="N7" s="110" t="n"/>
      <c r="O7" s="110" t="n"/>
      <c r="P7" s="110" t="n"/>
      <c r="Q7" s="110" t="n"/>
      <c r="R7" s="110" t="n"/>
      <c r="S7" s="110" t="n"/>
      <c r="T7" s="110" t="n"/>
      <c r="U7" s="110" t="n"/>
      <c r="V7" s="110" t="n"/>
      <c r="W7" s="110" t="n"/>
      <c r="X7" s="110" t="n"/>
      <c r="Y7" s="110" t="n"/>
      <c r="Z7" s="110" t="n"/>
      <c r="AA7" s="110" t="n"/>
      <c r="AB7" s="110" t="n"/>
      <c r="AC7" s="110" t="n"/>
      <c r="AD7" s="110" t="n"/>
      <c r="AE7" s="110" t="n"/>
      <c r="AF7" s="110" t="n"/>
      <c r="AG7" s="110" t="n"/>
      <c r="AH7" s="110" t="n"/>
      <c r="AI7" s="110" t="n"/>
      <c r="AJ7" s="110" t="n"/>
      <c r="AK7" s="110" t="n"/>
      <c r="AL7" s="110" t="n"/>
      <c r="AM7" s="110" t="n"/>
      <c r="AN7" s="110" t="n"/>
      <c r="AO7" s="110" t="n"/>
      <c r="AP7" s="110" t="n"/>
      <c r="AQ7" s="110" t="n"/>
      <c r="AR7" s="110" t="n"/>
      <c r="AS7" s="110" t="n"/>
      <c r="AT7" s="110" t="n"/>
      <c r="AU7" s="110" t="n"/>
      <c r="AV7" s="110" t="n"/>
      <c r="AW7" s="110" t="n"/>
      <c r="AX7" s="110" t="n"/>
      <c r="AY7" s="110" t="n"/>
      <c r="AZ7" s="110" t="n"/>
      <c r="BA7" s="110" t="n"/>
      <c r="BB7" s="110" t="n"/>
      <c r="BC7" t="inlineStr">
        <is>
          <t>AJUSTE</t>
        </is>
      </c>
      <c r="BD7" t="n">
        <v>1</v>
      </c>
      <c r="BE7" s="111" t="n">
        <v>46308</v>
      </c>
      <c r="BF7" s="109">
        <f>IF($BD7="","",SUMIF($BD$6:$BD$2000,$BD7,$J$6:$J$2000))</f>
        <v/>
      </c>
      <c r="BG7" t="n">
        <v>2</v>
      </c>
    </row>
    <row r="8" ht="19.5" customHeight="1">
      <c r="A8" s="96" t="inlineStr">
        <is>
          <t>PENDENTE</t>
        </is>
      </c>
      <c r="B8" s="26" t="inlineStr">
        <is>
          <t>RIACHUELO</t>
        </is>
      </c>
      <c r="C8" s="27" t="n">
        <v>2</v>
      </c>
      <c r="D8" s="26" t="inlineStr">
        <is>
          <t>SÃO BERNARDO DO CAMPO CT</t>
        </is>
      </c>
      <c r="E8" s="26" t="inlineStr">
        <is>
          <t>SÃO BERNARDO DO CAMPO</t>
        </is>
      </c>
      <c r="F8" s="27" t="inlineStr">
        <is>
          <t>SP</t>
        </is>
      </c>
      <c r="G8" s="107" t="n">
        <v>46388</v>
      </c>
      <c r="H8" s="108">
        <f>IF($B8="","",SUM($K8:$AG8)+SUM($AS8:$BB8))</f>
        <v/>
      </c>
      <c r="I8" s="108">
        <f>IF($B8="","",SUM($AH8:$AL8))</f>
        <v/>
      </c>
      <c r="J8" s="109">
        <f>IF($B8="","",SUMPRODUCT($K8:$BB8,$K$2:$BB$2))</f>
        <v/>
      </c>
      <c r="K8" s="110" t="n">
        <v>13</v>
      </c>
      <c r="L8" s="110" t="n"/>
      <c r="M8" s="110" t="n"/>
      <c r="N8" s="110" t="n"/>
      <c r="O8" s="110" t="n"/>
      <c r="P8" s="110" t="n"/>
      <c r="Q8" s="110" t="n">
        <v>1</v>
      </c>
      <c r="R8" s="110" t="n"/>
      <c r="S8" s="110" t="n"/>
      <c r="T8" s="110" t="n"/>
      <c r="U8" s="110" t="n">
        <v>18</v>
      </c>
      <c r="V8" s="110" t="n"/>
      <c r="W8" s="110" t="n"/>
      <c r="X8" s="110" t="n"/>
      <c r="Y8" s="110" t="n"/>
      <c r="Z8" s="110" t="n"/>
      <c r="AA8" s="110" t="n">
        <v>4</v>
      </c>
      <c r="AB8" s="110" t="n"/>
      <c r="AC8" s="110" t="n"/>
      <c r="AD8" s="110" t="n"/>
      <c r="AE8" s="110" t="n"/>
      <c r="AF8" s="110" t="n"/>
      <c r="AG8" s="110" t="n"/>
      <c r="AH8" s="110" t="n">
        <v>12</v>
      </c>
      <c r="AI8" s="110" t="n"/>
      <c r="AJ8" s="110" t="n"/>
      <c r="AK8" s="110" t="n"/>
      <c r="AL8" s="110" t="n"/>
      <c r="AM8" s="110" t="n"/>
      <c r="AN8" s="110" t="n"/>
      <c r="AO8" s="110" t="n"/>
      <c r="AP8" s="110" t="n"/>
      <c r="AQ8" s="110" t="n"/>
      <c r="AR8" s="110" t="n"/>
      <c r="AS8" s="110" t="n"/>
      <c r="AT8" s="110" t="n"/>
      <c r="AU8" s="110" t="n"/>
      <c r="AV8" s="110" t="n"/>
      <c r="AW8" s="110" t="n"/>
      <c r="AX8" s="110" t="n"/>
      <c r="AY8" s="110" t="n"/>
      <c r="AZ8" s="110" t="n"/>
      <c r="BA8" s="110" t="n"/>
      <c r="BB8" s="110" t="n"/>
      <c r="BC8" t="inlineStr">
        <is>
          <t>ORIGINAL</t>
        </is>
      </c>
      <c r="BD8" t="n">
        <v>2</v>
      </c>
      <c r="BF8" s="109">
        <f>IF($BD8="","",SUMIF($BD$6:$BD$2000,$BD8,$J$6:$J$2000))</f>
        <v/>
      </c>
    </row>
    <row r="9" ht="19.5" customHeight="1">
      <c r="A9" s="96" t="inlineStr">
        <is>
          <t>PENDENTE</t>
        </is>
      </c>
      <c r="B9" s="26" t="inlineStr">
        <is>
          <t>RIACHUELO</t>
        </is>
      </c>
      <c r="C9" s="27" t="n">
        <v>2</v>
      </c>
      <c r="D9" s="26" t="inlineStr">
        <is>
          <t>SÃO BERNARDO DO CAMPO CT</t>
        </is>
      </c>
      <c r="E9" s="26" t="inlineStr">
        <is>
          <t>SÃO BERNARDO DO CAMPO</t>
        </is>
      </c>
      <c r="F9" s="27" t="inlineStr">
        <is>
          <t>SP</t>
        </is>
      </c>
      <c r="G9" s="107" t="n">
        <v>46388</v>
      </c>
      <c r="H9" s="108">
        <f>IF($B9="","",SUM($K9:$AG9)+SUM($AS9:$BB9))</f>
        <v/>
      </c>
      <c r="I9" s="108">
        <f>IF($B9="","",SUM($AH9:$AL9))</f>
        <v/>
      </c>
      <c r="J9" s="109">
        <f>IF($B9="","",SUMPRODUCT($K9:$BB9,$K$2:$BB$2))</f>
        <v/>
      </c>
      <c r="K9" s="110" t="n">
        <v>5</v>
      </c>
      <c r="L9" s="110" t="n"/>
      <c r="M9" s="110" t="n"/>
      <c r="N9" s="110" t="n"/>
      <c r="O9" s="110" t="n"/>
      <c r="P9" s="110" t="n"/>
      <c r="Q9" s="110" t="n"/>
      <c r="R9" s="110" t="n"/>
      <c r="S9" s="110" t="n"/>
      <c r="T9" s="110" t="n"/>
      <c r="U9" s="110" t="n"/>
      <c r="V9" s="110" t="n"/>
      <c r="W9" s="110" t="n"/>
      <c r="X9" s="110" t="n"/>
      <c r="Y9" s="110" t="n"/>
      <c r="Z9" s="110" t="n"/>
      <c r="AA9" s="110" t="n"/>
      <c r="AB9" s="110" t="n"/>
      <c r="AC9" s="110" t="n"/>
      <c r="AD9" s="110" t="n"/>
      <c r="AE9" s="110" t="n"/>
      <c r="AF9" s="110" t="n"/>
      <c r="AG9" s="110" t="n"/>
      <c r="AH9" s="110" t="n"/>
      <c r="AI9" s="110" t="n"/>
      <c r="AJ9" s="110" t="n"/>
      <c r="AK9" s="110" t="n"/>
      <c r="AL9" s="110" t="n"/>
      <c r="AM9" s="110" t="n"/>
      <c r="AN9" s="110" t="n"/>
      <c r="AO9" s="110" t="n"/>
      <c r="AP9" s="110" t="n"/>
      <c r="AQ9" s="110" t="n"/>
      <c r="AR9" s="110" t="n"/>
      <c r="AS9" s="110" t="n"/>
      <c r="AT9" s="110" t="n"/>
      <c r="AU9" s="110" t="n"/>
      <c r="AV9" s="110" t="n"/>
      <c r="AW9" s="110" t="n"/>
      <c r="AX9" s="110" t="n"/>
      <c r="AY9" s="110" t="n"/>
      <c r="AZ9" s="110" t="n"/>
      <c r="BA9" s="110" t="n"/>
      <c r="BB9" s="110" t="n"/>
      <c r="BC9" t="inlineStr">
        <is>
          <t>AJUSTE</t>
        </is>
      </c>
      <c r="BD9" t="n">
        <v>2</v>
      </c>
      <c r="BE9" s="111" t="n">
        <v>46308</v>
      </c>
      <c r="BF9" s="109">
        <f>IF($BD9="","",SUMIF($BD$6:$BD$2000,$BD9,$J$6:$J$2000))</f>
        <v/>
      </c>
      <c r="BG9" t="n">
        <v>1</v>
      </c>
    </row>
    <row r="10" ht="19.5" customHeight="1">
      <c r="A10" s="96" t="inlineStr">
        <is>
          <t>PENDENTE</t>
        </is>
      </c>
      <c r="B10" s="26" t="inlineStr">
        <is>
          <t>RIACHUELO</t>
        </is>
      </c>
      <c r="C10" s="27" t="n">
        <v>3</v>
      </c>
      <c r="D10" s="26" t="inlineStr">
        <is>
          <t>SERRAMAR PARQUE SHOPPING</t>
        </is>
      </c>
      <c r="E10" s="26" t="inlineStr">
        <is>
          <t>CARAGUATATUBA</t>
        </is>
      </c>
      <c r="F10" s="27" t="inlineStr">
        <is>
          <t>SP</t>
        </is>
      </c>
      <c r="G10" s="107" t="n">
        <v>46174</v>
      </c>
      <c r="H10" s="108">
        <f>IF($B10="","",SUM($K10:$AG10)+SUM($AS10:$BB10))</f>
        <v/>
      </c>
      <c r="I10" s="108">
        <f>IF($B10="","",SUM($AH10:$AL10))</f>
        <v/>
      </c>
      <c r="J10" s="109">
        <f>IF($B10="","",SUMPRODUCT($K10:$BB10,$K$2:$BB$2))</f>
        <v/>
      </c>
      <c r="K10" s="110" t="n"/>
      <c r="L10" s="110" t="n"/>
      <c r="M10" s="110" t="n"/>
      <c r="N10" s="110" t="n"/>
      <c r="O10" s="110" t="n"/>
      <c r="P10" s="110" t="n"/>
      <c r="Q10" s="110" t="n"/>
      <c r="R10" s="110" t="n"/>
      <c r="S10" s="110" t="n"/>
      <c r="T10" s="110" t="n"/>
      <c r="U10" s="110" t="n">
        <v>20</v>
      </c>
      <c r="V10" s="110" t="n"/>
      <c r="W10" s="110" t="n"/>
      <c r="X10" s="110" t="n"/>
      <c r="Y10" s="110" t="n"/>
      <c r="Z10" s="110" t="n"/>
      <c r="AA10" s="110" t="n">
        <v>2</v>
      </c>
      <c r="AB10" s="110" t="n"/>
      <c r="AC10" s="110" t="n"/>
      <c r="AD10" s="110" t="n"/>
      <c r="AE10" s="110" t="n"/>
      <c r="AF10" s="110" t="n"/>
      <c r="AG10" s="110" t="n"/>
      <c r="AH10" s="110" t="n">
        <v>14</v>
      </c>
      <c r="AI10" s="110" t="n"/>
      <c r="AJ10" s="110" t="n"/>
      <c r="AK10" s="110" t="n"/>
      <c r="AL10" s="110" t="n"/>
      <c r="AM10" s="110" t="n"/>
      <c r="AN10" s="110" t="n"/>
      <c r="AO10" s="110" t="n"/>
      <c r="AP10" s="110" t="n"/>
      <c r="AQ10" s="110" t="n"/>
      <c r="AR10" s="110" t="n"/>
      <c r="AS10" s="110" t="n"/>
      <c r="AT10" s="110" t="n"/>
      <c r="AU10" s="110" t="n"/>
      <c r="AV10" s="110" t="n"/>
      <c r="AW10" s="110" t="n"/>
      <c r="AX10" s="110" t="n"/>
      <c r="AY10" s="110" t="n"/>
      <c r="AZ10" s="110" t="n"/>
      <c r="BA10" s="110" t="n"/>
      <c r="BB10" s="110" t="n"/>
      <c r="BC10" t="inlineStr">
        <is>
          <t>ORIGINAL</t>
        </is>
      </c>
      <c r="BD10" t="n">
        <v>3</v>
      </c>
      <c r="BF10" s="109">
        <f>IF($BD10="","",SUMIF($BD$6:$BD$2000,$BD10,$J$6:$J$2000))</f>
        <v/>
      </c>
    </row>
    <row r="11" ht="19.5" customHeight="1">
      <c r="A11" s="96" t="inlineStr">
        <is>
          <t>PENDENTE</t>
        </is>
      </c>
      <c r="B11" s="26" t="inlineStr">
        <is>
          <t>RIACHUELO</t>
        </is>
      </c>
      <c r="C11" s="27" t="n">
        <v>4</v>
      </c>
      <c r="D11" s="26" t="inlineStr">
        <is>
          <t>SANTOS CT</t>
        </is>
      </c>
      <c r="E11" s="26" t="inlineStr">
        <is>
          <t>SANTOS</t>
        </is>
      </c>
      <c r="F11" s="27" t="inlineStr">
        <is>
          <t>SP</t>
        </is>
      </c>
      <c r="G11" s="107" t="n">
        <v>46266</v>
      </c>
      <c r="H11" s="108">
        <f>IF($B11="","",SUM($K11:$AG11)+SUM($AS11:$BB11))</f>
        <v/>
      </c>
      <c r="I11" s="108">
        <f>IF($B11="","",SUM($AH11:$AL11))</f>
        <v/>
      </c>
      <c r="J11" s="109">
        <f>IF($B11="","",SUMPRODUCT($K11:$BB11,$K$2:$BB$2))</f>
        <v/>
      </c>
      <c r="K11" s="110" t="n">
        <v>10</v>
      </c>
      <c r="L11" s="110" t="n"/>
      <c r="M11" s="110" t="n">
        <v>5</v>
      </c>
      <c r="N11" s="110" t="n">
        <v>3</v>
      </c>
      <c r="O11" s="110" t="n"/>
      <c r="P11" s="110" t="n">
        <v>1</v>
      </c>
      <c r="Q11" s="110" t="n"/>
      <c r="R11" s="110" t="n"/>
      <c r="S11" s="110" t="n"/>
      <c r="T11" s="110" t="n"/>
      <c r="U11" s="110" t="n"/>
      <c r="V11" s="110" t="n"/>
      <c r="W11" s="110" t="n"/>
      <c r="X11" s="110" t="n"/>
      <c r="Y11" s="110" t="n"/>
      <c r="Z11" s="110" t="n"/>
      <c r="AA11" s="110" t="n">
        <v>4</v>
      </c>
      <c r="AB11" s="110" t="n"/>
      <c r="AC11" s="110" t="n"/>
      <c r="AD11" s="110" t="n"/>
      <c r="AE11" s="110" t="n"/>
      <c r="AF11" s="110" t="n"/>
      <c r="AG11" s="110" t="n"/>
      <c r="AH11" s="110" t="n">
        <v>18</v>
      </c>
      <c r="AI11" s="110" t="n"/>
      <c r="AJ11" s="110" t="n"/>
      <c r="AK11" s="110" t="n"/>
      <c r="AL11" s="110" t="n"/>
      <c r="AM11" s="110" t="n"/>
      <c r="AN11" s="110" t="n"/>
      <c r="AO11" s="110" t="n"/>
      <c r="AP11" s="110" t="n"/>
      <c r="AQ11" s="110" t="n"/>
      <c r="AR11" s="110" t="n"/>
      <c r="AS11" s="110" t="n"/>
      <c r="AT11" s="110" t="n"/>
      <c r="AU11" s="110" t="n"/>
      <c r="AV11" s="110" t="n"/>
      <c r="AW11" s="110" t="n"/>
      <c r="AX11" s="110" t="n"/>
      <c r="AY11" s="110" t="n"/>
      <c r="AZ11" s="110" t="n"/>
      <c r="BA11" s="110" t="n"/>
      <c r="BB11" s="110" t="n"/>
      <c r="BC11" t="inlineStr">
        <is>
          <t>ORIGINAL</t>
        </is>
      </c>
      <c r="BD11" t="n">
        <v>4</v>
      </c>
      <c r="BF11" s="109">
        <f>IF($BD11="","",SUMIF($BD$6:$BD$2000,$BD11,$J$6:$J$2000))</f>
        <v/>
      </c>
    </row>
    <row r="12" ht="19.5" customHeight="1">
      <c r="A12" s="96" t="inlineStr">
        <is>
          <t>PENDENTE</t>
        </is>
      </c>
      <c r="B12" s="26" t="inlineStr">
        <is>
          <t>RIACHUELO</t>
        </is>
      </c>
      <c r="C12" s="27" t="n">
        <v>5</v>
      </c>
      <c r="D12" s="26" t="inlineStr">
        <is>
          <t>OSASCO PLAZA SH</t>
        </is>
      </c>
      <c r="E12" s="26" t="inlineStr">
        <is>
          <t>OSASCO</t>
        </is>
      </c>
      <c r="F12" s="27" t="inlineStr">
        <is>
          <t>SP</t>
        </is>
      </c>
      <c r="G12" s="107" t="n">
        <v>46296</v>
      </c>
      <c r="H12" s="108">
        <f>IF($B12="","",SUM($K12:$AG12)+SUM($AS12:$BB12))</f>
        <v/>
      </c>
      <c r="I12" s="108">
        <f>IF($B12="","",SUM($AH12:$AL12))</f>
        <v/>
      </c>
      <c r="J12" s="109">
        <f>IF($B12="","",SUMPRODUCT($K12:$BB12,$K$2:$BB$2))</f>
        <v/>
      </c>
      <c r="K12" s="110" t="n">
        <v>10</v>
      </c>
      <c r="L12" s="110" t="n"/>
      <c r="M12" s="110" t="n">
        <v>10</v>
      </c>
      <c r="N12" s="110" t="n"/>
      <c r="O12" s="110" t="n"/>
      <c r="P12" s="110" t="n"/>
      <c r="Q12" s="110" t="n"/>
      <c r="R12" s="110" t="n"/>
      <c r="S12" s="110" t="n"/>
      <c r="T12" s="110" t="n"/>
      <c r="U12" s="110" t="n"/>
      <c r="V12" s="110" t="n"/>
      <c r="W12" s="110" t="n"/>
      <c r="X12" s="110" t="n"/>
      <c r="Y12" s="110" t="n"/>
      <c r="Z12" s="110" t="n"/>
      <c r="AA12" s="110" t="n">
        <v>12</v>
      </c>
      <c r="AB12" s="110" t="n"/>
      <c r="AC12" s="110" t="n"/>
      <c r="AD12" s="110" t="n"/>
      <c r="AE12" s="110" t="n"/>
      <c r="AF12" s="110" t="n"/>
      <c r="AG12" s="110" t="n"/>
      <c r="AH12" s="110" t="n"/>
      <c r="AI12" s="110" t="n"/>
      <c r="AJ12" s="110" t="n">
        <v>36</v>
      </c>
      <c r="AK12" s="110" t="n"/>
      <c r="AL12" s="110" t="n"/>
      <c r="AM12" s="110" t="n"/>
      <c r="AN12" s="110" t="n"/>
      <c r="AO12" s="110" t="n"/>
      <c r="AP12" s="110" t="n"/>
      <c r="AQ12" s="110" t="n"/>
      <c r="AR12" s="110" t="n"/>
      <c r="AS12" s="110" t="n"/>
      <c r="AT12" s="110" t="n"/>
      <c r="AU12" s="110" t="n"/>
      <c r="AV12" s="110" t="n"/>
      <c r="AW12" s="110" t="n"/>
      <c r="AX12" s="110" t="n"/>
      <c r="AY12" s="110" t="n"/>
      <c r="AZ12" s="110" t="n"/>
      <c r="BA12" s="110" t="n"/>
      <c r="BB12" s="110" t="n"/>
      <c r="BC12" t="inlineStr">
        <is>
          <t>ORIGINAL</t>
        </is>
      </c>
      <c r="BD12" t="n">
        <v>5</v>
      </c>
      <c r="BF12" s="109">
        <f>IF($BD12="","",SUMIF($BD$6:$BD$2000,$BD12,$J$6:$J$2000))</f>
        <v/>
      </c>
    </row>
    <row r="13" ht="19.5" customHeight="1">
      <c r="A13" s="96" t="inlineStr">
        <is>
          <t>PENDENTE</t>
        </is>
      </c>
      <c r="B13" s="26" t="inlineStr">
        <is>
          <t>RIACHUELO</t>
        </is>
      </c>
      <c r="C13" s="27" t="n">
        <v>6</v>
      </c>
      <c r="D13" s="26" t="inlineStr">
        <is>
          <t>SHOPPING SP. MARKET</t>
        </is>
      </c>
      <c r="E13" s="26" t="inlineStr">
        <is>
          <t>SÃO PAULO</t>
        </is>
      </c>
      <c r="F13" s="27" t="inlineStr">
        <is>
          <t>SP</t>
        </is>
      </c>
      <c r="G13" s="107" t="n">
        <v>46388</v>
      </c>
      <c r="H13" s="108">
        <f>IF($B13="","",SUM($K13:$AG13)+SUM($AS13:$BB13))</f>
        <v/>
      </c>
      <c r="I13" s="108">
        <f>IF($B13="","",SUM($AH13:$AL13))</f>
        <v/>
      </c>
      <c r="J13" s="109">
        <f>IF($B13="","",SUMPRODUCT($K13:$BB13,$K$2:$BB$2))</f>
        <v/>
      </c>
      <c r="K13" s="110" t="n">
        <v>3</v>
      </c>
      <c r="L13" s="110" t="n"/>
      <c r="M13" s="110" t="n"/>
      <c r="N13" s="110" t="n"/>
      <c r="O13" s="110" t="n">
        <v>7</v>
      </c>
      <c r="P13" s="110" t="n"/>
      <c r="Q13" s="110" t="n">
        <v>1</v>
      </c>
      <c r="R13" s="110" t="n"/>
      <c r="S13" s="110" t="n"/>
      <c r="T13" s="110" t="n"/>
      <c r="U13" s="110" t="n"/>
      <c r="V13" s="110" t="n"/>
      <c r="W13" s="110" t="n"/>
      <c r="X13" s="110" t="n"/>
      <c r="Y13" s="110" t="n"/>
      <c r="Z13" s="110" t="n">
        <v>1</v>
      </c>
      <c r="AA13" s="110" t="n">
        <v>9</v>
      </c>
      <c r="AB13" s="110" t="n"/>
      <c r="AC13" s="110" t="n"/>
      <c r="AD13" s="110" t="n"/>
      <c r="AE13" s="110" t="n"/>
      <c r="AF13" s="110" t="n"/>
      <c r="AG13" s="110" t="n"/>
      <c r="AH13" s="110" t="n">
        <v>18</v>
      </c>
      <c r="AI13" s="110" t="n"/>
      <c r="AJ13" s="110" t="n"/>
      <c r="AK13" s="110" t="n"/>
      <c r="AL13" s="110" t="n"/>
      <c r="AM13" s="110" t="n"/>
      <c r="AN13" s="110" t="n"/>
      <c r="AO13" s="110" t="n"/>
      <c r="AP13" s="110" t="n"/>
      <c r="AQ13" s="110" t="n"/>
      <c r="AR13" s="110" t="n"/>
      <c r="AS13" s="110" t="n"/>
      <c r="AT13" s="110" t="n"/>
      <c r="AU13" s="110" t="n"/>
      <c r="AV13" s="110" t="n"/>
      <c r="AW13" s="110" t="n"/>
      <c r="AX13" s="110" t="n"/>
      <c r="AY13" s="110" t="n"/>
      <c r="AZ13" s="110" t="n"/>
      <c r="BA13" s="110" t="n"/>
      <c r="BB13" s="110" t="n"/>
      <c r="BC13" t="inlineStr">
        <is>
          <t>ORIGINAL</t>
        </is>
      </c>
      <c r="BD13" t="n">
        <v>6</v>
      </c>
      <c r="BF13" s="109">
        <f>IF($BD13="","",SUMIF($BD$6:$BD$2000,$BD13,$J$6:$J$2000))</f>
        <v/>
      </c>
    </row>
    <row r="14" ht="19.5" customHeight="1">
      <c r="A14" s="96" t="inlineStr">
        <is>
          <t>PENDENTE</t>
        </is>
      </c>
      <c r="B14" s="26" t="inlineStr">
        <is>
          <t>RIACHUELO</t>
        </is>
      </c>
      <c r="C14" s="27" t="n">
        <v>7</v>
      </c>
      <c r="D14" s="26" t="inlineStr">
        <is>
          <t>SHOPPING BRISAMAR</t>
        </is>
      </c>
      <c r="E14" s="26" t="inlineStr">
        <is>
          <t>SAO VICENTE</t>
        </is>
      </c>
      <c r="F14" s="27" t="inlineStr">
        <is>
          <t>SP</t>
        </is>
      </c>
      <c r="G14" s="107" t="n">
        <v>46266</v>
      </c>
      <c r="H14" s="108">
        <f>IF($B14="","",SUM($K14:$AG14)+SUM($AS14:$BB14))</f>
        <v/>
      </c>
      <c r="I14" s="108">
        <f>IF($B14="","",SUM($AH14:$AL14))</f>
        <v/>
      </c>
      <c r="J14" s="109">
        <f>IF($B14="","",SUMPRODUCT($K14:$BB14,$K$2:$BB$2))</f>
        <v/>
      </c>
      <c r="K14" s="110" t="n">
        <v>8</v>
      </c>
      <c r="L14" s="110" t="n"/>
      <c r="M14" s="110" t="n"/>
      <c r="N14" s="110" t="n">
        <v>2</v>
      </c>
      <c r="O14" s="110" t="n"/>
      <c r="P14" s="110" t="n"/>
      <c r="Q14" s="110" t="n"/>
      <c r="R14" s="110" t="n"/>
      <c r="S14" s="110" t="n"/>
      <c r="T14" s="110" t="n"/>
      <c r="U14" s="110" t="n"/>
      <c r="V14" s="110" t="n"/>
      <c r="W14" s="110" t="n"/>
      <c r="X14" s="110" t="n"/>
      <c r="Y14" s="110" t="n"/>
      <c r="Z14" s="110" t="n"/>
      <c r="AA14" s="110" t="n">
        <v>12</v>
      </c>
      <c r="AB14" s="110" t="n"/>
      <c r="AC14" s="110" t="n"/>
      <c r="AD14" s="110" t="n"/>
      <c r="AE14" s="110" t="n"/>
      <c r="AF14" s="110" t="n"/>
      <c r="AG14" s="110" t="n"/>
      <c r="AH14" s="110" t="n">
        <v>8</v>
      </c>
      <c r="AI14" s="110" t="n"/>
      <c r="AJ14" s="110" t="n"/>
      <c r="AK14" s="110" t="n"/>
      <c r="AL14" s="110" t="n"/>
      <c r="AM14" s="110" t="n"/>
      <c r="AN14" s="110" t="n"/>
      <c r="AO14" s="110" t="n"/>
      <c r="AP14" s="110" t="n"/>
      <c r="AQ14" s="110" t="n"/>
      <c r="AR14" s="110" t="n"/>
      <c r="AS14" s="110" t="n"/>
      <c r="AT14" s="110" t="n"/>
      <c r="AU14" s="110" t="n"/>
      <c r="AV14" s="110" t="n"/>
      <c r="AW14" s="110" t="n"/>
      <c r="AX14" s="110" t="n"/>
      <c r="AY14" s="110" t="n"/>
      <c r="AZ14" s="110" t="n"/>
      <c r="BA14" s="110" t="n"/>
      <c r="BB14" s="110" t="n"/>
      <c r="BC14" t="inlineStr">
        <is>
          <t>ORIGINAL</t>
        </is>
      </c>
      <c r="BD14" t="n">
        <v>7</v>
      </c>
      <c r="BF14" s="109">
        <f>IF($BD14="","",SUMIF($BD$6:$BD$2000,$BD14,$J$6:$J$2000))</f>
        <v/>
      </c>
    </row>
    <row r="15" ht="19.5" customHeight="1">
      <c r="A15" s="96" t="inlineStr">
        <is>
          <t>PENDENTE</t>
        </is>
      </c>
      <c r="B15" s="26" t="inlineStr">
        <is>
          <t>RIACHUELO</t>
        </is>
      </c>
      <c r="C15" s="27" t="n">
        <v>8</v>
      </c>
      <c r="D15" s="26" t="inlineStr">
        <is>
          <t>SHOPPING UNIÃO DE OSASCO</t>
        </is>
      </c>
      <c r="E15" s="26" t="inlineStr">
        <is>
          <t>OSASCO</t>
        </is>
      </c>
      <c r="F15" s="27" t="inlineStr">
        <is>
          <t>SP</t>
        </is>
      </c>
      <c r="G15" s="107" t="n">
        <v>46388</v>
      </c>
      <c r="H15" s="108">
        <f>IF($B15="","",SUM($K15:$AG15)+SUM($AS15:$BB15))</f>
        <v/>
      </c>
      <c r="I15" s="108">
        <f>IF($B15="","",SUM($AH15:$AL15))</f>
        <v/>
      </c>
      <c r="J15" s="109">
        <f>IF($B15="","",SUMPRODUCT($K15:$BB15,$K$2:$BB$2))</f>
        <v/>
      </c>
      <c r="K15" s="110" t="n">
        <v>6</v>
      </c>
      <c r="L15" s="110" t="n"/>
      <c r="M15" s="110" t="n"/>
      <c r="N15" s="110" t="n">
        <v>5</v>
      </c>
      <c r="O15" s="110" t="n"/>
      <c r="P15" s="110" t="n"/>
      <c r="Q15" s="110" t="n"/>
      <c r="R15" s="110" t="n"/>
      <c r="S15" s="110" t="n"/>
      <c r="T15" s="110" t="n"/>
      <c r="U15" s="110" t="n"/>
      <c r="V15" s="110" t="n"/>
      <c r="W15" s="110" t="n"/>
      <c r="X15" s="110" t="n"/>
      <c r="Y15" s="110" t="n"/>
      <c r="Z15" s="110" t="n"/>
      <c r="AA15" s="110" t="n">
        <v>7</v>
      </c>
      <c r="AB15" s="110" t="n"/>
      <c r="AC15" s="110" t="n"/>
      <c r="AD15" s="110" t="n"/>
      <c r="AE15" s="110" t="n"/>
      <c r="AF15" s="110" t="n"/>
      <c r="AG15" s="110" t="n"/>
      <c r="AH15" s="110" t="n">
        <v>16</v>
      </c>
      <c r="AI15" s="110" t="n"/>
      <c r="AJ15" s="110" t="n"/>
      <c r="AK15" s="110" t="n"/>
      <c r="AL15" s="110" t="n"/>
      <c r="AM15" s="110" t="n"/>
      <c r="AN15" s="110" t="n"/>
      <c r="AO15" s="110" t="n"/>
      <c r="AP15" s="110" t="n"/>
      <c r="AQ15" s="110" t="n"/>
      <c r="AR15" s="110" t="n"/>
      <c r="AS15" s="110" t="n"/>
      <c r="AT15" s="110" t="n"/>
      <c r="AU15" s="110" t="n"/>
      <c r="AV15" s="110" t="n"/>
      <c r="AW15" s="110" t="n"/>
      <c r="AX15" s="110" t="n"/>
      <c r="AY15" s="110" t="n"/>
      <c r="AZ15" s="110" t="n"/>
      <c r="BA15" s="110" t="n"/>
      <c r="BB15" s="110" t="n"/>
      <c r="BC15" t="inlineStr">
        <is>
          <t>ORIGINAL</t>
        </is>
      </c>
      <c r="BD15" t="n">
        <v>8</v>
      </c>
      <c r="BF15" s="109">
        <f>IF($BD15="","",SUMIF($BD$6:$BD$2000,$BD15,$J$6:$J$2000))</f>
        <v/>
      </c>
    </row>
    <row r="16" ht="19.5" customHeight="1">
      <c r="A16" s="96" t="inlineStr">
        <is>
          <t>PENDENTE</t>
        </is>
      </c>
      <c r="B16" s="26" t="inlineStr">
        <is>
          <t>RIACHUELO</t>
        </is>
      </c>
      <c r="C16" s="27" t="n">
        <v>9</v>
      </c>
      <c r="D16" s="26" t="inlineStr">
        <is>
          <t>MOOCA PLAZA SHOPPING</t>
        </is>
      </c>
      <c r="E16" s="26" t="inlineStr">
        <is>
          <t>SÃO PAULO</t>
        </is>
      </c>
      <c r="F16" s="27" t="inlineStr">
        <is>
          <t>SP</t>
        </is>
      </c>
      <c r="G16" s="107" t="n">
        <v>46054</v>
      </c>
      <c r="H16" s="108">
        <f>IF($B16="","",SUM($K16:$AG16)+SUM($AS16:$BB16))</f>
        <v/>
      </c>
      <c r="I16" s="108">
        <f>IF($B16="","",SUM($AH16:$AL16))</f>
        <v/>
      </c>
      <c r="J16" s="109">
        <f>IF($B16="","",SUMPRODUCT($K16:$BB16,$K$2:$BB$2))</f>
        <v/>
      </c>
      <c r="K16" s="110" t="n">
        <v>9</v>
      </c>
      <c r="L16" s="110" t="n"/>
      <c r="M16" s="110" t="n"/>
      <c r="N16" s="110" t="n">
        <v>9</v>
      </c>
      <c r="O16" s="110" t="n"/>
      <c r="P16" s="110" t="n"/>
      <c r="Q16" s="110" t="n"/>
      <c r="R16" s="110" t="n"/>
      <c r="S16" s="110" t="n"/>
      <c r="T16" s="110" t="n"/>
      <c r="U16" s="110" t="n"/>
      <c r="V16" s="110" t="n"/>
      <c r="W16" s="110" t="n"/>
      <c r="X16" s="110" t="n"/>
      <c r="Y16" s="110" t="n"/>
      <c r="Z16" s="110" t="n"/>
      <c r="AA16" s="110" t="n">
        <v>9</v>
      </c>
      <c r="AB16" s="110" t="n"/>
      <c r="AC16" s="110" t="n"/>
      <c r="AD16" s="110" t="n"/>
      <c r="AE16" s="110" t="n"/>
      <c r="AF16" s="110" t="n"/>
      <c r="AG16" s="110" t="n"/>
      <c r="AH16" s="110" t="n">
        <v>20</v>
      </c>
      <c r="AI16" s="110" t="n"/>
      <c r="AJ16" s="110" t="n"/>
      <c r="AK16" s="110" t="n"/>
      <c r="AL16" s="110" t="n"/>
      <c r="AM16" s="110" t="n"/>
      <c r="AN16" s="110" t="n"/>
      <c r="AO16" s="110" t="n"/>
      <c r="AP16" s="110" t="n"/>
      <c r="AQ16" s="110" t="n"/>
      <c r="AR16" s="110" t="n"/>
      <c r="AS16" s="110" t="n"/>
      <c r="AT16" s="110" t="n"/>
      <c r="AU16" s="110" t="n"/>
      <c r="AV16" s="110" t="n"/>
      <c r="AW16" s="110" t="n"/>
      <c r="AX16" s="110" t="n"/>
      <c r="AY16" s="110" t="n"/>
      <c r="AZ16" s="110" t="n"/>
      <c r="BA16" s="110" t="n"/>
      <c r="BB16" s="110" t="n"/>
      <c r="BC16" t="inlineStr">
        <is>
          <t>ORIGINAL</t>
        </is>
      </c>
      <c r="BD16" t="n">
        <v>9</v>
      </c>
      <c r="BF16" s="109">
        <f>IF($BD16="","",SUMIF($BD$6:$BD$2000,$BD16,$J$6:$J$2000))</f>
        <v/>
      </c>
    </row>
    <row r="17" ht="19.5" customHeight="1">
      <c r="A17" s="96" t="inlineStr">
        <is>
          <t>PENDENTE</t>
        </is>
      </c>
      <c r="B17" s="26" t="inlineStr">
        <is>
          <t>RIACHUELO</t>
        </is>
      </c>
      <c r="C17" s="27" t="n">
        <v>10</v>
      </c>
      <c r="D17" s="26" t="inlineStr">
        <is>
          <t>GUARATINGUETÁ CT</t>
        </is>
      </c>
      <c r="E17" s="26" t="inlineStr">
        <is>
          <t>GUARATINGUETA</t>
        </is>
      </c>
      <c r="F17" s="27" t="inlineStr">
        <is>
          <t>SP</t>
        </is>
      </c>
      <c r="G17" s="107" t="n">
        <v>46143</v>
      </c>
      <c r="H17" s="108">
        <f>IF($B17="","",SUM($K17:$AG17)+SUM($AS17:$BB17))</f>
        <v/>
      </c>
      <c r="I17" s="108">
        <f>IF($B17="","",SUM($AH17:$AL17))</f>
        <v/>
      </c>
      <c r="J17" s="109">
        <f>IF($B17="","",SUMPRODUCT($K17:$BB17,$K$2:$BB$2))</f>
        <v/>
      </c>
      <c r="K17" s="110" t="n">
        <v>11</v>
      </c>
      <c r="L17" s="110" t="n"/>
      <c r="M17" s="110" t="n"/>
      <c r="N17" s="110" t="n">
        <v>8</v>
      </c>
      <c r="O17" s="110" t="n"/>
      <c r="P17" s="110" t="n"/>
      <c r="Q17" s="110" t="n"/>
      <c r="R17" s="110" t="n"/>
      <c r="S17" s="110" t="n"/>
      <c r="T17" s="110" t="n"/>
      <c r="U17" s="110" t="n"/>
      <c r="V17" s="110" t="n"/>
      <c r="W17" s="110" t="n"/>
      <c r="X17" s="110" t="n"/>
      <c r="Y17" s="110" t="n"/>
      <c r="Z17" s="110" t="n"/>
      <c r="AA17" s="110" t="n">
        <v>6</v>
      </c>
      <c r="AB17" s="110" t="n"/>
      <c r="AC17" s="110" t="n"/>
      <c r="AD17" s="110" t="n"/>
      <c r="AE17" s="110" t="n"/>
      <c r="AF17" s="110" t="n"/>
      <c r="AG17" s="110" t="n"/>
      <c r="AH17" s="110" t="n">
        <v>16</v>
      </c>
      <c r="AI17" s="110" t="n"/>
      <c r="AJ17" s="110" t="n"/>
      <c r="AK17" s="110" t="n"/>
      <c r="AL17" s="110" t="n"/>
      <c r="AM17" s="110" t="n"/>
      <c r="AN17" s="110" t="n"/>
      <c r="AO17" s="110" t="n"/>
      <c r="AP17" s="110" t="n"/>
      <c r="AQ17" s="110" t="n"/>
      <c r="AR17" s="110" t="n"/>
      <c r="AS17" s="110" t="n"/>
      <c r="AT17" s="110" t="n"/>
      <c r="AU17" s="110" t="n"/>
      <c r="AV17" s="110" t="n"/>
      <c r="AW17" s="110" t="n"/>
      <c r="AX17" s="110" t="n"/>
      <c r="AY17" s="110" t="n"/>
      <c r="AZ17" s="110" t="n"/>
      <c r="BA17" s="110" t="n"/>
      <c r="BB17" s="110" t="n"/>
      <c r="BC17" t="inlineStr">
        <is>
          <t>ORIGINAL</t>
        </is>
      </c>
      <c r="BD17" t="n">
        <v>10</v>
      </c>
      <c r="BF17" s="109">
        <f>IF($BD17="","",SUMIF($BD$6:$BD$2000,$BD17,$J$6:$J$2000))</f>
        <v/>
      </c>
    </row>
    <row r="18" ht="19.5" customHeight="1">
      <c r="A18" s="96" t="inlineStr">
        <is>
          <t>PENDENTE</t>
        </is>
      </c>
      <c r="B18" s="26" t="inlineStr">
        <is>
          <t>RIACHUELO</t>
        </is>
      </c>
      <c r="C18" s="27" t="n">
        <v>11</v>
      </c>
      <c r="D18" s="26" t="inlineStr">
        <is>
          <t>JACAREÍ CT</t>
        </is>
      </c>
      <c r="E18" s="26" t="inlineStr">
        <is>
          <t>JACAREI</t>
        </is>
      </c>
      <c r="F18" s="27" t="inlineStr">
        <is>
          <t>SP</t>
        </is>
      </c>
      <c r="G18" s="107" t="n">
        <v>46266</v>
      </c>
      <c r="H18" s="108">
        <f>IF($B18="","",SUM($K18:$AG18)+SUM($AS18:$BB18))</f>
        <v/>
      </c>
      <c r="I18" s="108">
        <f>IF($B18="","",SUM($AH18:$AL18))</f>
        <v/>
      </c>
      <c r="J18" s="109">
        <f>IF($B18="","",SUMPRODUCT($K18:$BB18,$K$2:$BB$2))</f>
        <v/>
      </c>
      <c r="K18" s="110" t="n">
        <v>17</v>
      </c>
      <c r="L18" s="110" t="n"/>
      <c r="M18" s="110" t="n">
        <v>14</v>
      </c>
      <c r="N18" s="110" t="n">
        <v>1</v>
      </c>
      <c r="O18" s="110" t="n"/>
      <c r="P18" s="110" t="n"/>
      <c r="Q18" s="110" t="n"/>
      <c r="R18" s="110" t="n"/>
      <c r="S18" s="110" t="n"/>
      <c r="T18" s="110" t="n"/>
      <c r="U18" s="110" t="n"/>
      <c r="V18" s="110" t="n"/>
      <c r="W18" s="110" t="n"/>
      <c r="X18" s="110" t="n"/>
      <c r="Y18" s="110" t="n"/>
      <c r="Z18" s="110" t="n"/>
      <c r="AA18" s="110" t="n">
        <v>7</v>
      </c>
      <c r="AB18" s="110" t="n"/>
      <c r="AC18" s="110" t="n"/>
      <c r="AD18" s="110" t="n"/>
      <c r="AE18" s="110" t="n"/>
      <c r="AF18" s="110" t="n"/>
      <c r="AG18" s="110" t="n"/>
      <c r="AH18" s="110" t="n">
        <v>12</v>
      </c>
      <c r="AI18" s="110" t="n"/>
      <c r="AJ18" s="110" t="n"/>
      <c r="AK18" s="110" t="n"/>
      <c r="AL18" s="110" t="n"/>
      <c r="AM18" s="110" t="n"/>
      <c r="AN18" s="110" t="n"/>
      <c r="AO18" s="110" t="n"/>
      <c r="AP18" s="110" t="n"/>
      <c r="AQ18" s="110" t="n"/>
      <c r="AR18" s="110" t="n"/>
      <c r="AS18" s="110" t="n"/>
      <c r="AT18" s="110" t="n"/>
      <c r="AU18" s="110" t="n"/>
      <c r="AV18" s="110" t="n"/>
      <c r="AW18" s="110" t="n"/>
      <c r="AX18" s="110" t="n"/>
      <c r="AY18" s="110" t="n"/>
      <c r="AZ18" s="110" t="n"/>
      <c r="BA18" s="110" t="n"/>
      <c r="BB18" s="110" t="n"/>
      <c r="BC18" t="inlineStr">
        <is>
          <t>ORIGINAL</t>
        </is>
      </c>
      <c r="BD18" t="n">
        <v>11</v>
      </c>
      <c r="BF18" s="109">
        <f>IF($BD18="","",SUMIF($BD$6:$BD$2000,$BD18,$J$6:$J$2000))</f>
        <v/>
      </c>
    </row>
    <row r="19" ht="19.5" customHeight="1">
      <c r="A19" s="96" t="inlineStr">
        <is>
          <t>PENDENTE</t>
        </is>
      </c>
      <c r="B19" s="26" t="inlineStr">
        <is>
          <t>RIACHUELO</t>
        </is>
      </c>
      <c r="C19" s="27" t="n">
        <v>12</v>
      </c>
      <c r="D19" s="26" t="inlineStr">
        <is>
          <t>GUARULHOS CT</t>
        </is>
      </c>
      <c r="E19" s="26" t="inlineStr">
        <is>
          <t>GUARULHOS</t>
        </is>
      </c>
      <c r="F19" s="27" t="inlineStr">
        <is>
          <t>SP</t>
        </is>
      </c>
      <c r="G19" s="107" t="n">
        <v>46174</v>
      </c>
      <c r="H19" s="108">
        <f>IF($B19="","",SUM($K19:$AG19)+SUM($AS19:$BB19))</f>
        <v/>
      </c>
      <c r="I19" s="108">
        <f>IF($B19="","",SUM($AH19:$AL19))</f>
        <v/>
      </c>
      <c r="J19" s="109">
        <f>IF($B19="","",SUMPRODUCT($K19:$BB19,$K$2:$BB$2))</f>
        <v/>
      </c>
      <c r="K19" s="110" t="n">
        <v>10</v>
      </c>
      <c r="L19" s="110" t="n"/>
      <c r="M19" s="110" t="n">
        <v>11</v>
      </c>
      <c r="N19" s="110" t="n"/>
      <c r="O19" s="110" t="n"/>
      <c r="P19" s="110" t="n"/>
      <c r="Q19" s="110" t="n"/>
      <c r="R19" s="110" t="n"/>
      <c r="S19" s="110" t="n"/>
      <c r="T19" s="110" t="n"/>
      <c r="U19" s="110" t="n"/>
      <c r="V19" s="110" t="n"/>
      <c r="W19" s="110" t="n"/>
      <c r="X19" s="110" t="n"/>
      <c r="Y19" s="110" t="n"/>
      <c r="Z19" s="110" t="n"/>
      <c r="AA19" s="110" t="n">
        <v>10</v>
      </c>
      <c r="AB19" s="110" t="n"/>
      <c r="AC19" s="110" t="n"/>
      <c r="AD19" s="110" t="n"/>
      <c r="AE19" s="110" t="n"/>
      <c r="AF19" s="110" t="n"/>
      <c r="AG19" s="110" t="n"/>
      <c r="AH19" s="110" t="n">
        <v>16</v>
      </c>
      <c r="AI19" s="110" t="n"/>
      <c r="AJ19" s="110" t="n"/>
      <c r="AK19" s="110" t="n"/>
      <c r="AL19" s="110" t="n"/>
      <c r="AM19" s="110" t="n"/>
      <c r="AN19" s="110" t="n"/>
      <c r="AO19" s="110" t="n"/>
      <c r="AP19" s="110" t="n"/>
      <c r="AQ19" s="110" t="n"/>
      <c r="AR19" s="110" t="n"/>
      <c r="AS19" s="110" t="n"/>
      <c r="AT19" s="110" t="n"/>
      <c r="AU19" s="110" t="n"/>
      <c r="AV19" s="110" t="n"/>
      <c r="AW19" s="110" t="n"/>
      <c r="AX19" s="110" t="n"/>
      <c r="AY19" s="110" t="n"/>
      <c r="AZ19" s="110" t="n"/>
      <c r="BA19" s="110" t="n"/>
      <c r="BB19" s="110" t="n"/>
      <c r="BC19" t="inlineStr">
        <is>
          <t>ORIGINAL</t>
        </is>
      </c>
      <c r="BD19" t="n">
        <v>12</v>
      </c>
      <c r="BF19" s="109">
        <f>IF($BD19="","",SUMIF($BD$6:$BD$2000,$BD19,$J$6:$J$2000))</f>
        <v/>
      </c>
    </row>
    <row r="20" ht="19.5" customHeight="1">
      <c r="A20" s="96" t="inlineStr">
        <is>
          <t>PENDENTE</t>
        </is>
      </c>
      <c r="B20" s="26" t="inlineStr">
        <is>
          <t>RIACHUELO</t>
        </is>
      </c>
      <c r="C20" s="27" t="n">
        <v>13</v>
      </c>
      <c r="D20" s="26" t="inlineStr">
        <is>
          <t>BARUERI PARQUE SH</t>
        </is>
      </c>
      <c r="E20" s="26" t="inlineStr">
        <is>
          <t>BARUERI</t>
        </is>
      </c>
      <c r="F20" s="27" t="inlineStr">
        <is>
          <t>SP</t>
        </is>
      </c>
      <c r="G20" s="107" t="n">
        <v>46388</v>
      </c>
      <c r="H20" s="108">
        <f>IF($B20="","",SUM($K20:$AG20)+SUM($AS20:$BB20))</f>
        <v/>
      </c>
      <c r="I20" s="108">
        <f>IF($B20="","",SUM($AH20:$AL20))</f>
        <v/>
      </c>
      <c r="J20" s="109">
        <f>IF($B20="","",SUMPRODUCT($K20:$BB20,$K$2:$BB$2))</f>
        <v/>
      </c>
      <c r="K20" s="110" t="n">
        <v>11</v>
      </c>
      <c r="L20" s="110" t="n"/>
      <c r="M20" s="110" t="n"/>
      <c r="N20" s="110" t="n">
        <v>5</v>
      </c>
      <c r="O20" s="110" t="n"/>
      <c r="P20" s="110" t="n"/>
      <c r="Q20" s="110" t="n"/>
      <c r="R20" s="110" t="n"/>
      <c r="S20" s="110" t="n"/>
      <c r="T20" s="110" t="n"/>
      <c r="U20" s="110" t="n"/>
      <c r="V20" s="110" t="n"/>
      <c r="W20" s="110" t="n"/>
      <c r="X20" s="110" t="n"/>
      <c r="Y20" s="110" t="n"/>
      <c r="Z20" s="110" t="n"/>
      <c r="AA20" s="110" t="n">
        <v>7</v>
      </c>
      <c r="AB20" s="110" t="n"/>
      <c r="AC20" s="110" t="n"/>
      <c r="AD20" s="110" t="n"/>
      <c r="AE20" s="110" t="n"/>
      <c r="AF20" s="110" t="n"/>
      <c r="AG20" s="110" t="n"/>
      <c r="AH20" s="110" t="n">
        <v>18</v>
      </c>
      <c r="AI20" s="110" t="n"/>
      <c r="AJ20" s="110" t="n"/>
      <c r="AK20" s="110" t="n"/>
      <c r="AL20" s="110" t="n"/>
      <c r="AM20" s="110" t="n"/>
      <c r="AN20" s="110" t="n"/>
      <c r="AO20" s="110" t="n"/>
      <c r="AP20" s="110" t="n"/>
      <c r="AQ20" s="110" t="n"/>
      <c r="AR20" s="110" t="n"/>
      <c r="AS20" s="110" t="n"/>
      <c r="AT20" s="110" t="n"/>
      <c r="AU20" s="110" t="n"/>
      <c r="AV20" s="110" t="n"/>
      <c r="AW20" s="110" t="n"/>
      <c r="AX20" s="110" t="n"/>
      <c r="AY20" s="110" t="n"/>
      <c r="AZ20" s="110" t="n"/>
      <c r="BA20" s="110" t="n"/>
      <c r="BB20" s="110" t="n"/>
      <c r="BC20" t="inlineStr">
        <is>
          <t>ORIGINAL</t>
        </is>
      </c>
      <c r="BD20" t="n">
        <v>13</v>
      </c>
      <c r="BF20" s="109">
        <f>IF($BD20="","",SUMIF($BD$6:$BD$2000,$BD20,$J$6:$J$2000))</f>
        <v/>
      </c>
    </row>
    <row r="21" ht="19.5" customHeight="1">
      <c r="A21" s="96" t="inlineStr">
        <is>
          <t>PENDENTE</t>
        </is>
      </c>
      <c r="B21" s="26" t="inlineStr">
        <is>
          <t>RIACHUELO</t>
        </is>
      </c>
      <c r="C21" s="27" t="n">
        <v>14</v>
      </c>
      <c r="D21" s="26" t="inlineStr">
        <is>
          <t>PARK SHOPPING SÃO CAETANO</t>
        </is>
      </c>
      <c r="E21" s="26" t="inlineStr">
        <is>
          <t>SAO CAETANO DO SUL</t>
        </is>
      </c>
      <c r="F21" s="27" t="inlineStr">
        <is>
          <t>SP</t>
        </is>
      </c>
      <c r="G21" s="107" t="n">
        <v>46174</v>
      </c>
      <c r="H21" s="108">
        <f>IF($B21="","",SUM($K21:$AG21)+SUM($AS21:$BB21))</f>
        <v/>
      </c>
      <c r="I21" s="108">
        <f>IF($B21="","",SUM($AH21:$AL21))</f>
        <v/>
      </c>
      <c r="J21" s="109">
        <f>IF($B21="","",SUMPRODUCT($K21:$BB21,$K$2:$BB$2))</f>
        <v/>
      </c>
      <c r="K21" s="110" t="n">
        <v>11</v>
      </c>
      <c r="L21" s="110" t="n"/>
      <c r="M21" s="110" t="n">
        <v>1</v>
      </c>
      <c r="N21" s="110" t="n">
        <v>5</v>
      </c>
      <c r="O21" s="110" t="n"/>
      <c r="P21" s="110" t="n"/>
      <c r="Q21" s="110" t="n"/>
      <c r="R21" s="110" t="n"/>
      <c r="S21" s="110" t="n"/>
      <c r="T21" s="110" t="n"/>
      <c r="U21" s="110" t="n">
        <v>1</v>
      </c>
      <c r="V21" s="110" t="n"/>
      <c r="W21" s="110" t="n">
        <v>1</v>
      </c>
      <c r="X21" s="110" t="n"/>
      <c r="Y21" s="110" t="n"/>
      <c r="Z21" s="110" t="n"/>
      <c r="AA21" s="110" t="n">
        <v>4</v>
      </c>
      <c r="AB21" s="110" t="n"/>
      <c r="AC21" s="110" t="n"/>
      <c r="AD21" s="110" t="n"/>
      <c r="AE21" s="110" t="n"/>
      <c r="AF21" s="110" t="n"/>
      <c r="AG21" s="110" t="n"/>
      <c r="AH21" s="110" t="n"/>
      <c r="AI21" s="110" t="n"/>
      <c r="AJ21" s="110" t="n">
        <v>40</v>
      </c>
      <c r="AK21" s="110" t="n"/>
      <c r="AL21" s="110" t="n"/>
      <c r="AM21" s="110" t="n"/>
      <c r="AN21" s="110" t="n"/>
      <c r="AO21" s="110" t="n"/>
      <c r="AP21" s="110" t="n"/>
      <c r="AQ21" s="110" t="n"/>
      <c r="AR21" s="110" t="n"/>
      <c r="AS21" s="110" t="n"/>
      <c r="AT21" s="110" t="n"/>
      <c r="AU21" s="110" t="n"/>
      <c r="AV21" s="110" t="n"/>
      <c r="AW21" s="110" t="n"/>
      <c r="AX21" s="110" t="n"/>
      <c r="AY21" s="110" t="n"/>
      <c r="AZ21" s="110" t="n"/>
      <c r="BA21" s="110" t="n"/>
      <c r="BB21" s="110" t="n"/>
      <c r="BC21" t="inlineStr">
        <is>
          <t>ORIGINAL</t>
        </is>
      </c>
      <c r="BD21" t="n">
        <v>14</v>
      </c>
      <c r="BF21" s="109">
        <f>IF($BD21="","",SUMIF($BD$6:$BD$2000,$BD21,$J$6:$J$2000))</f>
        <v/>
      </c>
    </row>
    <row r="22" ht="19.5" customHeight="1">
      <c r="A22" s="96" t="inlineStr">
        <is>
          <t>PENDENTE</t>
        </is>
      </c>
      <c r="B22" s="26" t="inlineStr">
        <is>
          <t>RIACHUELO</t>
        </is>
      </c>
      <c r="C22" s="27" t="n">
        <v>15</v>
      </c>
      <c r="D22" s="26" t="inlineStr">
        <is>
          <t>JUNDIAÍ CT</t>
        </is>
      </c>
      <c r="E22" s="26" t="inlineStr">
        <is>
          <t>JUNDIAÍ</t>
        </is>
      </c>
      <c r="F22" s="27" t="inlineStr">
        <is>
          <t>SP</t>
        </is>
      </c>
      <c r="G22" s="107" t="n">
        <v>46054</v>
      </c>
      <c r="H22" s="108">
        <f>IF($B22="","",SUM($K22:$AG22)+SUM($AS22:$BB22))</f>
        <v/>
      </c>
      <c r="I22" s="108">
        <f>IF($B22="","",SUM($AH22:$AL22))</f>
        <v/>
      </c>
      <c r="J22" s="109">
        <f>IF($B22="","",SUMPRODUCT($K22:$BB22,$K$2:$BB$2))</f>
        <v/>
      </c>
      <c r="K22" s="110" t="n">
        <v>13</v>
      </c>
      <c r="L22" s="110" t="n"/>
      <c r="M22" s="110" t="n"/>
      <c r="N22" s="110" t="n">
        <v>11</v>
      </c>
      <c r="O22" s="110" t="n"/>
      <c r="P22" s="110" t="n"/>
      <c r="Q22" s="110" t="n"/>
      <c r="R22" s="110" t="n"/>
      <c r="S22" s="110" t="n">
        <v>1</v>
      </c>
      <c r="T22" s="110" t="n"/>
      <c r="U22" s="110" t="n"/>
      <c r="V22" s="110" t="n"/>
      <c r="W22" s="110" t="n"/>
      <c r="X22" s="110" t="n"/>
      <c r="Y22" s="110" t="n"/>
      <c r="Z22" s="110" t="n"/>
      <c r="AA22" s="110" t="n">
        <v>8</v>
      </c>
      <c r="AB22" s="110" t="n"/>
      <c r="AC22" s="110" t="n"/>
      <c r="AD22" s="110" t="n"/>
      <c r="AE22" s="110" t="n"/>
      <c r="AF22" s="110" t="n"/>
      <c r="AG22" s="110" t="n"/>
      <c r="AH22" s="110" t="n">
        <v>18</v>
      </c>
      <c r="AI22" s="110" t="n"/>
      <c r="AJ22" s="110" t="n"/>
      <c r="AK22" s="110" t="n"/>
      <c r="AL22" s="110" t="n"/>
      <c r="AM22" s="110" t="n"/>
      <c r="AN22" s="110" t="n"/>
      <c r="AO22" s="110" t="n"/>
      <c r="AP22" s="110" t="n"/>
      <c r="AQ22" s="110" t="n"/>
      <c r="AR22" s="110" t="n"/>
      <c r="AS22" s="110" t="n"/>
      <c r="AT22" s="110" t="n"/>
      <c r="AU22" s="110" t="n"/>
      <c r="AV22" s="110" t="n"/>
      <c r="AW22" s="110" t="n"/>
      <c r="AX22" s="110" t="n"/>
      <c r="AY22" s="110" t="n"/>
      <c r="AZ22" s="110" t="n"/>
      <c r="BA22" s="110" t="n"/>
      <c r="BB22" s="110" t="n"/>
      <c r="BC22" t="inlineStr">
        <is>
          <t>ORIGINAL</t>
        </is>
      </c>
      <c r="BD22" t="n">
        <v>15</v>
      </c>
      <c r="BF22" s="109">
        <f>IF($BD22="","",SUMIF($BD$6:$BD$2000,$BD22,$J$6:$J$2000))</f>
        <v/>
      </c>
    </row>
    <row r="23" ht="19.5" customHeight="1">
      <c r="A23" s="96" t="inlineStr">
        <is>
          <t>PENDENTE</t>
        </is>
      </c>
      <c r="B23" s="26" t="inlineStr">
        <is>
          <t>RIACHUELO</t>
        </is>
      </c>
      <c r="C23" s="27" t="n">
        <v>16</v>
      </c>
      <c r="D23" s="26" t="inlineStr">
        <is>
          <t>GRAND PLAZA SHOPPING</t>
        </is>
      </c>
      <c r="E23" s="26" t="inlineStr">
        <is>
          <t>SANTO ANDRE</t>
        </is>
      </c>
      <c r="F23" s="27" t="inlineStr">
        <is>
          <t>SP</t>
        </is>
      </c>
      <c r="G23" s="107" t="n">
        <v>46082</v>
      </c>
      <c r="H23" s="108">
        <f>IF($B23="","",SUM($K23:$AG23)+SUM($AS23:$BB23))</f>
        <v/>
      </c>
      <c r="I23" s="108">
        <f>IF($B23="","",SUM($AH23:$AL23))</f>
        <v/>
      </c>
      <c r="J23" s="109">
        <f>IF($B23="","",SUMPRODUCT($K23:$BB23,$K$2:$BB$2))</f>
        <v/>
      </c>
      <c r="K23" s="110" t="n">
        <v>14</v>
      </c>
      <c r="L23" s="110" t="n"/>
      <c r="M23" s="110" t="n">
        <v>5</v>
      </c>
      <c r="N23" s="110" t="n"/>
      <c r="O23" s="110" t="n"/>
      <c r="P23" s="110" t="n"/>
      <c r="Q23" s="110" t="n"/>
      <c r="R23" s="110" t="n"/>
      <c r="S23" s="110" t="n"/>
      <c r="T23" s="110" t="n"/>
      <c r="U23" s="110" t="n"/>
      <c r="V23" s="110" t="n"/>
      <c r="W23" s="110" t="n"/>
      <c r="X23" s="110" t="n"/>
      <c r="Y23" s="110" t="n"/>
      <c r="Z23" s="110" t="n"/>
      <c r="AA23" s="110" t="n">
        <v>6</v>
      </c>
      <c r="AB23" s="110" t="n"/>
      <c r="AC23" s="110" t="n"/>
      <c r="AD23" s="110" t="n"/>
      <c r="AE23" s="110" t="n"/>
      <c r="AF23" s="110" t="n"/>
      <c r="AG23" s="110" t="n"/>
      <c r="AH23" s="110" t="n">
        <v>28</v>
      </c>
      <c r="AI23" s="110" t="n"/>
      <c r="AJ23" s="110" t="n"/>
      <c r="AK23" s="110" t="n"/>
      <c r="AL23" s="110" t="n"/>
      <c r="AM23" s="110" t="n"/>
      <c r="AN23" s="110" t="n"/>
      <c r="AO23" s="110" t="n"/>
      <c r="AP23" s="110" t="n"/>
      <c r="AQ23" s="110" t="n"/>
      <c r="AR23" s="110" t="n"/>
      <c r="AS23" s="110" t="n"/>
      <c r="AT23" s="110" t="n"/>
      <c r="AU23" s="110" t="n"/>
      <c r="AV23" s="110" t="n"/>
      <c r="AW23" s="110" t="n"/>
      <c r="AX23" s="110" t="n"/>
      <c r="AY23" s="110" t="n"/>
      <c r="AZ23" s="110" t="n"/>
      <c r="BA23" s="110" t="n"/>
      <c r="BB23" s="110" t="n"/>
      <c r="BC23" t="inlineStr">
        <is>
          <t>ORIGINAL</t>
        </is>
      </c>
      <c r="BD23" t="n">
        <v>16</v>
      </c>
      <c r="BF23" s="109">
        <f>IF($BD23="","",SUMIF($BD$6:$BD$2000,$BD23,$J$6:$J$2000))</f>
        <v/>
      </c>
    </row>
    <row r="24" ht="19.5" customHeight="1">
      <c r="A24" s="96" t="inlineStr">
        <is>
          <t>PENDENTE</t>
        </is>
      </c>
      <c r="B24" s="26" t="inlineStr">
        <is>
          <t>RIACHUELO</t>
        </is>
      </c>
      <c r="C24" s="27" t="n">
        <v>17</v>
      </c>
      <c r="D24" s="26" t="inlineStr">
        <is>
          <t>VIA VERDE SHOPPING</t>
        </is>
      </c>
      <c r="E24" s="26" t="inlineStr">
        <is>
          <t>RIO BRANCO</t>
        </is>
      </c>
      <c r="F24" s="27" t="inlineStr">
        <is>
          <t>AC</t>
        </is>
      </c>
      <c r="G24" s="107" t="n">
        <v>46235</v>
      </c>
      <c r="H24" s="108">
        <f>IF($B24="","",SUM($K24:$AG24)+SUM($AS24:$BB24))</f>
        <v/>
      </c>
      <c r="I24" s="108">
        <f>IF($B24="","",SUM($AH24:$AL24))</f>
        <v/>
      </c>
      <c r="J24" s="109">
        <f>IF($B24="","",SUMPRODUCT($K24:$BB24,$K$2:$BB$2))</f>
        <v/>
      </c>
      <c r="K24" s="110" t="n"/>
      <c r="L24" s="110" t="n"/>
      <c r="M24" s="110" t="n"/>
      <c r="N24" s="110" t="n"/>
      <c r="O24" s="110" t="n"/>
      <c r="P24" s="110" t="n"/>
      <c r="Q24" s="110" t="n"/>
      <c r="R24" s="110" t="n"/>
      <c r="S24" s="110" t="n"/>
      <c r="T24" s="110" t="n"/>
      <c r="U24" s="110" t="n">
        <v>20</v>
      </c>
      <c r="V24" s="110" t="n"/>
      <c r="W24" s="110" t="n">
        <v>2</v>
      </c>
      <c r="X24" s="110" t="n"/>
      <c r="Y24" s="110" t="n"/>
      <c r="Z24" s="110" t="n"/>
      <c r="AA24" s="110" t="n">
        <v>4</v>
      </c>
      <c r="AB24" s="110" t="n"/>
      <c r="AC24" s="110" t="n"/>
      <c r="AD24" s="110" t="n"/>
      <c r="AE24" s="110" t="n"/>
      <c r="AF24" s="110" t="n"/>
      <c r="AG24" s="110" t="n"/>
      <c r="AH24" s="110" t="n">
        <v>22</v>
      </c>
      <c r="AI24" s="110" t="n"/>
      <c r="AJ24" s="110" t="n"/>
      <c r="AK24" s="110" t="n"/>
      <c r="AL24" s="110" t="n"/>
      <c r="AM24" s="110" t="n"/>
      <c r="AN24" s="110" t="n"/>
      <c r="AO24" s="110" t="n"/>
      <c r="AP24" s="110" t="n"/>
      <c r="AQ24" s="110" t="n"/>
      <c r="AR24" s="110" t="n"/>
      <c r="AS24" s="110" t="n"/>
      <c r="AT24" s="110" t="n"/>
      <c r="AU24" s="110" t="n"/>
      <c r="AV24" s="110" t="n"/>
      <c r="AW24" s="110" t="n"/>
      <c r="AX24" s="110" t="n"/>
      <c r="AY24" s="110" t="n"/>
      <c r="AZ24" s="110" t="n"/>
      <c r="BA24" s="110" t="n"/>
      <c r="BB24" s="110" t="n"/>
      <c r="BC24" t="inlineStr">
        <is>
          <t>ORIGINAL</t>
        </is>
      </c>
      <c r="BD24" t="n">
        <v>17</v>
      </c>
      <c r="BF24" s="109">
        <f>IF($BD24="","",SUMIF($BD$6:$BD$2000,$BD24,$J$6:$J$2000))</f>
        <v/>
      </c>
    </row>
    <row r="25" ht="19.5" customHeight="1">
      <c r="A25" s="96" t="inlineStr">
        <is>
          <t>PENDENTE</t>
        </is>
      </c>
      <c r="B25" s="26" t="inlineStr">
        <is>
          <t>RIACHUELO</t>
        </is>
      </c>
      <c r="C25" s="27" t="n">
        <v>18</v>
      </c>
      <c r="D25" s="26" t="inlineStr">
        <is>
          <t>MACAPÁ GARDEN PLAZA</t>
        </is>
      </c>
      <c r="E25" s="26" t="inlineStr">
        <is>
          <t>MACAPA</t>
        </is>
      </c>
      <c r="F25" s="27" t="inlineStr">
        <is>
          <t>AP</t>
        </is>
      </c>
      <c r="G25" s="107" t="n">
        <v>46266</v>
      </c>
      <c r="H25" s="108">
        <f>IF($B25="","",SUM($K25:$AG25)+SUM($AS25:$BB25))</f>
        <v/>
      </c>
      <c r="I25" s="108">
        <f>IF($B25="","",SUM($AH25:$AL25))</f>
        <v/>
      </c>
      <c r="J25" s="109">
        <f>IF($B25="","",SUMPRODUCT($K25:$BB25,$K$2:$BB$2))</f>
        <v/>
      </c>
      <c r="K25" s="110" t="n"/>
      <c r="L25" s="110" t="n"/>
      <c r="M25" s="110" t="n"/>
      <c r="N25" s="110" t="n"/>
      <c r="O25" s="110" t="n"/>
      <c r="P25" s="110" t="n"/>
      <c r="Q25" s="110" t="n"/>
      <c r="R25" s="110" t="n"/>
      <c r="S25" s="110" t="n"/>
      <c r="T25" s="110" t="n"/>
      <c r="U25" s="110" t="n">
        <v>15</v>
      </c>
      <c r="V25" s="110" t="n"/>
      <c r="W25" s="110" t="n"/>
      <c r="X25" s="110" t="n"/>
      <c r="Y25" s="110" t="n"/>
      <c r="Z25" s="110" t="n"/>
      <c r="AA25" s="110" t="n">
        <v>6</v>
      </c>
      <c r="AB25" s="110" t="n"/>
      <c r="AC25" s="110" t="n"/>
      <c r="AD25" s="110" t="n"/>
      <c r="AE25" s="110" t="n"/>
      <c r="AF25" s="110" t="n"/>
      <c r="AG25" s="110" t="n"/>
      <c r="AH25" s="110" t="n">
        <v>24</v>
      </c>
      <c r="AI25" s="110" t="n"/>
      <c r="AJ25" s="110" t="n"/>
      <c r="AK25" s="110" t="n"/>
      <c r="AL25" s="110" t="n"/>
      <c r="AM25" s="110" t="n"/>
      <c r="AN25" s="110" t="n"/>
      <c r="AO25" s="110" t="n"/>
      <c r="AP25" s="110" t="n"/>
      <c r="AQ25" s="110" t="n"/>
      <c r="AR25" s="110" t="n"/>
      <c r="AS25" s="110" t="n"/>
      <c r="AT25" s="110" t="n"/>
      <c r="AU25" s="110" t="n"/>
      <c r="AV25" s="110" t="n"/>
      <c r="AW25" s="110" t="n"/>
      <c r="AX25" s="110" t="n"/>
      <c r="AY25" s="110" t="n"/>
      <c r="AZ25" s="110" t="n"/>
      <c r="BA25" s="110" t="n"/>
      <c r="BB25" s="110" t="n"/>
      <c r="BC25" t="inlineStr">
        <is>
          <t>ORIGINAL</t>
        </is>
      </c>
      <c r="BD25" t="n">
        <v>18</v>
      </c>
      <c r="BF25" s="109">
        <f>IF($BD25="","",SUMIF($BD$6:$BD$2000,$BD25,$J$6:$J$2000))</f>
        <v/>
      </c>
    </row>
    <row r="26" ht="19.5" customHeight="1">
      <c r="A26" s="96" t="inlineStr">
        <is>
          <t>PENDENTE</t>
        </is>
      </c>
      <c r="B26" s="26" t="inlineStr">
        <is>
          <t>RIACHUELO</t>
        </is>
      </c>
      <c r="C26" s="27" t="n">
        <v>19</v>
      </c>
      <c r="D26" s="26" t="inlineStr">
        <is>
          <t>JUNDIAÍ SHOPPING</t>
        </is>
      </c>
      <c r="E26" s="26" t="inlineStr">
        <is>
          <t>JUNDIAÍ</t>
        </is>
      </c>
      <c r="F26" s="27" t="inlineStr">
        <is>
          <t>SP</t>
        </is>
      </c>
      <c r="G26" s="107" t="n">
        <v>46266</v>
      </c>
      <c r="H26" s="108">
        <f>IF($B26="","",SUM($K26:$AG26)+SUM($AS26:$BB26))</f>
        <v/>
      </c>
      <c r="I26" s="108">
        <f>IF($B26="","",SUM($AH26:$AL26))</f>
        <v/>
      </c>
      <c r="J26" s="109">
        <f>IF($B26="","",SUMPRODUCT($K26:$BB26,$K$2:$BB$2))</f>
        <v/>
      </c>
      <c r="K26" s="110" t="n">
        <v>16</v>
      </c>
      <c r="L26" s="110" t="n"/>
      <c r="M26" s="110" t="n">
        <v>6</v>
      </c>
      <c r="N26" s="110" t="n"/>
      <c r="O26" s="110" t="n">
        <v>1</v>
      </c>
      <c r="P26" s="110" t="n"/>
      <c r="Q26" s="110" t="n"/>
      <c r="R26" s="110" t="n"/>
      <c r="S26" s="110" t="n"/>
      <c r="T26" s="110" t="n"/>
      <c r="U26" s="110" t="n"/>
      <c r="V26" s="110" t="n"/>
      <c r="W26" s="110" t="n"/>
      <c r="X26" s="110" t="n"/>
      <c r="Y26" s="110" t="n"/>
      <c r="Z26" s="110" t="n"/>
      <c r="AA26" s="110" t="n">
        <v>8</v>
      </c>
      <c r="AB26" s="110" t="n"/>
      <c r="AC26" s="110" t="n"/>
      <c r="AD26" s="110" t="n"/>
      <c r="AE26" s="110" t="n"/>
      <c r="AF26" s="110" t="n"/>
      <c r="AG26" s="110" t="n"/>
      <c r="AH26" s="110" t="n"/>
      <c r="AI26" s="110" t="n"/>
      <c r="AJ26" s="110" t="n">
        <v>32</v>
      </c>
      <c r="AK26" s="110" t="n"/>
      <c r="AL26" s="110" t="n"/>
      <c r="AM26" s="110" t="n"/>
      <c r="AN26" s="110" t="n"/>
      <c r="AO26" s="110" t="n"/>
      <c r="AP26" s="110" t="n"/>
      <c r="AQ26" s="110" t="n"/>
      <c r="AR26" s="110" t="n"/>
      <c r="AS26" s="110" t="n"/>
      <c r="AT26" s="110" t="n"/>
      <c r="AU26" s="110" t="n"/>
      <c r="AV26" s="110" t="n"/>
      <c r="AW26" s="110" t="n"/>
      <c r="AX26" s="110" t="n"/>
      <c r="AY26" s="110" t="n"/>
      <c r="AZ26" s="110" t="n"/>
      <c r="BA26" s="110" t="n"/>
      <c r="BB26" s="110" t="n"/>
      <c r="BC26" t="inlineStr">
        <is>
          <t>ORIGINAL</t>
        </is>
      </c>
      <c r="BD26" t="n">
        <v>19</v>
      </c>
      <c r="BF26" s="109">
        <f>IF($BD26="","",SUMIF($BD$6:$BD$2000,$BD26,$J$6:$J$2000))</f>
        <v/>
      </c>
    </row>
    <row r="27" ht="19.5" customHeight="1">
      <c r="A27" s="96" t="inlineStr">
        <is>
          <t>PENDENTE</t>
        </is>
      </c>
      <c r="B27" s="26" t="inlineStr">
        <is>
          <t>RIACHUELO</t>
        </is>
      </c>
      <c r="C27" s="27" t="n">
        <v>20</v>
      </c>
      <c r="D27" s="26" t="inlineStr">
        <is>
          <t>BAURU CT</t>
        </is>
      </c>
      <c r="E27" s="26" t="inlineStr">
        <is>
          <t>BAURU</t>
        </is>
      </c>
      <c r="F27" s="27" t="inlineStr">
        <is>
          <t>SP</t>
        </is>
      </c>
      <c r="G27" s="107" t="n">
        <v>46266</v>
      </c>
      <c r="H27" s="108">
        <f>IF($B27="","",SUM($K27:$AG27)+SUM($AS27:$BB27))</f>
        <v/>
      </c>
      <c r="I27" s="108">
        <f>IF($B27="","",SUM($AH27:$AL27))</f>
        <v/>
      </c>
      <c r="J27" s="109">
        <f>IF($B27="","",SUMPRODUCT($K27:$BB27,$K$2:$BB$2))</f>
        <v/>
      </c>
      <c r="K27" s="110" t="n">
        <v>21</v>
      </c>
      <c r="L27" s="110" t="n"/>
      <c r="M27" s="110" t="n">
        <v>16</v>
      </c>
      <c r="N27" s="110" t="n">
        <v>3</v>
      </c>
      <c r="O27" s="110" t="n"/>
      <c r="P27" s="110" t="n"/>
      <c r="Q27" s="110" t="n"/>
      <c r="R27" s="110" t="n"/>
      <c r="S27" s="110" t="n"/>
      <c r="T27" s="110" t="n"/>
      <c r="U27" s="110" t="n"/>
      <c r="V27" s="110" t="n"/>
      <c r="W27" s="110" t="n"/>
      <c r="X27" s="110" t="n"/>
      <c r="Y27" s="110" t="n"/>
      <c r="Z27" s="110" t="n"/>
      <c r="AA27" s="110" t="n">
        <v>16</v>
      </c>
      <c r="AB27" s="110" t="n"/>
      <c r="AC27" s="110" t="n"/>
      <c r="AD27" s="110" t="n"/>
      <c r="AE27" s="110" t="n"/>
      <c r="AF27" s="110" t="n"/>
      <c r="AG27" s="110" t="n"/>
      <c r="AH27" s="110" t="n">
        <v>30</v>
      </c>
      <c r="AI27" s="110" t="n"/>
      <c r="AJ27" s="110" t="n"/>
      <c r="AK27" s="110" t="n"/>
      <c r="AL27" s="110" t="n"/>
      <c r="AM27" s="110" t="n"/>
      <c r="AN27" s="110" t="n"/>
      <c r="AO27" s="110" t="n"/>
      <c r="AP27" s="110" t="n"/>
      <c r="AQ27" s="110" t="n"/>
      <c r="AR27" s="110" t="n"/>
      <c r="AS27" s="110" t="n"/>
      <c r="AT27" s="110" t="n"/>
      <c r="AU27" s="110" t="n"/>
      <c r="AV27" s="110" t="n"/>
      <c r="AW27" s="110" t="n"/>
      <c r="AX27" s="110" t="n"/>
      <c r="AY27" s="110" t="n"/>
      <c r="AZ27" s="110" t="n"/>
      <c r="BA27" s="110" t="n"/>
      <c r="BB27" s="110" t="n"/>
      <c r="BC27" t="inlineStr">
        <is>
          <t>ORIGINAL</t>
        </is>
      </c>
      <c r="BD27" t="n">
        <v>20</v>
      </c>
      <c r="BF27" s="109">
        <f>IF($BD27="","",SUMIF($BD$6:$BD$2000,$BD27,$J$6:$J$2000))</f>
        <v/>
      </c>
    </row>
    <row r="28" ht="19.5" customHeight="1">
      <c r="A28" s="96" t="inlineStr">
        <is>
          <t>PENDENTE</t>
        </is>
      </c>
      <c r="B28" s="26" t="inlineStr">
        <is>
          <t>RIACHUELO</t>
        </is>
      </c>
      <c r="C28" s="27" t="n">
        <v>21</v>
      </c>
      <c r="D28" s="26" t="inlineStr">
        <is>
          <t>SÃO JOSÉ CONTINENTE PARK SH</t>
        </is>
      </c>
      <c r="E28" s="26" t="inlineStr">
        <is>
          <t>SÃO JOSÉ</t>
        </is>
      </c>
      <c r="F28" s="27" t="inlineStr">
        <is>
          <t>SC</t>
        </is>
      </c>
      <c r="G28" s="107" t="n">
        <v>46266</v>
      </c>
      <c r="H28" s="108">
        <f>IF($B28="","",SUM($K28:$AG28)+SUM($AS28:$BB28))</f>
        <v/>
      </c>
      <c r="I28" s="108">
        <f>IF($B28="","",SUM($AH28:$AL28))</f>
        <v/>
      </c>
      <c r="J28" s="109">
        <f>IF($B28="","",SUMPRODUCT($K28:$BB28,$K$2:$BB$2))</f>
        <v/>
      </c>
      <c r="K28" s="110" t="n">
        <v>9</v>
      </c>
      <c r="L28" s="110" t="n"/>
      <c r="M28" s="110" t="n">
        <v>5</v>
      </c>
      <c r="N28" s="110" t="n">
        <v>2</v>
      </c>
      <c r="O28" s="110" t="n"/>
      <c r="P28" s="110" t="n"/>
      <c r="Q28" s="110" t="n"/>
      <c r="R28" s="110" t="n"/>
      <c r="S28" s="110" t="n"/>
      <c r="T28" s="110" t="n"/>
      <c r="U28" s="110" t="n"/>
      <c r="V28" s="110" t="n"/>
      <c r="W28" s="110" t="n"/>
      <c r="X28" s="110" t="n"/>
      <c r="Y28" s="110" t="n"/>
      <c r="Z28" s="110" t="n"/>
      <c r="AA28" s="110" t="n">
        <v>15</v>
      </c>
      <c r="AB28" s="110" t="n"/>
      <c r="AC28" s="110" t="n"/>
      <c r="AD28" s="110" t="n"/>
      <c r="AE28" s="110" t="n"/>
      <c r="AF28" s="110" t="n"/>
      <c r="AG28" s="110" t="n"/>
      <c r="AH28" s="110" t="n">
        <v>24</v>
      </c>
      <c r="AI28" s="110" t="n"/>
      <c r="AJ28" s="110" t="n"/>
      <c r="AK28" s="110" t="n"/>
      <c r="AL28" s="110" t="n"/>
      <c r="AM28" s="110" t="n"/>
      <c r="AN28" s="110" t="n"/>
      <c r="AO28" s="110" t="n"/>
      <c r="AP28" s="110" t="n"/>
      <c r="AQ28" s="110" t="n"/>
      <c r="AR28" s="110" t="n"/>
      <c r="AS28" s="110" t="n"/>
      <c r="AT28" s="110" t="n"/>
      <c r="AU28" s="110" t="n"/>
      <c r="AV28" s="110" t="n"/>
      <c r="AW28" s="110" t="n"/>
      <c r="AX28" s="110" t="n"/>
      <c r="AY28" s="110" t="n"/>
      <c r="AZ28" s="110" t="n"/>
      <c r="BA28" s="110" t="n"/>
      <c r="BB28" s="110" t="n"/>
      <c r="BC28" t="inlineStr">
        <is>
          <t>ORIGINAL</t>
        </is>
      </c>
      <c r="BD28" t="n">
        <v>21</v>
      </c>
      <c r="BF28" s="109">
        <f>IF($BD28="","",SUMIF($BD$6:$BD$2000,$BD28,$J$6:$J$2000))</f>
        <v/>
      </c>
    </row>
    <row r="29" ht="19.5" customHeight="1">
      <c r="A29" s="96" t="inlineStr">
        <is>
          <t>PENDENTE</t>
        </is>
      </c>
      <c r="B29" s="26" t="inlineStr">
        <is>
          <t>RIACHUELO</t>
        </is>
      </c>
      <c r="C29" s="27" t="n">
        <v>22</v>
      </c>
      <c r="D29" s="26" t="inlineStr">
        <is>
          <t xml:space="preserve"> MARILIA CT</t>
        </is>
      </c>
      <c r="E29" s="26" t="inlineStr">
        <is>
          <t>MARILIA</t>
        </is>
      </c>
      <c r="F29" s="27" t="inlineStr">
        <is>
          <t>SP</t>
        </is>
      </c>
      <c r="G29" s="107" t="n">
        <v>46204</v>
      </c>
      <c r="H29" s="108">
        <f>IF($B29="","",SUM($K29:$AG29)+SUM($AS29:$BB29))</f>
        <v/>
      </c>
      <c r="I29" s="108">
        <f>IF($B29="","",SUM($AH29:$AL29))</f>
        <v/>
      </c>
      <c r="J29" s="109">
        <f>IF($B29="","",SUMPRODUCT($K29:$BB29,$K$2:$BB$2))</f>
        <v/>
      </c>
      <c r="K29" s="110" t="n">
        <v>23</v>
      </c>
      <c r="L29" s="110" t="n"/>
      <c r="M29" s="110" t="n">
        <v>14</v>
      </c>
      <c r="N29" s="110" t="n">
        <v>13</v>
      </c>
      <c r="O29" s="110" t="n"/>
      <c r="P29" s="110" t="n"/>
      <c r="Q29" s="110" t="n"/>
      <c r="R29" s="110" t="n"/>
      <c r="S29" s="110" t="n"/>
      <c r="T29" s="110" t="n"/>
      <c r="U29" s="110" t="n"/>
      <c r="V29" s="110" t="n"/>
      <c r="W29" s="110" t="n"/>
      <c r="X29" s="110" t="n"/>
      <c r="Y29" s="110" t="n"/>
      <c r="Z29" s="110" t="n"/>
      <c r="AA29" s="110" t="n">
        <v>7</v>
      </c>
      <c r="AB29" s="110" t="n"/>
      <c r="AC29" s="110" t="n"/>
      <c r="AD29" s="110" t="n"/>
      <c r="AE29" s="110" t="n"/>
      <c r="AF29" s="110" t="n"/>
      <c r="AG29" s="110" t="n"/>
      <c r="AH29" s="110" t="n">
        <v>26</v>
      </c>
      <c r="AI29" s="110" t="n"/>
      <c r="AJ29" s="110" t="n"/>
      <c r="AK29" s="110" t="n"/>
      <c r="AL29" s="110" t="n"/>
      <c r="AM29" s="110" t="n"/>
      <c r="AN29" s="110" t="n"/>
      <c r="AO29" s="110" t="n"/>
      <c r="AP29" s="110" t="n"/>
      <c r="AQ29" s="110" t="n"/>
      <c r="AR29" s="110" t="n"/>
      <c r="AS29" s="110" t="n"/>
      <c r="AT29" s="110" t="n"/>
      <c r="AU29" s="110" t="n"/>
      <c r="AV29" s="110" t="n"/>
      <c r="AW29" s="110" t="n"/>
      <c r="AX29" s="110" t="n"/>
      <c r="AY29" s="110" t="n"/>
      <c r="AZ29" s="110" t="n"/>
      <c r="BA29" s="110" t="n"/>
      <c r="BB29" s="110" t="n"/>
      <c r="BC29" t="inlineStr">
        <is>
          <t>ORIGINAL</t>
        </is>
      </c>
      <c r="BD29" t="n">
        <v>22</v>
      </c>
      <c r="BF29" s="109">
        <f>IF($BD29="","",SUMIF($BD$6:$BD$2000,$BD29,$J$6:$J$2000))</f>
        <v/>
      </c>
    </row>
    <row r="30" ht="19.5" customHeight="1">
      <c r="A30" s="96" t="inlineStr">
        <is>
          <t>PENDENTE</t>
        </is>
      </c>
      <c r="B30" s="26" t="inlineStr">
        <is>
          <t>RIACHUELO</t>
        </is>
      </c>
      <c r="C30" s="27" t="n">
        <v>23</v>
      </c>
      <c r="D30" s="26" t="inlineStr">
        <is>
          <t>ARAÇATUBA</t>
        </is>
      </c>
      <c r="E30" s="26" t="inlineStr">
        <is>
          <t>ARAÇATUBA</t>
        </is>
      </c>
      <c r="F30" s="27" t="inlineStr">
        <is>
          <t>SP</t>
        </is>
      </c>
      <c r="G30" s="107" t="n">
        <v>46266</v>
      </c>
      <c r="H30" s="108">
        <f>IF($B30="","",SUM($K30:$AG30)+SUM($AS30:$BB30))</f>
        <v/>
      </c>
      <c r="I30" s="108">
        <f>IF($B30="","",SUM($AH30:$AL30))</f>
        <v/>
      </c>
      <c r="J30" s="109">
        <f>IF($B30="","",SUMPRODUCT($K30:$BB30,$K$2:$BB$2))</f>
        <v/>
      </c>
      <c r="K30" s="110" t="n">
        <v>11</v>
      </c>
      <c r="L30" s="110" t="n"/>
      <c r="M30" s="110" t="n"/>
      <c r="N30" s="110" t="n"/>
      <c r="O30" s="110" t="n"/>
      <c r="P30" s="110" t="n"/>
      <c r="Q30" s="110" t="n"/>
      <c r="R30" s="110" t="n"/>
      <c r="S30" s="110" t="n"/>
      <c r="T30" s="110" t="n">
        <v>5</v>
      </c>
      <c r="U30" s="110" t="n"/>
      <c r="V30" s="110" t="n"/>
      <c r="W30" s="110" t="n"/>
      <c r="X30" s="110" t="n"/>
      <c r="Y30" s="110" t="n"/>
      <c r="Z30" s="110" t="n"/>
      <c r="AA30" s="110" t="n">
        <v>6</v>
      </c>
      <c r="AB30" s="110" t="n"/>
      <c r="AC30" s="110" t="n"/>
      <c r="AD30" s="110" t="n"/>
      <c r="AE30" s="110" t="n"/>
      <c r="AF30" s="110" t="n"/>
      <c r="AG30" s="110" t="n"/>
      <c r="AH30" s="110" t="n">
        <v>20</v>
      </c>
      <c r="AI30" s="110" t="n"/>
      <c r="AJ30" s="110" t="n"/>
      <c r="AK30" s="110" t="n"/>
      <c r="AL30" s="110" t="n"/>
      <c r="AM30" s="110" t="n"/>
      <c r="AN30" s="110" t="n"/>
      <c r="AO30" s="110" t="n"/>
      <c r="AP30" s="110" t="n"/>
      <c r="AQ30" s="110" t="n"/>
      <c r="AR30" s="110" t="n"/>
      <c r="AS30" s="110" t="n"/>
      <c r="AT30" s="110" t="n"/>
      <c r="AU30" s="110" t="n"/>
      <c r="AV30" s="110" t="n"/>
      <c r="AW30" s="110" t="n"/>
      <c r="AX30" s="110" t="n"/>
      <c r="AY30" s="110" t="n"/>
      <c r="AZ30" s="110" t="n"/>
      <c r="BA30" s="110" t="n"/>
      <c r="BB30" s="110" t="n"/>
      <c r="BC30" t="inlineStr">
        <is>
          <t>ORIGINAL</t>
        </is>
      </c>
      <c r="BD30" t="n">
        <v>23</v>
      </c>
      <c r="BF30" s="109">
        <f>IF($BD30="","",SUMIF($BD$6:$BD$2000,$BD30,$J$6:$J$2000))</f>
        <v/>
      </c>
    </row>
    <row r="31" ht="19.5" customHeight="1">
      <c r="A31" s="96" t="inlineStr">
        <is>
          <t>PENDENTE</t>
        </is>
      </c>
      <c r="B31" s="26" t="inlineStr">
        <is>
          <t>RIACHUELO</t>
        </is>
      </c>
      <c r="C31" s="27" t="n">
        <v>24</v>
      </c>
      <c r="D31" s="26" t="inlineStr">
        <is>
          <t>SHOPPING NOVA AMÉRICA</t>
        </is>
      </c>
      <c r="E31" s="26" t="inlineStr">
        <is>
          <t>RIO DE JANEIRO</t>
        </is>
      </c>
      <c r="F31" s="27" t="inlineStr">
        <is>
          <t>RJ</t>
        </is>
      </c>
      <c r="G31" s="107" t="n">
        <v>46082</v>
      </c>
      <c r="H31" s="108">
        <f>IF($B31="","",SUM($K31:$AG31)+SUM($AS31:$BB31))</f>
        <v/>
      </c>
      <c r="I31" s="108">
        <f>IF($B31="","",SUM($AH31:$AL31))</f>
        <v/>
      </c>
      <c r="J31" s="109">
        <f>IF($B31="","",SUMPRODUCT($K31:$BB31,$K$2:$BB$2))</f>
        <v/>
      </c>
      <c r="K31" s="110" t="n">
        <v>14</v>
      </c>
      <c r="L31" s="110" t="n"/>
      <c r="M31" s="110" t="n"/>
      <c r="N31" s="110" t="n">
        <v>3</v>
      </c>
      <c r="O31" s="110" t="n"/>
      <c r="P31" s="110" t="n"/>
      <c r="Q31" s="110" t="n"/>
      <c r="R31" s="110" t="n"/>
      <c r="S31" s="110" t="n"/>
      <c r="T31" s="110" t="n"/>
      <c r="U31" s="110" t="n"/>
      <c r="V31" s="110" t="n"/>
      <c r="W31" s="110" t="n"/>
      <c r="X31" s="110" t="n"/>
      <c r="Y31" s="110" t="n"/>
      <c r="Z31" s="110" t="n"/>
      <c r="AA31" s="110" t="n">
        <v>5</v>
      </c>
      <c r="AB31" s="110" t="n"/>
      <c r="AC31" s="110" t="n"/>
      <c r="AD31" s="110" t="n"/>
      <c r="AE31" s="110" t="n"/>
      <c r="AF31" s="110" t="n"/>
      <c r="AG31" s="110" t="n"/>
      <c r="AH31" s="110" t="n"/>
      <c r="AI31" s="110" t="n"/>
      <c r="AJ31" s="110" t="n">
        <v>32</v>
      </c>
      <c r="AK31" s="110" t="n"/>
      <c r="AL31" s="110" t="n"/>
      <c r="AM31" s="110" t="n"/>
      <c r="AN31" s="110" t="n"/>
      <c r="AO31" s="110" t="n"/>
      <c r="AP31" s="110" t="n"/>
      <c r="AQ31" s="110" t="n"/>
      <c r="AR31" s="110" t="n"/>
      <c r="AS31" s="110" t="n"/>
      <c r="AT31" s="110" t="n"/>
      <c r="AU31" s="110" t="n"/>
      <c r="AV31" s="110" t="n"/>
      <c r="AW31" s="110" t="n"/>
      <c r="AX31" s="110" t="n"/>
      <c r="AY31" s="110" t="n"/>
      <c r="AZ31" s="110" t="n"/>
      <c r="BA31" s="110" t="n"/>
      <c r="BB31" s="110" t="n"/>
      <c r="BC31" t="inlineStr">
        <is>
          <t>ORIGINAL</t>
        </is>
      </c>
      <c r="BD31" t="n">
        <v>24</v>
      </c>
      <c r="BF31" s="109">
        <f>IF($BD31="","",SUMIF($BD$6:$BD$2000,$BD31,$J$6:$J$2000))</f>
        <v/>
      </c>
    </row>
    <row r="32" ht="19.5" customHeight="1">
      <c r="A32" s="96" t="inlineStr">
        <is>
          <t>PENDENTE</t>
        </is>
      </c>
      <c r="B32" s="26" t="inlineStr">
        <is>
          <t>RIACHUELO</t>
        </is>
      </c>
      <c r="C32" s="27" t="n">
        <v>25</v>
      </c>
      <c r="D32" s="26" t="inlineStr">
        <is>
          <t>PALLADIUM SHOPPING CENTER</t>
        </is>
      </c>
      <c r="E32" s="26" t="inlineStr">
        <is>
          <t>PONTA GROSSA</t>
        </is>
      </c>
      <c r="F32" s="27" t="inlineStr">
        <is>
          <t>PR</t>
        </is>
      </c>
      <c r="G32" s="107" t="n">
        <v>46235</v>
      </c>
      <c r="H32" s="108">
        <f>IF($B32="","",SUM($K32:$AG32)+SUM($AS32:$BB32))</f>
        <v/>
      </c>
      <c r="I32" s="108">
        <f>IF($B32="","",SUM($AH32:$AL32))</f>
        <v/>
      </c>
      <c r="J32" s="109">
        <f>IF($B32="","",SUMPRODUCT($K32:$BB32,$K$2:$BB$2))</f>
        <v/>
      </c>
      <c r="K32" s="110" t="n"/>
      <c r="L32" s="110" t="n"/>
      <c r="M32" s="110" t="n"/>
      <c r="N32" s="110" t="n"/>
      <c r="O32" s="110" t="n"/>
      <c r="P32" s="110" t="n"/>
      <c r="Q32" s="110" t="n"/>
      <c r="R32" s="110" t="n"/>
      <c r="S32" s="110" t="n"/>
      <c r="T32" s="110" t="n"/>
      <c r="U32" s="110" t="n">
        <v>19</v>
      </c>
      <c r="V32" s="110" t="n"/>
      <c r="W32" s="110" t="n"/>
      <c r="X32" s="110" t="n"/>
      <c r="Y32" s="110" t="n"/>
      <c r="Z32" s="110" t="n"/>
      <c r="AA32" s="110" t="n">
        <v>1</v>
      </c>
      <c r="AB32" s="110" t="n"/>
      <c r="AC32" s="110" t="n"/>
      <c r="AD32" s="110" t="n"/>
      <c r="AE32" s="110" t="n"/>
      <c r="AF32" s="110" t="n"/>
      <c r="AG32" s="110" t="n"/>
      <c r="AH32" s="110" t="n">
        <v>16</v>
      </c>
      <c r="AI32" s="110" t="n"/>
      <c r="AJ32" s="110" t="n"/>
      <c r="AK32" s="110" t="n"/>
      <c r="AL32" s="110" t="n"/>
      <c r="AM32" s="110" t="n"/>
      <c r="AN32" s="110" t="n"/>
      <c r="AO32" s="110" t="n"/>
      <c r="AP32" s="110" t="n"/>
      <c r="AQ32" s="110" t="n"/>
      <c r="AR32" s="110" t="n"/>
      <c r="AS32" s="110" t="n"/>
      <c r="AT32" s="110" t="n"/>
      <c r="AU32" s="110" t="n"/>
      <c r="AV32" s="110" t="n"/>
      <c r="AW32" s="110" t="n"/>
      <c r="AX32" s="110" t="n"/>
      <c r="AY32" s="110" t="n"/>
      <c r="AZ32" s="110" t="n"/>
      <c r="BA32" s="110" t="n"/>
      <c r="BB32" s="110" t="n"/>
      <c r="BC32" t="inlineStr">
        <is>
          <t>ORIGINAL</t>
        </is>
      </c>
      <c r="BD32" t="n">
        <v>25</v>
      </c>
      <c r="BF32" s="109">
        <f>IF($BD32="","",SUMIF($BD$6:$BD$2000,$BD32,$J$6:$J$2000))</f>
        <v/>
      </c>
    </row>
    <row r="33" ht="19.5" customHeight="1">
      <c r="A33" s="96" t="inlineStr">
        <is>
          <t>PENDENTE</t>
        </is>
      </c>
      <c r="B33" s="26" t="inlineStr">
        <is>
          <t>RIACHUELO</t>
        </is>
      </c>
      <c r="C33" s="27" t="n">
        <v>60</v>
      </c>
      <c r="D33" s="26" t="inlineStr">
        <is>
          <t>CAXIAS DO SUL IGUATEMI SH</t>
        </is>
      </c>
      <c r="E33" s="26" t="inlineStr">
        <is>
          <t>CAXIAS DO SUL</t>
        </is>
      </c>
      <c r="F33" s="27" t="inlineStr">
        <is>
          <t>RS</t>
        </is>
      </c>
      <c r="G33" s="107" t="n">
        <v>46204</v>
      </c>
      <c r="H33" s="108">
        <f>IF($B33="","",SUM($K33:$AG33)+SUM($AS33:$BB33))</f>
        <v/>
      </c>
      <c r="I33" s="108">
        <f>IF($B33="","",SUM($AH33:$AL33))</f>
        <v/>
      </c>
      <c r="J33" s="109">
        <f>IF($B33="","",SUMPRODUCT($K33:$BB33,$K$2:$BB$2))</f>
        <v/>
      </c>
      <c r="K33" s="110" t="n">
        <v>9</v>
      </c>
      <c r="L33" s="110" t="n"/>
      <c r="M33" s="110" t="n"/>
      <c r="N33" s="110" t="n"/>
      <c r="O33" s="110" t="n"/>
      <c r="P33" s="110" t="n"/>
      <c r="Q33" s="110" t="n"/>
      <c r="R33" s="110" t="n"/>
      <c r="S33" s="110" t="n"/>
      <c r="T33" s="110" t="n">
        <v>2</v>
      </c>
      <c r="U33" s="110" t="n">
        <v>10</v>
      </c>
      <c r="V33" s="110" t="n"/>
      <c r="W33" s="110" t="n"/>
      <c r="X33" s="110" t="n"/>
      <c r="Y33" s="110" t="n"/>
      <c r="Z33" s="110" t="n"/>
      <c r="AA33" s="110" t="n">
        <v>13</v>
      </c>
      <c r="AB33" s="110" t="n"/>
      <c r="AC33" s="110" t="n"/>
      <c r="AD33" s="110" t="n"/>
      <c r="AE33" s="110" t="n"/>
      <c r="AF33" s="110" t="n"/>
      <c r="AG33" s="110" t="n"/>
      <c r="AH33" s="110" t="n"/>
      <c r="AI33" s="110" t="n"/>
      <c r="AJ33" s="110" t="n">
        <v>28</v>
      </c>
      <c r="AK33" s="110" t="n"/>
      <c r="AL33" s="110" t="n"/>
      <c r="AM33" s="110" t="n"/>
      <c r="AN33" s="110" t="n"/>
      <c r="AO33" s="110" t="n"/>
      <c r="AP33" s="110" t="n"/>
      <c r="AQ33" s="110" t="n"/>
      <c r="AR33" s="110" t="n"/>
      <c r="AS33" s="110" t="n"/>
      <c r="AT33" s="110" t="n"/>
      <c r="AU33" s="110" t="n"/>
      <c r="AV33" s="110" t="n"/>
      <c r="AW33" s="110" t="n"/>
      <c r="AX33" s="110" t="n"/>
      <c r="AY33" s="110" t="n"/>
      <c r="AZ33" s="110" t="n"/>
      <c r="BA33" s="110" t="n"/>
      <c r="BB33" s="110" t="n"/>
      <c r="BC33" t="inlineStr">
        <is>
          <t>ORIGINAL</t>
        </is>
      </c>
      <c r="BD33" t="n">
        <v>26</v>
      </c>
      <c r="BF33" s="109">
        <f>IF($BD33="","",SUMIF($BD$6:$BD$2000,$BD33,$J$6:$J$2000))</f>
        <v/>
      </c>
    </row>
    <row r="34" ht="19.5" customHeight="1">
      <c r="A34" s="96" t="inlineStr">
        <is>
          <t>PENDENTE</t>
        </is>
      </c>
      <c r="B34" s="26" t="inlineStr">
        <is>
          <t>RIACHUELO</t>
        </is>
      </c>
      <c r="C34" s="27" t="n">
        <v>203</v>
      </c>
      <c r="D34" s="26" t="inlineStr">
        <is>
          <t>POA PRAIA DE BELAS SH</t>
        </is>
      </c>
      <c r="E34" s="26" t="inlineStr">
        <is>
          <t>PORTO ALEGRE</t>
        </is>
      </c>
      <c r="F34" s="27" t="inlineStr">
        <is>
          <t>RS</t>
        </is>
      </c>
      <c r="G34" s="107" t="n">
        <v>46204</v>
      </c>
      <c r="H34" s="108">
        <f>IF($B34="","",SUM($K34:$AG34)+SUM($AS34:$BB34))</f>
        <v/>
      </c>
      <c r="I34" s="108">
        <f>IF($B34="","",SUM($AH34:$AL34))</f>
        <v/>
      </c>
      <c r="J34" s="109">
        <f>IF($B34="","",SUMPRODUCT($K34:$BB34,$K$2:$BB$2))</f>
        <v/>
      </c>
      <c r="K34" s="110" t="n">
        <v>4</v>
      </c>
      <c r="L34" s="110" t="n"/>
      <c r="M34" s="110" t="n"/>
      <c r="N34" s="110" t="n">
        <v>8</v>
      </c>
      <c r="O34" s="110" t="n"/>
      <c r="P34" s="110" t="n"/>
      <c r="Q34" s="110" t="n"/>
      <c r="R34" s="110" t="n"/>
      <c r="S34" s="110" t="n"/>
      <c r="T34" s="110" t="n"/>
      <c r="U34" s="110" t="n">
        <v>3</v>
      </c>
      <c r="V34" s="110" t="n"/>
      <c r="W34" s="110" t="n"/>
      <c r="X34" s="110" t="n"/>
      <c r="Y34" s="110" t="n"/>
      <c r="Z34" s="110" t="n"/>
      <c r="AA34" s="110" t="n">
        <v>3</v>
      </c>
      <c r="AB34" s="110" t="n"/>
      <c r="AC34" s="110" t="n"/>
      <c r="AD34" s="110" t="n"/>
      <c r="AE34" s="110" t="n"/>
      <c r="AF34" s="110" t="n"/>
      <c r="AG34" s="110" t="n"/>
      <c r="AH34" s="110" t="n">
        <v>20</v>
      </c>
      <c r="AI34" s="110" t="n"/>
      <c r="AJ34" s="110" t="n"/>
      <c r="AK34" s="110" t="n"/>
      <c r="AL34" s="110" t="n"/>
      <c r="AM34" s="110" t="n"/>
      <c r="AN34" s="110" t="n"/>
      <c r="AO34" s="110" t="n"/>
      <c r="AP34" s="110" t="n"/>
      <c r="AQ34" s="110" t="n"/>
      <c r="AR34" s="110" t="n"/>
      <c r="AS34" s="110" t="n"/>
      <c r="AT34" s="110" t="n"/>
      <c r="AU34" s="110" t="n"/>
      <c r="AV34" s="110" t="n"/>
      <c r="AW34" s="110" t="n"/>
      <c r="AX34" s="110" t="n"/>
      <c r="AY34" s="110" t="n"/>
      <c r="AZ34" s="110" t="n"/>
      <c r="BA34" s="110" t="n"/>
      <c r="BB34" s="110" t="n"/>
      <c r="BC34" t="inlineStr">
        <is>
          <t>ORIGINAL</t>
        </is>
      </c>
      <c r="BD34" t="n">
        <v>27</v>
      </c>
      <c r="BF34" s="109">
        <f>IF($BD34="","",SUMIF($BD$6:$BD$2000,$BD34,$J$6:$J$2000))</f>
        <v/>
      </c>
    </row>
    <row r="35" ht="19.5" customHeight="1">
      <c r="A35" s="96" t="inlineStr">
        <is>
          <t>PENDENTE</t>
        </is>
      </c>
      <c r="B35" s="26" t="inlineStr">
        <is>
          <t>RIACHUELO</t>
        </is>
      </c>
      <c r="C35" s="27" t="n">
        <v>211</v>
      </c>
      <c r="D35" s="26" t="inlineStr">
        <is>
          <t>GRAVATAÍ CT</t>
        </is>
      </c>
      <c r="E35" s="26" t="inlineStr">
        <is>
          <t>GRAVATAI</t>
        </is>
      </c>
      <c r="F35" s="27" t="inlineStr">
        <is>
          <t>RS</t>
        </is>
      </c>
      <c r="G35" s="107" t="n">
        <v>46204</v>
      </c>
      <c r="H35" s="108">
        <f>IF($B35="","",SUM($K35:$AG35)+SUM($AS35:$BB35))</f>
        <v/>
      </c>
      <c r="I35" s="108">
        <f>IF($B35="","",SUM($AH35:$AL35))</f>
        <v/>
      </c>
      <c r="J35" s="109">
        <f>IF($B35="","",SUMPRODUCT($K35:$BB35,$K$2:$BB$2))</f>
        <v/>
      </c>
      <c r="K35" s="110" t="n">
        <v>10</v>
      </c>
      <c r="L35" s="110" t="n"/>
      <c r="M35" s="110" t="n">
        <v>6</v>
      </c>
      <c r="N35" s="110" t="n"/>
      <c r="O35" s="110" t="n"/>
      <c r="P35" s="110" t="n"/>
      <c r="Q35" s="110" t="n"/>
      <c r="R35" s="110" t="n"/>
      <c r="S35" s="110" t="n"/>
      <c r="T35" s="110" t="n">
        <v>1</v>
      </c>
      <c r="U35" s="110" t="n">
        <v>8</v>
      </c>
      <c r="V35" s="110" t="n"/>
      <c r="W35" s="110" t="n"/>
      <c r="X35" s="110" t="n"/>
      <c r="Y35" s="110" t="n"/>
      <c r="Z35" s="110" t="n"/>
      <c r="AA35" s="110" t="n">
        <v>7</v>
      </c>
      <c r="AB35" s="110" t="n"/>
      <c r="AC35" s="110" t="n"/>
      <c r="AD35" s="110" t="n"/>
      <c r="AE35" s="110" t="n"/>
      <c r="AF35" s="110" t="n"/>
      <c r="AG35" s="110" t="n"/>
      <c r="AH35" s="110" t="n">
        <v>24</v>
      </c>
      <c r="AI35" s="110" t="n"/>
      <c r="AJ35" s="110" t="n"/>
      <c r="AK35" s="110" t="n"/>
      <c r="AL35" s="110" t="n"/>
      <c r="AM35" s="110" t="n"/>
      <c r="AN35" s="110" t="n"/>
      <c r="AO35" s="110" t="n"/>
      <c r="AP35" s="110" t="n"/>
      <c r="AQ35" s="110" t="n"/>
      <c r="AR35" s="110" t="n"/>
      <c r="AS35" s="110" t="n"/>
      <c r="AT35" s="110" t="n"/>
      <c r="AU35" s="110" t="n"/>
      <c r="AV35" s="110" t="n"/>
      <c r="AW35" s="110" t="n"/>
      <c r="AX35" s="110" t="n"/>
      <c r="AY35" s="110" t="n"/>
      <c r="AZ35" s="110" t="n"/>
      <c r="BA35" s="110" t="n"/>
      <c r="BB35" s="110" t="n"/>
      <c r="BC35" t="inlineStr">
        <is>
          <t>ORIGINAL</t>
        </is>
      </c>
      <c r="BD35" t="n">
        <v>28</v>
      </c>
      <c r="BF35" s="109">
        <f>IF($BD35="","",SUMIF($BD$6:$BD$2000,$BD35,$J$6:$J$2000))</f>
        <v/>
      </c>
    </row>
    <row r="36" ht="19.5" customHeight="1">
      <c r="A36" s="96" t="inlineStr">
        <is>
          <t>PENDENTE</t>
        </is>
      </c>
      <c r="B36" s="26" t="inlineStr">
        <is>
          <t>RIACHUELO</t>
        </is>
      </c>
      <c r="C36" s="27" t="n">
        <v>29</v>
      </c>
      <c r="D36" s="26" t="inlineStr">
        <is>
          <t>PÁTIO MIX SH</t>
        </is>
      </c>
      <c r="E36" s="26" t="inlineStr">
        <is>
          <t>LINHARES</t>
        </is>
      </c>
      <c r="F36" s="27" t="inlineStr">
        <is>
          <t>ES</t>
        </is>
      </c>
      <c r="G36" s="107" t="n">
        <v>46204</v>
      </c>
      <c r="H36" s="108">
        <f>IF($B36="","",SUM($K36:$AG36)+SUM($AS36:$BB36))</f>
        <v/>
      </c>
      <c r="I36" s="108">
        <f>IF($B36="","",SUM($AH36:$AL36))</f>
        <v/>
      </c>
      <c r="J36" s="109">
        <f>IF($B36="","",SUMPRODUCT($K36:$BB36,$K$2:$BB$2))</f>
        <v/>
      </c>
      <c r="K36" s="110" t="n">
        <v>1</v>
      </c>
      <c r="L36" s="110" t="n"/>
      <c r="M36" s="110" t="n"/>
      <c r="N36" s="110" t="n"/>
      <c r="O36" s="110" t="n"/>
      <c r="P36" s="110" t="n"/>
      <c r="Q36" s="110" t="n"/>
      <c r="R36" s="110" t="n"/>
      <c r="S36" s="110" t="n"/>
      <c r="T36" s="110" t="n"/>
      <c r="U36" s="110" t="n">
        <v>16</v>
      </c>
      <c r="V36" s="110" t="n"/>
      <c r="W36" s="110" t="n"/>
      <c r="X36" s="110" t="n"/>
      <c r="Y36" s="110" t="n"/>
      <c r="Z36" s="110" t="n"/>
      <c r="AA36" s="110" t="n">
        <v>1</v>
      </c>
      <c r="AB36" s="110" t="n"/>
      <c r="AC36" s="110" t="n"/>
      <c r="AD36" s="110" t="n"/>
      <c r="AE36" s="110" t="n"/>
      <c r="AF36" s="110" t="n"/>
      <c r="AG36" s="110" t="n"/>
      <c r="AH36" s="110" t="n">
        <v>16</v>
      </c>
      <c r="AI36" s="110" t="n"/>
      <c r="AJ36" s="110" t="n"/>
      <c r="AK36" s="110" t="n"/>
      <c r="AL36" s="110" t="n"/>
      <c r="AM36" s="110" t="n"/>
      <c r="AN36" s="110" t="n"/>
      <c r="AO36" s="110" t="n"/>
      <c r="AP36" s="110" t="n"/>
      <c r="AQ36" s="110" t="n"/>
      <c r="AR36" s="110" t="n"/>
      <c r="AS36" s="110" t="n"/>
      <c r="AT36" s="110" t="n"/>
      <c r="AU36" s="110" t="n"/>
      <c r="AV36" s="110" t="n"/>
      <c r="AW36" s="110" t="n"/>
      <c r="AX36" s="110" t="n"/>
      <c r="AY36" s="110" t="n"/>
      <c r="AZ36" s="110" t="n"/>
      <c r="BA36" s="110" t="n"/>
      <c r="BB36" s="110" t="n"/>
      <c r="BC36" t="inlineStr">
        <is>
          <t>ORIGINAL</t>
        </is>
      </c>
      <c r="BD36" t="n">
        <v>29</v>
      </c>
      <c r="BF36" s="109">
        <f>IF($BD36="","",SUMIF($BD$6:$BD$2000,$BD36,$J$6:$J$2000))</f>
        <v/>
      </c>
    </row>
    <row r="37" ht="19.5" customHeight="1">
      <c r="A37" s="96" t="inlineStr">
        <is>
          <t>PENDENTE</t>
        </is>
      </c>
      <c r="B37" s="26" t="inlineStr">
        <is>
          <t>RIACHUELO</t>
        </is>
      </c>
      <c r="C37" s="27" t="n">
        <v>29</v>
      </c>
      <c r="D37" s="26" t="inlineStr">
        <is>
          <t>PÁTIO MIX SH</t>
        </is>
      </c>
      <c r="E37" s="26" t="inlineStr">
        <is>
          <t>LINHARES</t>
        </is>
      </c>
      <c r="F37" s="27" t="inlineStr">
        <is>
          <t>ES</t>
        </is>
      </c>
      <c r="G37" s="107" t="n">
        <v>46204</v>
      </c>
      <c r="H37" s="108">
        <f>IF($B37="","",SUM($K37:$AG37)+SUM($AS37:$BB37))</f>
        <v/>
      </c>
      <c r="I37" s="108">
        <f>IF($B37="","",SUM($AH37:$AL37))</f>
        <v/>
      </c>
      <c r="J37" s="109">
        <f>IF($B37="","",SUMPRODUCT($K37:$BB37,$K$2:$BB$2))</f>
        <v/>
      </c>
      <c r="K37" s="110" t="n"/>
      <c r="L37" s="110" t="n"/>
      <c r="M37" s="110" t="n"/>
      <c r="N37" s="110" t="n"/>
      <c r="O37" s="110" t="n"/>
      <c r="P37" s="110" t="n"/>
      <c r="Q37" s="110" t="n"/>
      <c r="R37" s="110" t="n"/>
      <c r="S37" s="110" t="n"/>
      <c r="T37" s="110" t="n"/>
      <c r="U37" s="110" t="n"/>
      <c r="V37" s="110" t="n"/>
      <c r="W37" s="110" t="n"/>
      <c r="X37" s="110" t="n"/>
      <c r="Y37" s="110" t="n"/>
      <c r="Z37" s="110" t="n"/>
      <c r="AA37" s="110" t="n"/>
      <c r="AB37" s="110" t="n"/>
      <c r="AC37" s="110" t="n"/>
      <c r="AD37" s="110" t="n"/>
      <c r="AE37" s="110" t="n"/>
      <c r="AF37" s="110" t="n"/>
      <c r="AG37" s="110" t="n"/>
      <c r="AH37" s="110" t="n"/>
      <c r="AI37" s="110" t="n"/>
      <c r="AJ37" s="110" t="n"/>
      <c r="AK37" s="110" t="n"/>
      <c r="AL37" s="110" t="n"/>
      <c r="AM37" s="110" t="n"/>
      <c r="AN37" s="110" t="n"/>
      <c r="AO37" s="110" t="n"/>
      <c r="AP37" s="110" t="n"/>
      <c r="AQ37" s="110" t="n"/>
      <c r="AR37" s="110" t="n"/>
      <c r="AS37" s="110" t="n"/>
      <c r="AT37" s="110" t="n"/>
      <c r="AU37" s="110" t="n"/>
      <c r="AV37" s="110" t="n"/>
      <c r="AW37" s="110" t="n"/>
      <c r="AX37" s="110" t="n"/>
      <c r="AY37" s="110" t="n"/>
      <c r="AZ37" s="110" t="n"/>
      <c r="BA37" s="110" t="n"/>
      <c r="BB37" s="110" t="n"/>
      <c r="BC37" t="inlineStr">
        <is>
          <t>AJUSTE</t>
        </is>
      </c>
      <c r="BD37" t="n">
        <v>29</v>
      </c>
      <c r="BE37" s="111" t="n">
        <v>46308</v>
      </c>
      <c r="BF37" s="109">
        <f>IF($BD37="","",SUMIF($BD$6:$BD$2000,$BD37,$J$6:$J$2000))</f>
        <v/>
      </c>
      <c r="BG37" t="n">
        <v>1</v>
      </c>
    </row>
    <row r="38" ht="19.5" customHeight="1">
      <c r="A38" s="96" t="inlineStr">
        <is>
          <t>PENDENTE</t>
        </is>
      </c>
      <c r="B38" s="26" t="inlineStr">
        <is>
          <t>RIACHUELO</t>
        </is>
      </c>
      <c r="C38" s="27" t="n">
        <v>30</v>
      </c>
      <c r="D38" s="26" t="inlineStr">
        <is>
          <t>PRAIA DA COSTA SH</t>
        </is>
      </c>
      <c r="E38" s="26" t="inlineStr">
        <is>
          <t>VILA VELHA</t>
        </is>
      </c>
      <c r="F38" s="27" t="inlineStr">
        <is>
          <t>ES</t>
        </is>
      </c>
      <c r="G38" s="107" t="n">
        <v>46174</v>
      </c>
      <c r="H38" s="108">
        <f>IF($B38="","",SUM($K38:$AG38)+SUM($AS38:$BB38))</f>
        <v/>
      </c>
      <c r="I38" s="108">
        <f>IF($B38="","",SUM($AH38:$AL38))</f>
        <v/>
      </c>
      <c r="J38" s="109">
        <f>IF($B38="","",SUMPRODUCT($K38:$BB38,$K$2:$BB$2))</f>
        <v/>
      </c>
      <c r="K38" s="110" t="n">
        <v>10</v>
      </c>
      <c r="L38" s="110" t="n"/>
      <c r="M38" s="110" t="n">
        <v>5</v>
      </c>
      <c r="N38" s="110" t="n"/>
      <c r="O38" s="110" t="n"/>
      <c r="P38" s="110" t="n"/>
      <c r="Q38" s="110" t="n"/>
      <c r="R38" s="110" t="n"/>
      <c r="S38" s="110" t="n"/>
      <c r="T38" s="110" t="n">
        <v>1</v>
      </c>
      <c r="U38" s="110" t="n">
        <v>4</v>
      </c>
      <c r="V38" s="110" t="n"/>
      <c r="W38" s="110" t="n"/>
      <c r="X38" s="110" t="n"/>
      <c r="Y38" s="110" t="n"/>
      <c r="Z38" s="110" t="n"/>
      <c r="AA38" s="110" t="n">
        <v>16</v>
      </c>
      <c r="AB38" s="110" t="n"/>
      <c r="AC38" s="110" t="n"/>
      <c r="AD38" s="110" t="n"/>
      <c r="AE38" s="110" t="n"/>
      <c r="AF38" s="110" t="n"/>
      <c r="AG38" s="110" t="n"/>
      <c r="AH38" s="110" t="n"/>
      <c r="AI38" s="110" t="n"/>
      <c r="AJ38" s="110" t="n">
        <v>30</v>
      </c>
      <c r="AK38" s="110" t="n"/>
      <c r="AL38" s="110" t="n"/>
      <c r="AM38" s="110" t="n"/>
      <c r="AN38" s="110" t="n"/>
      <c r="AO38" s="110" t="n"/>
      <c r="AP38" s="110" t="n"/>
      <c r="AQ38" s="110" t="n"/>
      <c r="AR38" s="110" t="n"/>
      <c r="AS38" s="110" t="n"/>
      <c r="AT38" s="110" t="n"/>
      <c r="AU38" s="110" t="n"/>
      <c r="AV38" s="110" t="n"/>
      <c r="AW38" s="110" t="n"/>
      <c r="AX38" s="110" t="n"/>
      <c r="AY38" s="110" t="n"/>
      <c r="AZ38" s="110" t="n"/>
      <c r="BA38" s="110" t="n"/>
      <c r="BB38" s="110" t="n"/>
      <c r="BC38" t="inlineStr">
        <is>
          <t>ORIGINAL</t>
        </is>
      </c>
      <c r="BD38" t="n">
        <v>30</v>
      </c>
      <c r="BF38" s="109">
        <f>IF($BD38="","",SUMIF($BD$6:$BD$2000,$BD38,$J$6:$J$2000))</f>
        <v/>
      </c>
    </row>
    <row r="39" ht="19.5" customHeight="1">
      <c r="A39" s="96" t="inlineStr">
        <is>
          <t>PENDENTE</t>
        </is>
      </c>
      <c r="B39" s="26" t="inlineStr">
        <is>
          <t>RIACHUELO</t>
        </is>
      </c>
      <c r="C39" s="27" t="n">
        <v>31</v>
      </c>
      <c r="D39" s="26" t="inlineStr">
        <is>
          <t>MESTRE ALVARO SH</t>
        </is>
      </c>
      <c r="E39" s="26" t="inlineStr">
        <is>
          <t>SERRA</t>
        </is>
      </c>
      <c r="F39" s="27" t="inlineStr">
        <is>
          <t>ES</t>
        </is>
      </c>
      <c r="G39" s="107" t="n">
        <v>46204</v>
      </c>
      <c r="H39" s="108">
        <f>IF($B39="","",SUM($K39:$AG39)+SUM($AS39:$BB39))</f>
        <v/>
      </c>
      <c r="I39" s="108">
        <f>IF($B39="","",SUM($AH39:$AL39))</f>
        <v/>
      </c>
      <c r="J39" s="109">
        <f>IF($B39="","",SUMPRODUCT($K39:$BB39,$K$2:$BB$2))</f>
        <v/>
      </c>
      <c r="K39" s="110" t="n"/>
      <c r="L39" s="110" t="n"/>
      <c r="M39" s="110" t="n"/>
      <c r="N39" s="110" t="n"/>
      <c r="O39" s="110" t="n"/>
      <c r="P39" s="110" t="n">
        <v>1</v>
      </c>
      <c r="Q39" s="110" t="n"/>
      <c r="R39" s="110" t="n"/>
      <c r="S39" s="110" t="n"/>
      <c r="T39" s="110" t="n"/>
      <c r="U39" s="110" t="n">
        <v>25</v>
      </c>
      <c r="V39" s="110" t="n"/>
      <c r="W39" s="110" t="n"/>
      <c r="X39" s="110" t="n"/>
      <c r="Y39" s="110" t="n"/>
      <c r="Z39" s="110" t="n"/>
      <c r="AA39" s="110" t="n">
        <v>9</v>
      </c>
      <c r="AB39" s="110" t="n"/>
      <c r="AC39" s="110" t="n"/>
      <c r="AD39" s="110" t="n"/>
      <c r="AE39" s="110" t="n"/>
      <c r="AF39" s="110" t="n"/>
      <c r="AG39" s="110" t="n"/>
      <c r="AH39" s="110" t="n">
        <v>16</v>
      </c>
      <c r="AI39" s="110" t="n"/>
      <c r="AJ39" s="110" t="n"/>
      <c r="AK39" s="110" t="n"/>
      <c r="AL39" s="110" t="n"/>
      <c r="AM39" s="110" t="n"/>
      <c r="AN39" s="110" t="n"/>
      <c r="AO39" s="110" t="n"/>
      <c r="AP39" s="110" t="n"/>
      <c r="AQ39" s="110" t="n"/>
      <c r="AR39" s="110" t="n"/>
      <c r="AS39" s="110" t="n"/>
      <c r="AT39" s="110" t="n"/>
      <c r="AU39" s="110" t="n"/>
      <c r="AV39" s="110" t="n"/>
      <c r="AW39" s="110" t="n"/>
      <c r="AX39" s="110" t="n"/>
      <c r="AY39" s="110" t="n"/>
      <c r="AZ39" s="110" t="n"/>
      <c r="BA39" s="110" t="n"/>
      <c r="BB39" s="110" t="n"/>
      <c r="BC39" t="inlineStr">
        <is>
          <t>ORIGINAL</t>
        </is>
      </c>
      <c r="BD39" t="n">
        <v>31</v>
      </c>
      <c r="BF39" s="109">
        <f>IF($BD39="","",SUMIF($BD$6:$BD$2000,$BD39,$J$6:$J$2000))</f>
        <v/>
      </c>
    </row>
    <row r="40" ht="19.5" customHeight="1">
      <c r="A40" s="96" t="inlineStr">
        <is>
          <t>PENDENTE</t>
        </is>
      </c>
      <c r="B40" s="26" t="inlineStr">
        <is>
          <t>RIACHUELO</t>
        </is>
      </c>
      <c r="C40" s="27" t="n">
        <v>31</v>
      </c>
      <c r="D40" s="26" t="inlineStr">
        <is>
          <t>MESTRE ALVARO SH</t>
        </is>
      </c>
      <c r="E40" s="26" t="inlineStr">
        <is>
          <t>SERRA</t>
        </is>
      </c>
      <c r="F40" s="27" t="inlineStr">
        <is>
          <t>ES</t>
        </is>
      </c>
      <c r="G40" s="107" t="n">
        <v>46204</v>
      </c>
      <c r="H40" s="108">
        <f>IF($B40="","",SUM($K40:$AG40)+SUM($AS40:$BB40))</f>
        <v/>
      </c>
      <c r="I40" s="108">
        <f>IF($B40="","",SUM($AH40:$AL40))</f>
        <v/>
      </c>
      <c r="J40" s="109">
        <f>IF($B40="","",SUMPRODUCT($K40:$BB40,$K$2:$BB$2))</f>
        <v/>
      </c>
      <c r="K40" s="110" t="n"/>
      <c r="L40" s="110" t="n"/>
      <c r="M40" s="110" t="n"/>
      <c r="N40" s="110" t="n"/>
      <c r="O40" s="110" t="n"/>
      <c r="P40" s="110" t="n"/>
      <c r="Q40" s="110" t="n"/>
      <c r="R40" s="110" t="n"/>
      <c r="S40" s="110" t="n"/>
      <c r="T40" s="110" t="n"/>
      <c r="U40" s="110" t="n"/>
      <c r="V40" s="110" t="n"/>
      <c r="W40" s="110" t="n"/>
      <c r="X40" s="110" t="n"/>
      <c r="Y40" s="110" t="n"/>
      <c r="Z40" s="110" t="n"/>
      <c r="AA40" s="110" t="n"/>
      <c r="AB40" s="110" t="n"/>
      <c r="AC40" s="110" t="n"/>
      <c r="AD40" s="110" t="n"/>
      <c r="AE40" s="110" t="n"/>
      <c r="AF40" s="110" t="n"/>
      <c r="AG40" s="110" t="n"/>
      <c r="AH40" s="110" t="n"/>
      <c r="AI40" s="110" t="n"/>
      <c r="AJ40" s="110" t="n"/>
      <c r="AK40" s="110" t="n"/>
      <c r="AL40" s="110" t="n"/>
      <c r="AM40" s="110" t="n"/>
      <c r="AN40" s="110" t="n"/>
      <c r="AO40" s="110" t="n"/>
      <c r="AP40" s="110" t="n"/>
      <c r="AQ40" s="110" t="n"/>
      <c r="AR40" s="110" t="n"/>
      <c r="AS40" s="110" t="n"/>
      <c r="AT40" s="110" t="n"/>
      <c r="AU40" s="110" t="n"/>
      <c r="AV40" s="110" t="n"/>
      <c r="AW40" s="110" t="n"/>
      <c r="AX40" s="110" t="n"/>
      <c r="AY40" s="110" t="n"/>
      <c r="AZ40" s="110" t="n"/>
      <c r="BA40" s="110" t="n"/>
      <c r="BB40" s="110" t="n"/>
      <c r="BC40" t="inlineStr">
        <is>
          <t>AJUSTE</t>
        </is>
      </c>
      <c r="BD40" t="n">
        <v>31</v>
      </c>
      <c r="BE40" s="111" t="n">
        <v>46308</v>
      </c>
      <c r="BF40" s="109">
        <f>IF($BD40="","",SUMIF($BD$6:$BD$2000,$BD40,$J$6:$J$2000))</f>
        <v/>
      </c>
      <c r="BG40" t="n">
        <v>2</v>
      </c>
    </row>
    <row r="41" ht="19.5" customHeight="1">
      <c r="A41" s="96" t="inlineStr">
        <is>
          <t>PENDENTE</t>
        </is>
      </c>
      <c r="B41" s="26" t="inlineStr">
        <is>
          <t>RIACHUELO</t>
        </is>
      </c>
      <c r="C41" s="27" t="n">
        <v>32</v>
      </c>
      <c r="D41" s="26" t="inlineStr">
        <is>
          <t>PÁTIOMIX RESENDE</t>
        </is>
      </c>
      <c r="E41" s="26" t="inlineStr">
        <is>
          <t>RESENDE</t>
        </is>
      </c>
      <c r="F41" s="27" t="inlineStr">
        <is>
          <t>RJ</t>
        </is>
      </c>
      <c r="G41" s="107" t="n">
        <v>46174</v>
      </c>
      <c r="H41" s="108">
        <f>IF($B41="","",SUM($K41:$AG41)+SUM($AS41:$BB41))</f>
        <v/>
      </c>
      <c r="I41" s="108">
        <f>IF($B41="","",SUM($AH41:$AL41))</f>
        <v/>
      </c>
      <c r="J41" s="109">
        <f>IF($B41="","",SUMPRODUCT($K41:$BB41,$K$2:$BB$2))</f>
        <v/>
      </c>
      <c r="K41" s="110" t="n">
        <v>7</v>
      </c>
      <c r="L41" s="110" t="n"/>
      <c r="M41" s="110" t="n"/>
      <c r="N41" s="110" t="n">
        <v>4</v>
      </c>
      <c r="O41" s="110" t="n"/>
      <c r="P41" s="110" t="n"/>
      <c r="Q41" s="110" t="n"/>
      <c r="R41" s="110" t="n"/>
      <c r="S41" s="110" t="n"/>
      <c r="T41" s="110" t="n"/>
      <c r="U41" s="110" t="n"/>
      <c r="V41" s="110" t="n"/>
      <c r="W41" s="110" t="n"/>
      <c r="X41" s="110" t="n"/>
      <c r="Y41" s="110" t="n"/>
      <c r="Z41" s="110" t="n"/>
      <c r="AA41" s="110" t="n">
        <v>7</v>
      </c>
      <c r="AB41" s="110" t="n"/>
      <c r="AC41" s="110" t="n"/>
      <c r="AD41" s="110" t="n"/>
      <c r="AE41" s="110" t="n"/>
      <c r="AF41" s="110" t="n"/>
      <c r="AG41" s="110" t="n"/>
      <c r="AH41" s="110" t="n">
        <v>8</v>
      </c>
      <c r="AI41" s="110" t="n"/>
      <c r="AJ41" s="110" t="n"/>
      <c r="AK41" s="110" t="n"/>
      <c r="AL41" s="110" t="n"/>
      <c r="AM41" s="110" t="n"/>
      <c r="AN41" s="110" t="n"/>
      <c r="AO41" s="110" t="n"/>
      <c r="AP41" s="110" t="n"/>
      <c r="AQ41" s="110" t="n"/>
      <c r="AR41" s="110" t="n"/>
      <c r="AS41" s="110" t="n"/>
      <c r="AT41" s="110" t="n"/>
      <c r="AU41" s="110" t="n"/>
      <c r="AV41" s="110" t="n"/>
      <c r="AW41" s="110" t="n"/>
      <c r="AX41" s="110" t="n"/>
      <c r="AY41" s="110" t="n"/>
      <c r="AZ41" s="110" t="n"/>
      <c r="BA41" s="110" t="n"/>
      <c r="BB41" s="110" t="n"/>
      <c r="BC41" t="inlineStr">
        <is>
          <t>ORIGINAL</t>
        </is>
      </c>
      <c r="BD41" t="n">
        <v>32</v>
      </c>
      <c r="BF41" s="109">
        <f>IF($BD41="","",SUMIF($BD$6:$BD$2000,$BD41,$J$6:$J$2000))</f>
        <v/>
      </c>
    </row>
    <row r="42" ht="19.5" customHeight="1">
      <c r="A42" s="96" t="inlineStr">
        <is>
          <t>PENDENTE</t>
        </is>
      </c>
      <c r="B42" s="26" t="inlineStr">
        <is>
          <t>RIACHUELO</t>
        </is>
      </c>
      <c r="C42" s="27" t="n">
        <v>33</v>
      </c>
      <c r="D42" s="26" t="inlineStr">
        <is>
          <t>VALPARAISO SH SUL</t>
        </is>
      </c>
      <c r="E42" s="26" t="inlineStr">
        <is>
          <t>VALPARAISO DE GOIAS</t>
        </is>
      </c>
      <c r="F42" s="27" t="inlineStr">
        <is>
          <t>GO</t>
        </is>
      </c>
      <c r="G42" s="107" t="n">
        <v>46419</v>
      </c>
      <c r="H42" s="108">
        <f>IF($B42="","",SUM($K42:$AG42)+SUM($AS42:$BB42))</f>
        <v/>
      </c>
      <c r="I42" s="108">
        <f>IF($B42="","",SUM($AH42:$AL42))</f>
        <v/>
      </c>
      <c r="J42" s="109">
        <f>IF($B42="","",SUMPRODUCT($K42:$BB42,$K$2:$BB$2))</f>
        <v/>
      </c>
      <c r="K42" s="110" t="n"/>
      <c r="L42" s="110" t="n"/>
      <c r="M42" s="110" t="n"/>
      <c r="N42" s="110" t="n"/>
      <c r="O42" s="110" t="n"/>
      <c r="P42" s="110" t="n">
        <v>1</v>
      </c>
      <c r="Q42" s="110" t="n">
        <v>1</v>
      </c>
      <c r="R42" s="110" t="n"/>
      <c r="S42" s="110" t="n"/>
      <c r="T42" s="110" t="n"/>
      <c r="U42" s="110" t="n">
        <v>34</v>
      </c>
      <c r="V42" s="110" t="n"/>
      <c r="W42" s="110" t="n"/>
      <c r="X42" s="110" t="n"/>
      <c r="Y42" s="110" t="n"/>
      <c r="Z42" s="110" t="n"/>
      <c r="AA42" s="110" t="n">
        <v>1</v>
      </c>
      <c r="AB42" s="110" t="n"/>
      <c r="AC42" s="110" t="n"/>
      <c r="AD42" s="110" t="n"/>
      <c r="AE42" s="110" t="n"/>
      <c r="AF42" s="110" t="n"/>
      <c r="AG42" s="110" t="n"/>
      <c r="AH42" s="110" t="n">
        <v>24</v>
      </c>
      <c r="AI42" s="110" t="n"/>
      <c r="AJ42" s="110" t="n"/>
      <c r="AK42" s="110" t="n"/>
      <c r="AL42" s="110" t="n"/>
      <c r="AM42" s="110" t="n"/>
      <c r="AN42" s="110" t="n"/>
      <c r="AO42" s="110" t="n"/>
      <c r="AP42" s="110" t="n"/>
      <c r="AQ42" s="110" t="n"/>
      <c r="AR42" s="110" t="n"/>
      <c r="AS42" s="110" t="n"/>
      <c r="AT42" s="110" t="n"/>
      <c r="AU42" s="110" t="n"/>
      <c r="AV42" s="110" t="n"/>
      <c r="AW42" s="110" t="n"/>
      <c r="AX42" s="110" t="n"/>
      <c r="AY42" s="110" t="n"/>
      <c r="AZ42" s="110" t="n"/>
      <c r="BA42" s="110" t="n"/>
      <c r="BB42" s="110" t="n"/>
      <c r="BC42" t="inlineStr">
        <is>
          <t>ORIGINAL</t>
        </is>
      </c>
      <c r="BD42" t="n">
        <v>33</v>
      </c>
      <c r="BF42" s="109">
        <f>IF($BD42="","",SUMIF($BD$6:$BD$2000,$BD42,$J$6:$J$2000))</f>
        <v/>
      </c>
    </row>
    <row r="43" ht="19.5" customHeight="1">
      <c r="A43" s="96" t="inlineStr">
        <is>
          <t>PENDENTE</t>
        </is>
      </c>
      <c r="B43" s="26" t="inlineStr">
        <is>
          <t>RIACHUELO</t>
        </is>
      </c>
      <c r="C43" s="27" t="n">
        <v>34</v>
      </c>
      <c r="D43" s="26" t="inlineStr">
        <is>
          <t>BR PARK SH</t>
        </is>
      </c>
      <c r="E43" s="26" t="inlineStr">
        <is>
          <t>BRASILIA</t>
        </is>
      </c>
      <c r="F43" s="27" t="inlineStr">
        <is>
          <t>DF</t>
        </is>
      </c>
      <c r="G43" s="107" t="n">
        <v>46419</v>
      </c>
      <c r="H43" s="108">
        <f>IF($B43="","",SUM($K43:$AG43)+SUM($AS43:$BB43))</f>
        <v/>
      </c>
      <c r="I43" s="108">
        <f>IF($B43="","",SUM($AH43:$AL43))</f>
        <v/>
      </c>
      <c r="J43" s="109">
        <f>IF($B43="","",SUMPRODUCT($K43:$BB43,$K$2:$BB$2))</f>
        <v/>
      </c>
      <c r="K43" s="110" t="n"/>
      <c r="L43" s="110" t="n"/>
      <c r="M43" s="110" t="n"/>
      <c r="N43" s="110" t="n"/>
      <c r="O43" s="110" t="n"/>
      <c r="P43" s="110" t="n"/>
      <c r="Q43" s="110" t="n"/>
      <c r="R43" s="110" t="n"/>
      <c r="S43" s="110" t="n"/>
      <c r="T43" s="110" t="n"/>
      <c r="U43" s="110" t="n">
        <v>32</v>
      </c>
      <c r="V43" s="110" t="n"/>
      <c r="W43" s="110" t="n"/>
      <c r="X43" s="110" t="n"/>
      <c r="Y43" s="110" t="n"/>
      <c r="Z43" s="110" t="n"/>
      <c r="AA43" s="110" t="n">
        <v>2</v>
      </c>
      <c r="AB43" s="110" t="n"/>
      <c r="AC43" s="110" t="n"/>
      <c r="AD43" s="110" t="n"/>
      <c r="AE43" s="110" t="n"/>
      <c r="AF43" s="110" t="n"/>
      <c r="AG43" s="110" t="n"/>
      <c r="AH43" s="110" t="n">
        <v>28</v>
      </c>
      <c r="AI43" s="110" t="n"/>
      <c r="AJ43" s="110" t="n"/>
      <c r="AK43" s="110" t="n"/>
      <c r="AL43" s="110" t="n"/>
      <c r="AM43" s="110" t="n"/>
      <c r="AN43" s="110" t="n"/>
      <c r="AO43" s="110" t="n"/>
      <c r="AP43" s="110" t="n"/>
      <c r="AQ43" s="110" t="n"/>
      <c r="AR43" s="110" t="n"/>
      <c r="AS43" s="110" t="n"/>
      <c r="AT43" s="110" t="n"/>
      <c r="AU43" s="110" t="n"/>
      <c r="AV43" s="110" t="n"/>
      <c r="AW43" s="110" t="n"/>
      <c r="AX43" s="110" t="n"/>
      <c r="AY43" s="110" t="n"/>
      <c r="AZ43" s="110" t="n"/>
      <c r="BA43" s="110" t="n"/>
      <c r="BB43" s="110" t="n"/>
      <c r="BC43" t="inlineStr">
        <is>
          <t>ORIGINAL</t>
        </is>
      </c>
      <c r="BD43" t="n">
        <v>34</v>
      </c>
      <c r="BF43" s="109">
        <f>IF($BD43="","",SUMIF($BD$6:$BD$2000,$BD43,$J$6:$J$2000))</f>
        <v/>
      </c>
    </row>
    <row r="44" ht="19.5" customHeight="1">
      <c r="A44" s="96" t="inlineStr">
        <is>
          <t>PENDENTE</t>
        </is>
      </c>
      <c r="B44" s="26" t="inlineStr">
        <is>
          <t>RIACHUELO</t>
        </is>
      </c>
      <c r="C44" s="27" t="n">
        <v>35</v>
      </c>
      <c r="D44" s="26" t="inlineStr">
        <is>
          <t>DUQUE DE CAXIAS CT</t>
        </is>
      </c>
      <c r="E44" s="26" t="inlineStr">
        <is>
          <t>DUQUE DE CAXIAS</t>
        </is>
      </c>
      <c r="F44" s="27" t="inlineStr">
        <is>
          <t>RJ</t>
        </is>
      </c>
      <c r="G44" s="107" t="n">
        <v>46174</v>
      </c>
      <c r="H44" s="108">
        <f>IF($B44="","",SUM($K44:$AG44)+SUM($AS44:$BB44))</f>
        <v/>
      </c>
      <c r="I44" s="108">
        <f>IF($B44="","",SUM($AH44:$AL44))</f>
        <v/>
      </c>
      <c r="J44" s="109">
        <f>IF($B44="","",SUMPRODUCT($K44:$BB44,$K$2:$BB$2))</f>
        <v/>
      </c>
      <c r="K44" s="110" t="n">
        <v>17</v>
      </c>
      <c r="L44" s="110" t="n"/>
      <c r="M44" s="110" t="n"/>
      <c r="N44" s="110" t="n">
        <v>7</v>
      </c>
      <c r="O44" s="110" t="n"/>
      <c r="P44" s="110" t="n"/>
      <c r="Q44" s="110" t="n"/>
      <c r="R44" s="110" t="n"/>
      <c r="S44" s="110" t="n"/>
      <c r="T44" s="110" t="n"/>
      <c r="U44" s="110" t="n"/>
      <c r="V44" s="110" t="n"/>
      <c r="W44" s="110" t="n"/>
      <c r="X44" s="110" t="n"/>
      <c r="Y44" s="110" t="n"/>
      <c r="Z44" s="110" t="n"/>
      <c r="AA44" s="110" t="n">
        <v>16</v>
      </c>
      <c r="AB44" s="110" t="n"/>
      <c r="AC44" s="110" t="n"/>
      <c r="AD44" s="110" t="n"/>
      <c r="AE44" s="110" t="n"/>
      <c r="AF44" s="110" t="n"/>
      <c r="AG44" s="110" t="n"/>
      <c r="AH44" s="110" t="n">
        <v>16</v>
      </c>
      <c r="AI44" s="110" t="n"/>
      <c r="AJ44" s="110" t="n"/>
      <c r="AK44" s="110" t="n"/>
      <c r="AL44" s="110" t="n"/>
      <c r="AM44" s="110" t="n"/>
      <c r="AN44" s="110" t="n"/>
      <c r="AO44" s="110" t="n"/>
      <c r="AP44" s="110" t="n"/>
      <c r="AQ44" s="110" t="n"/>
      <c r="AR44" s="110" t="n"/>
      <c r="AS44" s="110" t="n"/>
      <c r="AT44" s="110" t="n"/>
      <c r="AU44" s="110" t="n"/>
      <c r="AV44" s="110" t="n"/>
      <c r="AW44" s="110" t="n"/>
      <c r="AX44" s="110" t="n"/>
      <c r="AY44" s="110" t="n"/>
      <c r="AZ44" s="110" t="n"/>
      <c r="BA44" s="110" t="n"/>
      <c r="BB44" s="110" t="n"/>
      <c r="BC44" t="inlineStr">
        <is>
          <t>ORIGINAL</t>
        </is>
      </c>
      <c r="BD44" t="n">
        <v>35</v>
      </c>
      <c r="BF44" s="109">
        <f>IF($BD44="","",SUMIF($BD$6:$BD$2000,$BD44,$J$6:$J$2000))</f>
        <v/>
      </c>
    </row>
    <row r="45" ht="19.5" customHeight="1">
      <c r="A45" s="96" t="inlineStr">
        <is>
          <t>PENDENTE</t>
        </is>
      </c>
      <c r="B45" s="26" t="inlineStr">
        <is>
          <t>RIACHUELO</t>
        </is>
      </c>
      <c r="C45" s="27" t="n">
        <v>36</v>
      </c>
      <c r="D45" s="26" t="inlineStr">
        <is>
          <t>BR W3 CT</t>
        </is>
      </c>
      <c r="E45" s="26" t="inlineStr">
        <is>
          <t>BRASILIA</t>
        </is>
      </c>
      <c r="F45" s="27" t="inlineStr">
        <is>
          <t>DF</t>
        </is>
      </c>
      <c r="G45" s="107" t="n">
        <v>46174</v>
      </c>
      <c r="H45" s="108">
        <f>IF($B45="","",SUM($K45:$AG45)+SUM($AS45:$BB45))</f>
        <v/>
      </c>
      <c r="I45" s="108">
        <f>IF($B45="","",SUM($AH45:$AL45))</f>
        <v/>
      </c>
      <c r="J45" s="109">
        <f>IF($B45="","",SUMPRODUCT($K45:$BB45,$K$2:$BB$2))</f>
        <v/>
      </c>
      <c r="K45" s="110" t="n">
        <v>6</v>
      </c>
      <c r="L45" s="110" t="n"/>
      <c r="M45" s="110" t="n">
        <v>1</v>
      </c>
      <c r="N45" s="110" t="n">
        <v>7</v>
      </c>
      <c r="O45" s="110" t="n"/>
      <c r="P45" s="110" t="n">
        <v>2</v>
      </c>
      <c r="Q45" s="110" t="n"/>
      <c r="R45" s="110" t="n"/>
      <c r="S45" s="110" t="n"/>
      <c r="T45" s="110" t="n"/>
      <c r="U45" s="110" t="n"/>
      <c r="V45" s="110" t="n"/>
      <c r="W45" s="110" t="n"/>
      <c r="X45" s="110" t="n"/>
      <c r="Y45" s="110" t="n"/>
      <c r="Z45" s="110" t="n"/>
      <c r="AA45" s="110" t="n">
        <v>15</v>
      </c>
      <c r="AB45" s="110" t="n"/>
      <c r="AC45" s="110" t="n"/>
      <c r="AD45" s="110" t="n"/>
      <c r="AE45" s="110" t="n"/>
      <c r="AF45" s="110" t="n"/>
      <c r="AG45" s="110" t="n"/>
      <c r="AH45" s="110" t="n">
        <v>28</v>
      </c>
      <c r="AI45" s="110" t="n"/>
      <c r="AJ45" s="110" t="n"/>
      <c r="AK45" s="110" t="n"/>
      <c r="AL45" s="110" t="n"/>
      <c r="AM45" s="110" t="n"/>
      <c r="AN45" s="110" t="n"/>
      <c r="AO45" s="110" t="n"/>
      <c r="AP45" s="110" t="n"/>
      <c r="AQ45" s="110" t="n"/>
      <c r="AR45" s="110" t="n"/>
      <c r="AS45" s="110" t="n"/>
      <c r="AT45" s="110" t="n"/>
      <c r="AU45" s="110" t="n"/>
      <c r="AV45" s="110" t="n"/>
      <c r="AW45" s="110" t="n"/>
      <c r="AX45" s="110" t="n"/>
      <c r="AY45" s="110" t="n"/>
      <c r="AZ45" s="110" t="n"/>
      <c r="BA45" s="110" t="n"/>
      <c r="BB45" s="110" t="n"/>
      <c r="BC45" t="inlineStr">
        <is>
          <t>ORIGINAL</t>
        </is>
      </c>
      <c r="BD45" t="n">
        <v>36</v>
      </c>
      <c r="BF45" s="109">
        <f>IF($BD45="","",SUMIF($BD$6:$BD$2000,$BD45,$J$6:$J$2000))</f>
        <v/>
      </c>
    </row>
    <row r="46" ht="19.5" customHeight="1">
      <c r="A46" s="96" t="inlineStr">
        <is>
          <t>PENDENTE</t>
        </is>
      </c>
      <c r="B46" s="26" t="inlineStr">
        <is>
          <t>RIACHUELO</t>
        </is>
      </c>
      <c r="C46" s="27" t="n">
        <v>37</v>
      </c>
      <c r="D46" s="26" t="inlineStr">
        <is>
          <t>TAGUATINGA CT</t>
        </is>
      </c>
      <c r="E46" s="26" t="inlineStr">
        <is>
          <t>BRASILIA</t>
        </is>
      </c>
      <c r="F46" s="27" t="inlineStr">
        <is>
          <t>DF</t>
        </is>
      </c>
      <c r="G46" s="107" t="n">
        <v>46266</v>
      </c>
      <c r="H46" s="108">
        <f>IF($B46="","",SUM($K46:$AG46)+SUM($AS46:$BB46))</f>
        <v/>
      </c>
      <c r="I46" s="108">
        <f>IF($B46="","",SUM($AH46:$AL46))</f>
        <v/>
      </c>
      <c r="J46" s="109">
        <f>IF($B46="","",SUMPRODUCT($K46:$BB46,$K$2:$BB$2))</f>
        <v/>
      </c>
      <c r="K46" s="110" t="n"/>
      <c r="L46" s="110" t="n"/>
      <c r="M46" s="110" t="n"/>
      <c r="N46" s="110" t="n"/>
      <c r="O46" s="110" t="n"/>
      <c r="P46" s="110" t="n"/>
      <c r="Q46" s="110" t="n"/>
      <c r="R46" s="110" t="n"/>
      <c r="S46" s="110" t="n"/>
      <c r="T46" s="110" t="n"/>
      <c r="U46" s="110" t="n">
        <v>51</v>
      </c>
      <c r="V46" s="110" t="n"/>
      <c r="W46" s="110" t="n"/>
      <c r="X46" s="110" t="n"/>
      <c r="Y46" s="110" t="n"/>
      <c r="Z46" s="110" t="n"/>
      <c r="AA46" s="110" t="n"/>
      <c r="AB46" s="110" t="n"/>
      <c r="AC46" s="110" t="n"/>
      <c r="AD46" s="110" t="n"/>
      <c r="AE46" s="110" t="n"/>
      <c r="AF46" s="110" t="n"/>
      <c r="AG46" s="110" t="n"/>
      <c r="AH46" s="110" t="n">
        <v>22</v>
      </c>
      <c r="AI46" s="110" t="n"/>
      <c r="AJ46" s="110" t="n"/>
      <c r="AK46" s="110" t="n"/>
      <c r="AL46" s="110" t="n"/>
      <c r="AM46" s="110" t="n"/>
      <c r="AN46" s="110" t="n"/>
      <c r="AO46" s="110" t="n"/>
      <c r="AP46" s="110" t="n"/>
      <c r="AQ46" s="110" t="n"/>
      <c r="AR46" s="110" t="n"/>
      <c r="AS46" s="110" t="n"/>
      <c r="AT46" s="110" t="n"/>
      <c r="AU46" s="110" t="n"/>
      <c r="AV46" s="110" t="n"/>
      <c r="AW46" s="110" t="n"/>
      <c r="AX46" s="110" t="n"/>
      <c r="AY46" s="110" t="n"/>
      <c r="AZ46" s="110" t="n"/>
      <c r="BA46" s="110" t="n"/>
      <c r="BB46" s="110" t="n"/>
      <c r="BC46" t="inlineStr">
        <is>
          <t>ORIGINAL</t>
        </is>
      </c>
      <c r="BD46" t="n">
        <v>37</v>
      </c>
      <c r="BF46" s="109">
        <f>IF($BD46="","",SUMIF($BD$6:$BD$2000,$BD46,$J$6:$J$2000))</f>
        <v/>
      </c>
    </row>
    <row r="47" ht="19.5" customHeight="1">
      <c r="A47" s="96" t="inlineStr">
        <is>
          <t>PENDENTE</t>
        </is>
      </c>
      <c r="B47" s="26" t="inlineStr">
        <is>
          <t>RIACHUELO</t>
        </is>
      </c>
      <c r="C47" s="27" t="n">
        <v>38</v>
      </c>
      <c r="D47" s="26" t="inlineStr">
        <is>
          <t>BURITI SH</t>
        </is>
      </c>
      <c r="E47" s="26" t="inlineStr">
        <is>
          <t>APARECIDA DE GOIANIA</t>
        </is>
      </c>
      <c r="F47" s="27" t="inlineStr">
        <is>
          <t>GO</t>
        </is>
      </c>
      <c r="G47" s="107" t="n">
        <v>46296</v>
      </c>
      <c r="H47" s="108">
        <f>IF($B47="","",SUM($K47:$AG47)+SUM($AS47:$BB47))</f>
        <v/>
      </c>
      <c r="I47" s="108">
        <f>IF($B47="","",SUM($AH47:$AL47))</f>
        <v/>
      </c>
      <c r="J47" s="109">
        <f>IF($B47="","",SUMPRODUCT($K47:$BB47,$K$2:$BB$2))</f>
        <v/>
      </c>
      <c r="K47" s="110" t="n">
        <v>10</v>
      </c>
      <c r="L47" s="110" t="n"/>
      <c r="M47" s="110" t="n"/>
      <c r="N47" s="110" t="n">
        <v>9</v>
      </c>
      <c r="O47" s="110" t="n"/>
      <c r="P47" s="110" t="n"/>
      <c r="Q47" s="110" t="n"/>
      <c r="R47" s="110" t="n"/>
      <c r="S47" s="110" t="n"/>
      <c r="T47" s="110" t="n"/>
      <c r="U47" s="110" t="n"/>
      <c r="V47" s="110" t="n"/>
      <c r="W47" s="110" t="n"/>
      <c r="X47" s="110" t="n"/>
      <c r="Y47" s="110" t="n"/>
      <c r="Z47" s="110" t="n"/>
      <c r="AA47" s="110" t="n">
        <v>10</v>
      </c>
      <c r="AB47" s="110" t="n"/>
      <c r="AC47" s="110" t="n"/>
      <c r="AD47" s="110" t="n"/>
      <c r="AE47" s="110" t="n"/>
      <c r="AF47" s="110" t="n"/>
      <c r="AG47" s="110" t="n"/>
      <c r="AH47" s="110" t="n">
        <v>18</v>
      </c>
      <c r="AI47" s="110" t="n"/>
      <c r="AJ47" s="110" t="n"/>
      <c r="AK47" s="110" t="n"/>
      <c r="AL47" s="110" t="n"/>
      <c r="AM47" s="110" t="n"/>
      <c r="AN47" s="110" t="n"/>
      <c r="AO47" s="110" t="n"/>
      <c r="AP47" s="110" t="n"/>
      <c r="AQ47" s="110" t="n"/>
      <c r="AR47" s="110" t="n"/>
      <c r="AS47" s="110" t="n"/>
      <c r="AT47" s="110" t="n"/>
      <c r="AU47" s="110" t="n"/>
      <c r="AV47" s="110" t="n"/>
      <c r="AW47" s="110" t="n"/>
      <c r="AX47" s="110" t="n"/>
      <c r="AY47" s="110" t="n"/>
      <c r="AZ47" s="110" t="n"/>
      <c r="BA47" s="110" t="n"/>
      <c r="BB47" s="110" t="n"/>
      <c r="BC47" t="inlineStr">
        <is>
          <t>ORIGINAL</t>
        </is>
      </c>
      <c r="BD47" t="n">
        <v>38</v>
      </c>
      <c r="BF47" s="109">
        <f>IF($BD47="","",SUMIF($BD$6:$BD$2000,$BD47,$J$6:$J$2000))</f>
        <v/>
      </c>
    </row>
    <row r="48" ht="19.5" customHeight="1">
      <c r="A48" s="96" t="inlineStr">
        <is>
          <t>PENDENTE</t>
        </is>
      </c>
      <c r="B48" s="26" t="inlineStr">
        <is>
          <t>RIACHUELO</t>
        </is>
      </c>
      <c r="C48" s="27" t="n">
        <v>39</v>
      </c>
      <c r="D48" s="26" t="inlineStr">
        <is>
          <t>CAMPINAS CT</t>
        </is>
      </c>
      <c r="E48" s="26" t="inlineStr">
        <is>
          <t>GOIANIA</t>
        </is>
      </c>
      <c r="F48" s="27" t="inlineStr">
        <is>
          <t>GO</t>
        </is>
      </c>
      <c r="G48" s="107" t="n">
        <v>46235</v>
      </c>
      <c r="H48" s="108">
        <f>IF($B48="","",SUM($K48:$AG48)+SUM($AS48:$BB48))</f>
        <v/>
      </c>
      <c r="I48" s="108">
        <f>IF($B48="","",SUM($AH48:$AL48))</f>
        <v/>
      </c>
      <c r="J48" s="109">
        <f>IF($B48="","",SUMPRODUCT($K48:$BB48,$K$2:$BB$2))</f>
        <v/>
      </c>
      <c r="K48" s="110" t="n">
        <v>7</v>
      </c>
      <c r="L48" s="110" t="n"/>
      <c r="M48" s="110" t="n">
        <v>1</v>
      </c>
      <c r="N48" s="110" t="n">
        <v>7</v>
      </c>
      <c r="O48" s="110" t="n"/>
      <c r="P48" s="110" t="n"/>
      <c r="Q48" s="110" t="n"/>
      <c r="R48" s="110" t="n"/>
      <c r="S48" s="110" t="n"/>
      <c r="T48" s="110" t="n"/>
      <c r="U48" s="110" t="n"/>
      <c r="V48" s="110" t="n"/>
      <c r="W48" s="110" t="n"/>
      <c r="X48" s="110" t="n"/>
      <c r="Y48" s="110" t="n"/>
      <c r="Z48" s="110" t="n"/>
      <c r="AA48" s="110" t="n">
        <v>9</v>
      </c>
      <c r="AB48" s="110" t="n"/>
      <c r="AC48" s="110" t="n"/>
      <c r="AD48" s="110" t="n"/>
      <c r="AE48" s="110" t="n"/>
      <c r="AF48" s="110" t="n"/>
      <c r="AG48" s="110" t="n"/>
      <c r="AH48" s="110" t="n">
        <v>14</v>
      </c>
      <c r="AI48" s="110" t="n"/>
      <c r="AJ48" s="110" t="n"/>
      <c r="AK48" s="110" t="n"/>
      <c r="AL48" s="110" t="n"/>
      <c r="AM48" s="110" t="n"/>
      <c r="AN48" s="110" t="n"/>
      <c r="AO48" s="110" t="n"/>
      <c r="AP48" s="110" t="n"/>
      <c r="AQ48" s="110" t="n"/>
      <c r="AR48" s="110" t="n"/>
      <c r="AS48" s="110" t="n"/>
      <c r="AT48" s="110" t="n"/>
      <c r="AU48" s="110" t="n"/>
      <c r="AV48" s="110" t="n"/>
      <c r="AW48" s="110" t="n"/>
      <c r="AX48" s="110" t="n"/>
      <c r="AY48" s="110" t="n"/>
      <c r="AZ48" s="110" t="n"/>
      <c r="BA48" s="110" t="n"/>
      <c r="BB48" s="110" t="n"/>
      <c r="BC48" t="inlineStr">
        <is>
          <t>ORIGINAL</t>
        </is>
      </c>
      <c r="BD48" t="n">
        <v>39</v>
      </c>
      <c r="BF48" s="109">
        <f>IF($BD48="","",SUMIF($BD$6:$BD$2000,$BD48,$J$6:$J$2000))</f>
        <v/>
      </c>
    </row>
    <row r="49" ht="19.5" customHeight="1">
      <c r="A49" s="96" t="inlineStr">
        <is>
          <t>PENDENTE</t>
        </is>
      </c>
      <c r="B49" s="26" t="inlineStr">
        <is>
          <t>RIACHUELO</t>
        </is>
      </c>
      <c r="C49" s="27" t="n">
        <v>40</v>
      </c>
      <c r="D49" s="26" t="inlineStr">
        <is>
          <t>ANAPOLIS CT</t>
        </is>
      </c>
      <c r="E49" s="26" t="inlineStr">
        <is>
          <t>ANAPOLIS</t>
        </is>
      </c>
      <c r="F49" s="27" t="inlineStr">
        <is>
          <t>GO</t>
        </is>
      </c>
      <c r="G49" s="107" t="n">
        <v>46296</v>
      </c>
      <c r="H49" s="108">
        <f>IF($B49="","",SUM($K49:$AG49)+SUM($AS49:$BB49))</f>
        <v/>
      </c>
      <c r="I49" s="108">
        <f>IF($B49="","",SUM($AH49:$AL49))</f>
        <v/>
      </c>
      <c r="J49" s="109">
        <f>IF($B49="","",SUMPRODUCT($K49:$BB49,$K$2:$BB$2))</f>
        <v/>
      </c>
      <c r="K49" s="110" t="n">
        <v>10</v>
      </c>
      <c r="L49" s="110" t="n"/>
      <c r="M49" s="110" t="n">
        <v>2</v>
      </c>
      <c r="N49" s="110" t="n">
        <v>20</v>
      </c>
      <c r="O49" s="110" t="n"/>
      <c r="P49" s="110" t="n"/>
      <c r="Q49" s="110" t="n"/>
      <c r="R49" s="110" t="n"/>
      <c r="S49" s="110" t="n"/>
      <c r="T49" s="110" t="n"/>
      <c r="U49" s="110" t="n">
        <v>1</v>
      </c>
      <c r="V49" s="110" t="n"/>
      <c r="W49" s="110" t="n"/>
      <c r="X49" s="110" t="n"/>
      <c r="Y49" s="110" t="n"/>
      <c r="Z49" s="110" t="n"/>
      <c r="AA49" s="110" t="n">
        <v>3</v>
      </c>
      <c r="AB49" s="110" t="n"/>
      <c r="AC49" s="110" t="n"/>
      <c r="AD49" s="110" t="n"/>
      <c r="AE49" s="110" t="n"/>
      <c r="AF49" s="110" t="n"/>
      <c r="AG49" s="110" t="n"/>
      <c r="AH49" s="110" t="n"/>
      <c r="AI49" s="110" t="n"/>
      <c r="AJ49" s="110" t="n"/>
      <c r="AK49" s="110" t="n"/>
      <c r="AL49" s="110" t="n"/>
      <c r="AM49" s="110" t="n"/>
      <c r="AN49" s="110" t="n"/>
      <c r="AO49" s="110" t="n"/>
      <c r="AP49" s="110" t="n"/>
      <c r="AQ49" s="110" t="n"/>
      <c r="AR49" s="110" t="n"/>
      <c r="AS49" s="110" t="n"/>
      <c r="AT49" s="110" t="n"/>
      <c r="AU49" s="110" t="n"/>
      <c r="AV49" s="110" t="n"/>
      <c r="AW49" s="110" t="n"/>
      <c r="AX49" s="110" t="n"/>
      <c r="AY49" s="110" t="n"/>
      <c r="AZ49" s="110" t="n"/>
      <c r="BA49" s="110" t="n"/>
      <c r="BB49" s="110" t="n"/>
      <c r="BC49" t="inlineStr">
        <is>
          <t>ORIGINAL</t>
        </is>
      </c>
      <c r="BD49" t="n">
        <v>40</v>
      </c>
      <c r="BF49" s="109">
        <f>IF($BD49="","",SUMIF($BD$6:$BD$2000,$BD49,$J$6:$J$2000))</f>
        <v/>
      </c>
    </row>
    <row r="50" ht="19.5" customHeight="1">
      <c r="A50" s="96" t="inlineStr">
        <is>
          <t>PENDENTE</t>
        </is>
      </c>
      <c r="B50" s="26" t="inlineStr">
        <is>
          <t>RIACHUELO</t>
        </is>
      </c>
      <c r="C50" s="27" t="n">
        <v>41</v>
      </c>
      <c r="D50" s="26" t="inlineStr">
        <is>
          <t>BR CONJUNTO NACIONAL SH</t>
        </is>
      </c>
      <c r="E50" s="26" t="inlineStr">
        <is>
          <t>BRASILIA</t>
        </is>
      </c>
      <c r="F50" s="27" t="inlineStr">
        <is>
          <t>DF</t>
        </is>
      </c>
      <c r="G50" s="107" t="n">
        <v>46204</v>
      </c>
      <c r="H50" s="108">
        <f>IF($B50="","",SUM($K50:$AG50)+SUM($AS50:$BB50))</f>
        <v/>
      </c>
      <c r="I50" s="108">
        <f>IF($B50="","",SUM($AH50:$AL50))</f>
        <v/>
      </c>
      <c r="J50" s="109">
        <f>IF($B50="","",SUMPRODUCT($K50:$BB50,$K$2:$BB$2))</f>
        <v/>
      </c>
      <c r="K50" s="110" t="n">
        <v>12</v>
      </c>
      <c r="L50" s="110" t="n"/>
      <c r="M50" s="110" t="n"/>
      <c r="N50" s="110" t="n">
        <v>17</v>
      </c>
      <c r="O50" s="110" t="n"/>
      <c r="P50" s="110" t="n"/>
      <c r="Q50" s="110" t="n"/>
      <c r="R50" s="110" t="n"/>
      <c r="S50" s="110" t="n"/>
      <c r="T50" s="110" t="n"/>
      <c r="U50" s="110" t="n">
        <v>1</v>
      </c>
      <c r="V50" s="110" t="n"/>
      <c r="W50" s="110" t="n"/>
      <c r="X50" s="110" t="n"/>
      <c r="Y50" s="110" t="n"/>
      <c r="Z50" s="110" t="n"/>
      <c r="AA50" s="110" t="n">
        <v>13</v>
      </c>
      <c r="AB50" s="110" t="n"/>
      <c r="AC50" s="110" t="n"/>
      <c r="AD50" s="110" t="n"/>
      <c r="AE50" s="110" t="n"/>
      <c r="AF50" s="110" t="n"/>
      <c r="AG50" s="110" t="n"/>
      <c r="AH50" s="110" t="n"/>
      <c r="AI50" s="110" t="n"/>
      <c r="AJ50" s="110" t="n">
        <v>24</v>
      </c>
      <c r="AK50" s="110" t="n"/>
      <c r="AL50" s="110" t="n"/>
      <c r="AM50" s="110" t="n"/>
      <c r="AN50" s="110" t="n"/>
      <c r="AO50" s="110" t="n"/>
      <c r="AP50" s="110" t="n"/>
      <c r="AQ50" s="110" t="n"/>
      <c r="AR50" s="110" t="n"/>
      <c r="AS50" s="110" t="n"/>
      <c r="AT50" s="110" t="n"/>
      <c r="AU50" s="110" t="n"/>
      <c r="AV50" s="110" t="n"/>
      <c r="AW50" s="110" t="n"/>
      <c r="AX50" s="110" t="n"/>
      <c r="AY50" s="110" t="n"/>
      <c r="AZ50" s="110" t="n"/>
      <c r="BA50" s="110" t="n"/>
      <c r="BB50" s="110" t="n"/>
      <c r="BC50" t="inlineStr">
        <is>
          <t>ORIGINAL</t>
        </is>
      </c>
      <c r="BD50" t="n">
        <v>41</v>
      </c>
      <c r="BF50" s="109">
        <f>IF($BD50="","",SUMIF($BD$6:$BD$2000,$BD50,$J$6:$J$2000))</f>
        <v/>
      </c>
    </row>
    <row r="51" ht="19.5" customHeight="1">
      <c r="A51" s="96" t="inlineStr">
        <is>
          <t>PENDENTE</t>
        </is>
      </c>
      <c r="B51" s="26" t="inlineStr">
        <is>
          <t>RIACHUELO</t>
        </is>
      </c>
      <c r="C51" s="27" t="n">
        <v>42</v>
      </c>
      <c r="D51" s="26" t="inlineStr">
        <is>
          <t>GOIANIA SH</t>
        </is>
      </c>
      <c r="E51" s="26" t="inlineStr">
        <is>
          <t>GOIANIA</t>
        </is>
      </c>
      <c r="F51" s="27" t="inlineStr">
        <is>
          <t>GO</t>
        </is>
      </c>
      <c r="G51" s="107" t="n">
        <v>46419</v>
      </c>
      <c r="H51" s="108">
        <f>IF($B51="","",SUM($K51:$AG51)+SUM($AS51:$BB51))</f>
        <v/>
      </c>
      <c r="I51" s="108">
        <f>IF($B51="","",SUM($AH51:$AL51))</f>
        <v/>
      </c>
      <c r="J51" s="109">
        <f>IF($B51="","",SUMPRODUCT($K51:$BB51,$K$2:$BB$2))</f>
        <v/>
      </c>
      <c r="K51" s="110" t="n">
        <v>6</v>
      </c>
      <c r="L51" s="110" t="n"/>
      <c r="M51" s="110" t="n">
        <v>6</v>
      </c>
      <c r="N51" s="110" t="n"/>
      <c r="O51" s="110" t="n"/>
      <c r="P51" s="110" t="n"/>
      <c r="Q51" s="110" t="n">
        <v>1</v>
      </c>
      <c r="R51" s="110" t="n"/>
      <c r="S51" s="110" t="n"/>
      <c r="T51" s="110" t="n"/>
      <c r="U51" s="110" t="n"/>
      <c r="V51" s="110" t="n"/>
      <c r="W51" s="110" t="n"/>
      <c r="X51" s="110" t="n"/>
      <c r="Y51" s="110" t="n"/>
      <c r="Z51" s="110" t="n"/>
      <c r="AA51" s="110" t="n">
        <v>9</v>
      </c>
      <c r="AB51" s="110" t="n"/>
      <c r="AC51" s="110" t="n"/>
      <c r="AD51" s="110" t="n"/>
      <c r="AE51" s="110" t="n"/>
      <c r="AF51" s="110" t="n"/>
      <c r="AG51" s="110" t="n"/>
      <c r="AH51" s="110" t="n">
        <v>12</v>
      </c>
      <c r="AI51" s="110" t="n"/>
      <c r="AJ51" s="110" t="n"/>
      <c r="AK51" s="110" t="n"/>
      <c r="AL51" s="110" t="n"/>
      <c r="AM51" s="110" t="n"/>
      <c r="AN51" s="110" t="n"/>
      <c r="AO51" s="110" t="n"/>
      <c r="AP51" s="110" t="n"/>
      <c r="AQ51" s="110" t="n"/>
      <c r="AR51" s="110" t="n"/>
      <c r="AS51" s="110" t="n"/>
      <c r="AT51" s="110" t="n"/>
      <c r="AU51" s="110" t="n"/>
      <c r="AV51" s="110" t="n"/>
      <c r="AW51" s="110" t="n"/>
      <c r="AX51" s="110" t="n"/>
      <c r="AY51" s="110" t="n"/>
      <c r="AZ51" s="110" t="n"/>
      <c r="BA51" s="110" t="n"/>
      <c r="BB51" s="110" t="n"/>
      <c r="BC51" t="inlineStr">
        <is>
          <t>ORIGINAL</t>
        </is>
      </c>
      <c r="BD51" t="n">
        <v>42</v>
      </c>
      <c r="BF51" s="109">
        <f>IF($BD51="","",SUMIF($BD$6:$BD$2000,$BD51,$J$6:$J$2000))</f>
        <v/>
      </c>
    </row>
    <row r="52" ht="19.5" customHeight="1">
      <c r="A52" s="96" t="inlineStr">
        <is>
          <t>PENDENTE</t>
        </is>
      </c>
      <c r="B52" s="26" t="inlineStr">
        <is>
          <t>RIACHUELO</t>
        </is>
      </c>
      <c r="C52" s="27" t="n">
        <v>43</v>
      </c>
      <c r="D52" s="26" t="inlineStr">
        <is>
          <t>UBERLÂNDIA CT</t>
        </is>
      </c>
      <c r="E52" s="26" t="inlineStr">
        <is>
          <t>UBERLANDIA</t>
        </is>
      </c>
      <c r="F52" s="27" t="inlineStr">
        <is>
          <t>MG</t>
        </is>
      </c>
      <c r="G52" s="107" t="n">
        <v>46296</v>
      </c>
      <c r="H52" s="108">
        <f>IF($B52="","",SUM($K52:$AG52)+SUM($AS52:$BB52))</f>
        <v/>
      </c>
      <c r="I52" s="108">
        <f>IF($B52="","",SUM($AH52:$AL52))</f>
        <v/>
      </c>
      <c r="J52" s="109">
        <f>IF($B52="","",SUMPRODUCT($K52:$BB52,$K$2:$BB$2))</f>
        <v/>
      </c>
      <c r="K52" s="110" t="n">
        <v>20</v>
      </c>
      <c r="L52" s="110" t="n"/>
      <c r="M52" s="110" t="n"/>
      <c r="N52" s="110" t="n">
        <v>2</v>
      </c>
      <c r="O52" s="110" t="n"/>
      <c r="P52" s="110" t="n"/>
      <c r="Q52" s="110" t="n"/>
      <c r="R52" s="110" t="n"/>
      <c r="S52" s="110" t="n"/>
      <c r="T52" s="110" t="n"/>
      <c r="U52" s="110" t="n">
        <v>2</v>
      </c>
      <c r="V52" s="110" t="n"/>
      <c r="W52" s="110" t="n"/>
      <c r="X52" s="110" t="n"/>
      <c r="Y52" s="110" t="n"/>
      <c r="Z52" s="110" t="n"/>
      <c r="AA52" s="110" t="n">
        <v>16</v>
      </c>
      <c r="AB52" s="110" t="n"/>
      <c r="AC52" s="110" t="n"/>
      <c r="AD52" s="110" t="n"/>
      <c r="AE52" s="110" t="n"/>
      <c r="AF52" s="110" t="n"/>
      <c r="AG52" s="110" t="n"/>
      <c r="AH52" s="110" t="n">
        <v>22</v>
      </c>
      <c r="AI52" s="110" t="n"/>
      <c r="AJ52" s="110" t="n"/>
      <c r="AK52" s="110" t="n"/>
      <c r="AL52" s="110" t="n"/>
      <c r="AM52" s="110" t="n"/>
      <c r="AN52" s="110" t="n"/>
      <c r="AO52" s="110" t="n"/>
      <c r="AP52" s="110" t="n"/>
      <c r="AQ52" s="110" t="n"/>
      <c r="AR52" s="110" t="n"/>
      <c r="AS52" s="110" t="n"/>
      <c r="AT52" s="110" t="n"/>
      <c r="AU52" s="110" t="n"/>
      <c r="AV52" s="110" t="n"/>
      <c r="AW52" s="110" t="n"/>
      <c r="AX52" s="110" t="n"/>
      <c r="AY52" s="110" t="n"/>
      <c r="AZ52" s="110" t="n"/>
      <c r="BA52" s="110" t="n"/>
      <c r="BB52" s="110" t="n"/>
      <c r="BC52" t="inlineStr">
        <is>
          <t>ORIGINAL</t>
        </is>
      </c>
      <c r="BD52" t="n">
        <v>43</v>
      </c>
      <c r="BF52" s="109">
        <f>IF($BD52="","",SUMIF($BD$6:$BD$2000,$BD52,$J$6:$J$2000))</f>
        <v/>
      </c>
    </row>
    <row r="53" ht="19.5" customHeight="1">
      <c r="A53" s="96" t="inlineStr">
        <is>
          <t>PENDENTE</t>
        </is>
      </c>
      <c r="B53" s="26" t="inlineStr">
        <is>
          <t>RIACHUELO</t>
        </is>
      </c>
      <c r="C53" s="27" t="n">
        <v>44</v>
      </c>
      <c r="D53" s="26" t="inlineStr">
        <is>
          <t>UBERLÂNDIA CENTER SHOP</t>
        </is>
      </c>
      <c r="E53" s="26" t="inlineStr">
        <is>
          <t>UBERLANDIA</t>
        </is>
      </c>
      <c r="F53" s="27" t="inlineStr">
        <is>
          <t>MG</t>
        </is>
      </c>
      <c r="G53" s="107" t="n">
        <v>46296</v>
      </c>
      <c r="H53" s="108">
        <f>IF($B53="","",SUM($K53:$AG53)+SUM($AS53:$BB53))</f>
        <v/>
      </c>
      <c r="I53" s="108">
        <f>IF($B53="","",SUM($AH53:$AL53))</f>
        <v/>
      </c>
      <c r="J53" s="109">
        <f>IF($B53="","",SUMPRODUCT($K53:$BB53,$K$2:$BB$2))</f>
        <v/>
      </c>
      <c r="K53" s="110" t="n"/>
      <c r="L53" s="110" t="n"/>
      <c r="M53" s="110" t="n"/>
      <c r="N53" s="110" t="n"/>
      <c r="O53" s="110" t="n"/>
      <c r="P53" s="110" t="n"/>
      <c r="Q53" s="110" t="n"/>
      <c r="R53" s="110" t="n"/>
      <c r="S53" s="110" t="n"/>
      <c r="T53" s="110" t="n"/>
      <c r="U53" s="110" t="n">
        <v>28</v>
      </c>
      <c r="V53" s="110" t="n"/>
      <c r="W53" s="110" t="n"/>
      <c r="X53" s="110" t="n"/>
      <c r="Y53" s="110" t="n"/>
      <c r="Z53" s="110" t="n"/>
      <c r="AA53" s="110" t="n">
        <v>1</v>
      </c>
      <c r="AB53" s="110" t="n"/>
      <c r="AC53" s="110" t="n"/>
      <c r="AD53" s="110" t="n"/>
      <c r="AE53" s="110" t="n"/>
      <c r="AF53" s="110" t="n"/>
      <c r="AG53" s="110" t="n"/>
      <c r="AH53" s="110" t="n">
        <v>24</v>
      </c>
      <c r="AI53" s="110" t="n"/>
      <c r="AJ53" s="110" t="n"/>
      <c r="AK53" s="110" t="n"/>
      <c r="AL53" s="110" t="n"/>
      <c r="AM53" s="110" t="n"/>
      <c r="AN53" s="110" t="n"/>
      <c r="AO53" s="110" t="n"/>
      <c r="AP53" s="110" t="n"/>
      <c r="AQ53" s="110" t="n"/>
      <c r="AR53" s="110" t="n"/>
      <c r="AS53" s="110" t="n"/>
      <c r="AT53" s="110" t="n"/>
      <c r="AU53" s="110" t="n"/>
      <c r="AV53" s="110" t="n"/>
      <c r="AW53" s="110" t="n"/>
      <c r="AX53" s="110" t="n"/>
      <c r="AY53" s="110" t="n"/>
      <c r="AZ53" s="110" t="n"/>
      <c r="BA53" s="110" t="n"/>
      <c r="BB53" s="110" t="n"/>
      <c r="BC53" t="inlineStr">
        <is>
          <t>ORIGINAL</t>
        </is>
      </c>
      <c r="BD53" t="n">
        <v>44</v>
      </c>
      <c r="BF53" s="109">
        <f>IF($BD53="","",SUMIF($BD$6:$BD$2000,$BD53,$J$6:$J$2000))</f>
        <v/>
      </c>
    </row>
    <row r="54" ht="19.5" customHeight="1">
      <c r="A54" s="96" t="inlineStr">
        <is>
          <t>PENDENTE</t>
        </is>
      </c>
      <c r="B54" s="26" t="inlineStr">
        <is>
          <t>RIACHUELO</t>
        </is>
      </c>
      <c r="C54" s="27" t="n">
        <v>45</v>
      </c>
      <c r="D54" s="26" t="inlineStr">
        <is>
          <t>MONTES CLAROS SH</t>
        </is>
      </c>
      <c r="E54" s="26" t="inlineStr">
        <is>
          <t>MONTES CLAROS</t>
        </is>
      </c>
      <c r="F54" s="27" t="inlineStr">
        <is>
          <t>MG</t>
        </is>
      </c>
      <c r="G54" s="107" t="n">
        <v>46266</v>
      </c>
      <c r="H54" s="108">
        <f>IF($B54="","",SUM($K54:$AG54)+SUM($AS54:$BB54))</f>
        <v/>
      </c>
      <c r="I54" s="108">
        <f>IF($B54="","",SUM($AH54:$AL54))</f>
        <v/>
      </c>
      <c r="J54" s="109">
        <f>IF($B54="","",SUMPRODUCT($K54:$BB54,$K$2:$BB$2))</f>
        <v/>
      </c>
      <c r="K54" s="110" t="n"/>
      <c r="L54" s="110" t="n"/>
      <c r="M54" s="110" t="n"/>
      <c r="N54" s="110" t="n"/>
      <c r="O54" s="110" t="n"/>
      <c r="P54" s="110" t="n">
        <v>1</v>
      </c>
      <c r="Q54" s="110" t="n"/>
      <c r="R54" s="110" t="n"/>
      <c r="S54" s="110" t="n"/>
      <c r="T54" s="110" t="n"/>
      <c r="U54" s="110" t="n">
        <v>10</v>
      </c>
      <c r="V54" s="110" t="n"/>
      <c r="W54" s="110" t="n"/>
      <c r="X54" s="110" t="n"/>
      <c r="Y54" s="110" t="n"/>
      <c r="Z54" s="110" t="n"/>
      <c r="AA54" s="110" t="n">
        <v>4</v>
      </c>
      <c r="AB54" s="110" t="n"/>
      <c r="AC54" s="110" t="n"/>
      <c r="AD54" s="110" t="n"/>
      <c r="AE54" s="110" t="n"/>
      <c r="AF54" s="110" t="n"/>
      <c r="AG54" s="110" t="n"/>
      <c r="AH54" s="110" t="n">
        <v>12</v>
      </c>
      <c r="AI54" s="110" t="n"/>
      <c r="AJ54" s="110" t="n"/>
      <c r="AK54" s="110" t="n"/>
      <c r="AL54" s="110" t="n"/>
      <c r="AM54" s="110" t="n"/>
      <c r="AN54" s="110" t="n"/>
      <c r="AO54" s="110" t="n"/>
      <c r="AP54" s="110" t="n"/>
      <c r="AQ54" s="110" t="n"/>
      <c r="AR54" s="110" t="n"/>
      <c r="AS54" s="110" t="n"/>
      <c r="AT54" s="110" t="n"/>
      <c r="AU54" s="110" t="n"/>
      <c r="AV54" s="110" t="n"/>
      <c r="AW54" s="110" t="n"/>
      <c r="AX54" s="110" t="n"/>
      <c r="AY54" s="110" t="n"/>
      <c r="AZ54" s="110" t="n"/>
      <c r="BA54" s="110" t="n"/>
      <c r="BB54" s="110" t="n"/>
      <c r="BC54" t="inlineStr">
        <is>
          <t>ORIGINAL</t>
        </is>
      </c>
      <c r="BD54" t="n">
        <v>45</v>
      </c>
      <c r="BF54" s="109">
        <f>IF($BD54="","",SUMIF($BD$6:$BD$2000,$BD54,$J$6:$J$2000))</f>
        <v/>
      </c>
    </row>
    <row r="55" ht="19.5" customHeight="1">
      <c r="A55" s="96" t="inlineStr">
        <is>
          <t>PENDENTE</t>
        </is>
      </c>
      <c r="B55" s="26" t="inlineStr">
        <is>
          <t>RIACHUELO</t>
        </is>
      </c>
      <c r="C55" s="27" t="n">
        <v>46</v>
      </c>
      <c r="D55" s="26" t="inlineStr">
        <is>
          <t>MG BOULEVARD SH CASA</t>
        </is>
      </c>
      <c r="E55" s="26" t="inlineStr">
        <is>
          <t>BELO HORIZONTE</t>
        </is>
      </c>
      <c r="F55" s="27" t="inlineStr">
        <is>
          <t>MG</t>
        </is>
      </c>
      <c r="G55" s="107" t="n">
        <v>46174</v>
      </c>
      <c r="H55" s="108">
        <f>IF($B55="","",SUM($K55:$AG55)+SUM($AS55:$BB55))</f>
        <v/>
      </c>
      <c r="I55" s="108">
        <f>IF($B55="","",SUM($AH55:$AL55))</f>
        <v/>
      </c>
      <c r="J55" s="109">
        <f>IF($B55="","",SUMPRODUCT($K55:$BB55,$K$2:$BB$2))</f>
        <v/>
      </c>
      <c r="K55" s="110" t="n">
        <v>9</v>
      </c>
      <c r="L55" s="110" t="n"/>
      <c r="M55" s="110" t="n"/>
      <c r="N55" s="110" t="n"/>
      <c r="O55" s="110" t="n"/>
      <c r="P55" s="110" t="n"/>
      <c r="Q55" s="110" t="n"/>
      <c r="R55" s="110" t="n"/>
      <c r="S55" s="110" t="n"/>
      <c r="T55" s="110" t="n"/>
      <c r="U55" s="110" t="n">
        <v>9</v>
      </c>
      <c r="V55" s="110" t="n"/>
      <c r="W55" s="110" t="n"/>
      <c r="X55" s="110" t="n"/>
      <c r="Y55" s="110" t="n"/>
      <c r="Z55" s="110" t="n"/>
      <c r="AA55" s="110" t="n">
        <v>10</v>
      </c>
      <c r="AB55" s="110" t="n"/>
      <c r="AC55" s="110" t="n"/>
      <c r="AD55" s="110" t="n"/>
      <c r="AE55" s="110" t="n"/>
      <c r="AF55" s="110" t="n"/>
      <c r="AG55" s="110" t="n"/>
      <c r="AH55" s="110" t="n">
        <v>12</v>
      </c>
      <c r="AI55" s="110" t="n"/>
      <c r="AJ55" s="110" t="n"/>
      <c r="AK55" s="110" t="n"/>
      <c r="AL55" s="110" t="n"/>
      <c r="AM55" s="110" t="n"/>
      <c r="AN55" s="110" t="n"/>
      <c r="AO55" s="110" t="n"/>
      <c r="AP55" s="110" t="n"/>
      <c r="AQ55" s="110" t="n"/>
      <c r="AR55" s="110" t="n"/>
      <c r="AS55" s="110" t="n"/>
      <c r="AT55" s="110" t="n"/>
      <c r="AU55" s="110" t="n"/>
      <c r="AV55" s="110" t="n"/>
      <c r="AW55" s="110" t="n"/>
      <c r="AX55" s="110" t="n"/>
      <c r="AY55" s="110" t="n"/>
      <c r="AZ55" s="110" t="n"/>
      <c r="BA55" s="110" t="n"/>
      <c r="BB55" s="110" t="n"/>
      <c r="BC55" t="inlineStr">
        <is>
          <t>ORIGINAL</t>
        </is>
      </c>
      <c r="BD55" t="n">
        <v>46</v>
      </c>
      <c r="BF55" s="109">
        <f>IF($BD55="","",SUMIF($BD$6:$BD$2000,$BD55,$J$6:$J$2000))</f>
        <v/>
      </c>
    </row>
    <row r="56" ht="19.5" customHeight="1">
      <c r="A56" s="96" t="inlineStr">
        <is>
          <t>PENDENTE</t>
        </is>
      </c>
      <c r="B56" s="26" t="inlineStr">
        <is>
          <t>RIACHUELO</t>
        </is>
      </c>
      <c r="C56" s="27" t="n">
        <v>47</v>
      </c>
      <c r="D56" s="26" t="inlineStr">
        <is>
          <t>SHOPPING CENTER UBERABA</t>
        </is>
      </c>
      <c r="E56" s="26" t="inlineStr">
        <is>
          <t>UBERABA</t>
        </is>
      </c>
      <c r="F56" s="27" t="inlineStr">
        <is>
          <t>MG</t>
        </is>
      </c>
      <c r="G56" s="107" t="n">
        <v>46174</v>
      </c>
      <c r="H56" s="108">
        <f>IF($B56="","",SUM($K56:$AG56)+SUM($AS56:$BB56))</f>
        <v/>
      </c>
      <c r="I56" s="108">
        <f>IF($B56="","",SUM($AH56:$AL56))</f>
        <v/>
      </c>
      <c r="J56" s="109">
        <f>IF($B56="","",SUMPRODUCT($K56:$BB56,$K$2:$BB$2))</f>
        <v/>
      </c>
      <c r="K56" s="110" t="n">
        <v>10</v>
      </c>
      <c r="L56" s="110" t="n"/>
      <c r="M56" s="110" t="n">
        <v>1</v>
      </c>
      <c r="N56" s="110" t="n">
        <v>5</v>
      </c>
      <c r="O56" s="110" t="n"/>
      <c r="P56" s="110" t="n"/>
      <c r="Q56" s="110" t="n"/>
      <c r="R56" s="110" t="n"/>
      <c r="S56" s="110" t="n"/>
      <c r="T56" s="110" t="n"/>
      <c r="U56" s="110" t="n">
        <v>1</v>
      </c>
      <c r="V56" s="110" t="n"/>
      <c r="W56" s="110" t="n"/>
      <c r="X56" s="110" t="n"/>
      <c r="Y56" s="110" t="n"/>
      <c r="Z56" s="110" t="n"/>
      <c r="AA56" s="110" t="n">
        <v>12</v>
      </c>
      <c r="AB56" s="110" t="n"/>
      <c r="AC56" s="110" t="n"/>
      <c r="AD56" s="110" t="n"/>
      <c r="AE56" s="110" t="n"/>
      <c r="AF56" s="110" t="n"/>
      <c r="AG56" s="110" t="n"/>
      <c r="AH56" s="110" t="n">
        <v>14</v>
      </c>
      <c r="AI56" s="110" t="n"/>
      <c r="AJ56" s="110" t="n"/>
      <c r="AK56" s="110" t="n"/>
      <c r="AL56" s="110" t="n"/>
      <c r="AM56" s="110" t="n"/>
      <c r="AN56" s="110" t="n"/>
      <c r="AO56" s="110" t="n"/>
      <c r="AP56" s="110" t="n"/>
      <c r="AQ56" s="110" t="n"/>
      <c r="AR56" s="110" t="n"/>
      <c r="AS56" s="110" t="n"/>
      <c r="AT56" s="110" t="n"/>
      <c r="AU56" s="110" t="n"/>
      <c r="AV56" s="110" t="n"/>
      <c r="AW56" s="110" t="n"/>
      <c r="AX56" s="110" t="n"/>
      <c r="AY56" s="110" t="n"/>
      <c r="AZ56" s="110" t="n"/>
      <c r="BA56" s="110" t="n"/>
      <c r="BB56" s="110" t="n"/>
      <c r="BC56" t="inlineStr">
        <is>
          <t>ORIGINAL</t>
        </is>
      </c>
      <c r="BD56" t="n">
        <v>47</v>
      </c>
      <c r="BF56" s="109">
        <f>IF($BD56="","",SUMIF($BD$6:$BD$2000,$BD56,$J$6:$J$2000))</f>
        <v/>
      </c>
    </row>
    <row r="57" ht="19.5" customHeight="1">
      <c r="A57" s="96" t="inlineStr">
        <is>
          <t>PENDENTE</t>
        </is>
      </c>
      <c r="B57" s="26" t="inlineStr">
        <is>
          <t>RIACHUELO</t>
        </is>
      </c>
      <c r="C57" s="27" t="n">
        <v>48</v>
      </c>
      <c r="D57" s="26" t="inlineStr">
        <is>
          <t>BLUMENAU NEUMARKT SH</t>
        </is>
      </c>
      <c r="E57" s="26" t="inlineStr">
        <is>
          <t>BLUMENAU</t>
        </is>
      </c>
      <c r="F57" s="27" t="inlineStr">
        <is>
          <t>SC</t>
        </is>
      </c>
      <c r="G57" s="107" t="n">
        <v>46054</v>
      </c>
      <c r="H57" s="108">
        <f>IF($B57="","",SUM($K57:$AG57)+SUM($AS57:$BB57))</f>
        <v/>
      </c>
      <c r="I57" s="108">
        <f>IF($B57="","",SUM($AH57:$AL57))</f>
        <v/>
      </c>
      <c r="J57" s="109">
        <f>IF($B57="","",SUMPRODUCT($K57:$BB57,$K$2:$BB$2))</f>
        <v/>
      </c>
      <c r="K57" s="110" t="n">
        <v>5</v>
      </c>
      <c r="L57" s="110" t="n"/>
      <c r="M57" s="110" t="n"/>
      <c r="N57" s="110" t="n">
        <v>4</v>
      </c>
      <c r="O57" s="110" t="n"/>
      <c r="P57" s="110" t="n"/>
      <c r="Q57" s="110" t="n"/>
      <c r="R57" s="110" t="n"/>
      <c r="S57" s="110" t="n"/>
      <c r="T57" s="110" t="n"/>
      <c r="U57" s="110" t="n"/>
      <c r="V57" s="110" t="n"/>
      <c r="W57" s="110" t="n"/>
      <c r="X57" s="110" t="n"/>
      <c r="Y57" s="110" t="n"/>
      <c r="Z57" s="110" t="n"/>
      <c r="AA57" s="110" t="n">
        <v>9</v>
      </c>
      <c r="AB57" s="110" t="n"/>
      <c r="AC57" s="110" t="n"/>
      <c r="AD57" s="110" t="n"/>
      <c r="AE57" s="110" t="n"/>
      <c r="AF57" s="110" t="n"/>
      <c r="AG57" s="110" t="n"/>
      <c r="AH57" s="110" t="n">
        <v>28</v>
      </c>
      <c r="AI57" s="110" t="n"/>
      <c r="AJ57" s="110" t="n">
        <v>0</v>
      </c>
      <c r="AK57" s="110" t="n"/>
      <c r="AL57" s="110" t="n"/>
      <c r="AM57" s="110" t="n"/>
      <c r="AN57" s="110" t="n"/>
      <c r="AO57" s="110" t="n"/>
      <c r="AP57" s="110" t="n"/>
      <c r="AQ57" s="110" t="n"/>
      <c r="AR57" s="110" t="n"/>
      <c r="AS57" s="110" t="n"/>
      <c r="AT57" s="110" t="n"/>
      <c r="AU57" s="110" t="n"/>
      <c r="AV57" s="110" t="n"/>
      <c r="AW57" s="110" t="n"/>
      <c r="AX57" s="110" t="n"/>
      <c r="AY57" s="110" t="n"/>
      <c r="AZ57" s="110" t="n"/>
      <c r="BA57" s="110" t="n"/>
      <c r="BB57" s="110" t="n"/>
      <c r="BC57" t="inlineStr">
        <is>
          <t>ORIGINAL</t>
        </is>
      </c>
      <c r="BD57" t="n">
        <v>48</v>
      </c>
      <c r="BF57" s="109">
        <f>IF($BD57="","",SUMIF($BD$6:$BD$2000,$BD57,$J$6:$J$2000))</f>
        <v/>
      </c>
    </row>
    <row r="58" ht="19.5" customHeight="1">
      <c r="A58" s="96" t="inlineStr">
        <is>
          <t>PENDENTE</t>
        </is>
      </c>
      <c r="B58" s="26" t="inlineStr">
        <is>
          <t>RIACHUELO</t>
        </is>
      </c>
      <c r="C58" s="27" t="n">
        <v>49</v>
      </c>
      <c r="D58" s="26" t="inlineStr">
        <is>
          <t>SÃO JOSÉ DO RIO PRETO CT</t>
        </is>
      </c>
      <c r="E58" s="26" t="inlineStr">
        <is>
          <t>SÃO JOSÉ DO RIO PRETO</t>
        </is>
      </c>
      <c r="F58" s="27" t="inlineStr">
        <is>
          <t>SP</t>
        </is>
      </c>
      <c r="G58" s="107" t="n">
        <v>46174</v>
      </c>
      <c r="H58" s="108">
        <f>IF($B58="","",SUM($K58:$AG58)+SUM($AS58:$BB58))</f>
        <v/>
      </c>
      <c r="I58" s="108">
        <f>IF($B58="","",SUM($AH58:$AL58))</f>
        <v/>
      </c>
      <c r="J58" s="109">
        <f>IF($B58="","",SUMPRODUCT($K58:$BB58,$K$2:$BB$2))</f>
        <v/>
      </c>
      <c r="K58" s="110" t="n">
        <v>15</v>
      </c>
      <c r="L58" s="110" t="n"/>
      <c r="M58" s="110" t="n">
        <v>8</v>
      </c>
      <c r="N58" s="110" t="n">
        <v>6</v>
      </c>
      <c r="O58" s="110" t="n"/>
      <c r="P58" s="110" t="n"/>
      <c r="Q58" s="110" t="n"/>
      <c r="R58" s="110" t="n"/>
      <c r="S58" s="110" t="n"/>
      <c r="T58" s="110" t="n"/>
      <c r="U58" s="110" t="n">
        <v>3</v>
      </c>
      <c r="V58" s="110" t="n"/>
      <c r="W58" s="110" t="n"/>
      <c r="X58" s="110" t="n"/>
      <c r="Y58" s="110" t="n"/>
      <c r="Z58" s="110" t="n"/>
      <c r="AA58" s="110" t="n">
        <v>1</v>
      </c>
      <c r="AB58" s="110" t="n"/>
      <c r="AC58" s="110" t="n"/>
      <c r="AD58" s="110" t="n"/>
      <c r="AE58" s="110" t="n"/>
      <c r="AF58" s="110" t="n"/>
      <c r="AG58" s="110" t="n"/>
      <c r="AH58" s="110" t="n">
        <v>15</v>
      </c>
      <c r="AI58" s="110" t="n"/>
      <c r="AJ58" s="110" t="n"/>
      <c r="AK58" s="110" t="n"/>
      <c r="AL58" s="110" t="n"/>
      <c r="AM58" s="110" t="n"/>
      <c r="AN58" s="110" t="n"/>
      <c r="AO58" s="110" t="n"/>
      <c r="AP58" s="110" t="n"/>
      <c r="AQ58" s="110" t="n"/>
      <c r="AR58" s="110" t="n"/>
      <c r="AS58" s="110" t="n"/>
      <c r="AT58" s="110" t="n"/>
      <c r="AU58" s="110" t="n"/>
      <c r="AV58" s="110" t="n"/>
      <c r="AW58" s="110" t="n"/>
      <c r="AX58" s="110" t="n"/>
      <c r="AY58" s="110" t="n"/>
      <c r="AZ58" s="110" t="n"/>
      <c r="BA58" s="110" t="n"/>
      <c r="BB58" s="110" t="n"/>
      <c r="BC58" t="inlineStr">
        <is>
          <t>ORIGINAL</t>
        </is>
      </c>
      <c r="BD58" t="n">
        <v>49</v>
      </c>
      <c r="BF58" s="109">
        <f>IF($BD58="","",SUMIF($BD$6:$BD$2000,$BD58,$J$6:$J$2000))</f>
        <v/>
      </c>
    </row>
    <row r="59" ht="19.5" customHeight="1">
      <c r="A59" s="96" t="inlineStr">
        <is>
          <t>PENDENTE</t>
        </is>
      </c>
      <c r="B59" s="26" t="inlineStr">
        <is>
          <t>RIACHUELO</t>
        </is>
      </c>
      <c r="C59" s="27" t="n">
        <v>50</v>
      </c>
      <c r="D59" s="26" t="inlineStr">
        <is>
          <t>RIBEIRÃO PRETO CT</t>
        </is>
      </c>
      <c r="E59" s="26" t="inlineStr">
        <is>
          <t>RIBEIRAO PRETO</t>
        </is>
      </c>
      <c r="F59" s="27" t="inlineStr">
        <is>
          <t>SP</t>
        </is>
      </c>
      <c r="G59" s="107" t="n">
        <v>46235</v>
      </c>
      <c r="H59" s="108">
        <f>IF($B59="","",SUM($K59:$AG59)+SUM($AS59:$BB59))</f>
        <v/>
      </c>
      <c r="I59" s="108">
        <f>IF($B59="","",SUM($AH59:$AL59))</f>
        <v/>
      </c>
      <c r="J59" s="109">
        <f>IF($B59="","",SUMPRODUCT($K59:$BB59,$K$2:$BB$2))</f>
        <v/>
      </c>
      <c r="K59" s="110" t="n">
        <v>14</v>
      </c>
      <c r="L59" s="110" t="n"/>
      <c r="M59" s="110" t="n"/>
      <c r="N59" s="110" t="n">
        <v>3</v>
      </c>
      <c r="O59" s="110" t="n"/>
      <c r="P59" s="110" t="n"/>
      <c r="Q59" s="110" t="n"/>
      <c r="R59" s="110" t="n"/>
      <c r="S59" s="110" t="n"/>
      <c r="T59" s="110" t="n"/>
      <c r="U59" s="110" t="n"/>
      <c r="V59" s="110" t="n"/>
      <c r="W59" s="110" t="n"/>
      <c r="X59" s="110" t="n"/>
      <c r="Y59" s="110" t="n"/>
      <c r="Z59" s="110" t="n"/>
      <c r="AA59" s="110" t="n">
        <v>11</v>
      </c>
      <c r="AB59" s="110" t="n"/>
      <c r="AC59" s="110" t="n"/>
      <c r="AD59" s="110" t="n"/>
      <c r="AE59" s="110" t="n"/>
      <c r="AF59" s="110" t="n"/>
      <c r="AG59" s="110" t="n"/>
      <c r="AH59" s="110" t="n">
        <v>10</v>
      </c>
      <c r="AI59" s="110" t="n"/>
      <c r="AJ59" s="110" t="n"/>
      <c r="AK59" s="110" t="n"/>
      <c r="AL59" s="110" t="n"/>
      <c r="AM59" s="110" t="n"/>
      <c r="AN59" s="110" t="n"/>
      <c r="AO59" s="110" t="n"/>
      <c r="AP59" s="110" t="n"/>
      <c r="AQ59" s="110" t="n"/>
      <c r="AR59" s="110" t="n"/>
      <c r="AS59" s="110" t="n"/>
      <c r="AT59" s="110" t="n"/>
      <c r="AU59" s="110" t="n"/>
      <c r="AV59" s="110" t="n"/>
      <c r="AW59" s="110" t="n"/>
      <c r="AX59" s="110" t="n"/>
      <c r="AY59" s="110" t="n"/>
      <c r="AZ59" s="110" t="n"/>
      <c r="BA59" s="110" t="n"/>
      <c r="BB59" s="110" t="n"/>
      <c r="BC59" t="inlineStr">
        <is>
          <t>ORIGINAL</t>
        </is>
      </c>
      <c r="BD59" t="n">
        <v>50</v>
      </c>
      <c r="BF59" s="109">
        <f>IF($BD59="","",SUMIF($BD$6:$BD$2000,$BD59,$J$6:$J$2000))</f>
        <v/>
      </c>
    </row>
    <row r="60" ht="19.5" customHeight="1">
      <c r="A60" s="96" t="inlineStr">
        <is>
          <t>PENDENTE</t>
        </is>
      </c>
      <c r="B60" s="26" t="inlineStr">
        <is>
          <t>RIACHUELO</t>
        </is>
      </c>
      <c r="C60" s="27" t="n">
        <v>51</v>
      </c>
      <c r="D60" s="26" t="inlineStr">
        <is>
          <t>CURITIBA CT</t>
        </is>
      </c>
      <c r="E60" s="26" t="inlineStr">
        <is>
          <t>CURITIBA</t>
        </is>
      </c>
      <c r="F60" s="27" t="inlineStr">
        <is>
          <t>PR</t>
        </is>
      </c>
      <c r="G60" s="107" t="n">
        <v>46266</v>
      </c>
      <c r="H60" s="108">
        <f>IF($B60="","",SUM($K60:$AG60)+SUM($AS60:$BB60))</f>
        <v/>
      </c>
      <c r="I60" s="108">
        <f>IF($B60="","",SUM($AH60:$AL60))</f>
        <v/>
      </c>
      <c r="J60" s="109">
        <f>IF($B60="","",SUMPRODUCT($K60:$BB60,$K$2:$BB$2))</f>
        <v/>
      </c>
      <c r="K60" s="110" t="n">
        <v>16</v>
      </c>
      <c r="L60" s="110" t="n"/>
      <c r="M60" s="110" t="n">
        <v>11</v>
      </c>
      <c r="N60" s="110" t="n"/>
      <c r="O60" s="110" t="n"/>
      <c r="P60" s="110" t="n"/>
      <c r="Q60" s="110" t="n"/>
      <c r="R60" s="110" t="n"/>
      <c r="S60" s="110" t="n"/>
      <c r="T60" s="110" t="n"/>
      <c r="U60" s="110" t="n"/>
      <c r="V60" s="110" t="n"/>
      <c r="W60" s="110" t="n"/>
      <c r="X60" s="110" t="n"/>
      <c r="Y60" s="110" t="n"/>
      <c r="Z60" s="110" t="n"/>
      <c r="AA60" s="110" t="n">
        <v>22</v>
      </c>
      <c r="AB60" s="110" t="n"/>
      <c r="AC60" s="110" t="n"/>
      <c r="AD60" s="110" t="n"/>
      <c r="AE60" s="110" t="n"/>
      <c r="AF60" s="110" t="n"/>
      <c r="AG60" s="110" t="n"/>
      <c r="AH60" s="110" t="n">
        <v>64</v>
      </c>
      <c r="AI60" s="110" t="n"/>
      <c r="AJ60" s="110" t="n"/>
      <c r="AK60" s="110" t="n"/>
      <c r="AL60" s="110" t="n"/>
      <c r="AM60" s="110" t="n"/>
      <c r="AN60" s="110" t="n"/>
      <c r="AO60" s="110" t="n"/>
      <c r="AP60" s="110" t="n"/>
      <c r="AQ60" s="110" t="n"/>
      <c r="AR60" s="110" t="n"/>
      <c r="AS60" s="110" t="n"/>
      <c r="AT60" s="110" t="n"/>
      <c r="AU60" s="110" t="n"/>
      <c r="AV60" s="110" t="n"/>
      <c r="AW60" s="110" t="n"/>
      <c r="AX60" s="110" t="n"/>
      <c r="AY60" s="110" t="n"/>
      <c r="AZ60" s="110" t="n"/>
      <c r="BA60" s="110" t="n"/>
      <c r="BB60" s="110" t="n"/>
      <c r="BC60" t="inlineStr">
        <is>
          <t>ORIGINAL</t>
        </is>
      </c>
      <c r="BD60" t="n">
        <v>51</v>
      </c>
      <c r="BF60" s="109">
        <f>IF($BD60="","",SUMIF($BD$6:$BD$2000,$BD60,$J$6:$J$2000))</f>
        <v/>
      </c>
    </row>
    <row r="61" ht="19.5" customHeight="1">
      <c r="A61" s="96" t="inlineStr">
        <is>
          <t>PENDENTE</t>
        </is>
      </c>
      <c r="B61" s="26" t="inlineStr">
        <is>
          <t>RIACHUELO</t>
        </is>
      </c>
      <c r="C61" s="27" t="n">
        <v>52</v>
      </c>
      <c r="D61" s="26" t="inlineStr">
        <is>
          <t>SHOPPING IGUATEMI CAMPINAS ( MODA E CASA)</t>
        </is>
      </c>
      <c r="E61" s="26" t="inlineStr">
        <is>
          <t>CAMPINAS</t>
        </is>
      </c>
      <c r="F61" s="27" t="inlineStr">
        <is>
          <t>SP</t>
        </is>
      </c>
      <c r="G61" s="107" t="n">
        <v>46388</v>
      </c>
      <c r="H61" s="108">
        <f>IF($B61="","",SUM($K61:$AG61)+SUM($AS61:$BB61))</f>
        <v/>
      </c>
      <c r="I61" s="108">
        <f>IF($B61="","",SUM($AH61:$AL61))</f>
        <v/>
      </c>
      <c r="J61" s="109">
        <f>IF($B61="","",SUMPRODUCT($K61:$BB61,$K$2:$BB$2))</f>
        <v/>
      </c>
      <c r="K61" s="110" t="n">
        <v>12</v>
      </c>
      <c r="L61" s="110" t="n"/>
      <c r="M61" s="110" t="n">
        <v>6</v>
      </c>
      <c r="N61" s="110" t="n"/>
      <c r="O61" s="110" t="n"/>
      <c r="P61" s="110" t="n">
        <v>1</v>
      </c>
      <c r="Q61" s="110" t="n"/>
      <c r="R61" s="110" t="n"/>
      <c r="S61" s="110" t="n"/>
      <c r="T61" s="110" t="n"/>
      <c r="U61" s="110" t="n">
        <v>1</v>
      </c>
      <c r="V61" s="110" t="n"/>
      <c r="W61" s="110" t="n"/>
      <c r="X61" s="110" t="n"/>
      <c r="Y61" s="110" t="n"/>
      <c r="Z61" s="110" t="n"/>
      <c r="AA61" s="110" t="n">
        <v>17</v>
      </c>
      <c r="AB61" s="110" t="n"/>
      <c r="AC61" s="110" t="n"/>
      <c r="AD61" s="110" t="n"/>
      <c r="AE61" s="110" t="n"/>
      <c r="AF61" s="110" t="n"/>
      <c r="AG61" s="110" t="n"/>
      <c r="AH61" s="110" t="n"/>
      <c r="AI61" s="110" t="n"/>
      <c r="AJ61" s="110" t="n">
        <v>32</v>
      </c>
      <c r="AK61" s="110" t="n"/>
      <c r="AL61" s="110" t="n"/>
      <c r="AM61" s="110" t="n"/>
      <c r="AN61" s="110" t="n"/>
      <c r="AO61" s="110" t="n"/>
      <c r="AP61" s="110" t="n"/>
      <c r="AQ61" s="110" t="n"/>
      <c r="AR61" s="110" t="n"/>
      <c r="AS61" s="110" t="n"/>
      <c r="AT61" s="110" t="n"/>
      <c r="AU61" s="110" t="n"/>
      <c r="AV61" s="110" t="n"/>
      <c r="AW61" s="110" t="n"/>
      <c r="AX61" s="110" t="n"/>
      <c r="AY61" s="110" t="n"/>
      <c r="AZ61" s="110" t="n"/>
      <c r="BA61" s="110" t="n"/>
      <c r="BB61" s="110" t="n"/>
      <c r="BC61" t="inlineStr">
        <is>
          <t>ORIGINAL</t>
        </is>
      </c>
      <c r="BD61" t="n">
        <v>52</v>
      </c>
      <c r="BF61" s="109">
        <f>IF($BD61="","",SUMIF($BD$6:$BD$2000,$BD61,$J$6:$J$2000))</f>
        <v/>
      </c>
    </row>
    <row r="62" ht="19.5" customHeight="1">
      <c r="A62" s="96" t="inlineStr">
        <is>
          <t>PENDENTE</t>
        </is>
      </c>
      <c r="B62" s="26" t="inlineStr">
        <is>
          <t>RIACHUELO</t>
        </is>
      </c>
      <c r="C62" s="27" t="n">
        <v>53</v>
      </c>
      <c r="D62" s="26" t="inlineStr">
        <is>
          <t>FLORIPA SH</t>
        </is>
      </c>
      <c r="E62" s="26" t="inlineStr">
        <is>
          <t>FLORIANOPOLIS</t>
        </is>
      </c>
      <c r="F62" s="27" t="inlineStr">
        <is>
          <t>SC</t>
        </is>
      </c>
      <c r="G62" s="107" t="n">
        <v>46235</v>
      </c>
      <c r="H62" s="108">
        <f>IF($B62="","",SUM($K62:$AG62)+SUM($AS62:$BB62))</f>
        <v/>
      </c>
      <c r="I62" s="108">
        <f>IF($B62="","",SUM($AH62:$AL62))</f>
        <v/>
      </c>
      <c r="J62" s="109">
        <f>IF($B62="","",SUMPRODUCT($K62:$BB62,$K$2:$BB$2))</f>
        <v/>
      </c>
      <c r="K62" s="110" t="n">
        <v>6</v>
      </c>
      <c r="L62" s="110" t="n"/>
      <c r="M62" s="110" t="n"/>
      <c r="N62" s="110" t="n"/>
      <c r="O62" s="110" t="n"/>
      <c r="P62" s="110" t="n"/>
      <c r="Q62" s="110" t="n"/>
      <c r="R62" s="110" t="n"/>
      <c r="S62" s="110" t="n"/>
      <c r="T62" s="110" t="n">
        <v>5</v>
      </c>
      <c r="U62" s="110" t="n"/>
      <c r="V62" s="110" t="n"/>
      <c r="W62" s="110" t="n"/>
      <c r="X62" s="110" t="n"/>
      <c r="Y62" s="110" t="n"/>
      <c r="Z62" s="110" t="n"/>
      <c r="AA62" s="110" t="n">
        <v>15</v>
      </c>
      <c r="AB62" s="110" t="n"/>
      <c r="AC62" s="110" t="n"/>
      <c r="AD62" s="110" t="n"/>
      <c r="AE62" s="110" t="n"/>
      <c r="AF62" s="110" t="n"/>
      <c r="AG62" s="110" t="n"/>
      <c r="AH62" s="110" t="n">
        <v>40</v>
      </c>
      <c r="AI62" s="110" t="n"/>
      <c r="AJ62" s="110" t="n"/>
      <c r="AK62" s="110" t="n"/>
      <c r="AL62" s="110" t="n"/>
      <c r="AM62" s="110" t="n"/>
      <c r="AN62" s="110" t="n"/>
      <c r="AO62" s="110" t="n"/>
      <c r="AP62" s="110" t="n"/>
      <c r="AQ62" s="110" t="n"/>
      <c r="AR62" s="110" t="n"/>
      <c r="AS62" s="110" t="n"/>
      <c r="AT62" s="110" t="n"/>
      <c r="AU62" s="110" t="n"/>
      <c r="AV62" s="110" t="n"/>
      <c r="AW62" s="110" t="n"/>
      <c r="AX62" s="110" t="n"/>
      <c r="AY62" s="110" t="n"/>
      <c r="AZ62" s="110" t="n"/>
      <c r="BA62" s="110" t="n"/>
      <c r="BB62" s="110" t="n"/>
      <c r="BC62" t="inlineStr">
        <is>
          <t>ORIGINAL</t>
        </is>
      </c>
      <c r="BD62" t="n">
        <v>53</v>
      </c>
      <c r="BF62" s="109">
        <f>IF($BD62="","",SUMIF($BD$6:$BD$2000,$BD62,$J$6:$J$2000))</f>
        <v/>
      </c>
    </row>
    <row r="63" ht="19.5" customHeight="1">
      <c r="A63" s="96" t="inlineStr">
        <is>
          <t>PENDENTE</t>
        </is>
      </c>
      <c r="B63" s="26" t="inlineStr">
        <is>
          <t>RIACHUELO</t>
        </is>
      </c>
      <c r="C63" s="27" t="n">
        <v>54</v>
      </c>
      <c r="D63" s="26" t="inlineStr">
        <is>
          <t>SHOPPING ESTAÇÃO</t>
        </is>
      </c>
      <c r="E63" s="26" t="inlineStr">
        <is>
          <t>CURITIBA</t>
        </is>
      </c>
      <c r="F63" s="27" t="inlineStr">
        <is>
          <t>PR</t>
        </is>
      </c>
      <c r="G63" s="107" t="n">
        <v>46054</v>
      </c>
      <c r="H63" s="108">
        <f>IF($B63="","",SUM($K63:$AG63)+SUM($AS63:$BB63))</f>
        <v/>
      </c>
      <c r="I63" s="108">
        <f>IF($B63="","",SUM($AH63:$AL63))</f>
        <v/>
      </c>
      <c r="J63" s="109">
        <f>IF($B63="","",SUMPRODUCT($K63:$BB63,$K$2:$BB$2))</f>
        <v/>
      </c>
      <c r="K63" s="110" t="n">
        <v>1</v>
      </c>
      <c r="L63" s="110" t="n"/>
      <c r="M63" s="110" t="n">
        <v>17</v>
      </c>
      <c r="N63" s="110" t="n"/>
      <c r="O63" s="110" t="n"/>
      <c r="P63" s="110" t="n"/>
      <c r="Q63" s="110" t="n"/>
      <c r="R63" s="110" t="n"/>
      <c r="S63" s="110" t="n"/>
      <c r="T63" s="110" t="n"/>
      <c r="U63" s="110" t="n"/>
      <c r="V63" s="110" t="n"/>
      <c r="W63" s="110" t="n"/>
      <c r="X63" s="110" t="n"/>
      <c r="Y63" s="110" t="n"/>
      <c r="Z63" s="110" t="n"/>
      <c r="AA63" s="110" t="n">
        <v>6</v>
      </c>
      <c r="AB63" s="110" t="n"/>
      <c r="AC63" s="110" t="n"/>
      <c r="AD63" s="110" t="n"/>
      <c r="AE63" s="110" t="n"/>
      <c r="AF63" s="110" t="n"/>
      <c r="AG63" s="110" t="n"/>
      <c r="AH63" s="110" t="n"/>
      <c r="AI63" s="110" t="n"/>
      <c r="AJ63" s="110" t="n">
        <v>28</v>
      </c>
      <c r="AK63" s="110" t="n"/>
      <c r="AL63" s="110" t="n"/>
      <c r="AM63" s="110" t="n"/>
      <c r="AN63" s="110" t="n"/>
      <c r="AO63" s="110" t="n"/>
      <c r="AP63" s="110" t="n"/>
      <c r="AQ63" s="110" t="n"/>
      <c r="AR63" s="110" t="n"/>
      <c r="AS63" s="110" t="n"/>
      <c r="AT63" s="110" t="n"/>
      <c r="AU63" s="110" t="n"/>
      <c r="AV63" s="110" t="n"/>
      <c r="AW63" s="110" t="n"/>
      <c r="AX63" s="110" t="n"/>
      <c r="AY63" s="110" t="n"/>
      <c r="AZ63" s="110" t="n"/>
      <c r="BA63" s="110" t="n"/>
      <c r="BB63" s="110" t="n"/>
      <c r="BC63" t="inlineStr">
        <is>
          <t>ORIGINAL</t>
        </is>
      </c>
      <c r="BD63" t="n">
        <v>54</v>
      </c>
      <c r="BF63" s="109">
        <f>IF($BD63="","",SUMIF($BD$6:$BD$2000,$BD63,$J$6:$J$2000))</f>
        <v/>
      </c>
    </row>
    <row r="64" ht="19.5" customHeight="1">
      <c r="A64" s="96" t="inlineStr">
        <is>
          <t>PENDENTE</t>
        </is>
      </c>
      <c r="B64" s="26" t="inlineStr">
        <is>
          <t>RIACHUELO</t>
        </is>
      </c>
      <c r="C64" s="27" t="n">
        <v>55</v>
      </c>
      <c r="D64" s="26" t="inlineStr">
        <is>
          <t>PQ DOM PEDRO SH</t>
        </is>
      </c>
      <c r="E64" s="26" t="inlineStr">
        <is>
          <t>CAMPINAS</t>
        </is>
      </c>
      <c r="F64" s="27" t="inlineStr">
        <is>
          <t>SP</t>
        </is>
      </c>
      <c r="G64" s="107" t="n">
        <v>46082</v>
      </c>
      <c r="H64" s="108">
        <f>IF($B64="","",SUM($K64:$AG64)+SUM($AS64:$BB64))</f>
        <v/>
      </c>
      <c r="I64" s="108">
        <f>IF($B64="","",SUM($AH64:$AL64))</f>
        <v/>
      </c>
      <c r="J64" s="109">
        <f>IF($B64="","",SUMPRODUCT($K64:$BB64,$K$2:$BB$2))</f>
        <v/>
      </c>
      <c r="K64" s="110" t="n">
        <v>8</v>
      </c>
      <c r="L64" s="110" t="n"/>
      <c r="M64" s="110" t="n"/>
      <c r="N64" s="110" t="n">
        <v>9</v>
      </c>
      <c r="O64" s="110" t="n"/>
      <c r="P64" s="110" t="n"/>
      <c r="Q64" s="110" t="n"/>
      <c r="R64" s="110" t="n"/>
      <c r="S64" s="110" t="n"/>
      <c r="T64" s="110" t="n"/>
      <c r="U64" s="110" t="n">
        <v>1</v>
      </c>
      <c r="V64" s="110" t="n"/>
      <c r="W64" s="110" t="n"/>
      <c r="X64" s="110" t="n"/>
      <c r="Y64" s="110" t="n"/>
      <c r="Z64" s="110" t="n"/>
      <c r="AA64" s="110" t="n">
        <v>8</v>
      </c>
      <c r="AB64" s="110" t="n"/>
      <c r="AC64" s="110" t="n"/>
      <c r="AD64" s="110" t="n"/>
      <c r="AE64" s="110" t="n"/>
      <c r="AF64" s="110" t="n"/>
      <c r="AG64" s="110" t="n"/>
      <c r="AH64" s="110" t="n">
        <v>28</v>
      </c>
      <c r="AI64" s="110" t="n"/>
      <c r="AJ64" s="110" t="n"/>
      <c r="AK64" s="110" t="n"/>
      <c r="AL64" s="110" t="n"/>
      <c r="AM64" s="110" t="n"/>
      <c r="AN64" s="110" t="n"/>
      <c r="AO64" s="110" t="n"/>
      <c r="AP64" s="110" t="n"/>
      <c r="AQ64" s="110" t="n"/>
      <c r="AR64" s="110" t="n"/>
      <c r="AS64" s="110" t="n"/>
      <c r="AT64" s="110" t="n"/>
      <c r="AU64" s="110" t="n"/>
      <c r="AV64" s="110" t="n"/>
      <c r="AW64" s="110" t="n"/>
      <c r="AX64" s="110" t="n"/>
      <c r="AY64" s="110" t="n"/>
      <c r="AZ64" s="110" t="n"/>
      <c r="BA64" s="110" t="n"/>
      <c r="BB64" s="110" t="n"/>
      <c r="BC64" t="inlineStr">
        <is>
          <t>ORIGINAL</t>
        </is>
      </c>
      <c r="BD64" t="n">
        <v>55</v>
      </c>
      <c r="BF64" s="109">
        <f>IF($BD64="","",SUMIF($BD$6:$BD$2000,$BD64,$J$6:$J$2000))</f>
        <v/>
      </c>
    </row>
    <row r="65" ht="19.5" customHeight="1">
      <c r="A65" s="96" t="inlineStr">
        <is>
          <t>PENDENTE</t>
        </is>
      </c>
      <c r="B65" s="26" t="inlineStr">
        <is>
          <t>RIACHUELO</t>
        </is>
      </c>
      <c r="C65" s="27" t="n">
        <v>56</v>
      </c>
      <c r="D65" s="26" t="inlineStr">
        <is>
          <t>MARINGA</t>
        </is>
      </c>
      <c r="E65" s="26" t="inlineStr">
        <is>
          <t>MARINGÁ</t>
        </is>
      </c>
      <c r="F65" s="27" t="inlineStr">
        <is>
          <t>PR</t>
        </is>
      </c>
      <c r="G65" s="107" t="n">
        <v>46235</v>
      </c>
      <c r="H65" s="108">
        <f>IF($B65="","",SUM($K65:$AG65)+SUM($AS65:$BB65))</f>
        <v/>
      </c>
      <c r="I65" s="108">
        <f>IF($B65="","",SUM($AH65:$AL65))</f>
        <v/>
      </c>
      <c r="J65" s="109">
        <f>IF($B65="","",SUMPRODUCT($K65:$BB65,$K$2:$BB$2))</f>
        <v/>
      </c>
      <c r="K65" s="110" t="n">
        <v>13</v>
      </c>
      <c r="L65" s="110" t="n"/>
      <c r="M65" s="110" t="n">
        <v>5</v>
      </c>
      <c r="N65" s="110" t="n"/>
      <c r="O65" s="110" t="n"/>
      <c r="P65" s="110" t="n"/>
      <c r="Q65" s="110" t="n"/>
      <c r="R65" s="110" t="n"/>
      <c r="S65" s="110" t="n"/>
      <c r="T65" s="110" t="n">
        <v>1</v>
      </c>
      <c r="U65" s="110" t="n"/>
      <c r="V65" s="110" t="n"/>
      <c r="W65" s="110" t="n"/>
      <c r="X65" s="110" t="n"/>
      <c r="Y65" s="110" t="n"/>
      <c r="Z65" s="110" t="n"/>
      <c r="AA65" s="110" t="n">
        <v>11</v>
      </c>
      <c r="AB65" s="110" t="n"/>
      <c r="AC65" s="110" t="n"/>
      <c r="AD65" s="110" t="n"/>
      <c r="AE65" s="110" t="n"/>
      <c r="AF65" s="110" t="n"/>
      <c r="AG65" s="110" t="n"/>
      <c r="AH65" s="110" t="n">
        <v>26</v>
      </c>
      <c r="AI65" s="110" t="n"/>
      <c r="AJ65" s="110" t="n"/>
      <c r="AK65" s="110" t="n"/>
      <c r="AL65" s="110" t="n"/>
      <c r="AM65" s="110" t="n"/>
      <c r="AN65" s="110" t="n"/>
      <c r="AO65" s="110" t="n"/>
      <c r="AP65" s="110" t="n"/>
      <c r="AQ65" s="110" t="n"/>
      <c r="AR65" s="110" t="n"/>
      <c r="AS65" s="110" t="n"/>
      <c r="AT65" s="110" t="n"/>
      <c r="AU65" s="110" t="n"/>
      <c r="AV65" s="110" t="n"/>
      <c r="AW65" s="110" t="n"/>
      <c r="AX65" s="110" t="n"/>
      <c r="AY65" s="110" t="n"/>
      <c r="AZ65" s="110" t="n"/>
      <c r="BA65" s="110" t="n"/>
      <c r="BB65" s="110" t="n"/>
      <c r="BC65" t="inlineStr">
        <is>
          <t>ORIGINAL</t>
        </is>
      </c>
      <c r="BD65" t="n">
        <v>56</v>
      </c>
      <c r="BF65" s="109">
        <f>IF($BD65="","",SUMIF($BD$6:$BD$2000,$BD65,$J$6:$J$2000))</f>
        <v/>
      </c>
    </row>
    <row r="66" ht="19.5" customHeight="1">
      <c r="A66" s="96" t="inlineStr">
        <is>
          <t>PENDENTE</t>
        </is>
      </c>
      <c r="B66" s="26" t="inlineStr">
        <is>
          <t>RIACHUELO</t>
        </is>
      </c>
      <c r="C66" s="27" t="n">
        <v>57</v>
      </c>
      <c r="D66" s="26" t="inlineStr">
        <is>
          <t>PALLADIUM SHOPPING CENTER</t>
        </is>
      </c>
      <c r="E66" s="26" t="inlineStr">
        <is>
          <t>CURITIBA</t>
        </is>
      </c>
      <c r="F66" s="27" t="inlineStr">
        <is>
          <t>PR</t>
        </is>
      </c>
      <c r="G66" s="107" t="n">
        <v>46054</v>
      </c>
      <c r="H66" s="108">
        <f>IF($B66="","",SUM($K66:$AG66)+SUM($AS66:$BB66))</f>
        <v/>
      </c>
      <c r="I66" s="108">
        <f>IF($B66="","",SUM($AH66:$AL66))</f>
        <v/>
      </c>
      <c r="J66" s="109">
        <f>IF($B66="","",SUMPRODUCT($K66:$BB66,$K$2:$BB$2))</f>
        <v/>
      </c>
      <c r="K66" s="110" t="n">
        <v>4</v>
      </c>
      <c r="L66" s="110" t="n"/>
      <c r="M66" s="110" t="n">
        <v>10</v>
      </c>
      <c r="N66" s="110" t="n">
        <v>1</v>
      </c>
      <c r="O66" s="110" t="n"/>
      <c r="P66" s="110" t="n"/>
      <c r="Q66" s="110" t="n"/>
      <c r="R66" s="110" t="n"/>
      <c r="S66" s="110" t="n"/>
      <c r="T66" s="110" t="n"/>
      <c r="U66" s="110" t="n"/>
      <c r="V66" s="110" t="n"/>
      <c r="W66" s="110" t="n"/>
      <c r="X66" s="110" t="n"/>
      <c r="Y66" s="110" t="n"/>
      <c r="Z66" s="110" t="n"/>
      <c r="AA66" s="110" t="n">
        <v>13</v>
      </c>
      <c r="AB66" s="110" t="n"/>
      <c r="AC66" s="110" t="n"/>
      <c r="AD66" s="110" t="n"/>
      <c r="AE66" s="110" t="n"/>
      <c r="AF66" s="110" t="n"/>
      <c r="AG66" s="110" t="n"/>
      <c r="AH66" s="110" t="n"/>
      <c r="AI66" s="110" t="n"/>
      <c r="AJ66" s="110" t="n">
        <v>24</v>
      </c>
      <c r="AK66" s="110" t="n"/>
      <c r="AL66" s="110" t="n"/>
      <c r="AM66" s="110" t="n"/>
      <c r="AN66" s="110" t="n"/>
      <c r="AO66" s="110" t="n"/>
      <c r="AP66" s="110" t="n"/>
      <c r="AQ66" s="110" t="n"/>
      <c r="AR66" s="110" t="n"/>
      <c r="AS66" s="110" t="n"/>
      <c r="AT66" s="110" t="n"/>
      <c r="AU66" s="110" t="n"/>
      <c r="AV66" s="110" t="n"/>
      <c r="AW66" s="110" t="n"/>
      <c r="AX66" s="110" t="n"/>
      <c r="AY66" s="110" t="n"/>
      <c r="AZ66" s="110" t="n"/>
      <c r="BA66" s="110" t="n"/>
      <c r="BB66" s="110" t="n"/>
      <c r="BC66" t="inlineStr">
        <is>
          <t>ORIGINAL</t>
        </is>
      </c>
      <c r="BD66" t="n">
        <v>57</v>
      </c>
      <c r="BF66" s="109">
        <f>IF($BD66="","",SUMIF($BD$6:$BD$2000,$BD66,$J$6:$J$2000))</f>
        <v/>
      </c>
    </row>
    <row r="67" ht="19.5" customHeight="1">
      <c r="A67" s="96" t="inlineStr">
        <is>
          <t>PENDENTE</t>
        </is>
      </c>
      <c r="B67" s="26" t="inlineStr">
        <is>
          <t>RIACHUELO</t>
        </is>
      </c>
      <c r="C67" s="27" t="n">
        <v>334</v>
      </c>
      <c r="D67" s="26" t="inlineStr">
        <is>
          <t>POA IGUATEMI SH</t>
        </is>
      </c>
      <c r="E67" s="26" t="inlineStr">
        <is>
          <t>PORTO ALEGRE</t>
        </is>
      </c>
      <c r="F67" s="27" t="inlineStr">
        <is>
          <t>RS</t>
        </is>
      </c>
      <c r="G67" s="107" t="n">
        <v>46204</v>
      </c>
      <c r="H67" s="108">
        <f>IF($B67="","",SUM($K67:$AG67)+SUM($AS67:$BB67))</f>
        <v/>
      </c>
      <c r="I67" s="108">
        <f>IF($B67="","",SUM($AH67:$AL67))</f>
        <v/>
      </c>
      <c r="J67" s="109">
        <f>IF($B67="","",SUMPRODUCT($K67:$BB67,$K$2:$BB$2))</f>
        <v/>
      </c>
      <c r="K67" s="110" t="n">
        <v>5</v>
      </c>
      <c r="L67" s="110" t="n"/>
      <c r="M67" s="110" t="n"/>
      <c r="N67" s="110" t="n">
        <v>3</v>
      </c>
      <c r="O67" s="110" t="n"/>
      <c r="P67" s="110" t="n"/>
      <c r="Q67" s="110" t="n"/>
      <c r="R67" s="110" t="n"/>
      <c r="S67" s="110" t="n"/>
      <c r="T67" s="110" t="n"/>
      <c r="U67" s="110" t="n">
        <v>3</v>
      </c>
      <c r="V67" s="110" t="n"/>
      <c r="W67" s="110" t="n"/>
      <c r="X67" s="110" t="n"/>
      <c r="Y67" s="110" t="n"/>
      <c r="Z67" s="110" t="n"/>
      <c r="AA67" s="110" t="n">
        <v>3</v>
      </c>
      <c r="AB67" s="110" t="n"/>
      <c r="AC67" s="110" t="n"/>
      <c r="AD67" s="110" t="n"/>
      <c r="AE67" s="110" t="n"/>
      <c r="AF67" s="110" t="n"/>
      <c r="AG67" s="110" t="n"/>
      <c r="AH67" s="110" t="n">
        <v>6</v>
      </c>
      <c r="AI67" s="110" t="n"/>
      <c r="AJ67" s="110" t="n"/>
      <c r="AK67" s="110" t="n"/>
      <c r="AL67" s="110" t="n"/>
      <c r="AM67" s="110" t="n"/>
      <c r="AN67" s="110" t="n"/>
      <c r="AO67" s="110" t="n"/>
      <c r="AP67" s="110" t="n"/>
      <c r="AQ67" s="110" t="n"/>
      <c r="AR67" s="110" t="n"/>
      <c r="AS67" s="110" t="n"/>
      <c r="AT67" s="110" t="n"/>
      <c r="AU67" s="110" t="n"/>
      <c r="AV67" s="110" t="n"/>
      <c r="AW67" s="110" t="n"/>
      <c r="AX67" s="110" t="n"/>
      <c r="AY67" s="110" t="n"/>
      <c r="AZ67" s="110" t="n"/>
      <c r="BA67" s="110" t="n"/>
      <c r="BB67" s="110" t="n"/>
      <c r="BC67" t="inlineStr">
        <is>
          <t>ORIGINAL</t>
        </is>
      </c>
      <c r="BD67" t="n">
        <v>58</v>
      </c>
      <c r="BF67" s="109">
        <f>IF($BD67="","",SUMIF($BD$6:$BD$2000,$BD67,$J$6:$J$2000))</f>
        <v/>
      </c>
    </row>
    <row r="68" ht="19.5" customHeight="1">
      <c r="A68" s="96" t="inlineStr">
        <is>
          <t>PENDENTE</t>
        </is>
      </c>
      <c r="B68" s="26" t="inlineStr">
        <is>
          <t>RIACHUELO</t>
        </is>
      </c>
      <c r="C68" s="27" t="n">
        <v>59</v>
      </c>
      <c r="D68" s="26" t="inlineStr">
        <is>
          <t>CATUÁI SHOPPING MARINGA</t>
        </is>
      </c>
      <c r="E68" s="26" t="inlineStr">
        <is>
          <t>MARINGÁ</t>
        </is>
      </c>
      <c r="F68" s="27" t="inlineStr">
        <is>
          <t>PR</t>
        </is>
      </c>
      <c r="G68" s="107" t="n">
        <v>46419</v>
      </c>
      <c r="H68" s="108">
        <f>IF($B68="","",SUM($K68:$AG68)+SUM($AS68:$BB68))</f>
        <v/>
      </c>
      <c r="I68" s="108">
        <f>IF($B68="","",SUM($AH68:$AL68))</f>
        <v/>
      </c>
      <c r="J68" s="109">
        <f>IF($B68="","",SUMPRODUCT($K68:$BB68,$K$2:$BB$2))</f>
        <v/>
      </c>
      <c r="K68" s="110" t="n">
        <v>8</v>
      </c>
      <c r="L68" s="110" t="n"/>
      <c r="M68" s="110" t="n">
        <v>7</v>
      </c>
      <c r="N68" s="110" t="n"/>
      <c r="O68" s="110" t="n"/>
      <c r="P68" s="110" t="n"/>
      <c r="Q68" s="110" t="n"/>
      <c r="R68" s="110" t="n"/>
      <c r="S68" s="110" t="n"/>
      <c r="T68" s="110" t="n"/>
      <c r="U68" s="110" t="n"/>
      <c r="V68" s="110" t="n"/>
      <c r="W68" s="110" t="n"/>
      <c r="X68" s="110" t="n"/>
      <c r="Y68" s="110" t="n"/>
      <c r="Z68" s="110" t="n"/>
      <c r="AA68" s="110" t="n">
        <v>13</v>
      </c>
      <c r="AB68" s="110" t="n"/>
      <c r="AC68" s="110" t="n"/>
      <c r="AD68" s="110" t="n"/>
      <c r="AE68" s="110" t="n"/>
      <c r="AF68" s="110" t="n"/>
      <c r="AG68" s="110" t="n"/>
      <c r="AH68" s="110" t="n">
        <v>32</v>
      </c>
      <c r="AI68" s="110" t="n"/>
      <c r="AJ68" s="110" t="n"/>
      <c r="AK68" s="110" t="n"/>
      <c r="AL68" s="110" t="n"/>
      <c r="AM68" s="110" t="n"/>
      <c r="AN68" s="110" t="n"/>
      <c r="AO68" s="110" t="n"/>
      <c r="AP68" s="110" t="n"/>
      <c r="AQ68" s="110" t="n"/>
      <c r="AR68" s="110" t="n"/>
      <c r="AS68" s="110" t="n"/>
      <c r="AT68" s="110" t="n"/>
      <c r="AU68" s="110" t="n"/>
      <c r="AV68" s="110" t="n"/>
      <c r="AW68" s="110" t="n"/>
      <c r="AX68" s="110" t="n"/>
      <c r="AY68" s="110" t="n"/>
      <c r="AZ68" s="110" t="n"/>
      <c r="BA68" s="110" t="n"/>
      <c r="BB68" s="110" t="n"/>
      <c r="BC68" t="inlineStr">
        <is>
          <t>ORIGINAL</t>
        </is>
      </c>
      <c r="BD68" t="n">
        <v>59</v>
      </c>
      <c r="BF68" s="109">
        <f>IF($BD68="","",SUMIF($BD$6:$BD$2000,$BD68,$J$6:$J$2000))</f>
        <v/>
      </c>
    </row>
    <row r="69" ht="19.5" customHeight="1">
      <c r="A69" s="96" t="inlineStr">
        <is>
          <t>PENDENTE</t>
        </is>
      </c>
      <c r="B69" s="26" t="inlineStr">
        <is>
          <t>RIACHUELO</t>
        </is>
      </c>
      <c r="C69" s="27" t="n">
        <v>443</v>
      </c>
      <c r="D69" s="26" t="inlineStr">
        <is>
          <t>POA IGUATEMI SH CASA</t>
        </is>
      </c>
      <c r="E69" s="26" t="inlineStr">
        <is>
          <t>PORTO ALEGRE</t>
        </is>
      </c>
      <c r="F69" s="27" t="inlineStr">
        <is>
          <t>RS</t>
        </is>
      </c>
      <c r="G69" s="107" t="n">
        <v>46204</v>
      </c>
      <c r="H69" s="108">
        <f>IF($B69="","",SUM($K69:$AG69)+SUM($AS69:$BB69))</f>
        <v/>
      </c>
      <c r="I69" s="108">
        <f>IF($B69="","",SUM($AH69:$AL69))</f>
        <v/>
      </c>
      <c r="J69" s="109">
        <f>IF($B69="","",SUMPRODUCT($K69:$BB69,$K$2:$BB$2))</f>
        <v/>
      </c>
      <c r="K69" s="110" t="n">
        <v>4</v>
      </c>
      <c r="L69" s="110" t="n"/>
      <c r="M69" s="110" t="n"/>
      <c r="N69" s="110" t="n"/>
      <c r="O69" s="110" t="n"/>
      <c r="P69" s="110" t="n"/>
      <c r="Q69" s="110" t="n"/>
      <c r="R69" s="110" t="n"/>
      <c r="S69" s="110" t="n"/>
      <c r="T69" s="110" t="n"/>
      <c r="U69" s="110" t="n"/>
      <c r="V69" s="110" t="n"/>
      <c r="W69" s="110" t="n"/>
      <c r="X69" s="110" t="n"/>
      <c r="Y69" s="110" t="n"/>
      <c r="Z69" s="110" t="n"/>
      <c r="AA69" s="110" t="n">
        <v>4</v>
      </c>
      <c r="AB69" s="110" t="n"/>
      <c r="AC69" s="110" t="n"/>
      <c r="AD69" s="110" t="n"/>
      <c r="AE69" s="110" t="n"/>
      <c r="AF69" s="110" t="n"/>
      <c r="AG69" s="110" t="n"/>
      <c r="AH69" s="110" t="n">
        <v>8</v>
      </c>
      <c r="AI69" s="110" t="n"/>
      <c r="AJ69" s="110" t="n"/>
      <c r="AK69" s="110" t="n"/>
      <c r="AL69" s="110" t="n"/>
      <c r="AM69" s="110" t="n"/>
      <c r="AN69" s="110" t="n"/>
      <c r="AO69" s="110" t="n"/>
      <c r="AP69" s="110" t="n"/>
      <c r="AQ69" s="110" t="n"/>
      <c r="AR69" s="110" t="n"/>
      <c r="AS69" s="110" t="n"/>
      <c r="AT69" s="110" t="n"/>
      <c r="AU69" s="110" t="n"/>
      <c r="AV69" s="110" t="n"/>
      <c r="AW69" s="110" t="n"/>
      <c r="AX69" s="110" t="n"/>
      <c r="AY69" s="110" t="n"/>
      <c r="AZ69" s="110" t="n"/>
      <c r="BA69" s="110" t="n"/>
      <c r="BB69" s="110" t="n"/>
      <c r="BC69" t="inlineStr">
        <is>
          <t>ORIGINAL</t>
        </is>
      </c>
      <c r="BD69" t="n">
        <v>60</v>
      </c>
      <c r="BF69" s="109">
        <f>IF($BD69="","",SUMIF($BD$6:$BD$2000,$BD69,$J$6:$J$2000))</f>
        <v/>
      </c>
    </row>
    <row r="70" ht="19.5" customHeight="1">
      <c r="A70" s="96" t="inlineStr">
        <is>
          <t>PENDENTE</t>
        </is>
      </c>
      <c r="B70" s="26" t="inlineStr">
        <is>
          <t>RIACHUELO</t>
        </is>
      </c>
      <c r="C70" s="27" t="n">
        <v>61</v>
      </c>
      <c r="D70" s="26" t="inlineStr">
        <is>
          <t>CATUAÍ SH CASA</t>
        </is>
      </c>
      <c r="E70" s="26" t="inlineStr">
        <is>
          <t>LONDRINA</t>
        </is>
      </c>
      <c r="F70" s="27" t="inlineStr">
        <is>
          <t>PR</t>
        </is>
      </c>
      <c r="G70" s="107" t="n">
        <v>46419</v>
      </c>
      <c r="H70" s="108">
        <f>IF($B70="","",SUM($K70:$AG70)+SUM($AS70:$BB70))</f>
        <v/>
      </c>
      <c r="I70" s="108">
        <f>IF($B70="","",SUM($AH70:$AL70))</f>
        <v/>
      </c>
      <c r="J70" s="109">
        <f>IF($B70="","",SUMPRODUCT($K70:$BB70,$K$2:$BB$2))</f>
        <v/>
      </c>
      <c r="K70" s="110" t="n">
        <v>9</v>
      </c>
      <c r="L70" s="110" t="n"/>
      <c r="M70" s="110" t="n">
        <v>11</v>
      </c>
      <c r="N70" s="110" t="n"/>
      <c r="O70" s="110" t="n"/>
      <c r="P70" s="110" t="n"/>
      <c r="Q70" s="110" t="n"/>
      <c r="R70" s="110" t="n"/>
      <c r="S70" s="110" t="n"/>
      <c r="T70" s="110" t="n"/>
      <c r="U70" s="110" t="n"/>
      <c r="V70" s="110" t="n"/>
      <c r="W70" s="110" t="n"/>
      <c r="X70" s="110" t="n"/>
      <c r="Y70" s="110" t="n"/>
      <c r="Z70" s="110" t="n"/>
      <c r="AA70" s="110" t="n">
        <v>14</v>
      </c>
      <c r="AB70" s="110" t="n"/>
      <c r="AC70" s="110" t="n"/>
      <c r="AD70" s="110" t="n"/>
      <c r="AE70" s="110" t="n"/>
      <c r="AF70" s="110" t="n"/>
      <c r="AG70" s="110" t="n"/>
      <c r="AH70" s="110" t="n">
        <v>24</v>
      </c>
      <c r="AI70" s="110" t="n"/>
      <c r="AJ70" s="110" t="n"/>
      <c r="AK70" s="110" t="n"/>
      <c r="AL70" s="110" t="n"/>
      <c r="AM70" s="110" t="n"/>
      <c r="AN70" s="110" t="n"/>
      <c r="AO70" s="110" t="n"/>
      <c r="AP70" s="110" t="n"/>
      <c r="AQ70" s="110" t="n"/>
      <c r="AR70" s="110" t="n"/>
      <c r="AS70" s="110" t="n"/>
      <c r="AT70" s="110" t="n"/>
      <c r="AU70" s="110" t="n"/>
      <c r="AV70" s="110" t="n"/>
      <c r="AW70" s="110" t="n"/>
      <c r="AX70" s="110" t="n"/>
      <c r="AY70" s="110" t="n"/>
      <c r="AZ70" s="110" t="n"/>
      <c r="BA70" s="110" t="n"/>
      <c r="BB70" s="110" t="n"/>
      <c r="BC70" t="inlineStr">
        <is>
          <t>ORIGINAL</t>
        </is>
      </c>
      <c r="BD70" t="n">
        <v>61</v>
      </c>
      <c r="BF70" s="109">
        <f>IF($BD70="","",SUMIF($BD$6:$BD$2000,$BD70,$J$6:$J$2000))</f>
        <v/>
      </c>
    </row>
    <row r="71" ht="19.5" customHeight="1">
      <c r="A71" s="96" t="inlineStr">
        <is>
          <t>PENDENTE</t>
        </is>
      </c>
      <c r="B71" s="26" t="inlineStr">
        <is>
          <t>RIACHUELO</t>
        </is>
      </c>
      <c r="C71" s="27" t="n">
        <v>62</v>
      </c>
      <c r="D71" s="26" t="inlineStr">
        <is>
          <t>LONDRINA CT</t>
        </is>
      </c>
      <c r="E71" s="26" t="inlineStr">
        <is>
          <t>LONDRINA</t>
        </is>
      </c>
      <c r="F71" s="27" t="inlineStr">
        <is>
          <t>PR</t>
        </is>
      </c>
      <c r="G71" s="107" t="n">
        <v>46419</v>
      </c>
      <c r="H71" s="108">
        <f>IF($B71="","",SUM($K71:$AG71)+SUM($AS71:$BB71))</f>
        <v/>
      </c>
      <c r="I71" s="108">
        <f>IF($B71="","",SUM($AH71:$AL71))</f>
        <v/>
      </c>
      <c r="J71" s="109">
        <f>IF($B71="","",SUMPRODUCT($K71:$BB71,$K$2:$BB$2))</f>
        <v/>
      </c>
      <c r="K71" s="110" t="n">
        <v>9</v>
      </c>
      <c r="L71" s="110" t="n"/>
      <c r="M71" s="110" t="n"/>
      <c r="N71" s="110" t="n">
        <v>1</v>
      </c>
      <c r="O71" s="110" t="n"/>
      <c r="P71" s="110" t="n"/>
      <c r="Q71" s="110" t="n"/>
      <c r="R71" s="110" t="n"/>
      <c r="S71" s="110" t="n"/>
      <c r="T71" s="110" t="n">
        <v>19</v>
      </c>
      <c r="U71" s="110" t="n">
        <v>12</v>
      </c>
      <c r="V71" s="110" t="n"/>
      <c r="W71" s="110" t="n"/>
      <c r="X71" s="110" t="n"/>
      <c r="Y71" s="110" t="n"/>
      <c r="Z71" s="110" t="n"/>
      <c r="AA71" s="110" t="n">
        <v>15</v>
      </c>
      <c r="AB71" s="110" t="n"/>
      <c r="AC71" s="110" t="n"/>
      <c r="AD71" s="110" t="n"/>
      <c r="AE71" s="110" t="n"/>
      <c r="AF71" s="110" t="n"/>
      <c r="AG71" s="110" t="n"/>
      <c r="AH71" s="110" t="n"/>
      <c r="AI71" s="110" t="n"/>
      <c r="AJ71" s="110" t="n">
        <v>34</v>
      </c>
      <c r="AK71" s="110" t="n"/>
      <c r="AL71" s="110" t="n"/>
      <c r="AM71" s="110" t="n"/>
      <c r="AN71" s="110" t="n"/>
      <c r="AO71" s="110" t="n"/>
      <c r="AP71" s="110" t="n"/>
      <c r="AQ71" s="110" t="n"/>
      <c r="AR71" s="110" t="n"/>
      <c r="AS71" s="110" t="n"/>
      <c r="AT71" s="110" t="n"/>
      <c r="AU71" s="110" t="n"/>
      <c r="AV71" s="110" t="n"/>
      <c r="AW71" s="110" t="n"/>
      <c r="AX71" s="110" t="n"/>
      <c r="AY71" s="110" t="n"/>
      <c r="AZ71" s="110" t="n"/>
      <c r="BA71" s="110" t="n"/>
      <c r="BB71" s="110" t="n"/>
      <c r="BC71" t="inlineStr">
        <is>
          <t>ORIGINAL</t>
        </is>
      </c>
      <c r="BD71" t="n">
        <v>62</v>
      </c>
      <c r="BF71" s="109">
        <f>IF($BD71="","",SUMIF($BD$6:$BD$2000,$BD71,$J$6:$J$2000))</f>
        <v/>
      </c>
    </row>
    <row r="72" ht="19.5" customHeight="1">
      <c r="A72" s="96" t="inlineStr">
        <is>
          <t>PENDENTE</t>
        </is>
      </c>
      <c r="B72" s="26" t="inlineStr">
        <is>
          <t>RIACHUELO</t>
        </is>
      </c>
      <c r="C72" s="27" t="n">
        <v>63</v>
      </c>
      <c r="D72" s="26" t="inlineStr">
        <is>
          <t>FOZ DO IGUAÇU CENTRO</t>
        </is>
      </c>
      <c r="E72" s="26" t="inlineStr">
        <is>
          <t>FOZ DO IGUAÇU</t>
        </is>
      </c>
      <c r="F72" s="27" t="inlineStr">
        <is>
          <t>PR</t>
        </is>
      </c>
      <c r="G72" s="107" t="n">
        <v>46235</v>
      </c>
      <c r="H72" s="108">
        <f>IF($B72="","",SUM($K72:$AG72)+SUM($AS72:$BB72))</f>
        <v/>
      </c>
      <c r="I72" s="108">
        <f>IF($B72="","",SUM($AH72:$AL72))</f>
        <v/>
      </c>
      <c r="J72" s="109">
        <f>IF($B72="","",SUMPRODUCT($K72:$BB72,$K$2:$BB$2))</f>
        <v/>
      </c>
      <c r="K72" s="110" t="n">
        <v>4</v>
      </c>
      <c r="L72" s="110" t="n"/>
      <c r="M72" s="110" t="n">
        <v>27</v>
      </c>
      <c r="N72" s="110" t="n"/>
      <c r="O72" s="110" t="n"/>
      <c r="P72" s="110" t="n"/>
      <c r="Q72" s="110" t="n"/>
      <c r="R72" s="110" t="n"/>
      <c r="S72" s="110" t="n"/>
      <c r="T72" s="110" t="n"/>
      <c r="U72" s="110" t="n"/>
      <c r="V72" s="110" t="n"/>
      <c r="W72" s="110" t="n"/>
      <c r="X72" s="110" t="n"/>
      <c r="Y72" s="110" t="n"/>
      <c r="Z72" s="110" t="n"/>
      <c r="AA72" s="110" t="n">
        <v>9</v>
      </c>
      <c r="AB72" s="110" t="n"/>
      <c r="AC72" s="110" t="n"/>
      <c r="AD72" s="110" t="n"/>
      <c r="AE72" s="110" t="n"/>
      <c r="AF72" s="110" t="n"/>
      <c r="AG72" s="110" t="n"/>
      <c r="AH72" s="110" t="n">
        <v>22</v>
      </c>
      <c r="AI72" s="110" t="n"/>
      <c r="AJ72" s="110" t="n"/>
      <c r="AK72" s="110" t="n"/>
      <c r="AL72" s="110" t="n"/>
      <c r="AM72" s="110" t="n"/>
      <c r="AN72" s="110" t="n"/>
      <c r="AO72" s="110" t="n"/>
      <c r="AP72" s="110" t="n"/>
      <c r="AQ72" s="110" t="n"/>
      <c r="AR72" s="110" t="n"/>
      <c r="AS72" s="110" t="n"/>
      <c r="AT72" s="110" t="n"/>
      <c r="AU72" s="110" t="n"/>
      <c r="AV72" s="110" t="n"/>
      <c r="AW72" s="110" t="n"/>
      <c r="AX72" s="110" t="n"/>
      <c r="AY72" s="110" t="n"/>
      <c r="AZ72" s="110" t="n"/>
      <c r="BA72" s="110" t="n"/>
      <c r="BB72" s="110" t="n"/>
      <c r="BC72" t="inlineStr">
        <is>
          <t>ORIGINAL</t>
        </is>
      </c>
      <c r="BD72" t="n">
        <v>63</v>
      </c>
      <c r="BF72" s="109">
        <f>IF($BD72="","",SUMIF($BD$6:$BD$2000,$BD72,$J$6:$J$2000))</f>
        <v/>
      </c>
    </row>
    <row r="73" ht="19.5" customHeight="1">
      <c r="A73" s="96" t="inlineStr">
        <is>
          <t>PENDENTE</t>
        </is>
      </c>
      <c r="B73" s="26" t="inlineStr">
        <is>
          <t>RIACHUELO</t>
        </is>
      </c>
      <c r="C73" s="27" t="n">
        <v>64</v>
      </c>
      <c r="D73" s="26" t="inlineStr">
        <is>
          <t>PRAIAMAR SHOPPING</t>
        </is>
      </c>
      <c r="E73" s="26" t="inlineStr">
        <is>
          <t>SANTOS</t>
        </is>
      </c>
      <c r="F73" s="27" t="inlineStr">
        <is>
          <t>SP</t>
        </is>
      </c>
      <c r="G73" s="107" t="n">
        <v>46388</v>
      </c>
      <c r="H73" s="108">
        <f>IF($B73="","",SUM($K73:$AG73)+SUM($AS73:$BB73))</f>
        <v/>
      </c>
      <c r="I73" s="108">
        <f>IF($B73="","",SUM($AH73:$AL73))</f>
        <v/>
      </c>
      <c r="J73" s="109">
        <f>IF($B73="","",SUMPRODUCT($K73:$BB73,$K$2:$BB$2))</f>
        <v/>
      </c>
      <c r="K73" s="110" t="n">
        <v>12</v>
      </c>
      <c r="L73" s="110" t="n"/>
      <c r="M73" s="110" t="n"/>
      <c r="N73" s="110" t="n">
        <v>7</v>
      </c>
      <c r="O73" s="110" t="n"/>
      <c r="P73" s="110" t="n"/>
      <c r="Q73" s="110" t="n"/>
      <c r="R73" s="110" t="n"/>
      <c r="S73" s="110" t="n"/>
      <c r="T73" s="110" t="n"/>
      <c r="U73" s="110" t="n"/>
      <c r="V73" s="110" t="n"/>
      <c r="W73" s="110" t="n"/>
      <c r="X73" s="110" t="n"/>
      <c r="Y73" s="110" t="n"/>
      <c r="Z73" s="110" t="n"/>
      <c r="AA73" s="110" t="n">
        <v>7</v>
      </c>
      <c r="AB73" s="110" t="n"/>
      <c r="AC73" s="110" t="n"/>
      <c r="AD73" s="110" t="n"/>
      <c r="AE73" s="110" t="n"/>
      <c r="AF73" s="110" t="n"/>
      <c r="AG73" s="110" t="n"/>
      <c r="AH73" s="110" t="n"/>
      <c r="AI73" s="110" t="n">
        <v>12</v>
      </c>
      <c r="AJ73" s="110" t="n"/>
      <c r="AK73" s="110" t="n"/>
      <c r="AL73" s="110" t="n"/>
      <c r="AM73" s="110" t="n"/>
      <c r="AN73" s="110" t="n"/>
      <c r="AO73" s="110" t="n"/>
      <c r="AP73" s="110" t="n"/>
      <c r="AQ73" s="110" t="n"/>
      <c r="AR73" s="110" t="n"/>
      <c r="AS73" s="110" t="n"/>
      <c r="AT73" s="110" t="n"/>
      <c r="AU73" s="110" t="n"/>
      <c r="AV73" s="110" t="n"/>
      <c r="AW73" s="110" t="n"/>
      <c r="AX73" s="110" t="n"/>
      <c r="AY73" s="110" t="n"/>
      <c r="AZ73" s="110" t="n"/>
      <c r="BA73" s="110" t="n"/>
      <c r="BB73" s="110" t="n"/>
      <c r="BC73" t="inlineStr">
        <is>
          <t>ORIGINAL</t>
        </is>
      </c>
      <c r="BD73" t="n">
        <v>64</v>
      </c>
      <c r="BF73" s="109">
        <f>IF($BD73="","",SUMIF($BD$6:$BD$2000,$BD73,$J$6:$J$2000))</f>
        <v/>
      </c>
    </row>
    <row r="74" ht="19.5" customHeight="1">
      <c r="A74" s="96" t="inlineStr">
        <is>
          <t>PENDENTE</t>
        </is>
      </c>
      <c r="B74" s="26" t="inlineStr">
        <is>
          <t>RIACHUELO</t>
        </is>
      </c>
      <c r="C74" s="27" t="n">
        <v>65</v>
      </c>
      <c r="D74" s="26" t="inlineStr">
        <is>
          <t>SANTA URSULA SH</t>
        </is>
      </c>
      <c r="E74" s="26" t="inlineStr">
        <is>
          <t>RIBEIRAO PRETO</t>
        </is>
      </c>
      <c r="F74" s="27" t="inlineStr">
        <is>
          <t>SP</t>
        </is>
      </c>
      <c r="G74" s="107" t="n">
        <v>46143</v>
      </c>
      <c r="H74" s="108">
        <f>IF($B74="","",SUM($K74:$AG74)+SUM($AS74:$BB74))</f>
        <v/>
      </c>
      <c r="I74" s="108">
        <f>IF($B74="","",SUM($AH74:$AL74))</f>
        <v/>
      </c>
      <c r="J74" s="109">
        <f>IF($B74="","",SUMPRODUCT($K74:$BB74,$K$2:$BB$2))</f>
        <v/>
      </c>
      <c r="K74" s="110" t="n">
        <v>8</v>
      </c>
      <c r="L74" s="110" t="n"/>
      <c r="M74" s="110" t="n">
        <v>14</v>
      </c>
      <c r="N74" s="110" t="n"/>
      <c r="O74" s="110" t="n"/>
      <c r="P74" s="110" t="n"/>
      <c r="Q74" s="110" t="n"/>
      <c r="R74" s="110" t="n"/>
      <c r="S74" s="110" t="n"/>
      <c r="T74" s="110" t="n"/>
      <c r="U74" s="110" t="n"/>
      <c r="V74" s="110" t="n"/>
      <c r="W74" s="110" t="n"/>
      <c r="X74" s="110" t="n"/>
      <c r="Y74" s="110" t="n"/>
      <c r="Z74" s="110" t="n"/>
      <c r="AA74" s="110" t="n">
        <v>2</v>
      </c>
      <c r="AB74" s="110" t="n"/>
      <c r="AC74" s="110" t="n"/>
      <c r="AD74" s="110" t="n"/>
      <c r="AE74" s="110" t="n"/>
      <c r="AF74" s="110" t="n"/>
      <c r="AG74" s="110" t="n"/>
      <c r="AH74" s="110" t="n"/>
      <c r="AI74" s="110" t="n"/>
      <c r="AJ74" s="110" t="n">
        <v>28</v>
      </c>
      <c r="AK74" s="110" t="n"/>
      <c r="AL74" s="110" t="n"/>
      <c r="AM74" s="110" t="n"/>
      <c r="AN74" s="110" t="n"/>
      <c r="AO74" s="110" t="n"/>
      <c r="AP74" s="110" t="n"/>
      <c r="AQ74" s="110" t="n"/>
      <c r="AR74" s="110" t="n"/>
      <c r="AS74" s="110" t="n"/>
      <c r="AT74" s="110" t="n"/>
      <c r="AU74" s="110" t="n"/>
      <c r="AV74" s="110" t="n"/>
      <c r="AW74" s="110" t="n"/>
      <c r="AX74" s="110" t="n"/>
      <c r="AY74" s="110" t="n"/>
      <c r="AZ74" s="110" t="n"/>
      <c r="BA74" s="110" t="n"/>
      <c r="BB74" s="110" t="n"/>
      <c r="BC74" t="inlineStr">
        <is>
          <t>ORIGINAL</t>
        </is>
      </c>
      <c r="BD74" t="n">
        <v>65</v>
      </c>
      <c r="BF74" s="109">
        <f>IF($BD74="","",SUMIF($BD$6:$BD$2000,$BD74,$J$6:$J$2000))</f>
        <v/>
      </c>
    </row>
    <row r="75" ht="19.5" customHeight="1">
      <c r="A75" s="96" t="inlineStr">
        <is>
          <t>PENDENTE</t>
        </is>
      </c>
      <c r="B75" s="26" t="inlineStr">
        <is>
          <t>RIACHUELO</t>
        </is>
      </c>
      <c r="C75" s="27" t="n">
        <v>66</v>
      </c>
      <c r="D75" s="26" t="inlineStr">
        <is>
          <t>RIB. PRETO NOVO SH</t>
        </is>
      </c>
      <c r="E75" s="26" t="inlineStr">
        <is>
          <t>RIBEIRAO PRETO</t>
        </is>
      </c>
      <c r="F75" s="27" t="inlineStr">
        <is>
          <t>SP</t>
        </is>
      </c>
      <c r="G75" s="107" t="n">
        <v>46388</v>
      </c>
      <c r="H75" s="108">
        <f>IF($B75="","",SUM($K75:$AG75)+SUM($AS75:$BB75))</f>
        <v/>
      </c>
      <c r="I75" s="108">
        <f>IF($B75="","",SUM($AH75:$AL75))</f>
        <v/>
      </c>
      <c r="J75" s="109">
        <f>IF($B75="","",SUMPRODUCT($K75:$BB75,$K$2:$BB$2))</f>
        <v/>
      </c>
      <c r="K75" s="110" t="n">
        <v>5</v>
      </c>
      <c r="L75" s="110" t="n"/>
      <c r="M75" s="110" t="n">
        <v>6</v>
      </c>
      <c r="N75" s="110" t="n"/>
      <c r="O75" s="110" t="n"/>
      <c r="P75" s="110" t="n"/>
      <c r="Q75" s="110" t="n"/>
      <c r="R75" s="110" t="n"/>
      <c r="S75" s="110" t="n"/>
      <c r="T75" s="110" t="n"/>
      <c r="U75" s="110" t="n"/>
      <c r="V75" s="110" t="n"/>
      <c r="W75" s="110" t="n"/>
      <c r="X75" s="110" t="n"/>
      <c r="Y75" s="110" t="n"/>
      <c r="Z75" s="110" t="n"/>
      <c r="AA75" s="110" t="n">
        <v>6</v>
      </c>
      <c r="AB75" s="110" t="n"/>
      <c r="AC75" s="110" t="n"/>
      <c r="AD75" s="110" t="n"/>
      <c r="AE75" s="110" t="n"/>
      <c r="AF75" s="110" t="n"/>
      <c r="AG75" s="110" t="n"/>
      <c r="AH75" s="110" t="n">
        <v>34</v>
      </c>
      <c r="AI75" s="110" t="n"/>
      <c r="AJ75" s="110" t="n"/>
      <c r="AK75" s="110" t="n"/>
      <c r="AL75" s="110" t="n"/>
      <c r="AM75" s="110" t="n"/>
      <c r="AN75" s="110" t="n"/>
      <c r="AO75" s="110" t="n"/>
      <c r="AP75" s="110" t="n"/>
      <c r="AQ75" s="110" t="n"/>
      <c r="AR75" s="110" t="n"/>
      <c r="AS75" s="110" t="n"/>
      <c r="AT75" s="110" t="n"/>
      <c r="AU75" s="110" t="n"/>
      <c r="AV75" s="110" t="n"/>
      <c r="AW75" s="110" t="n"/>
      <c r="AX75" s="110" t="n"/>
      <c r="AY75" s="110" t="n"/>
      <c r="AZ75" s="110" t="n"/>
      <c r="BA75" s="110" t="n"/>
      <c r="BB75" s="110" t="n"/>
      <c r="BC75" t="inlineStr">
        <is>
          <t>ORIGINAL</t>
        </is>
      </c>
      <c r="BD75" t="n">
        <v>66</v>
      </c>
      <c r="BF75" s="109">
        <f>IF($BD75="","",SUMIF($BD$6:$BD$2000,$BD75,$J$6:$J$2000))</f>
        <v/>
      </c>
    </row>
    <row r="76" ht="19.5" customHeight="1">
      <c r="A76" s="96" t="inlineStr">
        <is>
          <t>PENDENTE</t>
        </is>
      </c>
      <c r="B76" s="26" t="inlineStr">
        <is>
          <t>RIACHUELO</t>
        </is>
      </c>
      <c r="C76" s="27" t="n">
        <v>67</v>
      </c>
      <c r="D76" s="26" t="inlineStr">
        <is>
          <t>JEQUITIBA PLAZA SH</t>
        </is>
      </c>
      <c r="E76" s="26" t="inlineStr">
        <is>
          <t>ITABUNA</t>
        </is>
      </c>
      <c r="F76" s="27" t="inlineStr">
        <is>
          <t xml:space="preserve">BA </t>
        </is>
      </c>
      <c r="G76" s="107" t="n">
        <v>46174</v>
      </c>
      <c r="H76" s="108">
        <f>IF($B76="","",SUM($K76:$AG76)+SUM($AS76:$BB76))</f>
        <v/>
      </c>
      <c r="I76" s="108">
        <f>IF($B76="","",SUM($AH76:$AL76))</f>
        <v/>
      </c>
      <c r="J76" s="109">
        <f>IF($B76="","",SUMPRODUCT($K76:$BB76,$K$2:$BB$2))</f>
        <v/>
      </c>
      <c r="K76" s="110" t="n"/>
      <c r="L76" s="110" t="n"/>
      <c r="M76" s="110" t="n"/>
      <c r="N76" s="110" t="n"/>
      <c r="O76" s="110" t="n"/>
      <c r="P76" s="110" t="n">
        <v>1</v>
      </c>
      <c r="Q76" s="110" t="n"/>
      <c r="R76" s="110" t="n"/>
      <c r="S76" s="110" t="n"/>
      <c r="T76" s="110" t="n"/>
      <c r="U76" s="110" t="n">
        <v>22</v>
      </c>
      <c r="V76" s="110" t="n"/>
      <c r="W76" s="110" t="n"/>
      <c r="X76" s="110" t="n"/>
      <c r="Y76" s="110" t="n"/>
      <c r="Z76" s="110" t="n"/>
      <c r="AA76" s="110" t="n">
        <v>5</v>
      </c>
      <c r="AB76" s="110" t="n"/>
      <c r="AC76" s="110" t="n"/>
      <c r="AD76" s="110" t="n"/>
      <c r="AE76" s="110" t="n"/>
      <c r="AF76" s="110" t="n"/>
      <c r="AG76" s="110" t="n"/>
      <c r="AH76" s="110" t="n">
        <v>24</v>
      </c>
      <c r="AI76" s="110" t="n"/>
      <c r="AJ76" s="110" t="n"/>
      <c r="AK76" s="110" t="n"/>
      <c r="AL76" s="110" t="n"/>
      <c r="AM76" s="110" t="n"/>
      <c r="AN76" s="110" t="n"/>
      <c r="AO76" s="110" t="n"/>
      <c r="AP76" s="110" t="n"/>
      <c r="AQ76" s="110" t="n"/>
      <c r="AR76" s="110" t="n"/>
      <c r="AS76" s="110" t="n"/>
      <c r="AT76" s="110" t="n"/>
      <c r="AU76" s="110" t="n"/>
      <c r="AV76" s="110" t="n"/>
      <c r="AW76" s="110" t="n"/>
      <c r="AX76" s="110" t="n"/>
      <c r="AY76" s="110" t="n"/>
      <c r="AZ76" s="110" t="n"/>
      <c r="BA76" s="110" t="n"/>
      <c r="BB76" s="110" t="n"/>
      <c r="BC76" t="inlineStr">
        <is>
          <t>ORIGINAL</t>
        </is>
      </c>
      <c r="BD76" t="n">
        <v>67</v>
      </c>
      <c r="BF76" s="109">
        <f>IF($BD76="","",SUMIF($BD$6:$BD$2000,$BD76,$J$6:$J$2000))</f>
        <v/>
      </c>
    </row>
    <row r="77" ht="19.5" customHeight="1">
      <c r="A77" s="96" t="inlineStr">
        <is>
          <t>PENDENTE</t>
        </is>
      </c>
      <c r="B77" s="26" t="inlineStr">
        <is>
          <t>RIACHUELO</t>
        </is>
      </c>
      <c r="C77" s="27" t="n">
        <v>477</v>
      </c>
      <c r="D77" s="26" t="inlineStr">
        <is>
          <t xml:space="preserve"> RS CAXIAS DO SUL VILLAGIO SH CARTER'S</t>
        </is>
      </c>
      <c r="E77" s="26" t="inlineStr">
        <is>
          <t>CAXIAS DO SUL</t>
        </is>
      </c>
      <c r="F77" s="27" t="inlineStr">
        <is>
          <t>RS</t>
        </is>
      </c>
      <c r="G77" s="107" t="n">
        <v>46204</v>
      </c>
      <c r="H77" s="108">
        <f>IF($B77="","",SUM($K77:$AG77)+SUM($AS77:$BB77))</f>
        <v/>
      </c>
      <c r="I77" s="108">
        <f>IF($B77="","",SUM($AH77:$AL77))</f>
        <v/>
      </c>
      <c r="J77" s="109">
        <f>IF($B77="","",SUMPRODUCT($K77:$BB77,$K$2:$BB$2))</f>
        <v/>
      </c>
      <c r="K77" s="110" t="n">
        <v>1</v>
      </c>
      <c r="L77" s="110" t="n"/>
      <c r="M77" s="110" t="n">
        <v>1</v>
      </c>
      <c r="N77" s="110" t="n"/>
      <c r="O77" s="110" t="n"/>
      <c r="P77" s="110" t="n"/>
      <c r="Q77" s="110" t="n"/>
      <c r="R77" s="110" t="n"/>
      <c r="S77" s="110" t="n"/>
      <c r="T77" s="110" t="n"/>
      <c r="U77" s="110" t="n"/>
      <c r="V77" s="110" t="n"/>
      <c r="W77" s="110" t="n"/>
      <c r="X77" s="110" t="n"/>
      <c r="Y77" s="110" t="n"/>
      <c r="Z77" s="110" t="n"/>
      <c r="AA77" s="110" t="n">
        <v>2</v>
      </c>
      <c r="AB77" s="110" t="n"/>
      <c r="AC77" s="110" t="n"/>
      <c r="AD77" s="110" t="n"/>
      <c r="AE77" s="110" t="n"/>
      <c r="AF77" s="110" t="n"/>
      <c r="AG77" s="110" t="n"/>
      <c r="AH77" s="110" t="n"/>
      <c r="AI77" s="110" t="n"/>
      <c r="AJ77" s="110" t="n"/>
      <c r="AK77" s="110" t="n"/>
      <c r="AL77" s="110" t="n"/>
      <c r="AM77" s="110" t="n"/>
      <c r="AN77" s="110" t="n"/>
      <c r="AO77" s="110" t="n"/>
      <c r="AP77" s="110" t="n"/>
      <c r="AQ77" s="110" t="n"/>
      <c r="AR77" s="110" t="n"/>
      <c r="AS77" s="110" t="n"/>
      <c r="AT77" s="110" t="n"/>
      <c r="AU77" s="110" t="n"/>
      <c r="AV77" s="110" t="n"/>
      <c r="AW77" s="110" t="n"/>
      <c r="AX77" s="110" t="n"/>
      <c r="AY77" s="110" t="n"/>
      <c r="AZ77" s="110" t="n"/>
      <c r="BA77" s="110" t="n"/>
      <c r="BB77" s="110" t="n"/>
      <c r="BC77" t="inlineStr">
        <is>
          <t>ORIGINAL</t>
        </is>
      </c>
      <c r="BD77" t="n">
        <v>68</v>
      </c>
      <c r="BF77" s="109">
        <f>IF($BD77="","",SUMIF($BD$6:$BD$2000,$BD77,$J$6:$J$2000))</f>
        <v/>
      </c>
    </row>
    <row r="78" ht="19.5" customHeight="1">
      <c r="A78" s="96" t="inlineStr">
        <is>
          <t>PENDENTE</t>
        </is>
      </c>
      <c r="B78" s="26" t="inlineStr">
        <is>
          <t>RIACHUELO</t>
        </is>
      </c>
      <c r="C78" s="27" t="n">
        <v>69</v>
      </c>
      <c r="D78" s="26" t="inlineStr">
        <is>
          <t>CAMPO GRANDE NORTE SUL</t>
        </is>
      </c>
      <c r="E78" s="26" t="inlineStr">
        <is>
          <t>CAMPO GRANDE</t>
        </is>
      </c>
      <c r="F78" s="27" t="inlineStr">
        <is>
          <t>MS</t>
        </is>
      </c>
      <c r="G78" s="107" t="n">
        <v>46235</v>
      </c>
      <c r="H78" s="108">
        <f>IF($B78="","",SUM($K78:$AG78)+SUM($AS78:$BB78))</f>
        <v/>
      </c>
      <c r="I78" s="108">
        <f>IF($B78="","",SUM($AH78:$AL78))</f>
        <v/>
      </c>
      <c r="J78" s="109">
        <f>IF($B78="","",SUMPRODUCT($K78:$BB78,$K$2:$BB$2))</f>
        <v/>
      </c>
      <c r="K78" s="110" t="n"/>
      <c r="L78" s="110" t="n"/>
      <c r="M78" s="110" t="n"/>
      <c r="N78" s="110" t="n"/>
      <c r="O78" s="110" t="n"/>
      <c r="P78" s="110" t="n">
        <v>2</v>
      </c>
      <c r="Q78" s="110" t="n"/>
      <c r="R78" s="110" t="n"/>
      <c r="S78" s="110" t="n"/>
      <c r="T78" s="110" t="n">
        <v>9</v>
      </c>
      <c r="U78" s="110" t="n">
        <v>14</v>
      </c>
      <c r="V78" s="110" t="n"/>
      <c r="W78" s="110" t="n"/>
      <c r="X78" s="110" t="n"/>
      <c r="Y78" s="110" t="n"/>
      <c r="Z78" s="110" t="n"/>
      <c r="AA78" s="110" t="n">
        <v>2</v>
      </c>
      <c r="AB78" s="110" t="n"/>
      <c r="AC78" s="110" t="n"/>
      <c r="AD78" s="110" t="n"/>
      <c r="AE78" s="110" t="n"/>
      <c r="AF78" s="110" t="n"/>
      <c r="AG78" s="110" t="n"/>
      <c r="AH78" s="110" t="n">
        <v>28</v>
      </c>
      <c r="AI78" s="110" t="n"/>
      <c r="AJ78" s="110" t="n"/>
      <c r="AK78" s="110" t="n"/>
      <c r="AL78" s="110" t="n"/>
      <c r="AM78" s="110" t="n"/>
      <c r="AN78" s="110" t="n"/>
      <c r="AO78" s="110" t="n"/>
      <c r="AP78" s="110" t="n"/>
      <c r="AQ78" s="110" t="n"/>
      <c r="AR78" s="110" t="n"/>
      <c r="AS78" s="110" t="n"/>
      <c r="AT78" s="110" t="n"/>
      <c r="AU78" s="110" t="n"/>
      <c r="AV78" s="110" t="n"/>
      <c r="AW78" s="110" t="n"/>
      <c r="AX78" s="110" t="n"/>
      <c r="AY78" s="110" t="n"/>
      <c r="AZ78" s="110" t="n"/>
      <c r="BA78" s="110" t="n"/>
      <c r="BB78" s="110" t="n"/>
      <c r="BC78" t="inlineStr">
        <is>
          <t>ORIGINAL</t>
        </is>
      </c>
      <c r="BD78" t="n">
        <v>69</v>
      </c>
      <c r="BF78" s="109">
        <f>IF($BD78="","",SUMIF($BD$6:$BD$2000,$BD78,$J$6:$J$2000))</f>
        <v/>
      </c>
    </row>
    <row r="79" ht="19.5" customHeight="1">
      <c r="A79" s="96" t="inlineStr">
        <is>
          <t>PENDENTE</t>
        </is>
      </c>
      <c r="B79" s="26" t="inlineStr">
        <is>
          <t>RIACHUELO</t>
        </is>
      </c>
      <c r="C79" s="27" t="n">
        <v>70</v>
      </c>
      <c r="D79" s="26" t="inlineStr">
        <is>
          <t>SHOPPING CAMPO GRANDE</t>
        </is>
      </c>
      <c r="E79" s="26" t="inlineStr">
        <is>
          <t>CAMPO GRANDE</t>
        </is>
      </c>
      <c r="F79" s="27" t="inlineStr">
        <is>
          <t>MS</t>
        </is>
      </c>
      <c r="G79" s="107" t="n">
        <v>46143</v>
      </c>
      <c r="H79" s="108">
        <f>IF($B79="","",SUM($K79:$AG79)+SUM($AS79:$BB79))</f>
        <v/>
      </c>
      <c r="I79" s="108">
        <f>IF($B79="","",SUM($AH79:$AL79))</f>
        <v/>
      </c>
      <c r="J79" s="109">
        <f>IF($B79="","",SUMPRODUCT($K79:$BB79,$K$2:$BB$2))</f>
        <v/>
      </c>
      <c r="K79" s="110" t="n">
        <v>14</v>
      </c>
      <c r="L79" s="110" t="n"/>
      <c r="M79" s="110" t="n"/>
      <c r="N79" s="110" t="n">
        <v>10</v>
      </c>
      <c r="O79" s="110" t="n"/>
      <c r="P79" s="110" t="n">
        <v>1</v>
      </c>
      <c r="Q79" s="110" t="n">
        <v>1</v>
      </c>
      <c r="R79" s="110" t="n"/>
      <c r="S79" s="110" t="n"/>
      <c r="T79" s="110" t="n"/>
      <c r="U79" s="110" t="n"/>
      <c r="V79" s="110" t="n"/>
      <c r="W79" s="110" t="n"/>
      <c r="X79" s="110" t="n"/>
      <c r="Y79" s="110" t="n"/>
      <c r="Z79" s="110" t="n"/>
      <c r="AA79" s="110" t="n">
        <v>13</v>
      </c>
      <c r="AB79" s="110" t="n"/>
      <c r="AC79" s="110" t="n"/>
      <c r="AD79" s="110" t="n"/>
      <c r="AE79" s="110" t="n"/>
      <c r="AF79" s="110" t="n"/>
      <c r="AG79" s="110" t="n"/>
      <c r="AH79" s="110" t="n"/>
      <c r="AI79" s="110" t="n"/>
      <c r="AJ79" s="110" t="n">
        <v>36</v>
      </c>
      <c r="AK79" s="110" t="n"/>
      <c r="AL79" s="110" t="n"/>
      <c r="AM79" s="110" t="n"/>
      <c r="AN79" s="110" t="n"/>
      <c r="AO79" s="110" t="n"/>
      <c r="AP79" s="110" t="n"/>
      <c r="AQ79" s="110" t="n"/>
      <c r="AR79" s="110" t="n"/>
      <c r="AS79" s="110" t="n"/>
      <c r="AT79" s="110" t="n"/>
      <c r="AU79" s="110" t="n"/>
      <c r="AV79" s="110" t="n"/>
      <c r="AW79" s="110" t="n"/>
      <c r="AX79" s="110" t="n"/>
      <c r="AY79" s="110" t="n"/>
      <c r="AZ79" s="110" t="n"/>
      <c r="BA79" s="110" t="n"/>
      <c r="BB79" s="110" t="n"/>
      <c r="BC79" t="inlineStr">
        <is>
          <t>ORIGINAL</t>
        </is>
      </c>
      <c r="BD79" t="n">
        <v>70</v>
      </c>
      <c r="BF79" s="109">
        <f>IF($BD79="","",SUMIF($BD$6:$BD$2000,$BD79,$J$6:$J$2000))</f>
        <v/>
      </c>
    </row>
    <row r="80" ht="19.5" customHeight="1">
      <c r="A80" s="96" t="inlineStr">
        <is>
          <t>PENDENTE</t>
        </is>
      </c>
      <c r="B80" s="26" t="inlineStr">
        <is>
          <t>RIACHUELO</t>
        </is>
      </c>
      <c r="C80" s="27" t="n">
        <v>71</v>
      </c>
      <c r="D80" s="26" t="inlineStr">
        <is>
          <t>CAMPO GRANDE CT</t>
        </is>
      </c>
      <c r="E80" s="26" t="inlineStr">
        <is>
          <t>CAMPO GRANDE</t>
        </is>
      </c>
      <c r="F80" s="27" t="inlineStr">
        <is>
          <t>MS</t>
        </is>
      </c>
      <c r="G80" s="107" t="n">
        <v>46174</v>
      </c>
      <c r="H80" s="108">
        <f>IF($B80="","",SUM($K80:$AG80)+SUM($AS80:$BB80))</f>
        <v/>
      </c>
      <c r="I80" s="108">
        <f>IF($B80="","",SUM($AH80:$AL80))</f>
        <v/>
      </c>
      <c r="J80" s="109">
        <f>IF($B80="","",SUMPRODUCT($K80:$BB80,$K$2:$BB$2))</f>
        <v/>
      </c>
      <c r="K80" s="110" t="n">
        <v>10</v>
      </c>
      <c r="L80" s="110" t="n"/>
      <c r="M80" s="110" t="n">
        <v>11</v>
      </c>
      <c r="N80" s="110" t="n"/>
      <c r="O80" s="110" t="n"/>
      <c r="P80" s="110" t="n">
        <v>1</v>
      </c>
      <c r="Q80" s="110" t="n"/>
      <c r="R80" s="110" t="n"/>
      <c r="S80" s="110" t="n"/>
      <c r="T80" s="110" t="n">
        <v>8</v>
      </c>
      <c r="U80" s="110" t="n"/>
      <c r="V80" s="110" t="n"/>
      <c r="W80" s="110" t="n"/>
      <c r="X80" s="110" t="n"/>
      <c r="Y80" s="110" t="n"/>
      <c r="Z80" s="110" t="n"/>
      <c r="AA80" s="110" t="n">
        <v>9</v>
      </c>
      <c r="AB80" s="110" t="n"/>
      <c r="AC80" s="110" t="n"/>
      <c r="AD80" s="110" t="n"/>
      <c r="AE80" s="110" t="n"/>
      <c r="AF80" s="110" t="n"/>
      <c r="AG80" s="110" t="n"/>
      <c r="AH80" s="110" t="n">
        <v>16</v>
      </c>
      <c r="AI80" s="110" t="n"/>
      <c r="AJ80" s="110" t="n"/>
      <c r="AK80" s="110" t="n"/>
      <c r="AL80" s="110" t="n"/>
      <c r="AM80" s="110" t="n"/>
      <c r="AN80" s="110" t="n"/>
      <c r="AO80" s="110" t="n"/>
      <c r="AP80" s="110" t="n"/>
      <c r="AQ80" s="110" t="n"/>
      <c r="AR80" s="110" t="n"/>
      <c r="AS80" s="110" t="n"/>
      <c r="AT80" s="110" t="n"/>
      <c r="AU80" s="110" t="n"/>
      <c r="AV80" s="110" t="n"/>
      <c r="AW80" s="110" t="n"/>
      <c r="AX80" s="110" t="n"/>
      <c r="AY80" s="110" t="n"/>
      <c r="AZ80" s="110" t="n"/>
      <c r="BA80" s="110" t="n"/>
      <c r="BB80" s="110" t="n"/>
      <c r="BC80" t="inlineStr">
        <is>
          <t>ORIGINAL</t>
        </is>
      </c>
      <c r="BD80" t="n">
        <v>71</v>
      </c>
      <c r="BF80" s="109">
        <f>IF($BD80="","",SUMIF($BD$6:$BD$2000,$BD80,$J$6:$J$2000))</f>
        <v/>
      </c>
    </row>
    <row r="81" ht="19.5" customHeight="1">
      <c r="A81" s="96" t="inlineStr">
        <is>
          <t>PENDENTE</t>
        </is>
      </c>
      <c r="B81" s="26" t="inlineStr">
        <is>
          <t>RIACHUELO</t>
        </is>
      </c>
      <c r="C81" s="27" t="n">
        <v>72</v>
      </c>
      <c r="D81" s="26" t="inlineStr">
        <is>
          <t>DOURADOS</t>
        </is>
      </c>
      <c r="E81" s="26" t="inlineStr">
        <is>
          <t>DOURADOS</t>
        </is>
      </c>
      <c r="F81" s="27" t="inlineStr">
        <is>
          <t>MS</t>
        </is>
      </c>
      <c r="G81" s="107" t="n">
        <v>46204</v>
      </c>
      <c r="H81" s="108">
        <f>IF($B81="","",SUM($K81:$AG81)+SUM($AS81:$BB81))</f>
        <v/>
      </c>
      <c r="I81" s="108">
        <f>IF($B81="","",SUM($AH81:$AL81))</f>
        <v/>
      </c>
      <c r="J81" s="109">
        <f>IF($B81="","",SUMPRODUCT($K81:$BB81,$K$2:$BB$2))</f>
        <v/>
      </c>
      <c r="K81" s="110" t="n">
        <v>11</v>
      </c>
      <c r="L81" s="110" t="n"/>
      <c r="M81" s="110" t="n">
        <v>10</v>
      </c>
      <c r="N81" s="110" t="n"/>
      <c r="O81" s="110" t="n"/>
      <c r="P81" s="110" t="n"/>
      <c r="Q81" s="110" t="n"/>
      <c r="R81" s="110" t="n"/>
      <c r="S81" s="110" t="n"/>
      <c r="T81" s="110" t="n"/>
      <c r="U81" s="110" t="n"/>
      <c r="V81" s="110" t="n"/>
      <c r="W81" s="110" t="n"/>
      <c r="X81" s="110" t="n"/>
      <c r="Y81" s="110" t="n"/>
      <c r="Z81" s="110" t="n"/>
      <c r="AA81" s="110" t="n">
        <v>17</v>
      </c>
      <c r="AB81" s="110" t="n"/>
      <c r="AC81" s="110" t="n"/>
      <c r="AD81" s="110" t="n"/>
      <c r="AE81" s="110" t="n"/>
      <c r="AF81" s="110" t="n"/>
      <c r="AG81" s="110" t="n"/>
      <c r="AH81" s="110" t="n">
        <v>17</v>
      </c>
      <c r="AI81" s="110" t="n"/>
      <c r="AJ81" s="110" t="n"/>
      <c r="AK81" s="110" t="n"/>
      <c r="AL81" s="110" t="n"/>
      <c r="AM81" s="110" t="n"/>
      <c r="AN81" s="110" t="n"/>
      <c r="AO81" s="110" t="n"/>
      <c r="AP81" s="110" t="n"/>
      <c r="AQ81" s="110" t="n"/>
      <c r="AR81" s="110" t="n"/>
      <c r="AS81" s="110" t="n"/>
      <c r="AT81" s="110" t="n"/>
      <c r="AU81" s="110" t="n"/>
      <c r="AV81" s="110" t="n"/>
      <c r="AW81" s="110" t="n"/>
      <c r="AX81" s="110" t="n"/>
      <c r="AY81" s="110" t="n"/>
      <c r="AZ81" s="110" t="n"/>
      <c r="BA81" s="110" t="n"/>
      <c r="BB81" s="110" t="n"/>
      <c r="BC81" t="inlineStr">
        <is>
          <t>ORIGINAL</t>
        </is>
      </c>
      <c r="BD81" t="n">
        <v>72</v>
      </c>
      <c r="BF81" s="109">
        <f>IF($BD81="","",SUMIF($BD$6:$BD$2000,$BD81,$J$6:$J$2000))</f>
        <v/>
      </c>
    </row>
    <row r="82" ht="19.5" customHeight="1">
      <c r="A82" s="96" t="inlineStr">
        <is>
          <t>PENDENTE</t>
        </is>
      </c>
      <c r="B82" s="26" t="inlineStr">
        <is>
          <t>RIACHUELO</t>
        </is>
      </c>
      <c r="C82" s="27" t="n">
        <v>73</v>
      </c>
      <c r="D82" s="26" t="inlineStr">
        <is>
          <t>SHOPPING PARANGABA</t>
        </is>
      </c>
      <c r="E82" s="26" t="inlineStr">
        <is>
          <t>FORTALEZA</t>
        </is>
      </c>
      <c r="F82" s="27" t="inlineStr">
        <is>
          <t>CE</t>
        </is>
      </c>
      <c r="G82" s="107" t="n">
        <v>46266</v>
      </c>
      <c r="H82" s="108">
        <f>IF($B82="","",SUM($K82:$AG82)+SUM($AS82:$BB82))</f>
        <v/>
      </c>
      <c r="I82" s="108">
        <f>IF($B82="","",SUM($AH82:$AL82))</f>
        <v/>
      </c>
      <c r="J82" s="109">
        <f>IF($B82="","",SUMPRODUCT($K82:$BB82,$K$2:$BB$2))</f>
        <v/>
      </c>
      <c r="K82" s="110" t="n"/>
      <c r="L82" s="110" t="n"/>
      <c r="M82" s="110" t="n"/>
      <c r="N82" s="110" t="n"/>
      <c r="O82" s="110" t="n"/>
      <c r="P82" s="110" t="n">
        <v>2</v>
      </c>
      <c r="Q82" s="110" t="n"/>
      <c r="R82" s="110" t="n"/>
      <c r="S82" s="110" t="n"/>
      <c r="T82" s="110" t="n"/>
      <c r="U82" s="110" t="n">
        <v>19</v>
      </c>
      <c r="V82" s="110" t="n"/>
      <c r="W82" s="110" t="n"/>
      <c r="X82" s="110" t="n"/>
      <c r="Y82" s="110" t="n"/>
      <c r="Z82" s="110" t="n"/>
      <c r="AA82" s="110" t="n">
        <v>8</v>
      </c>
      <c r="AB82" s="110" t="n"/>
      <c r="AC82" s="110" t="n"/>
      <c r="AD82" s="110" t="n"/>
      <c r="AE82" s="110" t="n"/>
      <c r="AF82" s="110" t="n"/>
      <c r="AG82" s="110" t="n"/>
      <c r="AH82" s="110" t="n">
        <v>28</v>
      </c>
      <c r="AI82" s="110" t="n"/>
      <c r="AJ82" s="110" t="n"/>
      <c r="AK82" s="110" t="n"/>
      <c r="AL82" s="110" t="n"/>
      <c r="AM82" s="110" t="n"/>
      <c r="AN82" s="110" t="n"/>
      <c r="AO82" s="110" t="n"/>
      <c r="AP82" s="110" t="n"/>
      <c r="AQ82" s="110" t="n"/>
      <c r="AR82" s="110" t="n"/>
      <c r="AS82" s="110" t="n"/>
      <c r="AT82" s="110" t="n"/>
      <c r="AU82" s="110" t="n"/>
      <c r="AV82" s="110" t="n"/>
      <c r="AW82" s="110" t="n"/>
      <c r="AX82" s="110" t="n"/>
      <c r="AY82" s="110" t="n"/>
      <c r="AZ82" s="110" t="n"/>
      <c r="BA82" s="110" t="n"/>
      <c r="BB82" s="110" t="n"/>
      <c r="BC82" t="inlineStr">
        <is>
          <t>ORIGINAL</t>
        </is>
      </c>
      <c r="BD82" t="n">
        <v>73</v>
      </c>
      <c r="BF82" s="109">
        <f>IF($BD82="","",SUMIF($BD$6:$BD$2000,$BD82,$J$6:$J$2000))</f>
        <v/>
      </c>
    </row>
    <row r="83" ht="19.5" customHeight="1">
      <c r="A83" s="96" t="inlineStr">
        <is>
          <t>PENDENTE</t>
        </is>
      </c>
      <c r="B83" s="26" t="inlineStr">
        <is>
          <t>RIACHUELO</t>
        </is>
      </c>
      <c r="C83" s="27" t="n">
        <v>74</v>
      </c>
      <c r="D83" s="26" t="inlineStr">
        <is>
          <t>ARAPIRACA PÁTIO</t>
        </is>
      </c>
      <c r="E83" s="26" t="inlineStr">
        <is>
          <t>ARAPIRACA</t>
        </is>
      </c>
      <c r="F83" s="27" t="inlineStr">
        <is>
          <t>AL</t>
        </is>
      </c>
      <c r="G83" s="107" t="n">
        <v>46296</v>
      </c>
      <c r="H83" s="108">
        <f>IF($B83="","",SUM($K83:$AG83)+SUM($AS83:$BB83))</f>
        <v/>
      </c>
      <c r="I83" s="108">
        <f>IF($B83="","",SUM($AH83:$AL83))</f>
        <v/>
      </c>
      <c r="J83" s="109">
        <f>IF($B83="","",SUMPRODUCT($K83:$BB83,$K$2:$BB$2))</f>
        <v/>
      </c>
      <c r="K83" s="110" t="n">
        <v>6</v>
      </c>
      <c r="L83" s="110" t="n"/>
      <c r="M83" s="110" t="n"/>
      <c r="N83" s="110" t="n">
        <v>7</v>
      </c>
      <c r="O83" s="110" t="n"/>
      <c r="P83" s="110" t="n">
        <v>2</v>
      </c>
      <c r="Q83" s="110" t="n"/>
      <c r="R83" s="110" t="n"/>
      <c r="S83" s="110" t="n"/>
      <c r="T83" s="110" t="n"/>
      <c r="U83" s="110" t="n"/>
      <c r="V83" s="110" t="n"/>
      <c r="W83" s="110" t="n"/>
      <c r="X83" s="110" t="n"/>
      <c r="Y83" s="110" t="n"/>
      <c r="Z83" s="110" t="n"/>
      <c r="AA83" s="110" t="n">
        <v>6</v>
      </c>
      <c r="AB83" s="110" t="n"/>
      <c r="AC83" s="110" t="n"/>
      <c r="AD83" s="110" t="n"/>
      <c r="AE83" s="110" t="n"/>
      <c r="AF83" s="110" t="n"/>
      <c r="AG83" s="110" t="n"/>
      <c r="AH83" s="110" t="n">
        <v>20</v>
      </c>
      <c r="AI83" s="110" t="n"/>
      <c r="AJ83" s="110" t="n"/>
      <c r="AK83" s="110" t="n"/>
      <c r="AL83" s="110" t="n"/>
      <c r="AM83" s="110" t="n"/>
      <c r="AN83" s="110" t="n"/>
      <c r="AO83" s="110" t="n"/>
      <c r="AP83" s="110" t="n"/>
      <c r="AQ83" s="110" t="n"/>
      <c r="AR83" s="110" t="n"/>
      <c r="AS83" s="110" t="n"/>
      <c r="AT83" s="110" t="n"/>
      <c r="AU83" s="110" t="n"/>
      <c r="AV83" s="110" t="n"/>
      <c r="AW83" s="110" t="n"/>
      <c r="AX83" s="110" t="n"/>
      <c r="AY83" s="110" t="n"/>
      <c r="AZ83" s="110" t="n"/>
      <c r="BA83" s="110" t="n"/>
      <c r="BB83" s="110" t="n"/>
      <c r="BC83" t="inlineStr">
        <is>
          <t>ORIGINAL</t>
        </is>
      </c>
      <c r="BD83" t="n">
        <v>74</v>
      </c>
      <c r="BF83" s="109">
        <f>IF($BD83="","",SUMIF($BD$6:$BD$2000,$BD83,$J$6:$J$2000))</f>
        <v/>
      </c>
    </row>
    <row r="84" ht="19.5" customHeight="1">
      <c r="A84" s="96" t="inlineStr">
        <is>
          <t>PENDENTE</t>
        </is>
      </c>
      <c r="B84" s="26" t="inlineStr">
        <is>
          <t>RIACHUELO</t>
        </is>
      </c>
      <c r="C84" s="27" t="n">
        <v>75</v>
      </c>
      <c r="D84" s="26" t="inlineStr">
        <is>
          <t>FEIRA DE SANTANA CT</t>
        </is>
      </c>
      <c r="E84" s="26" t="inlineStr">
        <is>
          <t>FEIRA DE SANTANA</t>
        </is>
      </c>
      <c r="F84" s="27" t="inlineStr">
        <is>
          <t>BA</t>
        </is>
      </c>
      <c r="G84" s="107" t="n">
        <v>46174</v>
      </c>
      <c r="H84" s="108">
        <f>IF($B84="","",SUM($K84:$AG84)+SUM($AS84:$BB84))</f>
        <v/>
      </c>
      <c r="I84" s="108">
        <f>IF($B84="","",SUM($AH84:$AL84))</f>
        <v/>
      </c>
      <c r="J84" s="109">
        <f>IF($B84="","",SUMPRODUCT($K84:$BB84,$K$2:$BB$2))</f>
        <v/>
      </c>
      <c r="K84" s="110" t="n">
        <v>18</v>
      </c>
      <c r="L84" s="110" t="n"/>
      <c r="M84" s="110" t="n"/>
      <c r="N84" s="110" t="n">
        <v>2</v>
      </c>
      <c r="O84" s="110" t="n">
        <v>9</v>
      </c>
      <c r="P84" s="110" t="n"/>
      <c r="Q84" s="110" t="n"/>
      <c r="R84" s="110" t="n"/>
      <c r="S84" s="110" t="n"/>
      <c r="T84" s="110" t="n"/>
      <c r="U84" s="110" t="n"/>
      <c r="V84" s="110" t="n"/>
      <c r="W84" s="110" t="n"/>
      <c r="X84" s="110" t="n"/>
      <c r="Y84" s="110" t="n"/>
      <c r="Z84" s="110" t="n"/>
      <c r="AA84" s="110" t="n">
        <v>4</v>
      </c>
      <c r="AB84" s="110" t="n"/>
      <c r="AC84" s="110" t="n"/>
      <c r="AD84" s="110" t="n"/>
      <c r="AE84" s="110" t="n"/>
      <c r="AF84" s="110" t="n"/>
      <c r="AG84" s="110" t="n"/>
      <c r="AH84" s="110" t="n">
        <v>28</v>
      </c>
      <c r="AI84" s="110" t="n"/>
      <c r="AJ84" s="110" t="n"/>
      <c r="AK84" s="110" t="n"/>
      <c r="AL84" s="110" t="n"/>
      <c r="AM84" s="110" t="n"/>
      <c r="AN84" s="110" t="n"/>
      <c r="AO84" s="110" t="n"/>
      <c r="AP84" s="110" t="n"/>
      <c r="AQ84" s="110" t="n"/>
      <c r="AR84" s="110" t="n"/>
      <c r="AS84" s="110" t="n"/>
      <c r="AT84" s="110" t="n"/>
      <c r="AU84" s="110" t="n"/>
      <c r="AV84" s="110" t="n"/>
      <c r="AW84" s="110" t="n"/>
      <c r="AX84" s="110" t="n"/>
      <c r="AY84" s="110" t="n"/>
      <c r="AZ84" s="110" t="n"/>
      <c r="BA84" s="110" t="n"/>
      <c r="BB84" s="110" t="n"/>
      <c r="BC84" t="inlineStr">
        <is>
          <t>ORIGINAL</t>
        </is>
      </c>
      <c r="BD84" t="n">
        <v>75</v>
      </c>
      <c r="BF84" s="109">
        <f>IF($BD84="","",SUMIF($BD$6:$BD$2000,$BD84,$J$6:$J$2000))</f>
        <v/>
      </c>
    </row>
    <row r="85" ht="19.5" customHeight="1">
      <c r="A85" s="96" t="inlineStr">
        <is>
          <t>PENDENTE</t>
        </is>
      </c>
      <c r="B85" s="26" t="inlineStr">
        <is>
          <t>RIACHUELO</t>
        </is>
      </c>
      <c r="C85" s="27" t="n">
        <v>76</v>
      </c>
      <c r="D85" s="26" t="inlineStr">
        <is>
          <t>CUIABÁ CT</t>
        </is>
      </c>
      <c r="E85" s="26" t="inlineStr">
        <is>
          <t>CUIABÁ</t>
        </is>
      </c>
      <c r="F85" s="27" t="inlineStr">
        <is>
          <t>MT</t>
        </is>
      </c>
      <c r="G85" s="107" t="n">
        <v>46388</v>
      </c>
      <c r="H85" s="108">
        <f>IF($B85="","",SUM($K85:$AG85)+SUM($AS85:$BB85))</f>
        <v/>
      </c>
      <c r="I85" s="108">
        <f>IF($B85="","",SUM($AH85:$AL85))</f>
        <v/>
      </c>
      <c r="J85" s="109">
        <f>IF($B85="","",SUMPRODUCT($K85:$BB85,$K$2:$BB$2))</f>
        <v/>
      </c>
      <c r="K85" s="110" t="n">
        <v>10</v>
      </c>
      <c r="L85" s="110" t="n"/>
      <c r="M85" s="110" t="n"/>
      <c r="N85" s="110" t="n">
        <v>8</v>
      </c>
      <c r="O85" s="110" t="n"/>
      <c r="P85" s="110" t="n"/>
      <c r="Q85" s="110" t="n"/>
      <c r="R85" s="110" t="n"/>
      <c r="S85" s="110" t="n"/>
      <c r="T85" s="110" t="n"/>
      <c r="U85" s="110" t="n">
        <v>3</v>
      </c>
      <c r="V85" s="110" t="n"/>
      <c r="W85" s="110" t="n"/>
      <c r="X85" s="110" t="n"/>
      <c r="Y85" s="110" t="n"/>
      <c r="Z85" s="110" t="n"/>
      <c r="AA85" s="110" t="n">
        <v>7</v>
      </c>
      <c r="AB85" s="110" t="n"/>
      <c r="AC85" s="110" t="n"/>
      <c r="AD85" s="110" t="n"/>
      <c r="AE85" s="110" t="n"/>
      <c r="AF85" s="110" t="n"/>
      <c r="AG85" s="110" t="n"/>
      <c r="AH85" s="110" t="n">
        <v>14</v>
      </c>
      <c r="AI85" s="110" t="n"/>
      <c r="AJ85" s="110" t="n"/>
      <c r="AK85" s="110" t="n"/>
      <c r="AL85" s="110" t="n"/>
      <c r="AM85" s="110" t="n"/>
      <c r="AN85" s="110" t="n"/>
      <c r="AO85" s="110" t="n"/>
      <c r="AP85" s="110" t="n"/>
      <c r="AQ85" s="110" t="n"/>
      <c r="AR85" s="110" t="n"/>
      <c r="AS85" s="110" t="n"/>
      <c r="AT85" s="110" t="n"/>
      <c r="AU85" s="110" t="n"/>
      <c r="AV85" s="110" t="n"/>
      <c r="AW85" s="110" t="n"/>
      <c r="AX85" s="110" t="n"/>
      <c r="AY85" s="110" t="n"/>
      <c r="AZ85" s="110" t="n"/>
      <c r="BA85" s="110" t="n"/>
      <c r="BB85" s="110" t="n"/>
      <c r="BC85" t="inlineStr">
        <is>
          <t>ORIGINAL</t>
        </is>
      </c>
      <c r="BD85" t="n">
        <v>76</v>
      </c>
      <c r="BF85" s="109">
        <f>IF($BD85="","",SUMIF($BD$6:$BD$2000,$BD85,$J$6:$J$2000))</f>
        <v/>
      </c>
    </row>
    <row r="86" ht="19.5" customHeight="1">
      <c r="A86" s="96" t="inlineStr">
        <is>
          <t>PENDENTE</t>
        </is>
      </c>
      <c r="B86" s="26" t="inlineStr">
        <is>
          <t>RIACHUELO</t>
        </is>
      </c>
      <c r="C86" s="27" t="n">
        <v>77</v>
      </c>
      <c r="D86" s="26" t="inlineStr">
        <is>
          <t>SHOPPING 3 AMÉRICAS</t>
        </is>
      </c>
      <c r="E86" s="26" t="inlineStr">
        <is>
          <t>CUIABÁ</t>
        </is>
      </c>
      <c r="F86" s="27" t="inlineStr">
        <is>
          <t>MT</t>
        </is>
      </c>
      <c r="G86" s="107" t="n">
        <v>46388</v>
      </c>
      <c r="H86" s="108">
        <f>IF($B86="","",SUM($K86:$AG86)+SUM($AS86:$BB86))</f>
        <v/>
      </c>
      <c r="I86" s="108">
        <f>IF($B86="","",SUM($AH86:$AL86))</f>
        <v/>
      </c>
      <c r="J86" s="109">
        <f>IF($B86="","",SUMPRODUCT($K86:$BB86,$K$2:$BB$2))</f>
        <v/>
      </c>
      <c r="K86" s="110" t="n">
        <v>5</v>
      </c>
      <c r="L86" s="110" t="n"/>
      <c r="M86" s="110" t="n">
        <v>1</v>
      </c>
      <c r="N86" s="110" t="n"/>
      <c r="O86" s="110" t="n"/>
      <c r="P86" s="110" t="n"/>
      <c r="Q86" s="110" t="n"/>
      <c r="R86" s="110" t="n"/>
      <c r="S86" s="110" t="n"/>
      <c r="T86" s="110" t="n"/>
      <c r="U86" s="110" t="n"/>
      <c r="V86" s="110" t="n"/>
      <c r="W86" s="110" t="n"/>
      <c r="X86" s="110" t="n"/>
      <c r="Y86" s="110" t="n"/>
      <c r="Z86" s="110" t="n"/>
      <c r="AA86" s="110" t="n">
        <v>8</v>
      </c>
      <c r="AB86" s="110" t="n"/>
      <c r="AC86" s="110" t="n"/>
      <c r="AD86" s="110" t="n"/>
      <c r="AE86" s="110" t="n"/>
      <c r="AF86" s="110" t="n"/>
      <c r="AG86" s="110" t="n"/>
      <c r="AH86" s="110" t="n">
        <v>18</v>
      </c>
      <c r="AI86" s="110" t="n"/>
      <c r="AJ86" s="110" t="n"/>
      <c r="AK86" s="110" t="n"/>
      <c r="AL86" s="110" t="n"/>
      <c r="AM86" s="110" t="n"/>
      <c r="AN86" s="110" t="n"/>
      <c r="AO86" s="110" t="n"/>
      <c r="AP86" s="110" t="n"/>
      <c r="AQ86" s="110" t="n"/>
      <c r="AR86" s="110" t="n"/>
      <c r="AS86" s="110" t="n"/>
      <c r="AT86" s="110" t="n"/>
      <c r="AU86" s="110" t="n"/>
      <c r="AV86" s="110" t="n"/>
      <c r="AW86" s="110" t="n"/>
      <c r="AX86" s="110" t="n"/>
      <c r="AY86" s="110" t="n"/>
      <c r="AZ86" s="110" t="n"/>
      <c r="BA86" s="110" t="n"/>
      <c r="BB86" s="110" t="n"/>
      <c r="BC86" t="inlineStr">
        <is>
          <t>ORIGINAL</t>
        </is>
      </c>
      <c r="BD86" t="n">
        <v>77</v>
      </c>
      <c r="BF86" s="109">
        <f>IF($BD86="","",SUMIF($BD$6:$BD$2000,$BD86,$J$6:$J$2000))</f>
        <v/>
      </c>
    </row>
    <row r="87" ht="19.5" customHeight="1">
      <c r="A87" s="96" t="inlineStr">
        <is>
          <t>PENDENTE</t>
        </is>
      </c>
      <c r="B87" s="26" t="inlineStr">
        <is>
          <t>RIACHUELO</t>
        </is>
      </c>
      <c r="C87" s="27" t="n">
        <v>78</v>
      </c>
      <c r="D87" s="26" t="inlineStr">
        <is>
          <t>PARQUE DAS BANDEIRAS SHOPPING</t>
        </is>
      </c>
      <c r="E87" s="26" t="inlineStr">
        <is>
          <t>CAMPINAS</t>
        </is>
      </c>
      <c r="F87" s="27" t="inlineStr">
        <is>
          <t>SP</t>
        </is>
      </c>
      <c r="G87" s="107" t="n">
        <v>46143</v>
      </c>
      <c r="H87" s="108">
        <f>IF($B87="","",SUM($K87:$AG87)+SUM($AS87:$BB87))</f>
        <v/>
      </c>
      <c r="I87" s="108">
        <f>IF($B87="","",SUM($AH87:$AL87))</f>
        <v/>
      </c>
      <c r="J87" s="109">
        <f>IF($B87="","",SUMPRODUCT($K87:$BB87,$K$2:$BB$2))</f>
        <v/>
      </c>
      <c r="K87" s="110" t="n">
        <v>4</v>
      </c>
      <c r="L87" s="110" t="n"/>
      <c r="M87" s="110" t="n"/>
      <c r="N87" s="110" t="n">
        <v>9</v>
      </c>
      <c r="O87" s="110" t="n"/>
      <c r="P87" s="110" t="n"/>
      <c r="Q87" s="110" t="n"/>
      <c r="R87" s="110" t="n"/>
      <c r="S87" s="110" t="n"/>
      <c r="T87" s="110" t="n"/>
      <c r="U87" s="110" t="n"/>
      <c r="V87" s="110" t="n"/>
      <c r="W87" s="110" t="n"/>
      <c r="X87" s="110" t="n"/>
      <c r="Y87" s="110" t="n"/>
      <c r="Z87" s="110" t="n"/>
      <c r="AA87" s="110" t="n">
        <v>10</v>
      </c>
      <c r="AB87" s="110" t="n"/>
      <c r="AC87" s="110" t="n"/>
      <c r="AD87" s="110" t="n"/>
      <c r="AE87" s="110" t="n"/>
      <c r="AF87" s="110" t="n"/>
      <c r="AG87" s="110" t="n"/>
      <c r="AH87" s="110" t="n">
        <v>20</v>
      </c>
      <c r="AI87" s="110" t="n"/>
      <c r="AJ87" s="110" t="n"/>
      <c r="AK87" s="110" t="n"/>
      <c r="AL87" s="110" t="n"/>
      <c r="AM87" s="110" t="n"/>
      <c r="AN87" s="110" t="n"/>
      <c r="AO87" s="110" t="n"/>
      <c r="AP87" s="110" t="n"/>
      <c r="AQ87" s="110" t="n"/>
      <c r="AR87" s="110" t="n"/>
      <c r="AS87" s="110" t="n"/>
      <c r="AT87" s="110" t="n"/>
      <c r="AU87" s="110" t="n"/>
      <c r="AV87" s="110" t="n"/>
      <c r="AW87" s="110" t="n"/>
      <c r="AX87" s="110" t="n"/>
      <c r="AY87" s="110" t="n"/>
      <c r="AZ87" s="110" t="n"/>
      <c r="BA87" s="110" t="n"/>
      <c r="BB87" s="110" t="n"/>
      <c r="BC87" t="inlineStr">
        <is>
          <t>ORIGINAL</t>
        </is>
      </c>
      <c r="BD87" t="n">
        <v>78</v>
      </c>
      <c r="BF87" s="109">
        <f>IF($BD87="","",SUMIF($BD$6:$BD$2000,$BD87,$J$6:$J$2000))</f>
        <v/>
      </c>
    </row>
    <row r="88" ht="19.5" customHeight="1">
      <c r="A88" s="96" t="inlineStr">
        <is>
          <t>PENDENTE</t>
        </is>
      </c>
      <c r="B88" s="26" t="inlineStr">
        <is>
          <t>RIACHUELO</t>
        </is>
      </c>
      <c r="C88" s="27" t="n">
        <v>79</v>
      </c>
      <c r="D88" s="26" t="inlineStr">
        <is>
          <t>PONTA NEGRA</t>
        </is>
      </c>
      <c r="E88" s="26" t="inlineStr">
        <is>
          <t>MANAUS</t>
        </is>
      </c>
      <c r="F88" s="27" t="inlineStr">
        <is>
          <t>AM</t>
        </is>
      </c>
      <c r="G88" s="107" t="n">
        <v>46142</v>
      </c>
      <c r="H88" s="108">
        <f>IF($B88="","",SUM($K88:$AG88)+SUM($AS88:$BB88))</f>
        <v/>
      </c>
      <c r="I88" s="108">
        <f>IF($B88="","",SUM($AH88:$AL88))</f>
        <v/>
      </c>
      <c r="J88" s="109">
        <f>IF($B88="","",SUMPRODUCT($K88:$BB88,$K$2:$BB$2))</f>
        <v/>
      </c>
      <c r="K88" s="110" t="n">
        <v>9</v>
      </c>
      <c r="L88" s="110" t="n"/>
      <c r="M88" s="110" t="n"/>
      <c r="N88" s="110" t="n">
        <v>5</v>
      </c>
      <c r="O88" s="110" t="n"/>
      <c r="P88" s="110" t="n"/>
      <c r="Q88" s="110" t="n"/>
      <c r="R88" s="110" t="n"/>
      <c r="S88" s="110" t="n"/>
      <c r="T88" s="110" t="n"/>
      <c r="U88" s="110" t="n"/>
      <c r="V88" s="110" t="n"/>
      <c r="W88" s="110" t="n"/>
      <c r="X88" s="110" t="n"/>
      <c r="Y88" s="110" t="n"/>
      <c r="Z88" s="110" t="n"/>
      <c r="AA88" s="110" t="n">
        <v>11</v>
      </c>
      <c r="AB88" s="110" t="n"/>
      <c r="AC88" s="110" t="n"/>
      <c r="AD88" s="110" t="n"/>
      <c r="AE88" s="110" t="n"/>
      <c r="AF88" s="110" t="n"/>
      <c r="AG88" s="110" t="n"/>
      <c r="AH88" s="110" t="n">
        <v>32</v>
      </c>
      <c r="AI88" s="110" t="n"/>
      <c r="AJ88" s="110" t="n"/>
      <c r="AK88" s="110" t="n"/>
      <c r="AL88" s="110" t="n"/>
      <c r="AM88" s="110" t="n"/>
      <c r="AN88" s="110" t="n"/>
      <c r="AO88" s="110" t="n"/>
      <c r="AP88" s="110" t="n"/>
      <c r="AQ88" s="110" t="n"/>
      <c r="AR88" s="110" t="n"/>
      <c r="AS88" s="110" t="n"/>
      <c r="AT88" s="110" t="n"/>
      <c r="AU88" s="110" t="n"/>
      <c r="AV88" s="110" t="n"/>
      <c r="AW88" s="110" t="n"/>
      <c r="AX88" s="110" t="n"/>
      <c r="AY88" s="110" t="n"/>
      <c r="AZ88" s="110" t="n"/>
      <c r="BA88" s="110" t="n"/>
      <c r="BB88" s="110" t="n"/>
      <c r="BC88" t="inlineStr">
        <is>
          <t>ORIGINAL</t>
        </is>
      </c>
      <c r="BD88" t="n">
        <v>79</v>
      </c>
      <c r="BF88" s="109">
        <f>IF($BD88="","",SUMIF($BD$6:$BD$2000,$BD88,$J$6:$J$2000))</f>
        <v/>
      </c>
    </row>
    <row r="89" ht="19.5" customHeight="1">
      <c r="A89" s="96" t="inlineStr">
        <is>
          <t>PENDENTE</t>
        </is>
      </c>
      <c r="B89" s="26" t="inlineStr">
        <is>
          <t>RIACHUELO</t>
        </is>
      </c>
      <c r="C89" s="27" t="n">
        <v>81</v>
      </c>
      <c r="D89" s="26" t="inlineStr">
        <is>
          <t>SALVADOR NORTE SH</t>
        </is>
      </c>
      <c r="E89" s="26" t="inlineStr">
        <is>
          <t>SALVADOR</t>
        </is>
      </c>
      <c r="F89" s="27" t="inlineStr">
        <is>
          <t>BA</t>
        </is>
      </c>
      <c r="G89" s="107" t="n">
        <v>46143</v>
      </c>
      <c r="H89" s="108">
        <f>IF($B89="","",SUM($K89:$AG89)+SUM($AS89:$BB89))</f>
        <v/>
      </c>
      <c r="I89" s="108">
        <f>IF($B89="","",SUM($AH89:$AL89))</f>
        <v/>
      </c>
      <c r="J89" s="109">
        <f>IF($B89="","",SUMPRODUCT($K89:$BB89,$K$2:$BB$2))</f>
        <v/>
      </c>
      <c r="K89" s="110" t="n">
        <v>1</v>
      </c>
      <c r="L89" s="110" t="n"/>
      <c r="M89" s="110" t="n"/>
      <c r="N89" s="110" t="n">
        <v>2</v>
      </c>
      <c r="O89" s="110" t="n"/>
      <c r="P89" s="110" t="n">
        <v>1</v>
      </c>
      <c r="Q89" s="110" t="n"/>
      <c r="R89" s="110" t="n"/>
      <c r="S89" s="110" t="n"/>
      <c r="T89" s="110" t="n"/>
      <c r="U89" s="110" t="n">
        <v>22</v>
      </c>
      <c r="V89" s="110" t="n"/>
      <c r="W89" s="110" t="n"/>
      <c r="X89" s="110" t="n"/>
      <c r="Y89" s="110" t="n"/>
      <c r="Z89" s="110" t="n"/>
      <c r="AA89" s="110" t="n">
        <v>2</v>
      </c>
      <c r="AB89" s="110" t="n"/>
      <c r="AC89" s="110" t="n"/>
      <c r="AD89" s="110" t="n"/>
      <c r="AE89" s="110" t="n"/>
      <c r="AF89" s="110" t="n"/>
      <c r="AG89" s="110" t="n"/>
      <c r="AH89" s="110" t="n">
        <v>24</v>
      </c>
      <c r="AI89" s="110" t="n"/>
      <c r="AJ89" s="110" t="n"/>
      <c r="AK89" s="110" t="n"/>
      <c r="AL89" s="110" t="n"/>
      <c r="AM89" s="110" t="n"/>
      <c r="AN89" s="110" t="n"/>
      <c r="AO89" s="110" t="n"/>
      <c r="AP89" s="110" t="n"/>
      <c r="AQ89" s="110" t="n"/>
      <c r="AR89" s="110" t="n"/>
      <c r="AS89" s="110" t="n"/>
      <c r="AT89" s="110" t="n"/>
      <c r="AU89" s="110" t="n"/>
      <c r="AV89" s="110" t="n"/>
      <c r="AW89" s="110" t="n"/>
      <c r="AX89" s="110" t="n"/>
      <c r="AY89" s="110" t="n"/>
      <c r="AZ89" s="110" t="n"/>
      <c r="BA89" s="110" t="n"/>
      <c r="BB89" s="110" t="n"/>
      <c r="BC89" t="inlineStr">
        <is>
          <t>ORIGINAL</t>
        </is>
      </c>
      <c r="BD89" t="n">
        <v>80</v>
      </c>
      <c r="BF89" s="109">
        <f>IF($BD89="","",SUMIF($BD$6:$BD$2000,$BD89,$J$6:$J$2000))</f>
        <v/>
      </c>
    </row>
    <row r="90" ht="19.5" customHeight="1">
      <c r="A90" s="96" t="inlineStr">
        <is>
          <t>PENDENTE</t>
        </is>
      </c>
      <c r="B90" s="26" t="inlineStr">
        <is>
          <t>RIACHUELO</t>
        </is>
      </c>
      <c r="C90" s="27" t="n">
        <v>82</v>
      </c>
      <c r="D90" s="26" t="inlineStr">
        <is>
          <t>RIO ANIL SHOPPING</t>
        </is>
      </c>
      <c r="E90" s="26" t="inlineStr">
        <is>
          <t>SÃO LUÍS</t>
        </is>
      </c>
      <c r="F90" s="27" t="inlineStr">
        <is>
          <t>MA</t>
        </is>
      </c>
      <c r="G90" s="107" t="n">
        <v>46235</v>
      </c>
      <c r="H90" s="108">
        <f>IF($B90="","",SUM($K90:$AG90)+SUM($AS90:$BB90))</f>
        <v/>
      </c>
      <c r="I90" s="108">
        <f>IF($B90="","",SUM($AH90:$AL90))</f>
        <v/>
      </c>
      <c r="J90" s="109">
        <f>IF($B90="","",SUMPRODUCT($K90:$BB90,$K$2:$BB$2))</f>
        <v/>
      </c>
      <c r="K90" s="110" t="n">
        <v>1</v>
      </c>
      <c r="L90" s="110" t="n"/>
      <c r="M90" s="110" t="n"/>
      <c r="N90" s="110" t="n"/>
      <c r="O90" s="110" t="n"/>
      <c r="P90" s="110" t="n"/>
      <c r="Q90" s="110" t="n"/>
      <c r="R90" s="110" t="n"/>
      <c r="S90" s="110" t="n"/>
      <c r="T90" s="110" t="n"/>
      <c r="U90" s="110" t="n">
        <v>26</v>
      </c>
      <c r="V90" s="110" t="n"/>
      <c r="W90" s="110" t="n"/>
      <c r="X90" s="110" t="n"/>
      <c r="Y90" s="110" t="n"/>
      <c r="Z90" s="110" t="n"/>
      <c r="AA90" s="110" t="n">
        <v>4</v>
      </c>
      <c r="AB90" s="110" t="n"/>
      <c r="AC90" s="110" t="n"/>
      <c r="AD90" s="110" t="n"/>
      <c r="AE90" s="110" t="n"/>
      <c r="AF90" s="110" t="n"/>
      <c r="AG90" s="110" t="n"/>
      <c r="AH90" s="110" t="n">
        <v>28</v>
      </c>
      <c r="AI90" s="110" t="n"/>
      <c r="AJ90" s="110" t="n"/>
      <c r="AK90" s="110" t="n"/>
      <c r="AL90" s="110" t="n"/>
      <c r="AM90" s="110" t="n"/>
      <c r="AN90" s="110" t="n"/>
      <c r="AO90" s="110" t="n"/>
      <c r="AP90" s="110" t="n"/>
      <c r="AQ90" s="110" t="n"/>
      <c r="AR90" s="110" t="n"/>
      <c r="AS90" s="110" t="n"/>
      <c r="AT90" s="110" t="n"/>
      <c r="AU90" s="110" t="n"/>
      <c r="AV90" s="110" t="n"/>
      <c r="AW90" s="110" t="n"/>
      <c r="AX90" s="110" t="n"/>
      <c r="AY90" s="110" t="n"/>
      <c r="AZ90" s="110" t="n"/>
      <c r="BA90" s="110" t="n"/>
      <c r="BB90" s="110" t="n"/>
      <c r="BC90" t="inlineStr">
        <is>
          <t>ORIGINAL</t>
        </is>
      </c>
      <c r="BD90" t="n">
        <v>81</v>
      </c>
      <c r="BF90" s="109">
        <f>IF($BD90="","",SUMIF($BD$6:$BD$2000,$BD90,$J$6:$J$2000))</f>
        <v/>
      </c>
    </row>
    <row r="91" ht="19.5" customHeight="1">
      <c r="A91" s="96" t="inlineStr">
        <is>
          <t>PENDENTE</t>
        </is>
      </c>
      <c r="B91" s="26" t="inlineStr">
        <is>
          <t>RIACHUELO</t>
        </is>
      </c>
      <c r="C91" s="27" t="n">
        <v>83</v>
      </c>
      <c r="D91" s="26" t="inlineStr">
        <is>
          <t>NATAL CT</t>
        </is>
      </c>
      <c r="E91" s="26" t="inlineStr">
        <is>
          <t>NATAL</t>
        </is>
      </c>
      <c r="F91" s="27" t="inlineStr">
        <is>
          <t>RN</t>
        </is>
      </c>
      <c r="G91" s="107" t="n">
        <v>46174</v>
      </c>
      <c r="H91" s="108">
        <f>IF($B91="","",SUM($K91:$AG91)+SUM($AS91:$BB91))</f>
        <v/>
      </c>
      <c r="I91" s="108">
        <f>IF($B91="","",SUM($AH91:$AL91))</f>
        <v/>
      </c>
      <c r="J91" s="109">
        <f>IF($B91="","",SUMPRODUCT($K91:$BB91,$K$2:$BB$2))</f>
        <v/>
      </c>
      <c r="K91" s="110" t="n">
        <v>48</v>
      </c>
      <c r="L91" s="110" t="n"/>
      <c r="M91" s="110" t="n">
        <v>6</v>
      </c>
      <c r="N91" s="110" t="n">
        <v>33</v>
      </c>
      <c r="O91" s="110" t="n"/>
      <c r="P91" s="110" t="n">
        <v>3</v>
      </c>
      <c r="Q91" s="110" t="n"/>
      <c r="R91" s="110" t="n"/>
      <c r="S91" s="110" t="n"/>
      <c r="T91" s="110" t="n"/>
      <c r="U91" s="110" t="n"/>
      <c r="V91" s="110" t="n"/>
      <c r="W91" s="110" t="n"/>
      <c r="X91" s="110" t="n"/>
      <c r="Y91" s="110" t="n"/>
      <c r="Z91" s="110" t="n"/>
      <c r="AA91" s="110" t="n">
        <v>13</v>
      </c>
      <c r="AB91" s="110" t="n"/>
      <c r="AC91" s="110" t="n"/>
      <c r="AD91" s="110" t="n"/>
      <c r="AE91" s="110" t="n"/>
      <c r="AF91" s="110" t="n"/>
      <c r="AG91" s="110" t="n"/>
      <c r="AH91" s="110" t="n">
        <v>47</v>
      </c>
      <c r="AI91" s="110" t="n"/>
      <c r="AJ91" s="110" t="n"/>
      <c r="AK91" s="110" t="n"/>
      <c r="AL91" s="110" t="n"/>
      <c r="AM91" s="110" t="n"/>
      <c r="AN91" s="110" t="n"/>
      <c r="AO91" s="110" t="n"/>
      <c r="AP91" s="110" t="n"/>
      <c r="AQ91" s="110" t="n"/>
      <c r="AR91" s="110" t="n"/>
      <c r="AS91" s="110" t="n"/>
      <c r="AT91" s="110" t="n"/>
      <c r="AU91" s="110" t="n"/>
      <c r="AV91" s="110" t="n"/>
      <c r="AW91" s="110" t="n"/>
      <c r="AX91" s="110" t="n"/>
      <c r="AY91" s="110" t="n"/>
      <c r="AZ91" s="110" t="n"/>
      <c r="BA91" s="110" t="n"/>
      <c r="BB91" s="110" t="n"/>
      <c r="BC91" t="inlineStr">
        <is>
          <t>ORIGINAL</t>
        </is>
      </c>
      <c r="BD91" t="n">
        <v>82</v>
      </c>
      <c r="BF91" s="109">
        <f>IF($BD91="","",SUMIF($BD$6:$BD$2000,$BD91,$J$6:$J$2000))</f>
        <v/>
      </c>
    </row>
    <row r="92" ht="19.5" customHeight="1">
      <c r="A92" s="96" t="inlineStr">
        <is>
          <t>PENDENTE</t>
        </is>
      </c>
      <c r="B92" s="26" t="inlineStr">
        <is>
          <t>RIACHUELO</t>
        </is>
      </c>
      <c r="C92" s="27" t="n">
        <v>84</v>
      </c>
      <c r="D92" s="26" t="inlineStr">
        <is>
          <t>TERESINA CENTRO</t>
        </is>
      </c>
      <c r="E92" s="26" t="inlineStr">
        <is>
          <t>TERESINA</t>
        </is>
      </c>
      <c r="F92" s="27" t="inlineStr">
        <is>
          <t>PI</t>
        </is>
      </c>
      <c r="G92" s="107" t="n">
        <v>46142</v>
      </c>
      <c r="H92" s="108">
        <f>IF($B92="","",SUM($K92:$AG92)+SUM($AS92:$BB92))</f>
        <v/>
      </c>
      <c r="I92" s="108">
        <f>IF($B92="","",SUM($AH92:$AL92))</f>
        <v/>
      </c>
      <c r="J92" s="109">
        <f>IF($B92="","",SUMPRODUCT($K92:$BB92,$K$2:$BB$2))</f>
        <v/>
      </c>
      <c r="K92" s="110" t="n">
        <v>9</v>
      </c>
      <c r="L92" s="110" t="n"/>
      <c r="M92" s="110" t="n"/>
      <c r="N92" s="110" t="n">
        <v>12</v>
      </c>
      <c r="O92" s="110" t="n">
        <v>6</v>
      </c>
      <c r="P92" s="110" t="n"/>
      <c r="Q92" s="110" t="n"/>
      <c r="R92" s="110" t="n"/>
      <c r="S92" s="110" t="n"/>
      <c r="T92" s="110" t="n"/>
      <c r="U92" s="110" t="n">
        <v>3</v>
      </c>
      <c r="V92" s="110" t="n"/>
      <c r="W92" s="110" t="n"/>
      <c r="X92" s="110" t="n"/>
      <c r="Y92" s="110" t="n"/>
      <c r="Z92" s="110" t="n"/>
      <c r="AA92" s="110" t="n">
        <v>10</v>
      </c>
      <c r="AB92" s="110" t="n"/>
      <c r="AC92" s="110" t="n"/>
      <c r="AD92" s="110" t="n"/>
      <c r="AE92" s="110" t="n"/>
      <c r="AF92" s="110" t="n"/>
      <c r="AG92" s="110" t="n"/>
      <c r="AH92" s="110" t="n">
        <v>20</v>
      </c>
      <c r="AI92" s="110" t="n"/>
      <c r="AJ92" s="110" t="n"/>
      <c r="AK92" s="110" t="n"/>
      <c r="AL92" s="110" t="n"/>
      <c r="AM92" s="110" t="n"/>
      <c r="AN92" s="110" t="n"/>
      <c r="AO92" s="110" t="n"/>
      <c r="AP92" s="110" t="n"/>
      <c r="AQ92" s="110" t="n"/>
      <c r="AR92" s="110" t="n"/>
      <c r="AS92" s="110" t="n"/>
      <c r="AT92" s="110" t="n"/>
      <c r="AU92" s="110" t="n"/>
      <c r="AV92" s="110" t="n"/>
      <c r="AW92" s="110" t="n"/>
      <c r="AX92" s="110" t="n"/>
      <c r="AY92" s="110" t="n"/>
      <c r="AZ92" s="110" t="n"/>
      <c r="BA92" s="110" t="n"/>
      <c r="BB92" s="110" t="n"/>
      <c r="BC92" t="inlineStr">
        <is>
          <t>ORIGINAL</t>
        </is>
      </c>
      <c r="BD92" t="n">
        <v>83</v>
      </c>
      <c r="BF92" s="109">
        <f>IF($BD92="","",SUMIF($BD$6:$BD$2000,$BD92,$J$6:$J$2000))</f>
        <v/>
      </c>
    </row>
    <row r="93" ht="19.5" customHeight="1">
      <c r="A93" s="96" t="inlineStr">
        <is>
          <t>PENDENTE</t>
        </is>
      </c>
      <c r="B93" s="26" t="inlineStr">
        <is>
          <t>RIACHUELO</t>
        </is>
      </c>
      <c r="C93" s="27" t="n">
        <v>85</v>
      </c>
      <c r="D93" s="26" t="inlineStr">
        <is>
          <t>SÃO LUIS CENTRO</t>
        </is>
      </c>
      <c r="E93" s="26" t="inlineStr">
        <is>
          <t>SÃO LUÍS</t>
        </is>
      </c>
      <c r="F93" s="27" t="inlineStr">
        <is>
          <t>MA</t>
        </is>
      </c>
      <c r="G93" s="107" t="n">
        <v>46082</v>
      </c>
      <c r="H93" s="108">
        <f>IF($B93="","",SUM($K93:$AG93)+SUM($AS93:$BB93))</f>
        <v/>
      </c>
      <c r="I93" s="108">
        <f>IF($B93="","",SUM($AH93:$AL93))</f>
        <v/>
      </c>
      <c r="J93" s="109">
        <f>IF($B93="","",SUMPRODUCT($K93:$BB93,$K$2:$BB$2))</f>
        <v/>
      </c>
      <c r="K93" s="110" t="n">
        <v>17</v>
      </c>
      <c r="L93" s="110" t="n"/>
      <c r="M93" s="110" t="n"/>
      <c r="N93" s="110" t="n">
        <v>23</v>
      </c>
      <c r="O93" s="110" t="n">
        <v>3</v>
      </c>
      <c r="P93" s="110" t="n">
        <v>1</v>
      </c>
      <c r="Q93" s="110" t="n"/>
      <c r="R93" s="110" t="n"/>
      <c r="S93" s="110" t="n"/>
      <c r="T93" s="110" t="n"/>
      <c r="U93" s="110" t="n"/>
      <c r="V93" s="110" t="n"/>
      <c r="W93" s="110" t="n"/>
      <c r="X93" s="110" t="n"/>
      <c r="Y93" s="110" t="n"/>
      <c r="Z93" s="110" t="n"/>
      <c r="AA93" s="110" t="n">
        <v>15</v>
      </c>
      <c r="AB93" s="110" t="n"/>
      <c r="AC93" s="110" t="n"/>
      <c r="AD93" s="110" t="n"/>
      <c r="AE93" s="110" t="n"/>
      <c r="AF93" s="110" t="n"/>
      <c r="AG93" s="110" t="n"/>
      <c r="AH93" s="110" t="n">
        <v>43</v>
      </c>
      <c r="AI93" s="110" t="n"/>
      <c r="AJ93" s="110" t="n"/>
      <c r="AK93" s="110" t="n"/>
      <c r="AL93" s="110" t="n"/>
      <c r="AM93" s="110" t="n"/>
      <c r="AN93" s="110" t="n"/>
      <c r="AO93" s="110" t="n"/>
      <c r="AP93" s="110" t="n"/>
      <c r="AQ93" s="110" t="n"/>
      <c r="AR93" s="110" t="n"/>
      <c r="AS93" s="110" t="n"/>
      <c r="AT93" s="110" t="n"/>
      <c r="AU93" s="110" t="n"/>
      <c r="AV93" s="110" t="n"/>
      <c r="AW93" s="110" t="n"/>
      <c r="AX93" s="110" t="n"/>
      <c r="AY93" s="110" t="n"/>
      <c r="AZ93" s="110" t="n"/>
      <c r="BA93" s="110" t="n"/>
      <c r="BB93" s="110" t="n"/>
      <c r="BC93" t="inlineStr">
        <is>
          <t>ORIGINAL</t>
        </is>
      </c>
      <c r="BD93" t="n">
        <v>84</v>
      </c>
      <c r="BF93" s="109">
        <f>IF($BD93="","",SUMIF($BD$6:$BD$2000,$BD93,$J$6:$J$2000))</f>
        <v/>
      </c>
    </row>
    <row r="94" ht="19.5" customHeight="1">
      <c r="A94" s="96" t="inlineStr">
        <is>
          <t>PENDENTE</t>
        </is>
      </c>
      <c r="B94" s="26" t="inlineStr">
        <is>
          <t>RIACHUELO</t>
        </is>
      </c>
      <c r="C94" s="27" t="n">
        <v>86</v>
      </c>
      <c r="D94" s="26" t="inlineStr">
        <is>
          <t>MANAUS CENTRO</t>
        </is>
      </c>
      <c r="E94" s="26" t="inlineStr">
        <is>
          <t>MANAUS</t>
        </is>
      </c>
      <c r="F94" s="27" t="inlineStr">
        <is>
          <t>AM</t>
        </is>
      </c>
      <c r="G94" s="107" t="n">
        <v>46142</v>
      </c>
      <c r="H94" s="108">
        <f>IF($B94="","",SUM($K94:$AG94)+SUM($AS94:$BB94))</f>
        <v/>
      </c>
      <c r="I94" s="108">
        <f>IF($B94="","",SUM($AH94:$AL94))</f>
        <v/>
      </c>
      <c r="J94" s="109">
        <f>IF($B94="","",SUMPRODUCT($K94:$BB94,$K$2:$BB$2))</f>
        <v/>
      </c>
      <c r="K94" s="110" t="n">
        <v>16</v>
      </c>
      <c r="L94" s="110" t="n"/>
      <c r="M94" s="110" t="n">
        <v>14</v>
      </c>
      <c r="N94" s="110" t="n">
        <v>15</v>
      </c>
      <c r="O94" s="110" t="n">
        <v>7</v>
      </c>
      <c r="P94" s="110" t="n">
        <v>2</v>
      </c>
      <c r="Q94" s="110" t="n"/>
      <c r="R94" s="110" t="n"/>
      <c r="S94" s="110" t="n"/>
      <c r="T94" s="110" t="n"/>
      <c r="U94" s="110" t="n"/>
      <c r="V94" s="110" t="n"/>
      <c r="W94" s="110" t="n"/>
      <c r="X94" s="110" t="n"/>
      <c r="Y94" s="110" t="n"/>
      <c r="Z94" s="110" t="n"/>
      <c r="AA94" s="110" t="n">
        <v>13</v>
      </c>
      <c r="AB94" s="110" t="n"/>
      <c r="AC94" s="110" t="n"/>
      <c r="AD94" s="110" t="n"/>
      <c r="AE94" s="110" t="n"/>
      <c r="AF94" s="110" t="n"/>
      <c r="AG94" s="110" t="n"/>
      <c r="AH94" s="110" t="n">
        <v>51</v>
      </c>
      <c r="AI94" s="110" t="n"/>
      <c r="AJ94" s="110" t="n"/>
      <c r="AK94" s="110" t="n"/>
      <c r="AL94" s="110" t="n"/>
      <c r="AM94" s="110" t="n"/>
      <c r="AN94" s="110" t="n"/>
      <c r="AO94" s="110" t="n"/>
      <c r="AP94" s="110" t="n"/>
      <c r="AQ94" s="110" t="n"/>
      <c r="AR94" s="110" t="n"/>
      <c r="AS94" s="110" t="n"/>
      <c r="AT94" s="110" t="n"/>
      <c r="AU94" s="110" t="n"/>
      <c r="AV94" s="110" t="n"/>
      <c r="AW94" s="110" t="n"/>
      <c r="AX94" s="110" t="n"/>
      <c r="AY94" s="110" t="n"/>
      <c r="AZ94" s="110" t="n"/>
      <c r="BA94" s="110" t="n"/>
      <c r="BB94" s="110" t="n"/>
      <c r="BC94" t="inlineStr">
        <is>
          <t>ORIGINAL</t>
        </is>
      </c>
      <c r="BD94" t="n">
        <v>85</v>
      </c>
      <c r="BF94" s="109">
        <f>IF($BD94="","",SUMIF($BD$6:$BD$2000,$BD94,$J$6:$J$2000))</f>
        <v/>
      </c>
    </row>
    <row r="95" ht="19.5" customHeight="1">
      <c r="A95" s="96" t="inlineStr">
        <is>
          <t>PENDENTE</t>
        </is>
      </c>
      <c r="B95" s="26" t="inlineStr">
        <is>
          <t>RIACHUELO</t>
        </is>
      </c>
      <c r="C95" s="27" t="n">
        <v>87</v>
      </c>
      <c r="D95" s="26" t="inlineStr">
        <is>
          <t>ARACAJU CT</t>
        </is>
      </c>
      <c r="E95" s="26" t="inlineStr">
        <is>
          <t>ARACAJU</t>
        </is>
      </c>
      <c r="F95" s="27" t="inlineStr">
        <is>
          <t>SE</t>
        </is>
      </c>
      <c r="G95" s="107" t="n">
        <v>46174</v>
      </c>
      <c r="H95" s="108">
        <f>IF($B95="","",SUM($K95:$AG95)+SUM($AS95:$BB95))</f>
        <v/>
      </c>
      <c r="I95" s="108">
        <f>IF($B95="","",SUM($AH95:$AL95))</f>
        <v/>
      </c>
      <c r="J95" s="109">
        <f>IF($B95="","",SUMPRODUCT($K95:$BB95,$K$2:$BB$2))</f>
        <v/>
      </c>
      <c r="K95" s="110" t="n">
        <v>17</v>
      </c>
      <c r="L95" s="110" t="n"/>
      <c r="M95" s="110" t="n"/>
      <c r="N95" s="110" t="n">
        <v>17</v>
      </c>
      <c r="O95" s="110" t="n">
        <v>5</v>
      </c>
      <c r="P95" s="110" t="n"/>
      <c r="Q95" s="110" t="n"/>
      <c r="R95" s="110" t="n"/>
      <c r="S95" s="110" t="n">
        <v>1</v>
      </c>
      <c r="T95" s="110" t="n"/>
      <c r="U95" s="110" t="n"/>
      <c r="V95" s="110" t="n"/>
      <c r="W95" s="110" t="n"/>
      <c r="X95" s="110" t="n"/>
      <c r="Y95" s="110" t="n"/>
      <c r="Z95" s="110" t="n"/>
      <c r="AA95" s="110" t="n">
        <v>8</v>
      </c>
      <c r="AB95" s="110" t="n"/>
      <c r="AC95" s="110" t="n"/>
      <c r="AD95" s="110" t="n"/>
      <c r="AE95" s="110" t="n"/>
      <c r="AF95" s="110" t="n"/>
      <c r="AG95" s="110" t="n"/>
      <c r="AH95" s="110" t="n">
        <v>48</v>
      </c>
      <c r="AI95" s="110" t="n"/>
      <c r="AJ95" s="110" t="n"/>
      <c r="AK95" s="110" t="n"/>
      <c r="AL95" s="110" t="n"/>
      <c r="AM95" s="110" t="n"/>
      <c r="AN95" s="110" t="n"/>
      <c r="AO95" s="110" t="n"/>
      <c r="AP95" s="110" t="n"/>
      <c r="AQ95" s="110" t="n"/>
      <c r="AR95" s="110" t="n"/>
      <c r="AS95" s="110" t="n"/>
      <c r="AT95" s="110" t="n"/>
      <c r="AU95" s="110" t="n"/>
      <c r="AV95" s="110" t="n"/>
      <c r="AW95" s="110" t="n"/>
      <c r="AX95" s="110" t="n"/>
      <c r="AY95" s="110" t="n"/>
      <c r="AZ95" s="110" t="n"/>
      <c r="BA95" s="110" t="n"/>
      <c r="BB95" s="110" t="n"/>
      <c r="BC95" t="inlineStr">
        <is>
          <t>ORIGINAL</t>
        </is>
      </c>
      <c r="BD95" t="n">
        <v>86</v>
      </c>
      <c r="BF95" s="109">
        <f>IF($BD95="","",SUMIF($BD$6:$BD$2000,$BD95,$J$6:$J$2000))</f>
        <v/>
      </c>
    </row>
    <row r="96" ht="19.5" customHeight="1">
      <c r="A96" s="96" t="inlineStr">
        <is>
          <t>PENDENTE</t>
        </is>
      </c>
      <c r="B96" s="26" t="inlineStr">
        <is>
          <t>RIACHUELO</t>
        </is>
      </c>
      <c r="C96" s="27" t="n">
        <v>89</v>
      </c>
      <c r="D96" s="26" t="inlineStr">
        <is>
          <t>MOSSORO CT</t>
        </is>
      </c>
      <c r="E96" s="26" t="inlineStr">
        <is>
          <t>MOSSORO</t>
        </is>
      </c>
      <c r="F96" s="27" t="inlineStr">
        <is>
          <t>RN</t>
        </is>
      </c>
      <c r="G96" s="107" t="n">
        <v>46235</v>
      </c>
      <c r="H96" s="108">
        <f>IF($B96="","",SUM($K96:$AG96)+SUM($AS96:$BB96))</f>
        <v/>
      </c>
      <c r="I96" s="108">
        <f>IF($B96="","",SUM($AH96:$AL96))</f>
        <v/>
      </c>
      <c r="J96" s="109">
        <f>IF($B96="","",SUMPRODUCT($K96:$BB96,$K$2:$BB$2))</f>
        <v/>
      </c>
      <c r="K96" s="110" t="n">
        <v>25</v>
      </c>
      <c r="L96" s="110" t="n"/>
      <c r="M96" s="110" t="n"/>
      <c r="N96" s="110" t="n">
        <v>1</v>
      </c>
      <c r="O96" s="110" t="n">
        <v>33</v>
      </c>
      <c r="P96" s="110" t="n">
        <v>3</v>
      </c>
      <c r="Q96" s="110" t="n"/>
      <c r="R96" s="110" t="n"/>
      <c r="S96" s="110" t="n"/>
      <c r="T96" s="110" t="n"/>
      <c r="U96" s="110" t="n"/>
      <c r="V96" s="110" t="n"/>
      <c r="W96" s="110" t="n"/>
      <c r="X96" s="110" t="n"/>
      <c r="Y96" s="110" t="n"/>
      <c r="Z96" s="110" t="n"/>
      <c r="AA96" s="110" t="n">
        <v>18</v>
      </c>
      <c r="AB96" s="110" t="n"/>
      <c r="AC96" s="110" t="n"/>
      <c r="AD96" s="110" t="n"/>
      <c r="AE96" s="110" t="n"/>
      <c r="AF96" s="110" t="n"/>
      <c r="AG96" s="110" t="n"/>
      <c r="AH96" s="110" t="n">
        <v>32</v>
      </c>
      <c r="AI96" s="110" t="n"/>
      <c r="AJ96" s="110" t="n"/>
      <c r="AK96" s="110" t="n"/>
      <c r="AL96" s="110" t="n"/>
      <c r="AM96" s="110" t="n"/>
      <c r="AN96" s="110" t="n"/>
      <c r="AO96" s="110" t="n"/>
      <c r="AP96" s="110" t="n"/>
      <c r="AQ96" s="110" t="n"/>
      <c r="AR96" s="110" t="n"/>
      <c r="AS96" s="110" t="n"/>
      <c r="AT96" s="110" t="n"/>
      <c r="AU96" s="110" t="n"/>
      <c r="AV96" s="110" t="n"/>
      <c r="AW96" s="110" t="n"/>
      <c r="AX96" s="110" t="n"/>
      <c r="AY96" s="110" t="n"/>
      <c r="AZ96" s="110" t="n"/>
      <c r="BA96" s="110" t="n"/>
      <c r="BB96" s="110" t="n"/>
      <c r="BC96" t="inlineStr">
        <is>
          <t>ORIGINAL</t>
        </is>
      </c>
      <c r="BD96" t="n">
        <v>87</v>
      </c>
      <c r="BF96" s="109">
        <f>IF($BD96="","",SUMIF($BD$6:$BD$2000,$BD96,$J$6:$J$2000))</f>
        <v/>
      </c>
    </row>
    <row r="97" ht="19.5" customHeight="1">
      <c r="A97" s="96" t="inlineStr">
        <is>
          <t>PENDENTE</t>
        </is>
      </c>
      <c r="B97" s="26" t="inlineStr">
        <is>
          <t>RIACHUELO</t>
        </is>
      </c>
      <c r="C97" s="27" t="n">
        <v>90</v>
      </c>
      <c r="D97" s="26" t="inlineStr">
        <is>
          <t>MOSSORO WEAT SH</t>
        </is>
      </c>
      <c r="E97" s="26" t="inlineStr">
        <is>
          <t>MOSSORO</t>
        </is>
      </c>
      <c r="F97" s="27" t="inlineStr">
        <is>
          <t>RN</t>
        </is>
      </c>
      <c r="G97" s="107" t="n">
        <v>46204</v>
      </c>
      <c r="H97" s="108">
        <f>IF($B97="","",SUM($K97:$AG97)+SUM($AS97:$BB97))</f>
        <v/>
      </c>
      <c r="I97" s="108">
        <f>IF($B97="","",SUM($AH97:$AL97))</f>
        <v/>
      </c>
      <c r="J97" s="109">
        <f>IF($B97="","",SUMPRODUCT($K97:$BB97,$K$2:$BB$2))</f>
        <v/>
      </c>
      <c r="K97" s="110" t="n">
        <v>11</v>
      </c>
      <c r="L97" s="110" t="n"/>
      <c r="M97" s="110" t="n"/>
      <c r="N97" s="110" t="n">
        <v>20</v>
      </c>
      <c r="O97" s="110" t="n"/>
      <c r="P97" s="110" t="n"/>
      <c r="Q97" s="110" t="n"/>
      <c r="R97" s="110" t="n"/>
      <c r="S97" s="110" t="n"/>
      <c r="T97" s="110" t="n"/>
      <c r="U97" s="110" t="n"/>
      <c r="V97" s="110" t="n"/>
      <c r="W97" s="110" t="n"/>
      <c r="X97" s="110" t="n"/>
      <c r="Y97" s="110" t="n"/>
      <c r="Z97" s="110" t="n"/>
      <c r="AA97" s="110" t="n">
        <v>6</v>
      </c>
      <c r="AB97" s="110" t="n"/>
      <c r="AC97" s="110" t="n"/>
      <c r="AD97" s="110" t="n"/>
      <c r="AE97" s="110" t="n"/>
      <c r="AF97" s="110" t="n"/>
      <c r="AG97" s="110" t="n"/>
      <c r="AH97" s="110" t="n">
        <v>27</v>
      </c>
      <c r="AI97" s="110" t="n"/>
      <c r="AJ97" s="110" t="n"/>
      <c r="AK97" s="110" t="n"/>
      <c r="AL97" s="110" t="n"/>
      <c r="AM97" s="110" t="n"/>
      <c r="AN97" s="110" t="n"/>
      <c r="AO97" s="110" t="n"/>
      <c r="AP97" s="110" t="n"/>
      <c r="AQ97" s="110" t="n"/>
      <c r="AR97" s="110" t="n"/>
      <c r="AS97" s="110" t="n"/>
      <c r="AT97" s="110" t="n"/>
      <c r="AU97" s="110" t="n"/>
      <c r="AV97" s="110" t="n"/>
      <c r="AW97" s="110" t="n"/>
      <c r="AX97" s="110" t="n"/>
      <c r="AY97" s="110" t="n"/>
      <c r="AZ97" s="110" t="n"/>
      <c r="BA97" s="110" t="n"/>
      <c r="BB97" s="110" t="n"/>
      <c r="BC97" t="inlineStr">
        <is>
          <t>ORIGINAL</t>
        </is>
      </c>
      <c r="BD97" t="n">
        <v>88</v>
      </c>
      <c r="BF97" s="109">
        <f>IF($BD97="","",SUMIF($BD$6:$BD$2000,$BD97,$J$6:$J$2000))</f>
        <v/>
      </c>
    </row>
    <row r="98" ht="19.5" customHeight="1">
      <c r="A98" s="96" t="inlineStr">
        <is>
          <t>PENDENTE</t>
        </is>
      </c>
      <c r="B98" s="26" t="inlineStr">
        <is>
          <t>RIACHUELO</t>
        </is>
      </c>
      <c r="C98" s="27" t="n">
        <v>91</v>
      </c>
      <c r="D98" s="26" t="inlineStr">
        <is>
          <t>CAPIM DOURADO</t>
        </is>
      </c>
      <c r="E98" s="26" t="inlineStr">
        <is>
          <t>PALMAS</t>
        </is>
      </c>
      <c r="F98" s="27" t="inlineStr">
        <is>
          <t>TO</t>
        </is>
      </c>
      <c r="G98" s="107" t="n">
        <v>46143</v>
      </c>
      <c r="H98" s="108">
        <f>IF($B98="","",SUM($K98:$AG98)+SUM($AS98:$BB98))</f>
        <v/>
      </c>
      <c r="I98" s="108">
        <f>IF($B98="","",SUM($AH98:$AL98))</f>
        <v/>
      </c>
      <c r="J98" s="109">
        <f>IF($B98="","",SUMPRODUCT($K98:$BB98,$K$2:$BB$2))</f>
        <v/>
      </c>
      <c r="K98" s="110" t="n"/>
      <c r="L98" s="110" t="n"/>
      <c r="M98" s="110" t="n"/>
      <c r="N98" s="110" t="n">
        <v>1</v>
      </c>
      <c r="O98" s="110" t="n"/>
      <c r="P98" s="110" t="n">
        <v>1</v>
      </c>
      <c r="Q98" s="110" t="n"/>
      <c r="R98" s="110" t="n"/>
      <c r="S98" s="110" t="n"/>
      <c r="T98" s="110" t="n"/>
      <c r="U98" s="110" t="n">
        <v>25</v>
      </c>
      <c r="V98" s="110" t="n"/>
      <c r="W98" s="110" t="n"/>
      <c r="X98" s="110" t="n"/>
      <c r="Y98" s="110" t="n"/>
      <c r="Z98" s="110" t="n"/>
      <c r="AA98" s="110" t="n">
        <v>1</v>
      </c>
      <c r="AB98" s="110" t="n"/>
      <c r="AC98" s="110" t="n"/>
      <c r="AD98" s="110" t="n"/>
      <c r="AE98" s="110" t="n"/>
      <c r="AF98" s="110" t="n"/>
      <c r="AG98" s="110" t="n"/>
      <c r="AH98" s="110" t="n">
        <v>20</v>
      </c>
      <c r="AI98" s="110" t="n"/>
      <c r="AJ98" s="110" t="n"/>
      <c r="AK98" s="110" t="n"/>
      <c r="AL98" s="110" t="n"/>
      <c r="AM98" s="110" t="n"/>
      <c r="AN98" s="110" t="n"/>
      <c r="AO98" s="110" t="n"/>
      <c r="AP98" s="110" t="n"/>
      <c r="AQ98" s="110" t="n"/>
      <c r="AR98" s="110" t="n"/>
      <c r="AS98" s="110" t="n"/>
      <c r="AT98" s="110" t="n"/>
      <c r="AU98" s="110" t="n"/>
      <c r="AV98" s="110" t="n"/>
      <c r="AW98" s="110" t="n"/>
      <c r="AX98" s="110" t="n"/>
      <c r="AY98" s="110" t="n"/>
      <c r="AZ98" s="110" t="n"/>
      <c r="BA98" s="110" t="n"/>
      <c r="BB98" s="110" t="n"/>
      <c r="BC98" t="inlineStr">
        <is>
          <t>ORIGINAL</t>
        </is>
      </c>
      <c r="BD98" t="n">
        <v>89</v>
      </c>
      <c r="BF98" s="109">
        <f>IF($BD98="","",SUMIF($BD$6:$BD$2000,$BD98,$J$6:$J$2000))</f>
        <v/>
      </c>
    </row>
    <row r="99" ht="19.5" customHeight="1">
      <c r="A99" s="96" t="inlineStr">
        <is>
          <t>PENDENTE</t>
        </is>
      </c>
      <c r="B99" s="26" t="inlineStr">
        <is>
          <t>RIACHUELO</t>
        </is>
      </c>
      <c r="C99" s="27" t="n">
        <v>92</v>
      </c>
      <c r="D99" s="26" t="inlineStr">
        <is>
          <t>CAMPINA GRANDE SH</t>
        </is>
      </c>
      <c r="E99" s="26" t="inlineStr">
        <is>
          <t>CAMPINA GRANDE</t>
        </is>
      </c>
      <c r="F99" s="27" t="inlineStr">
        <is>
          <t>PB</t>
        </is>
      </c>
      <c r="G99" s="107" t="n">
        <v>46054</v>
      </c>
      <c r="H99" s="108">
        <f>IF($B99="","",SUM($K99:$AG99)+SUM($AS99:$BB99))</f>
        <v/>
      </c>
      <c r="I99" s="108">
        <f>IF($B99="","",SUM($AH99:$AL99))</f>
        <v/>
      </c>
      <c r="J99" s="109">
        <f>IF($B99="","",SUMPRODUCT($K99:$BB99,$K$2:$BB$2))</f>
        <v/>
      </c>
      <c r="K99" s="110" t="n">
        <v>7</v>
      </c>
      <c r="L99" s="110" t="n"/>
      <c r="M99" s="110" t="n"/>
      <c r="N99" s="110" t="n"/>
      <c r="O99" s="110" t="n"/>
      <c r="P99" s="110" t="n"/>
      <c r="Q99" s="110" t="n"/>
      <c r="R99" s="110" t="n"/>
      <c r="S99" s="110" t="n"/>
      <c r="T99" s="110" t="n"/>
      <c r="U99" s="110" t="n">
        <v>9</v>
      </c>
      <c r="V99" s="110" t="n"/>
      <c r="W99" s="110" t="n"/>
      <c r="X99" s="110" t="n"/>
      <c r="Y99" s="110" t="n"/>
      <c r="Z99" s="110" t="n"/>
      <c r="AA99" s="110" t="n">
        <v>9</v>
      </c>
      <c r="AB99" s="110" t="n"/>
      <c r="AC99" s="110" t="n"/>
      <c r="AD99" s="110" t="n"/>
      <c r="AE99" s="110" t="n"/>
      <c r="AF99" s="110" t="n"/>
      <c r="AG99" s="110" t="n"/>
      <c r="AH99" s="110" t="n"/>
      <c r="AI99" s="110" t="n"/>
      <c r="AJ99" s="110" t="n">
        <v>20</v>
      </c>
      <c r="AK99" s="110" t="n"/>
      <c r="AL99" s="110" t="n"/>
      <c r="AM99" s="110" t="n"/>
      <c r="AN99" s="110" t="n"/>
      <c r="AO99" s="110" t="n"/>
      <c r="AP99" s="110" t="n"/>
      <c r="AQ99" s="110" t="n"/>
      <c r="AR99" s="110" t="n"/>
      <c r="AS99" s="110" t="n"/>
      <c r="AT99" s="110" t="n"/>
      <c r="AU99" s="110" t="n"/>
      <c r="AV99" s="110" t="n"/>
      <c r="AW99" s="110" t="n"/>
      <c r="AX99" s="110" t="n"/>
      <c r="AY99" s="110" t="n"/>
      <c r="AZ99" s="110" t="n"/>
      <c r="BA99" s="110" t="n"/>
      <c r="BB99" s="110" t="n"/>
      <c r="BC99" t="inlineStr">
        <is>
          <t>ORIGINAL</t>
        </is>
      </c>
      <c r="BD99" t="n">
        <v>90</v>
      </c>
      <c r="BF99" s="109">
        <f>IF($BD99="","",SUMIF($BD$6:$BD$2000,$BD99,$J$6:$J$2000))</f>
        <v/>
      </c>
    </row>
    <row r="100" ht="19.5" customHeight="1">
      <c r="A100" s="96" t="inlineStr">
        <is>
          <t>PENDENTE</t>
        </is>
      </c>
      <c r="B100" s="26" t="inlineStr">
        <is>
          <t>RIACHUELO</t>
        </is>
      </c>
      <c r="C100" s="27" t="n">
        <v>93</v>
      </c>
      <c r="D100" s="26" t="inlineStr">
        <is>
          <t>TAGUATINGA SH</t>
        </is>
      </c>
      <c r="E100" s="26" t="inlineStr">
        <is>
          <t>BRASILIA</t>
        </is>
      </c>
      <c r="F100" s="27" t="inlineStr">
        <is>
          <t>DF</t>
        </is>
      </c>
      <c r="G100" s="107" t="n">
        <v>46327</v>
      </c>
      <c r="H100" s="108">
        <f>IF($B100="","",SUM($K100:$AG100)+SUM($AS100:$BB100))</f>
        <v/>
      </c>
      <c r="I100" s="108">
        <f>IF($B100="","",SUM($AH100:$AL100))</f>
        <v/>
      </c>
      <c r="J100" s="109">
        <f>IF($B100="","",SUMPRODUCT($K100:$BB100,$K$2:$BB$2))</f>
        <v/>
      </c>
      <c r="K100" s="110" t="n">
        <v>16</v>
      </c>
      <c r="L100" s="110" t="n"/>
      <c r="M100" s="110" t="n"/>
      <c r="N100" s="110" t="n">
        <v>1</v>
      </c>
      <c r="O100" s="110" t="n"/>
      <c r="P100" s="110" t="n"/>
      <c r="Q100" s="110" t="n"/>
      <c r="R100" s="110" t="n"/>
      <c r="S100" s="110" t="n"/>
      <c r="T100" s="110" t="n">
        <v>3</v>
      </c>
      <c r="U100" s="110" t="n">
        <v>16</v>
      </c>
      <c r="V100" s="110" t="n"/>
      <c r="W100" s="110" t="n"/>
      <c r="X100" s="110" t="n"/>
      <c r="Y100" s="110" t="n"/>
      <c r="Z100" s="110" t="n"/>
      <c r="AA100" s="110" t="n">
        <v>14</v>
      </c>
      <c r="AB100" s="110" t="n"/>
      <c r="AC100" s="110" t="n"/>
      <c r="AD100" s="110" t="n"/>
      <c r="AE100" s="110" t="n"/>
      <c r="AF100" s="110" t="n"/>
      <c r="AG100" s="110" t="n"/>
      <c r="AH100" s="110" t="n">
        <v>36</v>
      </c>
      <c r="AI100" s="110" t="n"/>
      <c r="AJ100" s="110" t="n"/>
      <c r="AK100" s="110" t="n"/>
      <c r="AL100" s="110" t="n"/>
      <c r="AM100" s="110" t="n"/>
      <c r="AN100" s="110" t="n"/>
      <c r="AO100" s="110" t="n"/>
      <c r="AP100" s="110" t="n"/>
      <c r="AQ100" s="110" t="n"/>
      <c r="AR100" s="110" t="n"/>
      <c r="AS100" s="110" t="n"/>
      <c r="AT100" s="110" t="n"/>
      <c r="AU100" s="110" t="n"/>
      <c r="AV100" s="110" t="n"/>
      <c r="AW100" s="110" t="n"/>
      <c r="AX100" s="110" t="n"/>
      <c r="AY100" s="110" t="n"/>
      <c r="AZ100" s="110" t="n"/>
      <c r="BA100" s="110" t="n"/>
      <c r="BB100" s="110" t="n"/>
      <c r="BC100" t="inlineStr">
        <is>
          <t>ORIGINAL</t>
        </is>
      </c>
      <c r="BD100" t="n">
        <v>91</v>
      </c>
      <c r="BF100" s="109">
        <f>IF($BD100="","",SUMIF($BD$6:$BD$2000,$BD100,$J$6:$J$2000))</f>
        <v/>
      </c>
    </row>
    <row r="101" ht="19.5" customHeight="1">
      <c r="A101" s="96" t="inlineStr">
        <is>
          <t>PENDENTE</t>
        </is>
      </c>
      <c r="B101" s="26" t="inlineStr">
        <is>
          <t>RIACHUELO</t>
        </is>
      </c>
      <c r="C101" s="27" t="n">
        <v>95</v>
      </c>
      <c r="D101" s="26" t="inlineStr">
        <is>
          <t>BOULEVARD SHOPPING SÃO GONÇALO</t>
        </is>
      </c>
      <c r="E101" s="26" t="inlineStr">
        <is>
          <t>SAO GONCALO</t>
        </is>
      </c>
      <c r="F101" s="27" t="inlineStr">
        <is>
          <t>RJ</t>
        </is>
      </c>
      <c r="G101" s="107" t="n">
        <v>46235</v>
      </c>
      <c r="H101" s="108">
        <f>IF($B101="","",SUM($K101:$AG101)+SUM($AS101:$BB101))</f>
        <v/>
      </c>
      <c r="I101" s="108">
        <f>IF($B101="","",SUM($AH101:$AL101))</f>
        <v/>
      </c>
      <c r="J101" s="109">
        <f>IF($B101="","",SUMPRODUCT($K101:$BB101,$K$2:$BB$2))</f>
        <v/>
      </c>
      <c r="K101" s="110" t="n">
        <v>10</v>
      </c>
      <c r="L101" s="110" t="n"/>
      <c r="M101" s="110" t="n"/>
      <c r="N101" s="110" t="n">
        <v>7</v>
      </c>
      <c r="O101" s="110" t="n"/>
      <c r="P101" s="110" t="n"/>
      <c r="Q101" s="110" t="n"/>
      <c r="R101" s="110" t="n"/>
      <c r="S101" s="110" t="n"/>
      <c r="T101" s="110" t="n"/>
      <c r="U101" s="110" t="n">
        <v>1</v>
      </c>
      <c r="V101" s="110" t="n"/>
      <c r="W101" s="110" t="n"/>
      <c r="X101" s="110" t="n"/>
      <c r="Y101" s="110" t="n"/>
      <c r="Z101" s="110" t="n"/>
      <c r="AA101" s="110" t="n">
        <v>16</v>
      </c>
      <c r="AB101" s="110" t="n"/>
      <c r="AC101" s="110" t="n"/>
      <c r="AD101" s="110" t="n"/>
      <c r="AE101" s="110" t="n"/>
      <c r="AF101" s="110" t="n"/>
      <c r="AG101" s="110" t="n">
        <v>1</v>
      </c>
      <c r="AH101" s="110" t="n">
        <v>10</v>
      </c>
      <c r="AI101" s="110" t="n"/>
      <c r="AJ101" s="110" t="n"/>
      <c r="AK101" s="110" t="n"/>
      <c r="AL101" s="110" t="n"/>
      <c r="AM101" s="110" t="n"/>
      <c r="AN101" s="110" t="n"/>
      <c r="AO101" s="110" t="n"/>
      <c r="AP101" s="110" t="n"/>
      <c r="AQ101" s="110" t="n"/>
      <c r="AR101" s="110" t="n"/>
      <c r="AS101" s="110" t="n"/>
      <c r="AT101" s="110" t="n"/>
      <c r="AU101" s="110" t="n"/>
      <c r="AV101" s="110" t="n"/>
      <c r="AW101" s="110" t="n"/>
      <c r="AX101" s="110" t="n"/>
      <c r="AY101" s="110" t="n"/>
      <c r="AZ101" s="110" t="n"/>
      <c r="BA101" s="110" t="n"/>
      <c r="BB101" s="110" t="n"/>
      <c r="BC101" t="inlineStr">
        <is>
          <t>ORIGINAL</t>
        </is>
      </c>
      <c r="BD101" t="n">
        <v>92</v>
      </c>
      <c r="BF101" s="109">
        <f>IF($BD101="","",SUMIF($BD$6:$BD$2000,$BD101,$J$6:$J$2000))</f>
        <v/>
      </c>
    </row>
    <row r="102" ht="19.5" customHeight="1">
      <c r="A102" s="96" t="inlineStr">
        <is>
          <t>PENDENTE</t>
        </is>
      </c>
      <c r="B102" s="26" t="inlineStr">
        <is>
          <t>RIACHUELO</t>
        </is>
      </c>
      <c r="C102" s="27" t="n">
        <v>96</v>
      </c>
      <c r="D102" s="26" t="inlineStr">
        <is>
          <t>CASCAVEL CT</t>
        </is>
      </c>
      <c r="E102" s="26" t="inlineStr">
        <is>
          <t>CASCAVEL</t>
        </is>
      </c>
      <c r="F102" s="27" t="inlineStr">
        <is>
          <t>PR</t>
        </is>
      </c>
      <c r="G102" s="107" t="n">
        <v>46235</v>
      </c>
      <c r="H102" s="108">
        <f>IF($B102="","",SUM($K102:$AG102)+SUM($AS102:$BB102))</f>
        <v/>
      </c>
      <c r="I102" s="108">
        <f>IF($B102="","",SUM($AH102:$AL102))</f>
        <v/>
      </c>
      <c r="J102" s="109">
        <f>IF($B102="","",SUMPRODUCT($K102:$BB102,$K$2:$BB$2))</f>
        <v/>
      </c>
      <c r="K102" s="110" t="n"/>
      <c r="L102" s="110" t="n"/>
      <c r="M102" s="110" t="n">
        <v>16</v>
      </c>
      <c r="N102" s="110" t="n"/>
      <c r="O102" s="110" t="n"/>
      <c r="P102" s="110" t="n"/>
      <c r="Q102" s="110" t="n"/>
      <c r="R102" s="110" t="n"/>
      <c r="S102" s="110" t="n"/>
      <c r="T102" s="110" t="n"/>
      <c r="U102" s="110" t="n">
        <v>1</v>
      </c>
      <c r="V102" s="110" t="n"/>
      <c r="W102" s="110" t="n"/>
      <c r="X102" s="110" t="n"/>
      <c r="Y102" s="110" t="n"/>
      <c r="Z102" s="110" t="n"/>
      <c r="AA102" s="110" t="n">
        <v>13</v>
      </c>
      <c r="AB102" s="110" t="n"/>
      <c r="AC102" s="110" t="n"/>
      <c r="AD102" s="110" t="n"/>
      <c r="AE102" s="110" t="n"/>
      <c r="AF102" s="110" t="n"/>
      <c r="AG102" s="110" t="n"/>
      <c r="AH102" s="110" t="n">
        <v>27</v>
      </c>
      <c r="AI102" s="110" t="n"/>
      <c r="AJ102" s="110" t="n"/>
      <c r="AK102" s="110" t="n"/>
      <c r="AL102" s="110" t="n"/>
      <c r="AM102" s="110" t="n"/>
      <c r="AN102" s="110" t="n"/>
      <c r="AO102" s="110" t="n"/>
      <c r="AP102" s="110" t="n"/>
      <c r="AQ102" s="110" t="n"/>
      <c r="AR102" s="110" t="n"/>
      <c r="AS102" s="110" t="n"/>
      <c r="AT102" s="110" t="n"/>
      <c r="AU102" s="110" t="n"/>
      <c r="AV102" s="110" t="n"/>
      <c r="AW102" s="110" t="n"/>
      <c r="AX102" s="110" t="n"/>
      <c r="AY102" s="110" t="n"/>
      <c r="AZ102" s="110" t="n"/>
      <c r="BA102" s="110" t="n"/>
      <c r="BB102" s="110" t="n"/>
      <c r="BC102" t="inlineStr">
        <is>
          <t>ORIGINAL</t>
        </is>
      </c>
      <c r="BD102" t="n">
        <v>93</v>
      </c>
      <c r="BF102" s="109">
        <f>IF($BD102="","",SUMIF($BD$6:$BD$2000,$BD102,$J$6:$J$2000))</f>
        <v/>
      </c>
    </row>
    <row r="103" ht="19.5" customHeight="1">
      <c r="A103" s="96" t="inlineStr">
        <is>
          <t>PENDENTE</t>
        </is>
      </c>
      <c r="B103" s="26" t="inlineStr">
        <is>
          <t>RIACHUELO</t>
        </is>
      </c>
      <c r="C103" s="27" t="n">
        <v>97</v>
      </c>
      <c r="D103" s="26" t="inlineStr">
        <is>
          <t>SHOPPING PRAÇA DA MOÇA DIADEMA</t>
        </is>
      </c>
      <c r="E103" s="26" t="inlineStr">
        <is>
          <t>DIADEMA</t>
        </is>
      </c>
      <c r="F103" s="27" t="inlineStr">
        <is>
          <t>SP</t>
        </is>
      </c>
      <c r="G103" s="107" t="n">
        <v>46235</v>
      </c>
      <c r="H103" s="108">
        <f>IF($B103="","",SUM($K103:$AG103)+SUM($AS103:$BB103))</f>
        <v/>
      </c>
      <c r="I103" s="108">
        <f>IF($B103="","",SUM($AH103:$AL103))</f>
        <v/>
      </c>
      <c r="J103" s="109">
        <f>IF($B103="","",SUMPRODUCT($K103:$BB103,$K$2:$BB$2))</f>
        <v/>
      </c>
      <c r="K103" s="110" t="n">
        <v>7</v>
      </c>
      <c r="L103" s="110" t="n"/>
      <c r="M103" s="110" t="n">
        <v>8</v>
      </c>
      <c r="N103" s="110" t="n"/>
      <c r="O103" s="110" t="n"/>
      <c r="P103" s="110" t="n"/>
      <c r="Q103" s="110" t="n"/>
      <c r="R103" s="110" t="n"/>
      <c r="S103" s="110" t="n"/>
      <c r="T103" s="110" t="n"/>
      <c r="U103" s="110" t="n"/>
      <c r="V103" s="110" t="n"/>
      <c r="W103" s="110" t="n"/>
      <c r="X103" s="110" t="n"/>
      <c r="Y103" s="110" t="n"/>
      <c r="Z103" s="110" t="n"/>
      <c r="AA103" s="110" t="n">
        <v>9</v>
      </c>
      <c r="AB103" s="110" t="n"/>
      <c r="AC103" s="110" t="n"/>
      <c r="AD103" s="110" t="n"/>
      <c r="AE103" s="110" t="n"/>
      <c r="AF103" s="110" t="n"/>
      <c r="AG103" s="110" t="n"/>
      <c r="AH103" s="110" t="n">
        <v>20</v>
      </c>
      <c r="AI103" s="110" t="n"/>
      <c r="AJ103" s="110" t="n"/>
      <c r="AK103" s="110" t="n"/>
      <c r="AL103" s="110" t="n"/>
      <c r="AM103" s="110" t="n"/>
      <c r="AN103" s="110" t="n"/>
      <c r="AO103" s="110" t="n"/>
      <c r="AP103" s="110" t="n"/>
      <c r="AQ103" s="110" t="n"/>
      <c r="AR103" s="110" t="n"/>
      <c r="AS103" s="110" t="n"/>
      <c r="AT103" s="110" t="n"/>
      <c r="AU103" s="110" t="n"/>
      <c r="AV103" s="110" t="n"/>
      <c r="AW103" s="110" t="n"/>
      <c r="AX103" s="110" t="n"/>
      <c r="AY103" s="110" t="n"/>
      <c r="AZ103" s="110" t="n"/>
      <c r="BA103" s="110" t="n"/>
      <c r="BB103" s="110" t="n"/>
      <c r="BC103" t="inlineStr">
        <is>
          <t>ORIGINAL</t>
        </is>
      </c>
      <c r="BD103" t="n">
        <v>94</v>
      </c>
      <c r="BF103" s="109">
        <f>IF($BD103="","",SUMIF($BD$6:$BD$2000,$BD103,$J$6:$J$2000))</f>
        <v/>
      </c>
    </row>
    <row r="104" ht="19.5" customHeight="1">
      <c r="A104" s="96" t="inlineStr">
        <is>
          <t>PENDENTE</t>
        </is>
      </c>
      <c r="B104" s="26" t="inlineStr">
        <is>
          <t>RIACHUELO</t>
        </is>
      </c>
      <c r="C104" s="27" t="n">
        <v>98</v>
      </c>
      <c r="D104" s="26" t="inlineStr">
        <is>
          <t>MANAUARA SHOPPING</t>
        </is>
      </c>
      <c r="E104" s="26" t="inlineStr">
        <is>
          <t>MANAUS</t>
        </is>
      </c>
      <c r="F104" s="27" t="inlineStr">
        <is>
          <t>AM</t>
        </is>
      </c>
      <c r="G104" s="107" t="n">
        <v>46142</v>
      </c>
      <c r="H104" s="108">
        <f>IF($B104="","",SUM($K104:$AG104)+SUM($AS104:$BB104))</f>
        <v/>
      </c>
      <c r="I104" s="108">
        <f>IF($B104="","",SUM($AH104:$AL104))</f>
        <v/>
      </c>
      <c r="J104" s="109">
        <f>IF($B104="","",SUMPRODUCT($K104:$BB104,$K$2:$BB$2))</f>
        <v/>
      </c>
      <c r="K104" s="110" t="n">
        <v>10</v>
      </c>
      <c r="L104" s="110" t="n"/>
      <c r="M104" s="110" t="n">
        <v>5</v>
      </c>
      <c r="N104" s="110" t="n">
        <v>2</v>
      </c>
      <c r="O104" s="110" t="n">
        <v>1</v>
      </c>
      <c r="P104" s="110" t="n">
        <v>1</v>
      </c>
      <c r="Q104" s="110" t="n"/>
      <c r="R104" s="110" t="n"/>
      <c r="S104" s="110" t="n"/>
      <c r="T104" s="110" t="n"/>
      <c r="U104" s="110" t="n"/>
      <c r="V104" s="110" t="n"/>
      <c r="W104" s="110" t="n"/>
      <c r="X104" s="110" t="n"/>
      <c r="Y104" s="110" t="n"/>
      <c r="Z104" s="110" t="n"/>
      <c r="AA104" s="110" t="n">
        <v>11</v>
      </c>
      <c r="AB104" s="110" t="n"/>
      <c r="AC104" s="110" t="n"/>
      <c r="AD104" s="110" t="n"/>
      <c r="AE104" s="110" t="n"/>
      <c r="AF104" s="110" t="n"/>
      <c r="AG104" s="110" t="n"/>
      <c r="AH104" s="110" t="n">
        <v>28</v>
      </c>
      <c r="AI104" s="110" t="n"/>
      <c r="AJ104" s="110" t="n"/>
      <c r="AK104" s="110" t="n"/>
      <c r="AL104" s="110" t="n"/>
      <c r="AM104" s="110" t="n"/>
      <c r="AN104" s="110" t="n"/>
      <c r="AO104" s="110" t="n"/>
      <c r="AP104" s="110" t="n"/>
      <c r="AQ104" s="110" t="n"/>
      <c r="AR104" s="110" t="n"/>
      <c r="AS104" s="110" t="n"/>
      <c r="AT104" s="110" t="n"/>
      <c r="AU104" s="110" t="n"/>
      <c r="AV104" s="110" t="n"/>
      <c r="AW104" s="110" t="n"/>
      <c r="AX104" s="110" t="n"/>
      <c r="AY104" s="110" t="n"/>
      <c r="AZ104" s="110" t="n"/>
      <c r="BA104" s="110" t="n"/>
      <c r="BB104" s="110" t="n"/>
      <c r="BC104" t="inlineStr">
        <is>
          <t>ORIGINAL</t>
        </is>
      </c>
      <c r="BD104" t="n">
        <v>95</v>
      </c>
      <c r="BF104" s="109">
        <f>IF($BD104="","",SUMIF($BD$6:$BD$2000,$BD104,$J$6:$J$2000))</f>
        <v/>
      </c>
    </row>
    <row r="105" ht="19.5" customHeight="1">
      <c r="A105" s="96" t="inlineStr">
        <is>
          <t>PENDENTE</t>
        </is>
      </c>
      <c r="B105" s="26" t="inlineStr">
        <is>
          <t>RIACHUELO</t>
        </is>
      </c>
      <c r="C105" s="27" t="n">
        <v>99</v>
      </c>
      <c r="D105" s="26" t="inlineStr">
        <is>
          <t>SHOPPING TAMBORÉ</t>
        </is>
      </c>
      <c r="E105" s="26" t="inlineStr">
        <is>
          <t>BARUERI</t>
        </is>
      </c>
      <c r="F105" s="27" t="inlineStr">
        <is>
          <t>SP</t>
        </is>
      </c>
      <c r="G105" s="107" t="n">
        <v>46174</v>
      </c>
      <c r="H105" s="108">
        <f>IF($B105="","",SUM($K105:$AG105)+SUM($AS105:$BB105))</f>
        <v/>
      </c>
      <c r="I105" s="108">
        <f>IF($B105="","",SUM($AH105:$AL105))</f>
        <v/>
      </c>
      <c r="J105" s="109">
        <f>IF($B105="","",SUMPRODUCT($K105:$BB105,$K$2:$BB$2))</f>
        <v/>
      </c>
      <c r="K105" s="110" t="n">
        <v>12</v>
      </c>
      <c r="L105" s="110" t="n"/>
      <c r="M105" s="110" t="n"/>
      <c r="N105" s="110" t="n">
        <v>9</v>
      </c>
      <c r="O105" s="110" t="n"/>
      <c r="P105" s="110" t="n"/>
      <c r="Q105" s="110" t="n"/>
      <c r="R105" s="110" t="n"/>
      <c r="S105" s="110" t="n"/>
      <c r="T105" s="110" t="n"/>
      <c r="U105" s="110" t="n"/>
      <c r="V105" s="110" t="n"/>
      <c r="W105" s="110" t="n"/>
      <c r="X105" s="110" t="n"/>
      <c r="Y105" s="110" t="n"/>
      <c r="Z105" s="110" t="n"/>
      <c r="AA105" s="110" t="n">
        <v>6</v>
      </c>
      <c r="AB105" s="110" t="n"/>
      <c r="AC105" s="110" t="n"/>
      <c r="AD105" s="110" t="n"/>
      <c r="AE105" s="110" t="n"/>
      <c r="AF105" s="110" t="n"/>
      <c r="AG105" s="110" t="n"/>
      <c r="AH105" s="110" t="n">
        <v>28</v>
      </c>
      <c r="AI105" s="110" t="n"/>
      <c r="AJ105" s="110" t="n"/>
      <c r="AK105" s="110" t="n"/>
      <c r="AL105" s="110" t="n"/>
      <c r="AM105" s="110" t="n"/>
      <c r="AN105" s="110" t="n"/>
      <c r="AO105" s="110" t="n"/>
      <c r="AP105" s="110" t="n"/>
      <c r="AQ105" s="110" t="n"/>
      <c r="AR105" s="110" t="n"/>
      <c r="AS105" s="110" t="n"/>
      <c r="AT105" s="110" t="n"/>
      <c r="AU105" s="110" t="n"/>
      <c r="AV105" s="110" t="n"/>
      <c r="AW105" s="110" t="n"/>
      <c r="AX105" s="110" t="n"/>
      <c r="AY105" s="110" t="n"/>
      <c r="AZ105" s="110" t="n"/>
      <c r="BA105" s="110" t="n"/>
      <c r="BB105" s="110" t="n"/>
      <c r="BC105" t="inlineStr">
        <is>
          <t>ORIGINAL</t>
        </is>
      </c>
      <c r="BD105" t="n">
        <v>96</v>
      </c>
      <c r="BF105" s="109">
        <f>IF($BD105="","",SUMIF($BD$6:$BD$2000,$BD105,$J$6:$J$2000))</f>
        <v/>
      </c>
    </row>
    <row r="106" ht="19.5" customHeight="1">
      <c r="A106" s="96" t="inlineStr">
        <is>
          <t>PENDENTE</t>
        </is>
      </c>
      <c r="B106" s="26" t="inlineStr">
        <is>
          <t>RIACHUELO</t>
        </is>
      </c>
      <c r="C106" s="27" t="n">
        <v>100</v>
      </c>
      <c r="D106" s="26" t="inlineStr">
        <is>
          <t>CENTER NORTE SH</t>
        </is>
      </c>
      <c r="E106" s="26" t="inlineStr">
        <is>
          <t>SÃO PAULO</t>
        </is>
      </c>
      <c r="F106" s="27" t="inlineStr">
        <is>
          <t>SP</t>
        </is>
      </c>
      <c r="G106" s="107" t="n">
        <v>46388</v>
      </c>
      <c r="H106" s="108">
        <f>IF($B106="","",SUM($K106:$AG106)+SUM($AS106:$BB106))</f>
        <v/>
      </c>
      <c r="I106" s="108">
        <f>IF($B106="","",SUM($AH106:$AL106))</f>
        <v/>
      </c>
      <c r="J106" s="109">
        <f>IF($B106="","",SUMPRODUCT($K106:$BB106,$K$2:$BB$2))</f>
        <v/>
      </c>
      <c r="K106" s="110" t="n">
        <v>12</v>
      </c>
      <c r="L106" s="110" t="n"/>
      <c r="M106" s="110" t="n">
        <v>6</v>
      </c>
      <c r="N106" s="110" t="n"/>
      <c r="O106" s="110" t="n"/>
      <c r="P106" s="110" t="n"/>
      <c r="Q106" s="110" t="n"/>
      <c r="R106" s="110" t="n"/>
      <c r="S106" s="110" t="n"/>
      <c r="T106" s="110" t="n"/>
      <c r="U106" s="110" t="n"/>
      <c r="V106" s="110" t="n"/>
      <c r="W106" s="110" t="n"/>
      <c r="X106" s="110" t="n"/>
      <c r="Y106" s="110" t="n"/>
      <c r="Z106" s="110" t="n"/>
      <c r="AA106" s="110" t="n">
        <v>12</v>
      </c>
      <c r="AB106" s="110" t="n"/>
      <c r="AC106" s="110" t="n"/>
      <c r="AD106" s="110" t="n"/>
      <c r="AE106" s="110" t="n"/>
      <c r="AF106" s="110" t="n"/>
      <c r="AG106" s="110" t="n"/>
      <c r="AH106" s="110" t="n"/>
      <c r="AI106" s="110" t="n"/>
      <c r="AJ106" s="110" t="n">
        <v>40</v>
      </c>
      <c r="AK106" s="110" t="n"/>
      <c r="AL106" s="110" t="n"/>
      <c r="AM106" s="110" t="n"/>
      <c r="AN106" s="110" t="n"/>
      <c r="AO106" s="110" t="n"/>
      <c r="AP106" s="110" t="n"/>
      <c r="AQ106" s="110" t="n"/>
      <c r="AR106" s="110" t="n"/>
      <c r="AS106" s="110" t="n"/>
      <c r="AT106" s="110" t="n"/>
      <c r="AU106" s="110" t="n"/>
      <c r="AV106" s="110" t="n"/>
      <c r="AW106" s="110" t="n"/>
      <c r="AX106" s="110" t="n"/>
      <c r="AY106" s="110" t="n"/>
      <c r="AZ106" s="110" t="n"/>
      <c r="BA106" s="110" t="n"/>
      <c r="BB106" s="110" t="n"/>
      <c r="BC106" t="inlineStr">
        <is>
          <t>ORIGINAL</t>
        </is>
      </c>
      <c r="BD106" t="n">
        <v>97</v>
      </c>
      <c r="BF106" s="109">
        <f>IF($BD106="","",SUMIF($BD$6:$BD$2000,$BD106,$J$6:$J$2000))</f>
        <v/>
      </c>
    </row>
    <row r="107" ht="19.5" customHeight="1">
      <c r="A107" s="96" t="inlineStr">
        <is>
          <t>PENDENTE</t>
        </is>
      </c>
      <c r="B107" s="26" t="inlineStr">
        <is>
          <t>RIACHUELO</t>
        </is>
      </c>
      <c r="C107" s="27" t="n">
        <v>101</v>
      </c>
      <c r="D107" s="26" t="inlineStr">
        <is>
          <t>METRO TUCURUVI SH</t>
        </is>
      </c>
      <c r="E107" s="26" t="inlineStr">
        <is>
          <t>SÃO PAULO</t>
        </is>
      </c>
      <c r="F107" s="27" t="inlineStr">
        <is>
          <t>SP</t>
        </is>
      </c>
      <c r="G107" s="107" t="n">
        <v>46235</v>
      </c>
      <c r="H107" s="108">
        <f>IF($B107="","",SUM($K107:$AG107)+SUM($AS107:$BB107))</f>
        <v/>
      </c>
      <c r="I107" s="108">
        <f>IF($B107="","",SUM($AH107:$AL107))</f>
        <v/>
      </c>
      <c r="J107" s="109">
        <f>IF($B107="","",SUMPRODUCT($K107:$BB107,$K$2:$BB$2))</f>
        <v/>
      </c>
      <c r="K107" s="110" t="n">
        <v>12</v>
      </c>
      <c r="L107" s="110" t="n"/>
      <c r="M107" s="110" t="n"/>
      <c r="N107" s="110" t="n">
        <v>3</v>
      </c>
      <c r="O107" s="110" t="n"/>
      <c r="P107" s="110" t="n"/>
      <c r="Q107" s="110" t="n"/>
      <c r="R107" s="110" t="n"/>
      <c r="S107" s="110" t="n"/>
      <c r="T107" s="110" t="n"/>
      <c r="U107" s="110" t="n"/>
      <c r="V107" s="110" t="n"/>
      <c r="W107" s="110" t="n"/>
      <c r="X107" s="110" t="n"/>
      <c r="Y107" s="110" t="n"/>
      <c r="Z107" s="110" t="n"/>
      <c r="AA107" s="110" t="n">
        <v>11</v>
      </c>
      <c r="AB107" s="110" t="n"/>
      <c r="AC107" s="110" t="n"/>
      <c r="AD107" s="110" t="n"/>
      <c r="AE107" s="110" t="n"/>
      <c r="AF107" s="110" t="n"/>
      <c r="AG107" s="110" t="n"/>
      <c r="AH107" s="110" t="n">
        <v>8</v>
      </c>
      <c r="AI107" s="110" t="n"/>
      <c r="AJ107" s="110" t="n"/>
      <c r="AK107" s="110" t="n"/>
      <c r="AL107" s="110" t="n"/>
      <c r="AM107" s="110" t="n"/>
      <c r="AN107" s="110" t="n"/>
      <c r="AO107" s="110" t="n"/>
      <c r="AP107" s="110" t="n"/>
      <c r="AQ107" s="110" t="n"/>
      <c r="AR107" s="110" t="n"/>
      <c r="AS107" s="110" t="n"/>
      <c r="AT107" s="110" t="n"/>
      <c r="AU107" s="110" t="n"/>
      <c r="AV107" s="110" t="n"/>
      <c r="AW107" s="110" t="n"/>
      <c r="AX107" s="110" t="n"/>
      <c r="AY107" s="110" t="n"/>
      <c r="AZ107" s="110" t="n"/>
      <c r="BA107" s="110" t="n"/>
      <c r="BB107" s="110" t="n"/>
      <c r="BC107" t="inlineStr">
        <is>
          <t>ORIGINAL</t>
        </is>
      </c>
      <c r="BD107" t="n">
        <v>98</v>
      </c>
      <c r="BF107" s="109">
        <f>IF($BD107="","",SUMIF($BD$6:$BD$2000,$BD107,$J$6:$J$2000))</f>
        <v/>
      </c>
    </row>
    <row r="108" ht="19.5" customHeight="1">
      <c r="A108" s="96" t="inlineStr">
        <is>
          <t>PENDENTE</t>
        </is>
      </c>
      <c r="B108" s="26" t="inlineStr">
        <is>
          <t>RIACHUELO</t>
        </is>
      </c>
      <c r="C108" s="27" t="n">
        <v>102</v>
      </c>
      <c r="D108" s="26" t="inlineStr">
        <is>
          <t>SHOPPING DA ILHA</t>
        </is>
      </c>
      <c r="E108" s="26" t="inlineStr">
        <is>
          <t>SÃO LUÍS</t>
        </is>
      </c>
      <c r="F108" s="27" t="inlineStr">
        <is>
          <t>MA</t>
        </is>
      </c>
      <c r="G108" s="107" t="n">
        <v>46174</v>
      </c>
      <c r="H108" s="108">
        <f>IF($B108="","",SUM($K108:$AG108)+SUM($AS108:$BB108))</f>
        <v/>
      </c>
      <c r="I108" s="108">
        <f>IF($B108="","",SUM($AH108:$AL108))</f>
        <v/>
      </c>
      <c r="J108" s="109">
        <f>IF($B108="","",SUMPRODUCT($K108:$BB108,$K$2:$BB$2))</f>
        <v/>
      </c>
      <c r="K108" s="110" t="n"/>
      <c r="L108" s="110" t="n"/>
      <c r="M108" s="110" t="n"/>
      <c r="N108" s="110" t="n"/>
      <c r="O108" s="110" t="n"/>
      <c r="P108" s="110" t="n">
        <v>1</v>
      </c>
      <c r="Q108" s="110" t="n"/>
      <c r="R108" s="110" t="n"/>
      <c r="S108" s="110" t="n"/>
      <c r="T108" s="110" t="n"/>
      <c r="U108" s="110" t="n">
        <v>27</v>
      </c>
      <c r="V108" s="110" t="n"/>
      <c r="W108" s="110" t="n"/>
      <c r="X108" s="110" t="n"/>
      <c r="Y108" s="110" t="n"/>
      <c r="Z108" s="110" t="n"/>
      <c r="AA108" s="110" t="n">
        <v>1</v>
      </c>
      <c r="AB108" s="110" t="n"/>
      <c r="AC108" s="110" t="n"/>
      <c r="AD108" s="110" t="n"/>
      <c r="AE108" s="110" t="n"/>
      <c r="AF108" s="110" t="n"/>
      <c r="AG108" s="110" t="n"/>
      <c r="AH108" s="110" t="n">
        <v>24</v>
      </c>
      <c r="AI108" s="110" t="n"/>
      <c r="AJ108" s="110" t="n"/>
      <c r="AK108" s="110" t="n"/>
      <c r="AL108" s="110" t="n"/>
      <c r="AM108" s="110" t="n"/>
      <c r="AN108" s="110" t="n"/>
      <c r="AO108" s="110" t="n"/>
      <c r="AP108" s="110" t="n"/>
      <c r="AQ108" s="110" t="n"/>
      <c r="AR108" s="110" t="n"/>
      <c r="AS108" s="110" t="n"/>
      <c r="AT108" s="110" t="n"/>
      <c r="AU108" s="110" t="n"/>
      <c r="AV108" s="110" t="n"/>
      <c r="AW108" s="110" t="n"/>
      <c r="AX108" s="110" t="n"/>
      <c r="AY108" s="110" t="n"/>
      <c r="AZ108" s="110" t="n"/>
      <c r="BA108" s="110" t="n"/>
      <c r="BB108" s="110" t="n"/>
      <c r="BC108" t="inlineStr">
        <is>
          <t>ORIGINAL</t>
        </is>
      </c>
      <c r="BD108" t="n">
        <v>99</v>
      </c>
      <c r="BF108" s="109">
        <f>IF($BD108="","",SUMIF($BD$6:$BD$2000,$BD108,$J$6:$J$2000))</f>
        <v/>
      </c>
    </row>
    <row r="109" ht="19.5" customHeight="1">
      <c r="A109" s="96" t="inlineStr">
        <is>
          <t>PENDENTE</t>
        </is>
      </c>
      <c r="B109" s="26" t="inlineStr">
        <is>
          <t>RIACHUELO</t>
        </is>
      </c>
      <c r="C109" s="27" t="n">
        <v>103</v>
      </c>
      <c r="D109" s="26" t="inlineStr">
        <is>
          <t>RECIFE CENTRO</t>
        </is>
      </c>
      <c r="E109" s="26" t="inlineStr">
        <is>
          <t>RECIFE</t>
        </is>
      </c>
      <c r="F109" s="27" t="inlineStr">
        <is>
          <t>PE</t>
        </is>
      </c>
      <c r="G109" s="107" t="n">
        <v>46023</v>
      </c>
      <c r="H109" s="108">
        <f>IF($B109="","",SUM($K109:$AG109)+SUM($AS109:$BB109))</f>
        <v/>
      </c>
      <c r="I109" s="108">
        <f>IF($B109="","",SUM($AH109:$AL109))</f>
        <v/>
      </c>
      <c r="J109" s="109">
        <f>IF($B109="","",SUMPRODUCT($K109:$BB109,$K$2:$BB$2))</f>
        <v/>
      </c>
      <c r="K109" s="110" t="n">
        <v>37</v>
      </c>
      <c r="L109" s="110" t="n"/>
      <c r="M109" s="110" t="n">
        <v>33</v>
      </c>
      <c r="N109" s="110" t="n">
        <v>2</v>
      </c>
      <c r="O109" s="110" t="n"/>
      <c r="P109" s="110" t="n"/>
      <c r="Q109" s="110" t="n"/>
      <c r="R109" s="110" t="n"/>
      <c r="S109" s="110" t="n"/>
      <c r="T109" s="110" t="n"/>
      <c r="U109" s="110" t="n"/>
      <c r="V109" s="110" t="n"/>
      <c r="W109" s="110" t="n"/>
      <c r="X109" s="110" t="n"/>
      <c r="Y109" s="110" t="n"/>
      <c r="Z109" s="110" t="n"/>
      <c r="AA109" s="110" t="n">
        <v>31</v>
      </c>
      <c r="AB109" s="110" t="n"/>
      <c r="AC109" s="110" t="n"/>
      <c r="AD109" s="110" t="n"/>
      <c r="AE109" s="110" t="n"/>
      <c r="AF109" s="110" t="n"/>
      <c r="AG109" s="110" t="n"/>
      <c r="AH109" s="110" t="n">
        <v>64</v>
      </c>
      <c r="AI109" s="110" t="n"/>
      <c r="AJ109" s="110" t="n"/>
      <c r="AK109" s="110" t="n"/>
      <c r="AL109" s="110" t="n"/>
      <c r="AM109" s="110" t="n"/>
      <c r="AN109" s="110" t="n"/>
      <c r="AO109" s="110" t="n"/>
      <c r="AP109" s="110" t="n"/>
      <c r="AQ109" s="110" t="n"/>
      <c r="AR109" s="110" t="n"/>
      <c r="AS109" s="110" t="n"/>
      <c r="AT109" s="110" t="n"/>
      <c r="AU109" s="110" t="n"/>
      <c r="AV109" s="110" t="n"/>
      <c r="AW109" s="110" t="n"/>
      <c r="AX109" s="110" t="n"/>
      <c r="AY109" s="110" t="n"/>
      <c r="AZ109" s="110" t="n"/>
      <c r="BA109" s="110" t="n"/>
      <c r="BB109" s="110" t="n"/>
      <c r="BC109" t="inlineStr">
        <is>
          <t>ORIGINAL</t>
        </is>
      </c>
      <c r="BD109" t="n">
        <v>100</v>
      </c>
      <c r="BF109" s="109">
        <f>IF($BD109="","",SUMIF($BD$6:$BD$2000,$BD109,$J$6:$J$2000))</f>
        <v/>
      </c>
    </row>
    <row r="110" ht="19.5" customHeight="1">
      <c r="A110" s="96" t="inlineStr">
        <is>
          <t>PENDENTE</t>
        </is>
      </c>
      <c r="B110" s="26" t="inlineStr">
        <is>
          <t>RIACHUELO</t>
        </is>
      </c>
      <c r="C110" s="27" t="n">
        <v>104</v>
      </c>
      <c r="D110" s="26" t="inlineStr">
        <is>
          <t>SALVADOR IGUATEMI</t>
        </is>
      </c>
      <c r="E110" s="26" t="inlineStr">
        <is>
          <t>SALVADOR</t>
        </is>
      </c>
      <c r="F110" s="27" t="inlineStr">
        <is>
          <t>BA</t>
        </is>
      </c>
      <c r="G110" s="107" t="n">
        <v>46204</v>
      </c>
      <c r="H110" s="108">
        <f>IF($B110="","",SUM($K110:$AG110)+SUM($AS110:$BB110))</f>
        <v/>
      </c>
      <c r="I110" s="108">
        <f>IF($B110="","",SUM($AH110:$AL110))</f>
        <v/>
      </c>
      <c r="J110" s="109">
        <f>IF($B110="","",SUMPRODUCT($K110:$BB110,$K$2:$BB$2))</f>
        <v/>
      </c>
      <c r="K110" s="110" t="n">
        <v>39</v>
      </c>
      <c r="L110" s="110" t="n"/>
      <c r="M110" s="110" t="n"/>
      <c r="N110" s="110" t="n">
        <v>37</v>
      </c>
      <c r="O110" s="110" t="n"/>
      <c r="P110" s="110" t="n"/>
      <c r="Q110" s="110" t="n"/>
      <c r="R110" s="110" t="n"/>
      <c r="S110" s="110" t="n"/>
      <c r="T110" s="110" t="n"/>
      <c r="U110" s="110" t="n"/>
      <c r="V110" s="110" t="n"/>
      <c r="W110" s="110" t="n"/>
      <c r="X110" s="110" t="n"/>
      <c r="Y110" s="110" t="n"/>
      <c r="Z110" s="110" t="n"/>
      <c r="AA110" s="110" t="n">
        <v>21</v>
      </c>
      <c r="AB110" s="110" t="n"/>
      <c r="AC110" s="110" t="n"/>
      <c r="AD110" s="110" t="n"/>
      <c r="AE110" s="110" t="n"/>
      <c r="AF110" s="110" t="n"/>
      <c r="AG110" s="110" t="n"/>
      <c r="AH110" s="110" t="n"/>
      <c r="AI110" s="110" t="n"/>
      <c r="AJ110" s="110" t="n">
        <v>68</v>
      </c>
      <c r="AK110" s="110" t="n"/>
      <c r="AL110" s="110" t="n"/>
      <c r="AM110" s="110" t="n"/>
      <c r="AN110" s="110" t="n"/>
      <c r="AO110" s="110" t="n"/>
      <c r="AP110" s="110" t="n"/>
      <c r="AQ110" s="110" t="n"/>
      <c r="AR110" s="110" t="n"/>
      <c r="AS110" s="110" t="n"/>
      <c r="AT110" s="110" t="n"/>
      <c r="AU110" s="110" t="n"/>
      <c r="AV110" s="110" t="n"/>
      <c r="AW110" s="110" t="n"/>
      <c r="AX110" s="110" t="n"/>
      <c r="AY110" s="110" t="n"/>
      <c r="AZ110" s="110" t="n"/>
      <c r="BA110" s="110" t="n"/>
      <c r="BB110" s="110" t="n"/>
      <c r="BC110" t="inlineStr">
        <is>
          <t>ORIGINAL</t>
        </is>
      </c>
      <c r="BD110" t="n">
        <v>101</v>
      </c>
      <c r="BF110" s="109">
        <f>IF($BD110="","",SUMIF($BD$6:$BD$2000,$BD110,$J$6:$J$2000))</f>
        <v/>
      </c>
    </row>
    <row r="111" ht="19.5" customHeight="1">
      <c r="A111" s="96" t="inlineStr">
        <is>
          <t>PENDENTE</t>
        </is>
      </c>
      <c r="B111" s="26" t="inlineStr">
        <is>
          <t>RIACHUELO</t>
        </is>
      </c>
      <c r="C111" s="27" t="n">
        <v>105</v>
      </c>
      <c r="D111" s="26" t="inlineStr">
        <is>
          <t>SHOPPING ABC</t>
        </is>
      </c>
      <c r="E111" s="26" t="inlineStr">
        <is>
          <t>SANTO ANDRE</t>
        </is>
      </c>
      <c r="F111" s="27" t="inlineStr">
        <is>
          <t>SP</t>
        </is>
      </c>
      <c r="G111" s="107" t="n">
        <v>46388</v>
      </c>
      <c r="H111" s="108">
        <f>IF($B111="","",SUM($K111:$AG111)+SUM($AS111:$BB111))</f>
        <v/>
      </c>
      <c r="I111" s="108">
        <f>IF($B111="","",SUM($AH111:$AL111))</f>
        <v/>
      </c>
      <c r="J111" s="109">
        <f>IF($B111="","",SUMPRODUCT($K111:$BB111,$K$2:$BB$2))</f>
        <v/>
      </c>
      <c r="K111" s="110" t="n">
        <v>11</v>
      </c>
      <c r="L111" s="110" t="n"/>
      <c r="M111" s="110" t="n">
        <v>5</v>
      </c>
      <c r="N111" s="110" t="n"/>
      <c r="O111" s="110" t="n"/>
      <c r="P111" s="110" t="n"/>
      <c r="Q111" s="110" t="n">
        <v>1</v>
      </c>
      <c r="R111" s="110" t="n"/>
      <c r="S111" s="110" t="n"/>
      <c r="T111" s="110" t="n"/>
      <c r="U111" s="110" t="n"/>
      <c r="V111" s="110" t="n"/>
      <c r="W111" s="110" t="n"/>
      <c r="X111" s="110" t="n"/>
      <c r="Y111" s="110" t="n"/>
      <c r="Z111" s="110" t="n"/>
      <c r="AA111" s="110" t="n">
        <v>7</v>
      </c>
      <c r="AB111" s="110" t="n"/>
      <c r="AC111" s="110" t="n"/>
      <c r="AD111" s="110" t="n"/>
      <c r="AE111" s="110" t="n"/>
      <c r="AF111" s="110" t="n"/>
      <c r="AG111" s="110" t="n"/>
      <c r="AH111" s="110" t="n">
        <v>20</v>
      </c>
      <c r="AI111" s="110" t="n"/>
      <c r="AJ111" s="110" t="n"/>
      <c r="AK111" s="110" t="n"/>
      <c r="AL111" s="110" t="n"/>
      <c r="AM111" s="110" t="n"/>
      <c r="AN111" s="110" t="n"/>
      <c r="AO111" s="110" t="n"/>
      <c r="AP111" s="110" t="n"/>
      <c r="AQ111" s="110" t="n"/>
      <c r="AR111" s="110" t="n"/>
      <c r="AS111" s="110" t="n"/>
      <c r="AT111" s="110" t="n"/>
      <c r="AU111" s="110" t="n"/>
      <c r="AV111" s="110" t="n"/>
      <c r="AW111" s="110" t="n"/>
      <c r="AX111" s="110" t="n"/>
      <c r="AY111" s="110" t="n"/>
      <c r="AZ111" s="110" t="n"/>
      <c r="BA111" s="110" t="n"/>
      <c r="BB111" s="110" t="n"/>
      <c r="BC111" t="inlineStr">
        <is>
          <t>ORIGINAL</t>
        </is>
      </c>
      <c r="BD111" t="n">
        <v>102</v>
      </c>
      <c r="BF111" s="109">
        <f>IF($BD111="","",SUMIF($BD$6:$BD$2000,$BD111,$J$6:$J$2000))</f>
        <v/>
      </c>
    </row>
    <row r="112" ht="19.5" customHeight="1">
      <c r="A112" s="96" t="inlineStr">
        <is>
          <t>PENDENTE</t>
        </is>
      </c>
      <c r="B112" s="26" t="inlineStr">
        <is>
          <t>RIACHUELO</t>
        </is>
      </c>
      <c r="C112" s="27" t="n">
        <v>106</v>
      </c>
      <c r="D112" s="26" t="inlineStr">
        <is>
          <t>SHOPPING CENTER RECIFE</t>
        </is>
      </c>
      <c r="E112" s="26" t="inlineStr">
        <is>
          <t>RECIFE</t>
        </is>
      </c>
      <c r="F112" s="27" t="inlineStr">
        <is>
          <t>PE</t>
        </is>
      </c>
      <c r="G112" s="107" t="n">
        <v>46023</v>
      </c>
      <c r="H112" s="108">
        <f>IF($B112="","",SUM($K112:$AG112)+SUM($AS112:$BB112))</f>
        <v/>
      </c>
      <c r="I112" s="108">
        <f>IF($B112="","",SUM($AH112:$AL112))</f>
        <v/>
      </c>
      <c r="J112" s="109">
        <f>IF($B112="","",SUMPRODUCT($K112:$BB112,$K$2:$BB$2))</f>
        <v/>
      </c>
      <c r="K112" s="110" t="n">
        <v>14</v>
      </c>
      <c r="L112" s="110" t="n"/>
      <c r="M112" s="110" t="n">
        <v>9</v>
      </c>
      <c r="N112" s="110" t="n">
        <v>1</v>
      </c>
      <c r="O112" s="110" t="n"/>
      <c r="P112" s="110" t="n">
        <v>6</v>
      </c>
      <c r="Q112" s="110" t="n"/>
      <c r="R112" s="110" t="n"/>
      <c r="S112" s="110" t="n"/>
      <c r="T112" s="110" t="n"/>
      <c r="U112" s="110" t="n">
        <v>8</v>
      </c>
      <c r="V112" s="110" t="n"/>
      <c r="W112" s="110" t="n"/>
      <c r="X112" s="110" t="n"/>
      <c r="Y112" s="110" t="n"/>
      <c r="Z112" s="110" t="n"/>
      <c r="AA112" s="110" t="n">
        <v>4</v>
      </c>
      <c r="AB112" s="110" t="n"/>
      <c r="AC112" s="110" t="n"/>
      <c r="AD112" s="110" t="n"/>
      <c r="AE112" s="110" t="n"/>
      <c r="AF112" s="110" t="n"/>
      <c r="AG112" s="110" t="n"/>
      <c r="AH112" s="110" t="n"/>
      <c r="AI112" s="110" t="n"/>
      <c r="AJ112" s="110" t="n">
        <v>20</v>
      </c>
      <c r="AK112" s="110" t="n"/>
      <c r="AL112" s="110" t="n"/>
      <c r="AM112" s="110" t="n"/>
      <c r="AN112" s="110" t="n"/>
      <c r="AO112" s="110" t="n"/>
      <c r="AP112" s="110" t="n"/>
      <c r="AQ112" s="110" t="n"/>
      <c r="AR112" s="110" t="n"/>
      <c r="AS112" s="110" t="n"/>
      <c r="AT112" s="110" t="n"/>
      <c r="AU112" s="110" t="n"/>
      <c r="AV112" s="110" t="n"/>
      <c r="AW112" s="110" t="n"/>
      <c r="AX112" s="110" t="n"/>
      <c r="AY112" s="110" t="n"/>
      <c r="AZ112" s="110" t="n"/>
      <c r="BA112" s="110" t="n"/>
      <c r="BB112" s="110" t="n"/>
      <c r="BC112" t="inlineStr">
        <is>
          <t>ORIGINAL</t>
        </is>
      </c>
      <c r="BD112" t="n">
        <v>103</v>
      </c>
      <c r="BF112" s="109">
        <f>IF($BD112="","",SUMIF($BD$6:$BD$2000,$BD112,$J$6:$J$2000))</f>
        <v/>
      </c>
    </row>
    <row r="113" ht="19.5" customHeight="1">
      <c r="A113" s="96" t="inlineStr">
        <is>
          <t>PENDENTE</t>
        </is>
      </c>
      <c r="B113" s="26" t="inlineStr">
        <is>
          <t>RIACHUELO</t>
        </is>
      </c>
      <c r="C113" s="27" t="n">
        <v>107</v>
      </c>
      <c r="D113" s="26" t="inlineStr">
        <is>
          <t>VITORIA DA CONQUISTA SH</t>
        </is>
      </c>
      <c r="E113" s="26" t="inlineStr">
        <is>
          <t>VITORIA DA CONQUISTA</t>
        </is>
      </c>
      <c r="F113" s="27" t="inlineStr">
        <is>
          <t>BA</t>
        </is>
      </c>
      <c r="G113" s="107" t="n">
        <v>46023</v>
      </c>
      <c r="H113" s="108">
        <f>IF($B113="","",SUM($K113:$AG113)+SUM($AS113:$BB113))</f>
        <v/>
      </c>
      <c r="I113" s="108">
        <f>IF($B113="","",SUM($AH113:$AL113))</f>
        <v/>
      </c>
      <c r="J113" s="109">
        <f>IF($B113="","",SUMPRODUCT($K113:$BB113,$K$2:$BB$2))</f>
        <v/>
      </c>
      <c r="K113" s="110" t="n">
        <v>11</v>
      </c>
      <c r="L113" s="110" t="n"/>
      <c r="M113" s="110" t="n"/>
      <c r="N113" s="110" t="n">
        <v>7</v>
      </c>
      <c r="O113" s="110" t="n"/>
      <c r="P113" s="110" t="n"/>
      <c r="Q113" s="110" t="n"/>
      <c r="R113" s="110" t="n"/>
      <c r="S113" s="110" t="n"/>
      <c r="T113" s="110" t="n"/>
      <c r="U113" s="110" t="n">
        <v>6</v>
      </c>
      <c r="V113" s="110" t="n"/>
      <c r="W113" s="110" t="n"/>
      <c r="X113" s="110" t="n"/>
      <c r="Y113" s="110" t="n"/>
      <c r="Z113" s="110" t="n"/>
      <c r="AA113" s="110" t="n">
        <v>15</v>
      </c>
      <c r="AB113" s="110" t="n"/>
      <c r="AC113" s="110" t="n"/>
      <c r="AD113" s="110" t="n"/>
      <c r="AE113" s="110" t="n"/>
      <c r="AF113" s="110" t="n"/>
      <c r="AG113" s="110" t="n"/>
      <c r="AH113" s="110" t="n">
        <v>16</v>
      </c>
      <c r="AI113" s="110" t="n"/>
      <c r="AJ113" s="110" t="n"/>
      <c r="AK113" s="110" t="n"/>
      <c r="AL113" s="110" t="n"/>
      <c r="AM113" s="110" t="n"/>
      <c r="AN113" s="110" t="n"/>
      <c r="AO113" s="110" t="n"/>
      <c r="AP113" s="110" t="n"/>
      <c r="AQ113" s="110" t="n"/>
      <c r="AR113" s="110" t="n"/>
      <c r="AS113" s="110" t="n"/>
      <c r="AT113" s="110" t="n"/>
      <c r="AU113" s="110" t="n"/>
      <c r="AV113" s="110" t="n"/>
      <c r="AW113" s="110" t="n"/>
      <c r="AX113" s="110" t="n"/>
      <c r="AY113" s="110" t="n"/>
      <c r="AZ113" s="110" t="n"/>
      <c r="BA113" s="110" t="n"/>
      <c r="BB113" s="110" t="n"/>
      <c r="BC113" t="inlineStr">
        <is>
          <t>ORIGINAL</t>
        </is>
      </c>
      <c r="BD113" t="n">
        <v>104</v>
      </c>
      <c r="BF113" s="109">
        <f>IF($BD113="","",SUMIF($BD$6:$BD$2000,$BD113,$J$6:$J$2000))</f>
        <v/>
      </c>
    </row>
    <row r="114" ht="19.5" customHeight="1">
      <c r="A114" s="96" t="inlineStr">
        <is>
          <t>PENDENTE</t>
        </is>
      </c>
      <c r="B114" s="26" t="inlineStr">
        <is>
          <t>RIACHUELO</t>
        </is>
      </c>
      <c r="C114" s="27" t="n">
        <v>108</v>
      </c>
      <c r="D114" s="26" t="inlineStr">
        <is>
          <t>FORTALEZA IGUATEMI SH</t>
        </is>
      </c>
      <c r="E114" s="26" t="inlineStr">
        <is>
          <t>FORTALEZA</t>
        </is>
      </c>
      <c r="F114" s="27" t="inlineStr">
        <is>
          <t>CE</t>
        </is>
      </c>
      <c r="G114" s="107" t="n">
        <v>46266</v>
      </c>
      <c r="H114" s="108">
        <f>IF($B114="","",SUM($K114:$AG114)+SUM($AS114:$BB114))</f>
        <v/>
      </c>
      <c r="I114" s="108">
        <f>IF($B114="","",SUM($AH114:$AL114))</f>
        <v/>
      </c>
      <c r="J114" s="109">
        <f>IF($B114="","",SUMPRODUCT($K114:$BB114,$K$2:$BB$2))</f>
        <v/>
      </c>
      <c r="K114" s="110" t="n">
        <v>23</v>
      </c>
      <c r="L114" s="110" t="n"/>
      <c r="M114" s="110" t="n"/>
      <c r="N114" s="110" t="n">
        <v>10</v>
      </c>
      <c r="O114" s="110" t="n"/>
      <c r="P114" s="110" t="n">
        <v>4</v>
      </c>
      <c r="Q114" s="110" t="n"/>
      <c r="R114" s="110" t="n"/>
      <c r="S114" s="110" t="n"/>
      <c r="T114" s="110" t="n"/>
      <c r="U114" s="110" t="n">
        <v>3</v>
      </c>
      <c r="V114" s="110" t="n"/>
      <c r="W114" s="110" t="n"/>
      <c r="X114" s="110" t="n"/>
      <c r="Y114" s="110" t="n"/>
      <c r="Z114" s="110" t="n"/>
      <c r="AA114" s="110" t="n">
        <v>10</v>
      </c>
      <c r="AB114" s="110" t="n"/>
      <c r="AC114" s="110" t="n"/>
      <c r="AD114" s="110" t="n"/>
      <c r="AE114" s="110" t="n"/>
      <c r="AF114" s="110" t="n"/>
      <c r="AG114" s="110" t="n"/>
      <c r="AH114" s="110" t="n">
        <v>4</v>
      </c>
      <c r="AI114" s="110" t="n"/>
      <c r="AJ114" s="110" t="n">
        <v>43</v>
      </c>
      <c r="AK114" s="110" t="n"/>
      <c r="AL114" s="110" t="n"/>
      <c r="AM114" s="110" t="n"/>
      <c r="AN114" s="110" t="n"/>
      <c r="AO114" s="110" t="n"/>
      <c r="AP114" s="110" t="n"/>
      <c r="AQ114" s="110" t="n"/>
      <c r="AR114" s="110" t="n"/>
      <c r="AS114" s="110" t="n"/>
      <c r="AT114" s="110" t="n"/>
      <c r="AU114" s="110" t="n"/>
      <c r="AV114" s="110" t="n"/>
      <c r="AW114" s="110" t="n"/>
      <c r="AX114" s="110" t="n"/>
      <c r="AY114" s="110" t="n"/>
      <c r="AZ114" s="110" t="n"/>
      <c r="BA114" s="110" t="n"/>
      <c r="BB114" s="110" t="n"/>
      <c r="BC114" t="inlineStr">
        <is>
          <t>ORIGINAL</t>
        </is>
      </c>
      <c r="BD114" t="n">
        <v>105</v>
      </c>
      <c r="BF114" s="109">
        <f>IF($BD114="","",SUMIF($BD$6:$BD$2000,$BD114,$J$6:$J$2000))</f>
        <v/>
      </c>
    </row>
    <row r="115" ht="19.5" customHeight="1">
      <c r="A115" s="96" t="inlineStr">
        <is>
          <t>PENDENTE</t>
        </is>
      </c>
      <c r="B115" s="26" t="inlineStr">
        <is>
          <t>RIACHUELO</t>
        </is>
      </c>
      <c r="C115" s="27" t="n">
        <v>109</v>
      </c>
      <c r="D115" s="26" t="inlineStr">
        <is>
          <t>JUAZEIRO DO NORTE CARIRI SH</t>
        </is>
      </c>
      <c r="E115" s="26" t="inlineStr">
        <is>
          <t>JUAZEIRO DO NORTE</t>
        </is>
      </c>
      <c r="F115" s="27" t="inlineStr">
        <is>
          <t>CE</t>
        </is>
      </c>
      <c r="G115" s="107" t="n">
        <v>46266</v>
      </c>
      <c r="H115" s="108">
        <f>IF($B115="","",SUM($K115:$AG115)+SUM($AS115:$BB115))</f>
        <v/>
      </c>
      <c r="I115" s="108">
        <f>IF($B115="","",SUM($AH115:$AL115))</f>
        <v/>
      </c>
      <c r="J115" s="109">
        <f>IF($B115="","",SUMPRODUCT($K115:$BB115,$K$2:$BB$2))</f>
        <v/>
      </c>
      <c r="K115" s="110" t="n"/>
      <c r="L115" s="110" t="n"/>
      <c r="M115" s="110" t="n"/>
      <c r="N115" s="110" t="n"/>
      <c r="O115" s="110" t="n"/>
      <c r="P115" s="110" t="n">
        <v>3</v>
      </c>
      <c r="Q115" s="110" t="n"/>
      <c r="R115" s="110" t="n"/>
      <c r="S115" s="110" t="n"/>
      <c r="T115" s="110" t="n"/>
      <c r="U115" s="110" t="n">
        <v>21</v>
      </c>
      <c r="V115" s="110" t="n"/>
      <c r="W115" s="110" t="n"/>
      <c r="X115" s="110" t="n"/>
      <c r="Y115" s="110" t="n"/>
      <c r="Z115" s="110" t="n"/>
      <c r="AA115" s="110" t="n">
        <v>1</v>
      </c>
      <c r="AB115" s="110" t="n"/>
      <c r="AC115" s="110" t="n"/>
      <c r="AD115" s="110" t="n"/>
      <c r="AE115" s="110" t="n"/>
      <c r="AF115" s="110" t="n"/>
      <c r="AG115" s="110" t="n"/>
      <c r="AH115" s="110" t="n">
        <v>20</v>
      </c>
      <c r="AI115" s="110" t="n"/>
      <c r="AJ115" s="110" t="n"/>
      <c r="AK115" s="110" t="n"/>
      <c r="AL115" s="110" t="n"/>
      <c r="AM115" s="110" t="n"/>
      <c r="AN115" s="110" t="n"/>
      <c r="AO115" s="110" t="n"/>
      <c r="AP115" s="110" t="n"/>
      <c r="AQ115" s="110" t="n"/>
      <c r="AR115" s="110" t="n"/>
      <c r="AS115" s="110" t="n"/>
      <c r="AT115" s="110" t="n"/>
      <c r="AU115" s="110" t="n"/>
      <c r="AV115" s="110" t="n"/>
      <c r="AW115" s="110" t="n"/>
      <c r="AX115" s="110" t="n"/>
      <c r="AY115" s="110" t="n"/>
      <c r="AZ115" s="110" t="n"/>
      <c r="BA115" s="110" t="n"/>
      <c r="BB115" s="110" t="n"/>
      <c r="BC115" t="inlineStr">
        <is>
          <t>ORIGINAL</t>
        </is>
      </c>
      <c r="BD115" t="n">
        <v>106</v>
      </c>
      <c r="BF115" s="109">
        <f>IF($BD115="","",SUMIF($BD$6:$BD$2000,$BD115,$J$6:$J$2000))</f>
        <v/>
      </c>
    </row>
    <row r="116" ht="19.5" customHeight="1">
      <c r="A116" s="96" t="inlineStr">
        <is>
          <t>PENDENTE</t>
        </is>
      </c>
      <c r="B116" s="26" t="inlineStr">
        <is>
          <t>RIACHUELO</t>
        </is>
      </c>
      <c r="C116" s="27" t="n">
        <v>110</v>
      </c>
      <c r="D116" s="26" t="inlineStr">
        <is>
          <t>FEIRA DE SANTANA IGAUTEMI SH</t>
        </is>
      </c>
      <c r="E116" s="26" t="inlineStr">
        <is>
          <t>FEIRA DE SANTANA</t>
        </is>
      </c>
      <c r="F116" s="27" t="inlineStr">
        <is>
          <t>BA</t>
        </is>
      </c>
      <c r="G116" s="107" t="n">
        <v>46082</v>
      </c>
      <c r="H116" s="108">
        <f>IF($B116="","",SUM($K116:$AG116)+SUM($AS116:$BB116))</f>
        <v/>
      </c>
      <c r="I116" s="108">
        <f>IF($B116="","",SUM($AH116:$AL116))</f>
        <v/>
      </c>
      <c r="J116" s="109">
        <f>IF($B116="","",SUMPRODUCT($K116:$BB116,$K$2:$BB$2))</f>
        <v/>
      </c>
      <c r="K116" s="110" t="n">
        <v>10</v>
      </c>
      <c r="L116" s="110" t="n"/>
      <c r="M116" s="110" t="n"/>
      <c r="N116" s="110" t="n">
        <v>10</v>
      </c>
      <c r="O116" s="110" t="n">
        <v>7</v>
      </c>
      <c r="P116" s="110" t="n"/>
      <c r="Q116" s="110" t="n"/>
      <c r="R116" s="110" t="n"/>
      <c r="S116" s="110" t="n"/>
      <c r="T116" s="110" t="n"/>
      <c r="U116" s="110" t="n"/>
      <c r="V116" s="110" t="n"/>
      <c r="W116" s="110" t="n"/>
      <c r="X116" s="110" t="n"/>
      <c r="Y116" s="110" t="n"/>
      <c r="Z116" s="110" t="n"/>
      <c r="AA116" s="110" t="n">
        <v>2</v>
      </c>
      <c r="AB116" s="110" t="n"/>
      <c r="AC116" s="110" t="n"/>
      <c r="AD116" s="110" t="n"/>
      <c r="AE116" s="110" t="n"/>
      <c r="AF116" s="110" t="n"/>
      <c r="AG116" s="110" t="n"/>
      <c r="AH116" s="110" t="n">
        <v>27</v>
      </c>
      <c r="AI116" s="110" t="n"/>
      <c r="AJ116" s="110" t="n"/>
      <c r="AK116" s="110" t="n"/>
      <c r="AL116" s="110" t="n"/>
      <c r="AM116" s="110" t="n"/>
      <c r="AN116" s="110" t="n"/>
      <c r="AO116" s="110" t="n"/>
      <c r="AP116" s="110" t="n"/>
      <c r="AQ116" s="110" t="n"/>
      <c r="AR116" s="110" t="n"/>
      <c r="AS116" s="110" t="n"/>
      <c r="AT116" s="110" t="n"/>
      <c r="AU116" s="110" t="n"/>
      <c r="AV116" s="110" t="n"/>
      <c r="AW116" s="110" t="n"/>
      <c r="AX116" s="110" t="n"/>
      <c r="AY116" s="110" t="n"/>
      <c r="AZ116" s="110" t="n"/>
      <c r="BA116" s="110" t="n"/>
      <c r="BB116" s="110" t="n"/>
      <c r="BC116" t="inlineStr">
        <is>
          <t>ORIGINAL</t>
        </is>
      </c>
      <c r="BD116" t="n">
        <v>107</v>
      </c>
      <c r="BF116" s="109">
        <f>IF($BD116="","",SUMIF($BD$6:$BD$2000,$BD116,$J$6:$J$2000))</f>
        <v/>
      </c>
    </row>
    <row r="117" ht="19.5" customHeight="1">
      <c r="A117" s="96" t="inlineStr">
        <is>
          <t>PENDENTE</t>
        </is>
      </c>
      <c r="B117" s="26" t="inlineStr">
        <is>
          <t>RIACHUELO</t>
        </is>
      </c>
      <c r="C117" s="27" t="n">
        <v>111</v>
      </c>
      <c r="D117" s="26" t="inlineStr">
        <is>
          <t>SALVADOR BARRA SH</t>
        </is>
      </c>
      <c r="E117" s="26" t="inlineStr">
        <is>
          <t>SALVADOR</t>
        </is>
      </c>
      <c r="F117" s="27" t="inlineStr">
        <is>
          <t>BA</t>
        </is>
      </c>
      <c r="G117" s="107" t="n">
        <v>46023</v>
      </c>
      <c r="H117" s="108">
        <f>IF($B117="","",SUM($K117:$AG117)+SUM($AS117:$BB117))</f>
        <v/>
      </c>
      <c r="I117" s="108">
        <f>IF($B117="","",SUM($AH117:$AL117))</f>
        <v/>
      </c>
      <c r="J117" s="109">
        <f>IF($B117="","",SUMPRODUCT($K117:$BB117,$K$2:$BB$2))</f>
        <v/>
      </c>
      <c r="K117" s="110" t="n">
        <v>19</v>
      </c>
      <c r="L117" s="110" t="n"/>
      <c r="M117" s="110" t="n"/>
      <c r="N117" s="110" t="n">
        <v>14</v>
      </c>
      <c r="O117" s="110" t="n"/>
      <c r="P117" s="110" t="n"/>
      <c r="Q117" s="110" t="n"/>
      <c r="R117" s="110" t="n"/>
      <c r="S117" s="110" t="n"/>
      <c r="T117" s="110" t="n"/>
      <c r="U117" s="110" t="n"/>
      <c r="V117" s="110" t="n"/>
      <c r="W117" s="110" t="n"/>
      <c r="X117" s="110" t="n"/>
      <c r="Y117" s="110" t="n"/>
      <c r="Z117" s="110" t="n"/>
      <c r="AA117" s="110" t="n">
        <v>10</v>
      </c>
      <c r="AB117" s="110" t="n"/>
      <c r="AC117" s="110" t="n"/>
      <c r="AD117" s="110" t="n"/>
      <c r="AE117" s="110" t="n"/>
      <c r="AF117" s="110" t="n"/>
      <c r="AG117" s="110" t="n"/>
      <c r="AH117" s="110" t="n"/>
      <c r="AI117" s="110" t="n"/>
      <c r="AJ117" s="110" t="n">
        <v>40</v>
      </c>
      <c r="AK117" s="110" t="n"/>
      <c r="AL117" s="110" t="n"/>
      <c r="AM117" s="110" t="n"/>
      <c r="AN117" s="110" t="n"/>
      <c r="AO117" s="110" t="n"/>
      <c r="AP117" s="110" t="n"/>
      <c r="AQ117" s="110" t="n"/>
      <c r="AR117" s="110" t="n"/>
      <c r="AS117" s="110" t="n"/>
      <c r="AT117" s="110" t="n"/>
      <c r="AU117" s="110" t="n"/>
      <c r="AV117" s="110" t="n"/>
      <c r="AW117" s="110" t="n"/>
      <c r="AX117" s="110" t="n"/>
      <c r="AY117" s="110" t="n"/>
      <c r="AZ117" s="110" t="n"/>
      <c r="BA117" s="110" t="n"/>
      <c r="BB117" s="110" t="n"/>
      <c r="BC117" t="inlineStr">
        <is>
          <t>ORIGINAL</t>
        </is>
      </c>
      <c r="BD117" t="n">
        <v>108</v>
      </c>
      <c r="BF117" s="109">
        <f>IF($BD117="","",SUMIF($BD$6:$BD$2000,$BD117,$J$6:$J$2000))</f>
        <v/>
      </c>
    </row>
    <row r="118" ht="19.5" customHeight="1">
      <c r="A118" s="96" t="inlineStr">
        <is>
          <t>PENDENTE</t>
        </is>
      </c>
      <c r="B118" s="26" t="inlineStr">
        <is>
          <t>RIACHUELO</t>
        </is>
      </c>
      <c r="C118" s="27" t="n">
        <v>112</v>
      </c>
      <c r="D118" s="26" t="inlineStr">
        <is>
          <t>SALVADOR SH</t>
        </is>
      </c>
      <c r="E118" s="26" t="inlineStr">
        <is>
          <t>SALVADOR</t>
        </is>
      </c>
      <c r="F118" s="27" t="inlineStr">
        <is>
          <t>BA</t>
        </is>
      </c>
      <c r="G118" s="107" t="n">
        <v>46023</v>
      </c>
      <c r="H118" s="108">
        <f>IF($B118="","",SUM($K118:$AG118)+SUM($AS118:$BB118))</f>
        <v/>
      </c>
      <c r="I118" s="108">
        <f>IF($B118="","",SUM($AH118:$AL118))</f>
        <v/>
      </c>
      <c r="J118" s="109">
        <f>IF($B118="","",SUMPRODUCT($K118:$BB118,$K$2:$BB$2))</f>
        <v/>
      </c>
      <c r="K118" s="110" t="n">
        <v>15</v>
      </c>
      <c r="L118" s="110" t="n"/>
      <c r="M118" s="110" t="n"/>
      <c r="N118" s="110" t="n"/>
      <c r="O118" s="110" t="n">
        <v>15</v>
      </c>
      <c r="P118" s="110" t="n"/>
      <c r="Q118" s="110" t="n"/>
      <c r="R118" s="110" t="n"/>
      <c r="S118" s="110" t="n"/>
      <c r="T118" s="110" t="n"/>
      <c r="U118" s="110" t="n"/>
      <c r="V118" s="110" t="n">
        <v>2</v>
      </c>
      <c r="W118" s="110" t="n"/>
      <c r="X118" s="110" t="n"/>
      <c r="Y118" s="110" t="n"/>
      <c r="Z118" s="110" t="n"/>
      <c r="AA118" s="110" t="n">
        <v>4</v>
      </c>
      <c r="AB118" s="110" t="n"/>
      <c r="AC118" s="110" t="n"/>
      <c r="AD118" s="110" t="n"/>
      <c r="AE118" s="110" t="n"/>
      <c r="AF118" s="110" t="n"/>
      <c r="AG118" s="110" t="n"/>
      <c r="AH118" s="110" t="n">
        <v>36</v>
      </c>
      <c r="AI118" s="110" t="n"/>
      <c r="AJ118" s="110" t="n"/>
      <c r="AK118" s="110" t="n"/>
      <c r="AL118" s="110" t="n"/>
      <c r="AM118" s="110" t="n"/>
      <c r="AN118" s="110" t="n"/>
      <c r="AO118" s="110" t="n"/>
      <c r="AP118" s="110" t="n"/>
      <c r="AQ118" s="110" t="n"/>
      <c r="AR118" s="110" t="n"/>
      <c r="AS118" s="110" t="n"/>
      <c r="AT118" s="110" t="n"/>
      <c r="AU118" s="110" t="n"/>
      <c r="AV118" s="110" t="n"/>
      <c r="AW118" s="110" t="n"/>
      <c r="AX118" s="110" t="n"/>
      <c r="AY118" s="110" t="n"/>
      <c r="AZ118" s="110" t="n"/>
      <c r="BA118" s="110" t="n"/>
      <c r="BB118" s="110" t="n"/>
      <c r="BC118" t="inlineStr">
        <is>
          <t>ORIGINAL</t>
        </is>
      </c>
      <c r="BD118" t="n">
        <v>109</v>
      </c>
      <c r="BF118" s="109">
        <f>IF($BD118="","",SUMIF($BD$6:$BD$2000,$BD118,$J$6:$J$2000))</f>
        <v/>
      </c>
    </row>
    <row r="119" ht="19.5" customHeight="1">
      <c r="A119" s="96" t="inlineStr">
        <is>
          <t>PENDENTE</t>
        </is>
      </c>
      <c r="B119" s="26" t="inlineStr">
        <is>
          <t>RIACHUELO</t>
        </is>
      </c>
      <c r="C119" s="27" t="n">
        <v>113</v>
      </c>
      <c r="D119" s="26" t="inlineStr">
        <is>
          <t>TERESINA CT</t>
        </is>
      </c>
      <c r="E119" s="26" t="inlineStr">
        <is>
          <t>TERESINA</t>
        </is>
      </c>
      <c r="F119" s="27" t="inlineStr">
        <is>
          <t>PI</t>
        </is>
      </c>
      <c r="G119" s="107" t="n">
        <v>46296</v>
      </c>
      <c r="H119" s="108">
        <f>IF($B119="","",SUM($K119:$AG119)+SUM($AS119:$BB119))</f>
        <v/>
      </c>
      <c r="I119" s="108">
        <f>IF($B119="","",SUM($AH119:$AL119))</f>
        <v/>
      </c>
      <c r="J119" s="109">
        <f>IF($B119="","",SUMPRODUCT($K119:$BB119,$K$2:$BB$2))</f>
        <v/>
      </c>
      <c r="K119" s="110" t="n">
        <v>2</v>
      </c>
      <c r="L119" s="110" t="n"/>
      <c r="M119" s="110" t="n"/>
      <c r="N119" s="110" t="n">
        <v>1</v>
      </c>
      <c r="O119" s="110" t="n"/>
      <c r="P119" s="110" t="n"/>
      <c r="Q119" s="110" t="n"/>
      <c r="R119" s="110" t="n"/>
      <c r="S119" s="110" t="n"/>
      <c r="T119" s="110" t="n"/>
      <c r="U119" s="110" t="n"/>
      <c r="V119" s="110" t="n"/>
      <c r="W119" s="110" t="n"/>
      <c r="X119" s="110" t="n"/>
      <c r="Y119" s="110" t="n"/>
      <c r="Z119" s="110" t="n"/>
      <c r="AA119" s="110" t="n">
        <v>1</v>
      </c>
      <c r="AB119" s="110" t="n"/>
      <c r="AC119" s="110" t="n"/>
      <c r="AD119" s="110" t="n"/>
      <c r="AE119" s="110" t="n"/>
      <c r="AF119" s="110" t="n"/>
      <c r="AG119" s="110" t="n"/>
      <c r="AH119" s="110" t="n"/>
      <c r="AI119" s="110" t="n"/>
      <c r="AJ119" s="110" t="n"/>
      <c r="AK119" s="110" t="n"/>
      <c r="AL119" s="110" t="n"/>
      <c r="AM119" s="110" t="n"/>
      <c r="AN119" s="110" t="n"/>
      <c r="AO119" s="110" t="n"/>
      <c r="AP119" s="110" t="n"/>
      <c r="AQ119" s="110" t="n"/>
      <c r="AR119" s="110" t="n"/>
      <c r="AS119" s="110" t="n"/>
      <c r="AT119" s="110" t="n"/>
      <c r="AU119" s="110" t="n"/>
      <c r="AV119" s="110" t="n"/>
      <c r="AW119" s="110" t="n"/>
      <c r="AX119" s="110" t="n"/>
      <c r="AY119" s="110" t="n"/>
      <c r="AZ119" s="110" t="n"/>
      <c r="BA119" s="110" t="n"/>
      <c r="BB119" s="110" t="n"/>
      <c r="BC119" t="inlineStr">
        <is>
          <t>ORIGINAL</t>
        </is>
      </c>
      <c r="BD119" t="n">
        <v>110</v>
      </c>
      <c r="BF119" s="109">
        <f>IF($BD119="","",SUMIF($BD$6:$BD$2000,$BD119,$J$6:$J$2000))</f>
        <v/>
      </c>
    </row>
    <row r="120" ht="19.5" customHeight="1">
      <c r="A120" s="96" t="inlineStr">
        <is>
          <t>PENDENTE</t>
        </is>
      </c>
      <c r="B120" s="26" t="inlineStr">
        <is>
          <t>RIACHUELO</t>
        </is>
      </c>
      <c r="C120" s="27" t="n">
        <v>114</v>
      </c>
      <c r="D120" s="26" t="inlineStr">
        <is>
          <t>MARABÁ PÁTIO SH</t>
        </is>
      </c>
      <c r="E120" s="26" t="inlineStr">
        <is>
          <t>MARABA</t>
        </is>
      </c>
      <c r="F120" s="27" t="inlineStr">
        <is>
          <t>PA</t>
        </is>
      </c>
      <c r="G120" s="107" t="n">
        <v>46143</v>
      </c>
      <c r="H120" s="108">
        <f>IF($B120="","",SUM($K120:$AG120)+SUM($AS120:$BB120))</f>
        <v/>
      </c>
      <c r="I120" s="108">
        <f>IF($B120="","",SUM($AH120:$AL120))</f>
        <v/>
      </c>
      <c r="J120" s="109">
        <f>IF($B120="","",SUMPRODUCT($K120:$BB120,$K$2:$BB$2))</f>
        <v/>
      </c>
      <c r="K120" s="110" t="n"/>
      <c r="L120" s="110" t="n"/>
      <c r="M120" s="110" t="n"/>
      <c r="N120" s="110" t="n"/>
      <c r="O120" s="110" t="n"/>
      <c r="P120" s="110" t="n">
        <v>1</v>
      </c>
      <c r="Q120" s="110" t="n"/>
      <c r="R120" s="110" t="n"/>
      <c r="S120" s="110" t="n"/>
      <c r="T120" s="110" t="n"/>
      <c r="U120" s="110" t="n">
        <v>12</v>
      </c>
      <c r="V120" s="110" t="n"/>
      <c r="W120" s="110" t="n"/>
      <c r="X120" s="110" t="n"/>
      <c r="Y120" s="110" t="n"/>
      <c r="Z120" s="110" t="n"/>
      <c r="AA120" s="110" t="n">
        <v>7</v>
      </c>
      <c r="AB120" s="110" t="n"/>
      <c r="AC120" s="110" t="n"/>
      <c r="AD120" s="110" t="n"/>
      <c r="AE120" s="110" t="n"/>
      <c r="AF120" s="110" t="n"/>
      <c r="AG120" s="110" t="n"/>
      <c r="AH120" s="110" t="n">
        <v>16</v>
      </c>
      <c r="AI120" s="110" t="n"/>
      <c r="AJ120" s="110" t="n"/>
      <c r="AK120" s="110" t="n"/>
      <c r="AL120" s="110" t="n"/>
      <c r="AM120" s="110" t="n"/>
      <c r="AN120" s="110" t="n"/>
      <c r="AO120" s="110" t="n"/>
      <c r="AP120" s="110" t="n"/>
      <c r="AQ120" s="110" t="n"/>
      <c r="AR120" s="110" t="n"/>
      <c r="AS120" s="110" t="n"/>
      <c r="AT120" s="110" t="n"/>
      <c r="AU120" s="110" t="n"/>
      <c r="AV120" s="110" t="n"/>
      <c r="AW120" s="110" t="n"/>
      <c r="AX120" s="110" t="n"/>
      <c r="AY120" s="110" t="n"/>
      <c r="AZ120" s="110" t="n"/>
      <c r="BA120" s="110" t="n"/>
      <c r="BB120" s="110" t="n"/>
      <c r="BC120" t="inlineStr">
        <is>
          <t>ORIGINAL</t>
        </is>
      </c>
      <c r="BD120" t="n">
        <v>111</v>
      </c>
      <c r="BF120" s="109">
        <f>IF($BD120="","",SUMIF($BD$6:$BD$2000,$BD120,$J$6:$J$2000))</f>
        <v/>
      </c>
    </row>
    <row r="121" ht="19.5" customHeight="1">
      <c r="A121" s="96" t="inlineStr">
        <is>
          <t>PENDENTE</t>
        </is>
      </c>
      <c r="B121" s="26" t="inlineStr">
        <is>
          <t>RIACHUELO</t>
        </is>
      </c>
      <c r="C121" s="27" t="n">
        <v>115</v>
      </c>
      <c r="D121" s="26" t="inlineStr">
        <is>
          <t>DUQUE DE CAXIAS SH</t>
        </is>
      </c>
      <c r="E121" s="26" t="inlineStr">
        <is>
          <t>DUQUE DE CAXIAS</t>
        </is>
      </c>
      <c r="F121" s="27" t="inlineStr">
        <is>
          <t>RJ</t>
        </is>
      </c>
      <c r="G121" s="107" t="n">
        <v>46204</v>
      </c>
      <c r="H121" s="108">
        <f>IF($B121="","",SUM($K121:$AG121)+SUM($AS121:$BB121))</f>
        <v/>
      </c>
      <c r="I121" s="108">
        <f>IF($B121="","",SUM($AH121:$AL121))</f>
        <v/>
      </c>
      <c r="J121" s="109">
        <f>IF($B121="","",SUMPRODUCT($K121:$BB121,$K$2:$BB$2))</f>
        <v/>
      </c>
      <c r="K121" s="110" t="n">
        <v>12</v>
      </c>
      <c r="L121" s="110" t="n"/>
      <c r="M121" s="110" t="n"/>
      <c r="N121" s="110" t="n">
        <v>8</v>
      </c>
      <c r="O121" s="110" t="n"/>
      <c r="P121" s="110" t="n"/>
      <c r="Q121" s="110" t="n"/>
      <c r="R121" s="110" t="n"/>
      <c r="S121" s="110" t="n"/>
      <c r="T121" s="110" t="n"/>
      <c r="U121" s="110" t="n"/>
      <c r="V121" s="110" t="n"/>
      <c r="W121" s="110" t="n"/>
      <c r="X121" s="110" t="n"/>
      <c r="Y121" s="110" t="n"/>
      <c r="Z121" s="110" t="n"/>
      <c r="AA121" s="110" t="n">
        <v>13</v>
      </c>
      <c r="AB121" s="110" t="n"/>
      <c r="AC121" s="110" t="n"/>
      <c r="AD121" s="110" t="n"/>
      <c r="AE121" s="110" t="n"/>
      <c r="AF121" s="110" t="n"/>
      <c r="AG121" s="110" t="n"/>
      <c r="AH121" s="110" t="n">
        <v>14</v>
      </c>
      <c r="AI121" s="110" t="n"/>
      <c r="AJ121" s="110" t="n"/>
      <c r="AK121" s="110" t="n"/>
      <c r="AL121" s="110" t="n"/>
      <c r="AM121" s="110" t="n"/>
      <c r="AN121" s="110" t="n"/>
      <c r="AO121" s="110" t="n"/>
      <c r="AP121" s="110" t="n"/>
      <c r="AQ121" s="110" t="n"/>
      <c r="AR121" s="110" t="n"/>
      <c r="AS121" s="110" t="n"/>
      <c r="AT121" s="110" t="n"/>
      <c r="AU121" s="110" t="n"/>
      <c r="AV121" s="110" t="n"/>
      <c r="AW121" s="110" t="n"/>
      <c r="AX121" s="110" t="n"/>
      <c r="AY121" s="110" t="n"/>
      <c r="AZ121" s="110" t="n"/>
      <c r="BA121" s="110" t="n"/>
      <c r="BB121" s="110" t="n"/>
      <c r="BC121" t="inlineStr">
        <is>
          <t>ORIGINAL</t>
        </is>
      </c>
      <c r="BD121" t="n">
        <v>112</v>
      </c>
      <c r="BF121" s="109">
        <f>IF($BD121="","",SUMIF($BD$6:$BD$2000,$BD121,$J$6:$J$2000))</f>
        <v/>
      </c>
    </row>
    <row r="122" ht="19.5" customHeight="1">
      <c r="A122" s="96" t="inlineStr">
        <is>
          <t>PENDENTE</t>
        </is>
      </c>
      <c r="B122" s="26" t="inlineStr">
        <is>
          <t>RIACHUELO</t>
        </is>
      </c>
      <c r="C122" s="27" t="n">
        <v>116</v>
      </c>
      <c r="D122" s="26" t="inlineStr">
        <is>
          <t>TORRE NORTE SHOPPING</t>
        </is>
      </c>
      <c r="E122" s="26" t="inlineStr">
        <is>
          <t>RIO DE JANEIRO</t>
        </is>
      </c>
      <c r="F122" s="27" t="inlineStr">
        <is>
          <t>RJ</t>
        </is>
      </c>
      <c r="G122" s="107" t="n">
        <v>46204</v>
      </c>
      <c r="H122" s="108">
        <f>IF($B122="","",SUM($K122:$AG122)+SUM($AS122:$BB122))</f>
        <v/>
      </c>
      <c r="I122" s="108">
        <f>IF($B122="","",SUM($AH122:$AL122))</f>
        <v/>
      </c>
      <c r="J122" s="109">
        <f>IF($B122="","",SUMPRODUCT($K122:$BB122,$K$2:$BB$2))</f>
        <v/>
      </c>
      <c r="K122" s="110" t="n">
        <v>21</v>
      </c>
      <c r="L122" s="110" t="n"/>
      <c r="M122" s="110" t="n"/>
      <c r="N122" s="110" t="n">
        <v>12</v>
      </c>
      <c r="O122" s="110" t="n"/>
      <c r="P122" s="110" t="n"/>
      <c r="Q122" s="110" t="n"/>
      <c r="R122" s="110" t="n"/>
      <c r="S122" s="110" t="n"/>
      <c r="T122" s="110" t="n"/>
      <c r="U122" s="110" t="n"/>
      <c r="V122" s="110" t="n"/>
      <c r="W122" s="110" t="n"/>
      <c r="X122" s="110" t="n"/>
      <c r="Y122" s="110" t="n"/>
      <c r="Z122" s="110" t="n"/>
      <c r="AA122" s="110" t="n">
        <v>18</v>
      </c>
      <c r="AB122" s="110" t="n"/>
      <c r="AC122" s="110" t="n"/>
      <c r="AD122" s="110" t="n"/>
      <c r="AE122" s="110" t="n"/>
      <c r="AF122" s="110" t="n"/>
      <c r="AG122" s="110" t="n"/>
      <c r="AH122" s="110" t="n">
        <v>20</v>
      </c>
      <c r="AI122" s="110" t="n"/>
      <c r="AJ122" s="110" t="n"/>
      <c r="AK122" s="110" t="n"/>
      <c r="AL122" s="110" t="n"/>
      <c r="AM122" s="110" t="n"/>
      <c r="AN122" s="110" t="n"/>
      <c r="AO122" s="110" t="n"/>
      <c r="AP122" s="110" t="n"/>
      <c r="AQ122" s="110" t="n"/>
      <c r="AR122" s="110" t="n"/>
      <c r="AS122" s="110" t="n"/>
      <c r="AT122" s="110" t="n"/>
      <c r="AU122" s="110" t="n"/>
      <c r="AV122" s="110" t="n"/>
      <c r="AW122" s="110" t="n"/>
      <c r="AX122" s="110" t="n"/>
      <c r="AY122" s="110" t="n"/>
      <c r="AZ122" s="110" t="n"/>
      <c r="BA122" s="110" t="n"/>
      <c r="BB122" s="110" t="n"/>
      <c r="BC122" t="inlineStr">
        <is>
          <t>ORIGINAL</t>
        </is>
      </c>
      <c r="BD122" t="n">
        <v>113</v>
      </c>
      <c r="BF122" s="109">
        <f>IF($BD122="","",SUMIF($BD$6:$BD$2000,$BD122,$J$6:$J$2000))</f>
        <v/>
      </c>
    </row>
    <row r="123" ht="19.5" customHeight="1">
      <c r="A123" s="96" t="inlineStr">
        <is>
          <t>PENDENTE</t>
        </is>
      </c>
      <c r="B123" s="26" t="inlineStr">
        <is>
          <t>RIACHUELO</t>
        </is>
      </c>
      <c r="C123" s="27" t="n">
        <v>117</v>
      </c>
      <c r="D123" s="26" t="inlineStr">
        <is>
          <t>RIO OUVIDOR CT</t>
        </is>
      </c>
      <c r="E123" s="26" t="inlineStr">
        <is>
          <t>RIO DE JANEIRO</t>
        </is>
      </c>
      <c r="F123" s="27" t="inlineStr">
        <is>
          <t>RJ</t>
        </is>
      </c>
      <c r="G123" s="107" t="n">
        <v>46235</v>
      </c>
      <c r="H123" s="108">
        <f>IF($B123="","",SUM($K123:$AG123)+SUM($AS123:$BB123))</f>
        <v/>
      </c>
      <c r="I123" s="108">
        <f>IF($B123="","",SUM($AH123:$AL123))</f>
        <v/>
      </c>
      <c r="J123" s="109">
        <f>IF($B123="","",SUMPRODUCT($K123:$BB123,$K$2:$BB$2))</f>
        <v/>
      </c>
      <c r="K123" s="110" t="n">
        <v>6</v>
      </c>
      <c r="L123" s="110" t="n"/>
      <c r="M123" s="110" t="n"/>
      <c r="N123" s="110" t="n">
        <v>8</v>
      </c>
      <c r="O123" s="110" t="n"/>
      <c r="P123" s="110" t="n"/>
      <c r="Q123" s="110" t="n"/>
      <c r="R123" s="110" t="n"/>
      <c r="S123" s="110" t="n"/>
      <c r="T123" s="110" t="n"/>
      <c r="U123" s="110" t="n"/>
      <c r="V123" s="110" t="n"/>
      <c r="W123" s="110" t="n"/>
      <c r="X123" s="110" t="n"/>
      <c r="Y123" s="110" t="n"/>
      <c r="Z123" s="110" t="n"/>
      <c r="AA123" s="110" t="n">
        <v>21</v>
      </c>
      <c r="AB123" s="110" t="n"/>
      <c r="AC123" s="110" t="n"/>
      <c r="AD123" s="110" t="n"/>
      <c r="AE123" s="110" t="n"/>
      <c r="AF123" s="110" t="n">
        <v>1</v>
      </c>
      <c r="AG123" s="110" t="n"/>
      <c r="AH123" s="110" t="n">
        <v>24</v>
      </c>
      <c r="AI123" s="110" t="n"/>
      <c r="AJ123" s="110" t="n"/>
      <c r="AK123" s="110" t="n"/>
      <c r="AL123" s="110" t="n"/>
      <c r="AM123" s="110" t="n"/>
      <c r="AN123" s="110" t="n"/>
      <c r="AO123" s="110" t="n"/>
      <c r="AP123" s="110" t="n"/>
      <c r="AQ123" s="110" t="n"/>
      <c r="AR123" s="110" t="n"/>
      <c r="AS123" s="110" t="n"/>
      <c r="AT123" s="110" t="n"/>
      <c r="AU123" s="110" t="n"/>
      <c r="AV123" s="110" t="n"/>
      <c r="AW123" s="110" t="n"/>
      <c r="AX123" s="110" t="n"/>
      <c r="AY123" s="110" t="n"/>
      <c r="AZ123" s="110" t="n"/>
      <c r="BA123" s="110" t="n"/>
      <c r="BB123" s="110" t="n"/>
      <c r="BC123" t="inlineStr">
        <is>
          <t>ORIGINAL</t>
        </is>
      </c>
      <c r="BD123" t="n">
        <v>114</v>
      </c>
      <c r="BF123" s="109">
        <f>IF($BD123="","",SUMIF($BD$6:$BD$2000,$BD123,$J$6:$J$2000))</f>
        <v/>
      </c>
    </row>
    <row r="124" ht="19.5" customHeight="1">
      <c r="A124" s="96" t="inlineStr">
        <is>
          <t>PENDENTE</t>
        </is>
      </c>
      <c r="B124" s="26" t="inlineStr">
        <is>
          <t>RIACHUELO</t>
        </is>
      </c>
      <c r="C124" s="27" t="n">
        <v>118</v>
      </c>
      <c r="D124" s="26" t="inlineStr">
        <is>
          <t>RIO TOP SH</t>
        </is>
      </c>
      <c r="E124" s="26" t="inlineStr">
        <is>
          <t>NOVA IGUACU</t>
        </is>
      </c>
      <c r="F124" s="27" t="inlineStr">
        <is>
          <t>RJ</t>
        </is>
      </c>
      <c r="G124" s="107" t="n">
        <v>46266</v>
      </c>
      <c r="H124" s="108">
        <f>IF($B124="","",SUM($K124:$AG124)+SUM($AS124:$BB124))</f>
        <v/>
      </c>
      <c r="I124" s="108">
        <f>IF($B124="","",SUM($AH124:$AL124))</f>
        <v/>
      </c>
      <c r="J124" s="109">
        <f>IF($B124="","",SUMPRODUCT($K124:$BB124,$K$2:$BB$2))</f>
        <v/>
      </c>
      <c r="K124" s="110" t="n">
        <v>15</v>
      </c>
      <c r="L124" s="110" t="n"/>
      <c r="M124" s="110" t="n">
        <v>2</v>
      </c>
      <c r="N124" s="110" t="n">
        <v>8</v>
      </c>
      <c r="O124" s="110" t="n"/>
      <c r="P124" s="110" t="n"/>
      <c r="Q124" s="110" t="n"/>
      <c r="R124" s="110" t="n"/>
      <c r="S124" s="110" t="n"/>
      <c r="T124" s="110" t="n"/>
      <c r="U124" s="110" t="n"/>
      <c r="V124" s="110" t="n"/>
      <c r="W124" s="110" t="n"/>
      <c r="X124" s="110" t="n"/>
      <c r="Y124" s="110" t="n"/>
      <c r="Z124" s="110" t="n"/>
      <c r="AA124" s="110" t="n">
        <v>5</v>
      </c>
      <c r="AB124" s="110" t="n"/>
      <c r="AC124" s="110" t="n"/>
      <c r="AD124" s="110" t="n"/>
      <c r="AE124" s="110" t="n"/>
      <c r="AF124" s="110" t="n">
        <v>1</v>
      </c>
      <c r="AG124" s="110" t="n"/>
      <c r="AH124" s="110" t="n">
        <v>4</v>
      </c>
      <c r="AI124" s="110" t="n"/>
      <c r="AJ124" s="110" t="n">
        <v>14</v>
      </c>
      <c r="AK124" s="110" t="n"/>
      <c r="AL124" s="110" t="n"/>
      <c r="AM124" s="110" t="n"/>
      <c r="AN124" s="110" t="n"/>
      <c r="AO124" s="110" t="n"/>
      <c r="AP124" s="110" t="n"/>
      <c r="AQ124" s="110" t="n"/>
      <c r="AR124" s="110" t="n"/>
      <c r="AS124" s="110" t="n"/>
      <c r="AT124" s="110" t="n"/>
      <c r="AU124" s="110" t="n"/>
      <c r="AV124" s="110" t="n"/>
      <c r="AW124" s="110" t="n"/>
      <c r="AX124" s="110" t="n"/>
      <c r="AY124" s="110" t="n"/>
      <c r="AZ124" s="110" t="n"/>
      <c r="BA124" s="110" t="n"/>
      <c r="BB124" s="110" t="n"/>
      <c r="BC124" t="inlineStr">
        <is>
          <t>ORIGINAL</t>
        </is>
      </c>
      <c r="BD124" t="n">
        <v>115</v>
      </c>
      <c r="BF124" s="109">
        <f>IF($BD124="","",SUMIF($BD$6:$BD$2000,$BD124,$J$6:$J$2000))</f>
        <v/>
      </c>
    </row>
    <row r="125" ht="19.5" customHeight="1">
      <c r="A125" s="96" t="inlineStr">
        <is>
          <t>PENDENTE</t>
        </is>
      </c>
      <c r="B125" s="26" t="inlineStr">
        <is>
          <t>RIACHUELO</t>
        </is>
      </c>
      <c r="C125" s="27" t="n">
        <v>119</v>
      </c>
      <c r="D125" s="26" t="inlineStr">
        <is>
          <t>ITAU POWER SHOPPING</t>
        </is>
      </c>
      <c r="E125" s="26" t="inlineStr">
        <is>
          <t>CONTAGEM</t>
        </is>
      </c>
      <c r="F125" s="27" t="inlineStr">
        <is>
          <t>MG</t>
        </is>
      </c>
      <c r="G125" s="107" t="n">
        <v>46266</v>
      </c>
      <c r="H125" s="108">
        <f>IF($B125="","",SUM($K125:$AG125)+SUM($AS125:$BB125))</f>
        <v/>
      </c>
      <c r="I125" s="108">
        <f>IF($B125="","",SUM($AH125:$AL125))</f>
        <v/>
      </c>
      <c r="J125" s="109">
        <f>IF($B125="","",SUMPRODUCT($K125:$BB125,$K$2:$BB$2))</f>
        <v/>
      </c>
      <c r="K125" s="110" t="n">
        <v>11</v>
      </c>
      <c r="L125" s="110" t="n"/>
      <c r="M125" s="110" t="n">
        <v>1</v>
      </c>
      <c r="N125" s="110" t="n">
        <v>10</v>
      </c>
      <c r="O125" s="110" t="n"/>
      <c r="P125" s="110" t="n"/>
      <c r="Q125" s="110" t="n"/>
      <c r="R125" s="110" t="n"/>
      <c r="S125" s="110" t="n"/>
      <c r="T125" s="110" t="n"/>
      <c r="U125" s="110" t="n"/>
      <c r="V125" s="110" t="n"/>
      <c r="W125" s="110" t="n"/>
      <c r="X125" s="110" t="n"/>
      <c r="Y125" s="110" t="n"/>
      <c r="Z125" s="110" t="n"/>
      <c r="AA125" s="110" t="n">
        <v>4</v>
      </c>
      <c r="AB125" s="110" t="n"/>
      <c r="AC125" s="110" t="n"/>
      <c r="AD125" s="110" t="n"/>
      <c r="AE125" s="110" t="n"/>
      <c r="AF125" s="110" t="n"/>
      <c r="AG125" s="110" t="n"/>
      <c r="AH125" s="110" t="n"/>
      <c r="AI125" s="110" t="n"/>
      <c r="AJ125" s="110" t="n">
        <v>24</v>
      </c>
      <c r="AK125" s="110" t="n"/>
      <c r="AL125" s="110" t="n"/>
      <c r="AM125" s="110" t="n"/>
      <c r="AN125" s="110" t="n"/>
      <c r="AO125" s="110" t="n"/>
      <c r="AP125" s="110" t="n"/>
      <c r="AQ125" s="110" t="n"/>
      <c r="AR125" s="110" t="n"/>
      <c r="AS125" s="110" t="n"/>
      <c r="AT125" s="110" t="n"/>
      <c r="AU125" s="110" t="n"/>
      <c r="AV125" s="110" t="n"/>
      <c r="AW125" s="110" t="n"/>
      <c r="AX125" s="110" t="n"/>
      <c r="AY125" s="110" t="n"/>
      <c r="AZ125" s="110" t="n"/>
      <c r="BA125" s="110" t="n"/>
      <c r="BB125" s="110" t="n"/>
      <c r="BC125" t="inlineStr">
        <is>
          <t>ORIGINAL</t>
        </is>
      </c>
      <c r="BD125" t="n">
        <v>116</v>
      </c>
      <c r="BF125" s="109">
        <f>IF($BD125="","",SUMIF($BD$6:$BD$2000,$BD125,$J$6:$J$2000))</f>
        <v/>
      </c>
    </row>
    <row r="126" ht="19.5" customHeight="1">
      <c r="A126" s="96" t="inlineStr">
        <is>
          <t>PENDENTE</t>
        </is>
      </c>
      <c r="B126" s="26" t="inlineStr">
        <is>
          <t>RIACHUELO</t>
        </is>
      </c>
      <c r="C126" s="27" t="n">
        <v>120</v>
      </c>
      <c r="D126" s="26" t="inlineStr">
        <is>
          <t>SHOPPING INTERLAGOS</t>
        </is>
      </c>
      <c r="E126" s="26" t="inlineStr">
        <is>
          <t>SÃO PAULO</t>
        </is>
      </c>
      <c r="F126" s="27" t="inlineStr">
        <is>
          <t>SP</t>
        </is>
      </c>
      <c r="G126" s="107" t="n">
        <v>46388</v>
      </c>
      <c r="H126" s="108">
        <f>IF($B126="","",SUM($K126:$AG126)+SUM($AS126:$BB126))</f>
        <v/>
      </c>
      <c r="I126" s="108">
        <f>IF($B126="","",SUM($AH126:$AL126))</f>
        <v/>
      </c>
      <c r="J126" s="109">
        <f>IF($B126="","",SUMPRODUCT($K126:$BB126,$K$2:$BB$2))</f>
        <v/>
      </c>
      <c r="K126" s="110" t="n">
        <v>10</v>
      </c>
      <c r="L126" s="110" t="n"/>
      <c r="M126" s="110" t="n">
        <v>1</v>
      </c>
      <c r="N126" s="110" t="n">
        <v>8</v>
      </c>
      <c r="O126" s="110" t="n"/>
      <c r="P126" s="110" t="n"/>
      <c r="Q126" s="110" t="n"/>
      <c r="R126" s="110" t="n"/>
      <c r="S126" s="110" t="n"/>
      <c r="T126" s="110" t="n"/>
      <c r="U126" s="110" t="n"/>
      <c r="V126" s="110" t="n"/>
      <c r="W126" s="110" t="n"/>
      <c r="X126" s="110" t="n"/>
      <c r="Y126" s="110" t="n"/>
      <c r="Z126" s="110" t="n"/>
      <c r="AA126" s="110" t="n">
        <v>8</v>
      </c>
      <c r="AB126" s="110" t="n"/>
      <c r="AC126" s="110" t="n"/>
      <c r="AD126" s="110" t="n"/>
      <c r="AE126" s="110" t="n"/>
      <c r="AF126" s="110" t="n"/>
      <c r="AG126" s="110" t="n"/>
      <c r="AH126" s="110" t="n">
        <v>32</v>
      </c>
      <c r="AI126" s="110" t="n"/>
      <c r="AJ126" s="110" t="n"/>
      <c r="AK126" s="110" t="n"/>
      <c r="AL126" s="110" t="n"/>
      <c r="AM126" s="110" t="n"/>
      <c r="AN126" s="110" t="n"/>
      <c r="AO126" s="110" t="n"/>
      <c r="AP126" s="110" t="n"/>
      <c r="AQ126" s="110" t="n"/>
      <c r="AR126" s="110" t="n"/>
      <c r="AS126" s="110" t="n"/>
      <c r="AT126" s="110" t="n"/>
      <c r="AU126" s="110" t="n"/>
      <c r="AV126" s="110" t="n"/>
      <c r="AW126" s="110" t="n"/>
      <c r="AX126" s="110" t="n"/>
      <c r="AY126" s="110" t="n"/>
      <c r="AZ126" s="110" t="n"/>
      <c r="BA126" s="110" t="n"/>
      <c r="BB126" s="110" t="n"/>
      <c r="BC126" t="inlineStr">
        <is>
          <t>ORIGINAL</t>
        </is>
      </c>
      <c r="BD126" t="n">
        <v>117</v>
      </c>
      <c r="BF126" s="109">
        <f>IF($BD126="","",SUMIF($BD$6:$BD$2000,$BD126,$J$6:$J$2000))</f>
        <v/>
      </c>
    </row>
    <row r="127" ht="19.5" customHeight="1">
      <c r="A127" s="96" t="inlineStr">
        <is>
          <t>PENDENTE</t>
        </is>
      </c>
      <c r="B127" s="26" t="inlineStr">
        <is>
          <t>RIACHUELO</t>
        </is>
      </c>
      <c r="C127" s="27" t="n">
        <v>121</v>
      </c>
      <c r="D127" s="26" t="inlineStr">
        <is>
          <t>CARUARU NORTH SHOPPING</t>
        </is>
      </c>
      <c r="E127" s="26" t="inlineStr">
        <is>
          <t>CARUARU</t>
        </is>
      </c>
      <c r="F127" s="27" t="inlineStr">
        <is>
          <t>PE</t>
        </is>
      </c>
      <c r="G127" s="107" t="n">
        <v>46204</v>
      </c>
      <c r="H127" s="108">
        <f>IF($B127="","",SUM($K127:$AG127)+SUM($AS127:$BB127))</f>
        <v/>
      </c>
      <c r="I127" s="108">
        <f>IF($B127="","",SUM($AH127:$AL127))</f>
        <v/>
      </c>
      <c r="J127" s="109">
        <f>IF($B127="","",SUMPRODUCT($K127:$BB127,$K$2:$BB$2))</f>
        <v/>
      </c>
      <c r="K127" s="110" t="n"/>
      <c r="L127" s="110" t="n"/>
      <c r="M127" s="110" t="n"/>
      <c r="N127" s="110" t="n"/>
      <c r="O127" s="110" t="n"/>
      <c r="P127" s="110" t="n">
        <v>2</v>
      </c>
      <c r="Q127" s="110" t="n"/>
      <c r="R127" s="110" t="n"/>
      <c r="S127" s="110" t="n"/>
      <c r="T127" s="110" t="n"/>
      <c r="U127" s="110" t="n">
        <v>24</v>
      </c>
      <c r="V127" s="110" t="n"/>
      <c r="W127" s="110" t="n"/>
      <c r="X127" s="110" t="n"/>
      <c r="Y127" s="110" t="n"/>
      <c r="Z127" s="110" t="n"/>
      <c r="AA127" s="110" t="n">
        <v>2</v>
      </c>
      <c r="AB127" s="110" t="n"/>
      <c r="AC127" s="110" t="n"/>
      <c r="AD127" s="110" t="n"/>
      <c r="AE127" s="110" t="n"/>
      <c r="AF127" s="110" t="n"/>
      <c r="AG127" s="110" t="n"/>
      <c r="AH127" s="110" t="n">
        <v>16</v>
      </c>
      <c r="AI127" s="110" t="n"/>
      <c r="AJ127" s="110" t="n"/>
      <c r="AK127" s="110" t="n"/>
      <c r="AL127" s="110" t="n"/>
      <c r="AM127" s="110" t="n"/>
      <c r="AN127" s="110" t="n"/>
      <c r="AO127" s="110" t="n"/>
      <c r="AP127" s="110" t="n"/>
      <c r="AQ127" s="110" t="n"/>
      <c r="AR127" s="110" t="n"/>
      <c r="AS127" s="110" t="n"/>
      <c r="AT127" s="110" t="n"/>
      <c r="AU127" s="110" t="n"/>
      <c r="AV127" s="110" t="n"/>
      <c r="AW127" s="110" t="n"/>
      <c r="AX127" s="110" t="n"/>
      <c r="AY127" s="110" t="n"/>
      <c r="AZ127" s="110" t="n"/>
      <c r="BA127" s="110" t="n"/>
      <c r="BB127" s="110" t="n"/>
      <c r="BC127" t="inlineStr">
        <is>
          <t>ORIGINAL</t>
        </is>
      </c>
      <c r="BD127" t="n">
        <v>118</v>
      </c>
      <c r="BF127" s="109">
        <f>IF($BD127="","",SUMIF($BD$6:$BD$2000,$BD127,$J$6:$J$2000))</f>
        <v/>
      </c>
    </row>
    <row r="128" ht="19.5" customHeight="1">
      <c r="A128" s="96" t="inlineStr">
        <is>
          <t>PENDENTE</t>
        </is>
      </c>
      <c r="B128" s="26" t="inlineStr">
        <is>
          <t>RIACHUELO</t>
        </is>
      </c>
      <c r="C128" s="27" t="n">
        <v>122</v>
      </c>
      <c r="D128" s="26" t="inlineStr">
        <is>
          <t>RIO WEST SH</t>
        </is>
      </c>
      <c r="E128" s="26" t="inlineStr">
        <is>
          <t>RIO DE JANEIRO</t>
        </is>
      </c>
      <c r="F128" s="27" t="inlineStr">
        <is>
          <t>RJ</t>
        </is>
      </c>
      <c r="G128" s="107" t="n">
        <v>46388</v>
      </c>
      <c r="H128" s="108">
        <f>IF($B128="","",SUM($K128:$AG128)+SUM($AS128:$BB128))</f>
        <v/>
      </c>
      <c r="I128" s="108">
        <f>IF($B128="","",SUM($AH128:$AL128))</f>
        <v/>
      </c>
      <c r="J128" s="109">
        <f>IF($B128="","",SUMPRODUCT($K128:$BB128,$K$2:$BB$2))</f>
        <v/>
      </c>
      <c r="K128" s="110" t="n">
        <v>15</v>
      </c>
      <c r="L128" s="110" t="n"/>
      <c r="M128" s="110" t="n"/>
      <c r="N128" s="110" t="n">
        <v>6</v>
      </c>
      <c r="O128" s="110" t="n"/>
      <c r="P128" s="110" t="n"/>
      <c r="Q128" s="110" t="n"/>
      <c r="R128" s="110" t="n"/>
      <c r="S128" s="110" t="n"/>
      <c r="T128" s="110" t="n"/>
      <c r="U128" s="110" t="n"/>
      <c r="V128" s="110" t="n"/>
      <c r="W128" s="110" t="n"/>
      <c r="X128" s="110" t="n"/>
      <c r="Y128" s="110" t="n"/>
      <c r="Z128" s="110" t="n"/>
      <c r="AA128" s="110" t="n">
        <v>9</v>
      </c>
      <c r="AB128" s="110" t="n"/>
      <c r="AC128" s="110" t="n"/>
      <c r="AD128" s="110" t="n"/>
      <c r="AE128" s="110" t="n"/>
      <c r="AF128" s="110" t="n"/>
      <c r="AG128" s="110" t="n"/>
      <c r="AH128" s="110" t="n">
        <v>28</v>
      </c>
      <c r="AI128" s="110" t="n"/>
      <c r="AJ128" s="110" t="n"/>
      <c r="AK128" s="110" t="n"/>
      <c r="AL128" s="110" t="n"/>
      <c r="AM128" s="110" t="n"/>
      <c r="AN128" s="110" t="n"/>
      <c r="AO128" s="110" t="n"/>
      <c r="AP128" s="110" t="n"/>
      <c r="AQ128" s="110" t="n"/>
      <c r="AR128" s="110" t="n"/>
      <c r="AS128" s="110" t="n"/>
      <c r="AT128" s="110" t="n"/>
      <c r="AU128" s="110" t="n"/>
      <c r="AV128" s="110" t="n"/>
      <c r="AW128" s="110" t="n"/>
      <c r="AX128" s="110" t="n"/>
      <c r="AY128" s="110" t="n"/>
      <c r="AZ128" s="110" t="n"/>
      <c r="BA128" s="110" t="n"/>
      <c r="BB128" s="110" t="n"/>
      <c r="BC128" t="inlineStr">
        <is>
          <t>ORIGINAL</t>
        </is>
      </c>
      <c r="BD128" t="n">
        <v>119</v>
      </c>
      <c r="BF128" s="109">
        <f>IF($BD128="","",SUMIF($BD$6:$BD$2000,$BD128,$J$6:$J$2000))</f>
        <v/>
      </c>
    </row>
    <row r="129" ht="19.5" customHeight="1">
      <c r="A129" s="96" t="inlineStr">
        <is>
          <t>PENDENTE</t>
        </is>
      </c>
      <c r="B129" s="26" t="inlineStr">
        <is>
          <t>RIACHUELO</t>
        </is>
      </c>
      <c r="C129" s="27" t="n">
        <v>124</v>
      </c>
      <c r="D129" s="26" t="inlineStr">
        <is>
          <t>CAMPO DOS GOYTACAZES SH</t>
        </is>
      </c>
      <c r="E129" s="26" t="inlineStr">
        <is>
          <t>CAMPOS DOS GOYTACAZES</t>
        </is>
      </c>
      <c r="F129" s="27" t="inlineStr">
        <is>
          <t>RJ</t>
        </is>
      </c>
      <c r="G129" s="107" t="n">
        <v>46388</v>
      </c>
      <c r="H129" s="108">
        <f>IF($B129="","",SUM($K129:$AG129)+SUM($AS129:$BB129))</f>
        <v/>
      </c>
      <c r="I129" s="108">
        <f>IF($B129="","",SUM($AH129:$AL129))</f>
        <v/>
      </c>
      <c r="J129" s="109">
        <f>IF($B129="","",SUMPRODUCT($K129:$BB129,$K$2:$BB$2))</f>
        <v/>
      </c>
      <c r="K129" s="110" t="n">
        <v>7</v>
      </c>
      <c r="L129" s="110" t="n"/>
      <c r="M129" s="110" t="n"/>
      <c r="N129" s="110" t="n">
        <v>6</v>
      </c>
      <c r="O129" s="110" t="n"/>
      <c r="P129" s="110" t="n"/>
      <c r="Q129" s="110" t="n"/>
      <c r="R129" s="110" t="n"/>
      <c r="S129" s="110" t="n"/>
      <c r="T129" s="110" t="n"/>
      <c r="U129" s="110" t="n"/>
      <c r="V129" s="110" t="n"/>
      <c r="W129" s="110" t="n"/>
      <c r="X129" s="110" t="n"/>
      <c r="Y129" s="110" t="n"/>
      <c r="Z129" s="110" t="n"/>
      <c r="AA129" s="110" t="n">
        <v>7</v>
      </c>
      <c r="AB129" s="110" t="n"/>
      <c r="AC129" s="110" t="n"/>
      <c r="AD129" s="110" t="n"/>
      <c r="AE129" s="110" t="n"/>
      <c r="AF129" s="110" t="n"/>
      <c r="AG129" s="110" t="n"/>
      <c r="AH129" s="110" t="n">
        <v>12</v>
      </c>
      <c r="AI129" s="110" t="n"/>
      <c r="AJ129" s="110" t="n"/>
      <c r="AK129" s="110" t="n"/>
      <c r="AL129" s="110" t="n"/>
      <c r="AM129" s="110" t="n"/>
      <c r="AN129" s="110" t="n"/>
      <c r="AO129" s="110" t="n"/>
      <c r="AP129" s="110" t="n"/>
      <c r="AQ129" s="110" t="n"/>
      <c r="AR129" s="110" t="n"/>
      <c r="AS129" s="110" t="n"/>
      <c r="AT129" s="110" t="n"/>
      <c r="AU129" s="110" t="n"/>
      <c r="AV129" s="110" t="n"/>
      <c r="AW129" s="110" t="n"/>
      <c r="AX129" s="110" t="n"/>
      <c r="AY129" s="110" t="n"/>
      <c r="AZ129" s="110" t="n"/>
      <c r="BA129" s="110" t="n"/>
      <c r="BB129" s="110" t="n"/>
      <c r="BC129" t="inlineStr">
        <is>
          <t>ORIGINAL</t>
        </is>
      </c>
      <c r="BD129" t="n">
        <v>120</v>
      </c>
      <c r="BF129" s="109">
        <f>IF($BD129="","",SUMIF($BD$6:$BD$2000,$BD129,$J$6:$J$2000))</f>
        <v/>
      </c>
    </row>
    <row r="130" ht="19.5" customHeight="1">
      <c r="A130" s="96" t="inlineStr">
        <is>
          <t>PENDENTE</t>
        </is>
      </c>
      <c r="B130" s="26" t="inlineStr">
        <is>
          <t>RIACHUELO</t>
        </is>
      </c>
      <c r="C130" s="27" t="n">
        <v>125</v>
      </c>
      <c r="D130" s="26" t="inlineStr">
        <is>
          <t>SHOPPING CIDADE SOROCABA</t>
        </is>
      </c>
      <c r="E130" s="26" t="inlineStr">
        <is>
          <t>SOROCABA</t>
        </is>
      </c>
      <c r="F130" s="27" t="inlineStr">
        <is>
          <t>SP</t>
        </is>
      </c>
      <c r="G130" s="107" t="n">
        <v>46296</v>
      </c>
      <c r="H130" s="108">
        <f>IF($B130="","",SUM($K130:$AG130)+SUM($AS130:$BB130))</f>
        <v/>
      </c>
      <c r="I130" s="108">
        <f>IF($B130="","",SUM($AH130:$AL130))</f>
        <v/>
      </c>
      <c r="J130" s="109">
        <f>IF($B130="","",SUMPRODUCT($K130:$BB130,$K$2:$BB$2))</f>
        <v/>
      </c>
      <c r="K130" s="110" t="n">
        <v>8</v>
      </c>
      <c r="L130" s="110" t="n"/>
      <c r="M130" s="110" t="n"/>
      <c r="N130" s="110" t="n"/>
      <c r="O130" s="110" t="n"/>
      <c r="P130" s="110" t="n"/>
      <c r="Q130" s="110" t="n"/>
      <c r="R130" s="110" t="n"/>
      <c r="S130" s="110" t="n"/>
      <c r="T130" s="110" t="n"/>
      <c r="U130" s="110" t="n"/>
      <c r="V130" s="110" t="n"/>
      <c r="W130" s="110" t="n"/>
      <c r="X130" s="110" t="n"/>
      <c r="Y130" s="110" t="n"/>
      <c r="Z130" s="110" t="n"/>
      <c r="AA130" s="110" t="n">
        <v>8</v>
      </c>
      <c r="AB130" s="110" t="n"/>
      <c r="AC130" s="110" t="n"/>
      <c r="AD130" s="110" t="n"/>
      <c r="AE130" s="110" t="n"/>
      <c r="AF130" s="110" t="n"/>
      <c r="AG130" s="110" t="n"/>
      <c r="AH130" s="110" t="n">
        <v>4</v>
      </c>
      <c r="AI130" s="110" t="n"/>
      <c r="AJ130" s="110" t="n">
        <v>1</v>
      </c>
      <c r="AK130" s="110" t="n"/>
      <c r="AL130" s="110" t="n"/>
      <c r="AM130" s="110" t="n"/>
      <c r="AN130" s="110" t="n"/>
      <c r="AO130" s="110" t="n"/>
      <c r="AP130" s="110" t="n"/>
      <c r="AQ130" s="110" t="n"/>
      <c r="AR130" s="110" t="n"/>
      <c r="AS130" s="110" t="n"/>
      <c r="AT130" s="110" t="n"/>
      <c r="AU130" s="110" t="n"/>
      <c r="AV130" s="110" t="n"/>
      <c r="AW130" s="110" t="n"/>
      <c r="AX130" s="110" t="n"/>
      <c r="AY130" s="110" t="n"/>
      <c r="AZ130" s="110" t="n"/>
      <c r="BA130" s="110" t="n"/>
      <c r="BB130" s="110" t="n"/>
      <c r="BC130" t="inlineStr">
        <is>
          <t>ORIGINAL</t>
        </is>
      </c>
      <c r="BD130" t="n">
        <v>121</v>
      </c>
      <c r="BF130" s="109">
        <f>IF($BD130="","",SUMIF($BD$6:$BD$2000,$BD130,$J$6:$J$2000))</f>
        <v/>
      </c>
    </row>
    <row r="131" ht="19.5" customHeight="1">
      <c r="A131" s="96" t="inlineStr">
        <is>
          <t>PENDENTE</t>
        </is>
      </c>
      <c r="B131" s="26" t="inlineStr">
        <is>
          <t>RIACHUELO</t>
        </is>
      </c>
      <c r="C131" s="27" t="n">
        <v>126</v>
      </c>
      <c r="D131" s="26" t="inlineStr">
        <is>
          <t>SHOPPING CENTER LESTE ARICANDUVA</t>
        </is>
      </c>
      <c r="E131" s="26" t="inlineStr">
        <is>
          <t>SÃO PAULO</t>
        </is>
      </c>
      <c r="F131" s="27" t="inlineStr">
        <is>
          <t>SP</t>
        </is>
      </c>
      <c r="G131" s="107" t="n">
        <v>46174</v>
      </c>
      <c r="H131" s="108">
        <f>IF($B131="","",SUM($K131:$AG131)+SUM($AS131:$BB131))</f>
        <v/>
      </c>
      <c r="I131" s="108">
        <f>IF($B131="","",SUM($AH131:$AL131))</f>
        <v/>
      </c>
      <c r="J131" s="109">
        <f>IF($B131="","",SUMPRODUCT($K131:$BB131,$K$2:$BB$2))</f>
        <v/>
      </c>
      <c r="K131" s="110" t="n">
        <v>2</v>
      </c>
      <c r="L131" s="110" t="n"/>
      <c r="M131" s="110" t="n">
        <v>3</v>
      </c>
      <c r="N131" s="110" t="n">
        <v>8</v>
      </c>
      <c r="O131" s="110" t="n"/>
      <c r="P131" s="110" t="n"/>
      <c r="Q131" s="110" t="n">
        <v>1</v>
      </c>
      <c r="R131" s="110" t="n"/>
      <c r="S131" s="110" t="n"/>
      <c r="T131" s="110" t="n"/>
      <c r="U131" s="110" t="n"/>
      <c r="V131" s="110" t="n"/>
      <c r="W131" s="110" t="n"/>
      <c r="X131" s="110" t="n"/>
      <c r="Y131" s="110" t="n"/>
      <c r="Z131" s="110" t="n"/>
      <c r="AA131" s="110" t="n">
        <v>6</v>
      </c>
      <c r="AB131" s="110" t="n"/>
      <c r="AC131" s="110" t="n"/>
      <c r="AD131" s="110" t="n"/>
      <c r="AE131" s="110" t="n"/>
      <c r="AF131" s="110" t="n"/>
      <c r="AG131" s="110" t="n"/>
      <c r="AH131" s="110" t="n"/>
      <c r="AI131" s="110" t="n"/>
      <c r="AJ131" s="110" t="n">
        <v>24</v>
      </c>
      <c r="AK131" s="110" t="n"/>
      <c r="AL131" s="110" t="n"/>
      <c r="AM131" s="110" t="n"/>
      <c r="AN131" s="110" t="n"/>
      <c r="AO131" s="110" t="n"/>
      <c r="AP131" s="110" t="n"/>
      <c r="AQ131" s="110" t="n"/>
      <c r="AR131" s="110" t="n"/>
      <c r="AS131" s="110" t="n"/>
      <c r="AT131" s="110" t="n"/>
      <c r="AU131" s="110" t="n"/>
      <c r="AV131" s="110" t="n"/>
      <c r="AW131" s="110" t="n"/>
      <c r="AX131" s="110" t="n"/>
      <c r="AY131" s="110" t="n"/>
      <c r="AZ131" s="110" t="n"/>
      <c r="BA131" s="110" t="n"/>
      <c r="BB131" s="110" t="n"/>
      <c r="BC131" t="inlineStr">
        <is>
          <t>ORIGINAL</t>
        </is>
      </c>
      <c r="BD131" t="n">
        <v>122</v>
      </c>
      <c r="BF131" s="109">
        <f>IF($BD131="","",SUMIF($BD$6:$BD$2000,$BD131,$J$6:$J$2000))</f>
        <v/>
      </c>
    </row>
    <row r="132" ht="19.5" customHeight="1">
      <c r="A132" s="96" t="inlineStr">
        <is>
          <t>PENDENTE</t>
        </is>
      </c>
      <c r="B132" s="26" t="inlineStr">
        <is>
          <t>RIACHUELO</t>
        </is>
      </c>
      <c r="C132" s="27" t="n">
        <v>127</v>
      </c>
      <c r="D132" s="26" t="inlineStr">
        <is>
          <t>MAUÁ PLAZA SHOPPING</t>
        </is>
      </c>
      <c r="E132" s="26" t="inlineStr">
        <is>
          <t>MAUA</t>
        </is>
      </c>
      <c r="F132" s="27" t="inlineStr">
        <is>
          <t>SP</t>
        </is>
      </c>
      <c r="G132" s="107" t="n">
        <v>46143</v>
      </c>
      <c r="H132" s="108">
        <f>IF($B132="","",SUM($K132:$AG132)+SUM($AS132:$BB132))</f>
        <v/>
      </c>
      <c r="I132" s="108">
        <f>IF($B132="","",SUM($AH132:$AL132))</f>
        <v/>
      </c>
      <c r="J132" s="109">
        <f>IF($B132="","",SUMPRODUCT($K132:$BB132,$K$2:$BB$2))</f>
        <v/>
      </c>
      <c r="K132" s="110" t="n">
        <v>9</v>
      </c>
      <c r="L132" s="110" t="n"/>
      <c r="M132" s="110" t="n">
        <v>1</v>
      </c>
      <c r="N132" s="110" t="n"/>
      <c r="O132" s="110" t="n"/>
      <c r="P132" s="110" t="n"/>
      <c r="Q132" s="110" t="n"/>
      <c r="R132" s="110" t="n"/>
      <c r="S132" s="110" t="n"/>
      <c r="T132" s="110" t="n"/>
      <c r="U132" s="110" t="n">
        <v>5</v>
      </c>
      <c r="V132" s="110" t="n"/>
      <c r="W132" s="110" t="n"/>
      <c r="X132" s="110" t="n"/>
      <c r="Y132" s="110" t="n"/>
      <c r="Z132" s="110" t="n"/>
      <c r="AA132" s="110" t="n">
        <v>8</v>
      </c>
      <c r="AB132" s="110" t="n"/>
      <c r="AC132" s="110" t="n"/>
      <c r="AD132" s="110" t="n"/>
      <c r="AE132" s="110" t="n"/>
      <c r="AF132" s="110" t="n"/>
      <c r="AG132" s="110" t="n"/>
      <c r="AH132" s="110" t="n">
        <v>24</v>
      </c>
      <c r="AI132" s="110" t="n"/>
      <c r="AJ132" s="110" t="n"/>
      <c r="AK132" s="110" t="n"/>
      <c r="AL132" s="110" t="n"/>
      <c r="AM132" s="110" t="n"/>
      <c r="AN132" s="110" t="n"/>
      <c r="AO132" s="110" t="n"/>
      <c r="AP132" s="110" t="n"/>
      <c r="AQ132" s="110" t="n"/>
      <c r="AR132" s="110" t="n"/>
      <c r="AS132" s="110" t="n"/>
      <c r="AT132" s="110" t="n"/>
      <c r="AU132" s="110" t="n"/>
      <c r="AV132" s="110" t="n"/>
      <c r="AW132" s="110" t="n"/>
      <c r="AX132" s="110" t="n"/>
      <c r="AY132" s="110" t="n"/>
      <c r="AZ132" s="110" t="n"/>
      <c r="BA132" s="110" t="n"/>
      <c r="BB132" s="110" t="n"/>
      <c r="BC132" t="inlineStr">
        <is>
          <t>ORIGINAL</t>
        </is>
      </c>
      <c r="BD132" t="n">
        <v>123</v>
      </c>
      <c r="BF132" s="109">
        <f>IF($BD132="","",SUMIF($BD$6:$BD$2000,$BD132,$J$6:$J$2000))</f>
        <v/>
      </c>
    </row>
    <row r="133" ht="19.5" customHeight="1">
      <c r="A133" s="96" t="inlineStr">
        <is>
          <t>PENDENTE</t>
        </is>
      </c>
      <c r="B133" s="26" t="inlineStr">
        <is>
          <t>RIACHUELO</t>
        </is>
      </c>
      <c r="C133" s="27" t="n">
        <v>128</v>
      </c>
      <c r="D133" s="26" t="inlineStr">
        <is>
          <t>SHOPPING TABOÃO</t>
        </is>
      </c>
      <c r="E133" s="26" t="inlineStr">
        <is>
          <t>TABOAO DA SERRA</t>
        </is>
      </c>
      <c r="F133" s="27" t="inlineStr">
        <is>
          <t>SP</t>
        </is>
      </c>
      <c r="G133" s="107" t="n">
        <v>46143</v>
      </c>
      <c r="H133" s="108">
        <f>IF($B133="","",SUM($K133:$AG133)+SUM($AS133:$BB133))</f>
        <v/>
      </c>
      <c r="I133" s="108">
        <f>IF($B133="","",SUM($AH133:$AL133))</f>
        <v/>
      </c>
      <c r="J133" s="109">
        <f>IF($B133="","",SUMPRODUCT($K133:$BB133,$K$2:$BB$2))</f>
        <v/>
      </c>
      <c r="K133" s="110" t="n">
        <v>8</v>
      </c>
      <c r="L133" s="110" t="n"/>
      <c r="M133" s="110" t="n">
        <v>14</v>
      </c>
      <c r="N133" s="110" t="n">
        <v>1</v>
      </c>
      <c r="O133" s="110" t="n"/>
      <c r="P133" s="110" t="n"/>
      <c r="Q133" s="110" t="n"/>
      <c r="R133" s="110" t="n"/>
      <c r="S133" s="110" t="n"/>
      <c r="T133" s="110" t="n"/>
      <c r="U133" s="110" t="n"/>
      <c r="V133" s="110" t="n"/>
      <c r="W133" s="110" t="n"/>
      <c r="X133" s="110" t="n"/>
      <c r="Y133" s="110" t="n"/>
      <c r="Z133" s="110" t="n"/>
      <c r="AA133" s="110" t="n">
        <v>9</v>
      </c>
      <c r="AB133" s="110" t="n"/>
      <c r="AC133" s="110" t="n"/>
      <c r="AD133" s="110" t="n"/>
      <c r="AE133" s="110" t="n"/>
      <c r="AF133" s="110" t="n"/>
      <c r="AG133" s="110" t="n"/>
      <c r="AH133" s="110" t="n">
        <v>18</v>
      </c>
      <c r="AI133" s="110" t="n"/>
      <c r="AJ133" s="110" t="n"/>
      <c r="AK133" s="110" t="n"/>
      <c r="AL133" s="110" t="n"/>
      <c r="AM133" s="110" t="n"/>
      <c r="AN133" s="110" t="n"/>
      <c r="AO133" s="110" t="n"/>
      <c r="AP133" s="110" t="n"/>
      <c r="AQ133" s="110" t="n"/>
      <c r="AR133" s="110" t="n"/>
      <c r="AS133" s="110" t="n"/>
      <c r="AT133" s="110" t="n"/>
      <c r="AU133" s="110" t="n"/>
      <c r="AV133" s="110" t="n"/>
      <c r="AW133" s="110" t="n"/>
      <c r="AX133" s="110" t="n"/>
      <c r="AY133" s="110" t="n"/>
      <c r="AZ133" s="110" t="n"/>
      <c r="BA133" s="110" t="n"/>
      <c r="BB133" s="110" t="n"/>
      <c r="BC133" t="inlineStr">
        <is>
          <t>ORIGINAL</t>
        </is>
      </c>
      <c r="BD133" t="n">
        <v>124</v>
      </c>
      <c r="BF133" s="109">
        <f>IF($BD133="","",SUMIF($BD$6:$BD$2000,$BD133,$J$6:$J$2000))</f>
        <v/>
      </c>
    </row>
    <row r="134" ht="19.5" customHeight="1">
      <c r="A134" s="96" t="inlineStr">
        <is>
          <t>PENDENTE</t>
        </is>
      </c>
      <c r="B134" s="26" t="inlineStr">
        <is>
          <t>RIACHUELO</t>
        </is>
      </c>
      <c r="C134" s="27" t="n">
        <v>129</v>
      </c>
      <c r="D134" s="26" t="inlineStr">
        <is>
          <t>SHOPPING TACARUNA</t>
        </is>
      </c>
      <c r="E134" s="26" t="inlineStr">
        <is>
          <t>RECIFE</t>
        </is>
      </c>
      <c r="F134" s="27" t="inlineStr">
        <is>
          <t>PE</t>
        </is>
      </c>
      <c r="G134" s="107" t="n">
        <v>46204</v>
      </c>
      <c r="H134" s="108">
        <f>IF($B134="","",SUM($K134:$AG134)+SUM($AS134:$BB134))</f>
        <v/>
      </c>
      <c r="I134" s="108">
        <f>IF($B134="","",SUM($AH134:$AL134))</f>
        <v/>
      </c>
      <c r="J134" s="109">
        <f>IF($B134="","",SUMPRODUCT($K134:$BB134,$K$2:$BB$2))</f>
        <v/>
      </c>
      <c r="K134" s="110" t="n">
        <v>15</v>
      </c>
      <c r="L134" s="110" t="n"/>
      <c r="M134" s="110" t="n"/>
      <c r="N134" s="110" t="n">
        <v>19</v>
      </c>
      <c r="O134" s="110" t="n">
        <v>4</v>
      </c>
      <c r="P134" s="110" t="n"/>
      <c r="Q134" s="110" t="n"/>
      <c r="R134" s="110" t="n"/>
      <c r="S134" s="110" t="n"/>
      <c r="T134" s="110" t="n"/>
      <c r="U134" s="110" t="n"/>
      <c r="V134" s="110" t="n"/>
      <c r="W134" s="110" t="n"/>
      <c r="X134" s="110" t="n"/>
      <c r="Y134" s="110" t="n"/>
      <c r="Z134" s="110" t="n"/>
      <c r="AA134" s="110" t="n">
        <v>13</v>
      </c>
      <c r="AB134" s="110" t="n"/>
      <c r="AC134" s="110" t="n"/>
      <c r="AD134" s="110" t="n"/>
      <c r="AE134" s="110" t="n"/>
      <c r="AF134" s="110" t="n"/>
      <c r="AG134" s="110" t="n"/>
      <c r="AH134" s="110" t="n"/>
      <c r="AI134" s="110" t="n"/>
      <c r="AJ134" s="110" t="n">
        <v>51</v>
      </c>
      <c r="AK134" s="110" t="n"/>
      <c r="AL134" s="110" t="n"/>
      <c r="AM134" s="110" t="n"/>
      <c r="AN134" s="110" t="n"/>
      <c r="AO134" s="110" t="n"/>
      <c r="AP134" s="110" t="n"/>
      <c r="AQ134" s="110" t="n"/>
      <c r="AR134" s="110" t="n"/>
      <c r="AS134" s="110" t="n"/>
      <c r="AT134" s="110" t="n"/>
      <c r="AU134" s="110" t="n"/>
      <c r="AV134" s="110" t="n"/>
      <c r="AW134" s="110" t="n"/>
      <c r="AX134" s="110" t="n"/>
      <c r="AY134" s="110" t="n"/>
      <c r="AZ134" s="110" t="n"/>
      <c r="BA134" s="110" t="n"/>
      <c r="BB134" s="110" t="n"/>
      <c r="BC134" t="inlineStr">
        <is>
          <t>ORIGINAL</t>
        </is>
      </c>
      <c r="BD134" t="n">
        <v>125</v>
      </c>
      <c r="BF134" s="109">
        <f>IF($BD134="","",SUMIF($BD$6:$BD$2000,$BD134,$J$6:$J$2000))</f>
        <v/>
      </c>
    </row>
    <row r="135" ht="19.5" customHeight="1">
      <c r="A135" s="96" t="inlineStr">
        <is>
          <t>PENDENTE</t>
        </is>
      </c>
      <c r="B135" s="26" t="inlineStr">
        <is>
          <t>RIACHUELO</t>
        </is>
      </c>
      <c r="C135" s="27" t="n">
        <v>130</v>
      </c>
      <c r="D135" s="26" t="inlineStr">
        <is>
          <t>SALVADOR LAPA SH</t>
        </is>
      </c>
      <c r="E135" s="26" t="inlineStr">
        <is>
          <t>SALVADOR</t>
        </is>
      </c>
      <c r="F135" s="27" t="inlineStr">
        <is>
          <t xml:space="preserve">BA </t>
        </is>
      </c>
      <c r="G135" s="107" t="n">
        <v>46082</v>
      </c>
      <c r="H135" s="108">
        <f>IF($B135="","",SUM($K135:$AG135)+SUM($AS135:$BB135))</f>
        <v/>
      </c>
      <c r="I135" s="108">
        <f>IF($B135="","",SUM($AH135:$AL135))</f>
        <v/>
      </c>
      <c r="J135" s="109">
        <f>IF($B135="","",SUMPRODUCT($K135:$BB135,$K$2:$BB$2))</f>
        <v/>
      </c>
      <c r="K135" s="110" t="n"/>
      <c r="L135" s="110" t="n"/>
      <c r="M135" s="110" t="n"/>
      <c r="N135" s="110" t="n"/>
      <c r="O135" s="110" t="n"/>
      <c r="P135" s="110" t="n"/>
      <c r="Q135" s="110" t="n"/>
      <c r="R135" s="110" t="n"/>
      <c r="S135" s="110" t="n"/>
      <c r="T135" s="110" t="n"/>
      <c r="U135" s="110" t="n">
        <v>26</v>
      </c>
      <c r="V135" s="110" t="n"/>
      <c r="W135" s="110" t="n"/>
      <c r="X135" s="110" t="n"/>
      <c r="Y135" s="110" t="n"/>
      <c r="Z135" s="110" t="n"/>
      <c r="AA135" s="110" t="n">
        <v>11</v>
      </c>
      <c r="AB135" s="110" t="n"/>
      <c r="AC135" s="110" t="n"/>
      <c r="AD135" s="110" t="n"/>
      <c r="AE135" s="110" t="n"/>
      <c r="AF135" s="110" t="n"/>
      <c r="AG135" s="110" t="n"/>
      <c r="AH135" s="110" t="n">
        <v>40</v>
      </c>
      <c r="AI135" s="110" t="n"/>
      <c r="AJ135" s="110" t="n"/>
      <c r="AK135" s="110" t="n"/>
      <c r="AL135" s="110" t="n"/>
      <c r="AM135" s="110" t="n"/>
      <c r="AN135" s="110" t="n"/>
      <c r="AO135" s="110" t="n"/>
      <c r="AP135" s="110" t="n"/>
      <c r="AQ135" s="110" t="n"/>
      <c r="AR135" s="110" t="n"/>
      <c r="AS135" s="110" t="n"/>
      <c r="AT135" s="110" t="n"/>
      <c r="AU135" s="110" t="n"/>
      <c r="AV135" s="110" t="n"/>
      <c r="AW135" s="110" t="n"/>
      <c r="AX135" s="110" t="n"/>
      <c r="AY135" s="110" t="n"/>
      <c r="AZ135" s="110" t="n"/>
      <c r="BA135" s="110" t="n"/>
      <c r="BB135" s="110" t="n"/>
      <c r="BC135" t="inlineStr">
        <is>
          <t>ORIGINAL</t>
        </is>
      </c>
      <c r="BD135" t="n">
        <v>126</v>
      </c>
      <c r="BF135" s="109">
        <f>IF($BD135="","",SUMIF($BD$6:$BD$2000,$BD135,$J$6:$J$2000))</f>
        <v/>
      </c>
    </row>
    <row r="136" ht="19.5" customHeight="1">
      <c r="A136" s="96" t="inlineStr">
        <is>
          <t>PENDENTE</t>
        </is>
      </c>
      <c r="B136" s="26" t="inlineStr">
        <is>
          <t>RIACHUELO</t>
        </is>
      </c>
      <c r="C136" s="27" t="n">
        <v>131</v>
      </c>
      <c r="D136" s="26" t="inlineStr">
        <is>
          <t>SALVADOR BELA VISTA SH</t>
        </is>
      </c>
      <c r="E136" s="26" t="inlineStr">
        <is>
          <t>SALVADOR</t>
        </is>
      </c>
      <c r="F136" s="27" t="inlineStr">
        <is>
          <t>BA</t>
        </is>
      </c>
      <c r="G136" s="107" t="n">
        <v>46023</v>
      </c>
      <c r="H136" s="108">
        <f>IF($B136="","",SUM($K136:$AG136)+SUM($AS136:$BB136))</f>
        <v/>
      </c>
      <c r="I136" s="108">
        <f>IF($B136="","",SUM($AH136:$AL136))</f>
        <v/>
      </c>
      <c r="J136" s="109">
        <f>IF($B136="","",SUMPRODUCT($K136:$BB136,$K$2:$BB$2))</f>
        <v/>
      </c>
      <c r="K136" s="110" t="n"/>
      <c r="L136" s="110" t="n"/>
      <c r="M136" s="110" t="n"/>
      <c r="N136" s="110" t="n"/>
      <c r="O136" s="110" t="n"/>
      <c r="P136" s="110" t="n">
        <v>2</v>
      </c>
      <c r="Q136" s="110" t="n"/>
      <c r="R136" s="110" t="n"/>
      <c r="S136" s="110" t="n"/>
      <c r="T136" s="110" t="n"/>
      <c r="U136" s="110" t="n">
        <v>15</v>
      </c>
      <c r="V136" s="110" t="n"/>
      <c r="W136" s="110" t="n"/>
      <c r="X136" s="110" t="n"/>
      <c r="Y136" s="110" t="n"/>
      <c r="Z136" s="110" t="n"/>
      <c r="AA136" s="110" t="n">
        <v>9</v>
      </c>
      <c r="AB136" s="110" t="n"/>
      <c r="AC136" s="110" t="n"/>
      <c r="AD136" s="110" t="n"/>
      <c r="AE136" s="110" t="n"/>
      <c r="AF136" s="110" t="n"/>
      <c r="AG136" s="110" t="n"/>
      <c r="AH136" s="110" t="n">
        <v>24</v>
      </c>
      <c r="AI136" s="110" t="n"/>
      <c r="AJ136" s="110" t="n"/>
      <c r="AK136" s="110" t="n"/>
      <c r="AL136" s="110" t="n"/>
      <c r="AM136" s="110" t="n"/>
      <c r="AN136" s="110" t="n"/>
      <c r="AO136" s="110" t="n"/>
      <c r="AP136" s="110" t="n"/>
      <c r="AQ136" s="110" t="n"/>
      <c r="AR136" s="110" t="n"/>
      <c r="AS136" s="110" t="n"/>
      <c r="AT136" s="110" t="n"/>
      <c r="AU136" s="110" t="n"/>
      <c r="AV136" s="110" t="n"/>
      <c r="AW136" s="110" t="n"/>
      <c r="AX136" s="110" t="n"/>
      <c r="AY136" s="110" t="n"/>
      <c r="AZ136" s="110" t="n"/>
      <c r="BA136" s="110" t="n"/>
      <c r="BB136" s="110" t="n"/>
      <c r="BC136" t="inlineStr">
        <is>
          <t>ORIGINAL</t>
        </is>
      </c>
      <c r="BD136" t="n">
        <v>127</v>
      </c>
      <c r="BF136" s="109">
        <f>IF($BD136="","",SUMIF($BD$6:$BD$2000,$BD136,$J$6:$J$2000))</f>
        <v/>
      </c>
    </row>
    <row r="137" ht="19.5" customHeight="1">
      <c r="A137" s="96" t="inlineStr">
        <is>
          <t>PENDENTE</t>
        </is>
      </c>
      <c r="B137" s="26" t="inlineStr">
        <is>
          <t>RIACHUELO</t>
        </is>
      </c>
      <c r="C137" s="27" t="n">
        <v>132</v>
      </c>
      <c r="D137" s="26" t="inlineStr">
        <is>
          <t>NATAL MIDWAY SH</t>
        </is>
      </c>
      <c r="E137" s="26" t="inlineStr">
        <is>
          <t>NATAL</t>
        </is>
      </c>
      <c r="F137" s="27" t="inlineStr">
        <is>
          <t>RN</t>
        </is>
      </c>
      <c r="G137" s="107" t="n">
        <v>46266</v>
      </c>
      <c r="H137" s="108">
        <f>IF($B137="","",SUM($K137:$AG137)+SUM($AS137:$BB137))</f>
        <v/>
      </c>
      <c r="I137" s="108">
        <f>IF($B137="","",SUM($AH137:$AL137))</f>
        <v/>
      </c>
      <c r="J137" s="109">
        <f>IF($B137="","",SUMPRODUCT($K137:$BB137,$K$2:$BB$2))</f>
        <v/>
      </c>
      <c r="K137" s="110" t="n">
        <v>28</v>
      </c>
      <c r="L137" s="110" t="n"/>
      <c r="M137" s="110" t="n">
        <v>24</v>
      </c>
      <c r="N137" s="110" t="n"/>
      <c r="O137" s="110" t="n"/>
      <c r="P137" s="110" t="n">
        <v>1</v>
      </c>
      <c r="Q137" s="110" t="n"/>
      <c r="R137" s="110" t="n"/>
      <c r="S137" s="110" t="n"/>
      <c r="T137" s="110" t="n"/>
      <c r="U137" s="110" t="n"/>
      <c r="V137" s="110" t="n"/>
      <c r="W137" s="110" t="n"/>
      <c r="X137" s="110" t="n"/>
      <c r="Y137" s="110" t="n"/>
      <c r="Z137" s="110" t="n"/>
      <c r="AA137" s="110" t="n">
        <v>13</v>
      </c>
      <c r="AB137" s="110" t="n"/>
      <c r="AC137" s="110" t="n"/>
      <c r="AD137" s="110" t="n"/>
      <c r="AE137" s="110" t="n"/>
      <c r="AF137" s="110" t="n"/>
      <c r="AG137" s="110" t="n"/>
      <c r="AH137" s="110" t="n">
        <v>64</v>
      </c>
      <c r="AI137" s="110" t="n"/>
      <c r="AJ137" s="110" t="n"/>
      <c r="AK137" s="110" t="n"/>
      <c r="AL137" s="110" t="n"/>
      <c r="AM137" s="110" t="n"/>
      <c r="AN137" s="110" t="n"/>
      <c r="AO137" s="110" t="n"/>
      <c r="AP137" s="110" t="n"/>
      <c r="AQ137" s="110" t="n"/>
      <c r="AR137" s="110" t="n"/>
      <c r="AS137" s="110" t="n"/>
      <c r="AT137" s="110" t="n"/>
      <c r="AU137" s="110" t="n"/>
      <c r="AV137" s="110" t="n"/>
      <c r="AW137" s="110" t="n"/>
      <c r="AX137" s="110" t="n"/>
      <c r="AY137" s="110" t="n"/>
      <c r="AZ137" s="110" t="n"/>
      <c r="BA137" s="110" t="n"/>
      <c r="BB137" s="110" t="n"/>
      <c r="BC137" t="inlineStr">
        <is>
          <t>ORIGINAL</t>
        </is>
      </c>
      <c r="BD137" t="n">
        <v>128</v>
      </c>
      <c r="BF137" s="109">
        <f>IF($BD137="","",SUMIF($BD$6:$BD$2000,$BD137,$J$6:$J$2000))</f>
        <v/>
      </c>
    </row>
    <row r="138" ht="19.5" customHeight="1">
      <c r="A138" s="96" t="inlineStr">
        <is>
          <t>PENDENTE</t>
        </is>
      </c>
      <c r="B138" s="26" t="inlineStr">
        <is>
          <t>RIACHUELO</t>
        </is>
      </c>
      <c r="C138" s="27" t="n">
        <v>133</v>
      </c>
      <c r="D138" s="26" t="inlineStr">
        <is>
          <t>SHOPPING CENTER IBIRAPUERA</t>
        </is>
      </c>
      <c r="E138" s="26" t="inlineStr">
        <is>
          <t>SÃO PAULO</t>
        </is>
      </c>
      <c r="F138" s="27" t="inlineStr">
        <is>
          <t>SP</t>
        </is>
      </c>
      <c r="G138" s="107" t="n">
        <v>46142</v>
      </c>
      <c r="H138" s="108">
        <f>IF($B138="","",SUM($K138:$AG138)+SUM($AS138:$BB138))</f>
        <v/>
      </c>
      <c r="I138" s="108">
        <f>IF($B138="","",SUM($AH138:$AL138))</f>
        <v/>
      </c>
      <c r="J138" s="109">
        <f>IF($B138="","",SUMPRODUCT($K138:$BB138,$K$2:$BB$2))</f>
        <v/>
      </c>
      <c r="K138" s="110" t="n">
        <v>7</v>
      </c>
      <c r="L138" s="110" t="n"/>
      <c r="M138" s="110" t="n">
        <v>2</v>
      </c>
      <c r="N138" s="110" t="n"/>
      <c r="O138" s="110" t="n"/>
      <c r="P138" s="110" t="n"/>
      <c r="Q138" s="110" t="n"/>
      <c r="R138" s="110" t="n"/>
      <c r="S138" s="110" t="n"/>
      <c r="T138" s="110" t="n"/>
      <c r="U138" s="110" t="n"/>
      <c r="V138" s="110" t="n"/>
      <c r="W138" s="110" t="n"/>
      <c r="X138" s="110" t="n"/>
      <c r="Y138" s="110" t="n"/>
      <c r="Z138" s="110" t="n"/>
      <c r="AA138" s="110" t="n">
        <v>4</v>
      </c>
      <c r="AB138" s="110" t="n"/>
      <c r="AC138" s="110" t="n"/>
      <c r="AD138" s="110" t="n"/>
      <c r="AE138" s="110" t="n"/>
      <c r="AF138" s="110" t="n"/>
      <c r="AG138" s="110" t="n"/>
      <c r="AH138" s="110" t="n"/>
      <c r="AI138" s="110" t="n"/>
      <c r="AJ138" s="110" t="n">
        <v>2</v>
      </c>
      <c r="AK138" s="110" t="n"/>
      <c r="AL138" s="110" t="n"/>
      <c r="AM138" s="110" t="n"/>
      <c r="AN138" s="110" t="n"/>
      <c r="AO138" s="110" t="n"/>
      <c r="AP138" s="110" t="n"/>
      <c r="AQ138" s="110" t="n"/>
      <c r="AR138" s="110" t="n"/>
      <c r="AS138" s="110" t="n"/>
      <c r="AT138" s="110" t="n"/>
      <c r="AU138" s="110" t="n"/>
      <c r="AV138" s="110" t="n"/>
      <c r="AW138" s="110" t="n"/>
      <c r="AX138" s="110" t="n"/>
      <c r="AY138" s="110" t="n"/>
      <c r="AZ138" s="110" t="n"/>
      <c r="BA138" s="110" t="n"/>
      <c r="BB138" s="110" t="n"/>
      <c r="BC138" t="inlineStr">
        <is>
          <t>ORIGINAL</t>
        </is>
      </c>
      <c r="BD138" t="n">
        <v>129</v>
      </c>
      <c r="BF138" s="109">
        <f>IF($BD138="","",SUMIF($BD$6:$BD$2000,$BD138,$J$6:$J$2000))</f>
        <v/>
      </c>
    </row>
    <row r="139" ht="19.5" customHeight="1">
      <c r="A139" s="96" t="inlineStr">
        <is>
          <t>PENDENTE</t>
        </is>
      </c>
      <c r="B139" s="26" t="inlineStr">
        <is>
          <t>RIACHUELO</t>
        </is>
      </c>
      <c r="C139" s="27" t="n">
        <v>134</v>
      </c>
      <c r="D139" s="26" t="inlineStr">
        <is>
          <t>PETROLINA RIVER SHOPPING</t>
        </is>
      </c>
      <c r="E139" s="26" t="inlineStr">
        <is>
          <t>PETROLINA</t>
        </is>
      </c>
      <c r="F139" s="27" t="inlineStr">
        <is>
          <t>PE</t>
        </is>
      </c>
      <c r="G139" s="107" t="n">
        <v>46204</v>
      </c>
      <c r="H139" s="108">
        <f>IF($B139="","",SUM($K139:$AG139)+SUM($AS139:$BB139))</f>
        <v/>
      </c>
      <c r="I139" s="108">
        <f>IF($B139="","",SUM($AH139:$AL139))</f>
        <v/>
      </c>
      <c r="J139" s="109">
        <f>IF($B139="","",SUMPRODUCT($K139:$BB139,$K$2:$BB$2))</f>
        <v/>
      </c>
      <c r="K139" s="110" t="n"/>
      <c r="L139" s="110" t="n"/>
      <c r="M139" s="110" t="n"/>
      <c r="N139" s="110" t="n"/>
      <c r="O139" s="110" t="n">
        <v>2</v>
      </c>
      <c r="P139" s="110" t="n"/>
      <c r="Q139" s="110" t="n"/>
      <c r="R139" s="110" t="n"/>
      <c r="S139" s="110" t="n"/>
      <c r="T139" s="110" t="n"/>
      <c r="U139" s="110" t="n">
        <v>7</v>
      </c>
      <c r="V139" s="110" t="n"/>
      <c r="W139" s="110" t="n"/>
      <c r="X139" s="110" t="n"/>
      <c r="Y139" s="110" t="n"/>
      <c r="Z139" s="110" t="n"/>
      <c r="AA139" s="110" t="n">
        <v>11</v>
      </c>
      <c r="AB139" s="110" t="n"/>
      <c r="AC139" s="110" t="n"/>
      <c r="AD139" s="110" t="n"/>
      <c r="AE139" s="110" t="n"/>
      <c r="AF139" s="110" t="n"/>
      <c r="AG139" s="110" t="n"/>
      <c r="AH139" s="110" t="n">
        <v>16</v>
      </c>
      <c r="AI139" s="110" t="n"/>
      <c r="AJ139" s="110" t="n"/>
      <c r="AK139" s="110" t="n"/>
      <c r="AL139" s="110" t="n"/>
      <c r="AM139" s="110" t="n"/>
      <c r="AN139" s="110" t="n"/>
      <c r="AO139" s="110" t="n"/>
      <c r="AP139" s="110" t="n"/>
      <c r="AQ139" s="110" t="n"/>
      <c r="AR139" s="110" t="n"/>
      <c r="AS139" s="110" t="n"/>
      <c r="AT139" s="110" t="n"/>
      <c r="AU139" s="110" t="n"/>
      <c r="AV139" s="110" t="n"/>
      <c r="AW139" s="110" t="n"/>
      <c r="AX139" s="110" t="n"/>
      <c r="AY139" s="110" t="n"/>
      <c r="AZ139" s="110" t="n"/>
      <c r="BA139" s="110" t="n"/>
      <c r="BB139" s="110" t="n"/>
      <c r="BC139" t="inlineStr">
        <is>
          <t>ORIGINAL</t>
        </is>
      </c>
      <c r="BD139" t="n">
        <v>130</v>
      </c>
      <c r="BF139" s="109">
        <f>IF($BD139="","",SUMIF($BD$6:$BD$2000,$BD139,$J$6:$J$2000))</f>
        <v/>
      </c>
    </row>
    <row r="140" ht="19.5" customHeight="1">
      <c r="A140" s="96" t="inlineStr">
        <is>
          <t>PENDENTE</t>
        </is>
      </c>
      <c r="B140" s="26" t="inlineStr">
        <is>
          <t>RIACHUELO</t>
        </is>
      </c>
      <c r="C140" s="27" t="n">
        <v>135</v>
      </c>
      <c r="D140" s="26" t="inlineStr">
        <is>
          <t>ARACAJU JARDINS SH</t>
        </is>
      </c>
      <c r="E140" s="26" t="inlineStr">
        <is>
          <t>ARACAJU</t>
        </is>
      </c>
      <c r="F140" s="27" t="inlineStr">
        <is>
          <t>SE</t>
        </is>
      </c>
      <c r="G140" s="107" t="n">
        <v>46388</v>
      </c>
      <c r="H140" s="108">
        <f>IF($B140="","",SUM($K140:$AG140)+SUM($AS140:$BB140))</f>
        <v/>
      </c>
      <c r="I140" s="108">
        <f>IF($B140="","",SUM($AH140:$AL140))</f>
        <v/>
      </c>
      <c r="J140" s="109">
        <f>IF($B140="","",SUMPRODUCT($K140:$BB140,$K$2:$BB$2))</f>
        <v/>
      </c>
      <c r="K140" s="110" t="n"/>
      <c r="L140" s="110" t="n"/>
      <c r="M140" s="110" t="n"/>
      <c r="N140" s="110" t="n">
        <v>2</v>
      </c>
      <c r="O140" s="110" t="n">
        <v>1</v>
      </c>
      <c r="P140" s="110" t="n"/>
      <c r="Q140" s="110" t="n"/>
      <c r="R140" s="110" t="n"/>
      <c r="S140" s="110" t="n"/>
      <c r="T140" s="110" t="n">
        <v>1</v>
      </c>
      <c r="U140" s="110" t="n">
        <v>29</v>
      </c>
      <c r="V140" s="110" t="n"/>
      <c r="W140" s="110" t="n"/>
      <c r="X140" s="110" t="n"/>
      <c r="Y140" s="110" t="n"/>
      <c r="Z140" s="110" t="n"/>
      <c r="AA140" s="110" t="n">
        <v>10</v>
      </c>
      <c r="AB140" s="110" t="n">
        <v>1</v>
      </c>
      <c r="AC140" s="110" t="n"/>
      <c r="AD140" s="110" t="n"/>
      <c r="AE140" s="110" t="n"/>
      <c r="AF140" s="110" t="n"/>
      <c r="AG140" s="110" t="n"/>
      <c r="AH140" s="110" t="n">
        <v>32</v>
      </c>
      <c r="AI140" s="110" t="n"/>
      <c r="AJ140" s="110" t="n"/>
      <c r="AK140" s="110" t="n"/>
      <c r="AL140" s="110" t="n"/>
      <c r="AM140" s="110" t="n"/>
      <c r="AN140" s="110" t="n"/>
      <c r="AO140" s="110" t="n"/>
      <c r="AP140" s="110" t="n"/>
      <c r="AQ140" s="110" t="n"/>
      <c r="AR140" s="110" t="n"/>
      <c r="AS140" s="110" t="n"/>
      <c r="AT140" s="110" t="n"/>
      <c r="AU140" s="110" t="n"/>
      <c r="AV140" s="110" t="n"/>
      <c r="AW140" s="110" t="n"/>
      <c r="AX140" s="110" t="n"/>
      <c r="AY140" s="110" t="n"/>
      <c r="AZ140" s="110" t="n"/>
      <c r="BA140" s="110" t="n"/>
      <c r="BB140" s="110" t="n"/>
      <c r="BC140" t="inlineStr">
        <is>
          <t>ORIGINAL</t>
        </is>
      </c>
      <c r="BD140" t="n">
        <v>131</v>
      </c>
      <c r="BF140" s="109">
        <f>IF($BD140="","",SUMIF($BD$6:$BD$2000,$BD140,$J$6:$J$2000))</f>
        <v/>
      </c>
    </row>
    <row r="141" ht="19.5" customHeight="1">
      <c r="A141" s="96" t="inlineStr">
        <is>
          <t>PENDENTE</t>
        </is>
      </c>
      <c r="B141" s="26" t="inlineStr">
        <is>
          <t>RIACHUELO</t>
        </is>
      </c>
      <c r="C141" s="27" t="n">
        <v>136</v>
      </c>
      <c r="D141" s="26" t="inlineStr">
        <is>
          <t>SALVADOR PARALELA SH</t>
        </is>
      </c>
      <c r="E141" s="26" t="inlineStr">
        <is>
          <t>SALVADOR</t>
        </is>
      </c>
      <c r="F141" s="27" t="inlineStr">
        <is>
          <t xml:space="preserve">BA </t>
        </is>
      </c>
      <c r="G141" s="107" t="n">
        <v>46204</v>
      </c>
      <c r="H141" s="108">
        <f>IF($B141="","",SUM($K141:$AG141)+SUM($AS141:$BB141))</f>
        <v/>
      </c>
      <c r="I141" s="108">
        <f>IF($B141="","",SUM($AH141:$AL141))</f>
        <v/>
      </c>
      <c r="J141" s="109">
        <f>IF($B141="","",SUMPRODUCT($K141:$BB141,$K$2:$BB$2))</f>
        <v/>
      </c>
      <c r="K141" s="110" t="n">
        <v>18</v>
      </c>
      <c r="L141" s="110" t="n"/>
      <c r="M141" s="110" t="n"/>
      <c r="N141" s="110" t="n">
        <v>18</v>
      </c>
      <c r="O141" s="110" t="n">
        <v>1</v>
      </c>
      <c r="P141" s="110" t="n">
        <v>1</v>
      </c>
      <c r="Q141" s="110" t="n"/>
      <c r="R141" s="110" t="n"/>
      <c r="S141" s="110" t="n"/>
      <c r="T141" s="110" t="n"/>
      <c r="U141" s="110" t="n"/>
      <c r="V141" s="110" t="n"/>
      <c r="W141" s="110" t="n"/>
      <c r="X141" s="110" t="n"/>
      <c r="Y141" s="110" t="n"/>
      <c r="Z141" s="110" t="n"/>
      <c r="AA141" s="110" t="n">
        <v>6</v>
      </c>
      <c r="AB141" s="110" t="n"/>
      <c r="AC141" s="110" t="n"/>
      <c r="AD141" s="110" t="n"/>
      <c r="AE141" s="110" t="n"/>
      <c r="AF141" s="110" t="n"/>
      <c r="AG141" s="110" t="n"/>
      <c r="AH141" s="110" t="n">
        <v>28</v>
      </c>
      <c r="AI141" s="110" t="n"/>
      <c r="AJ141" s="110" t="n"/>
      <c r="AK141" s="110" t="n"/>
      <c r="AL141" s="110" t="n"/>
      <c r="AM141" s="110" t="n"/>
      <c r="AN141" s="110" t="n"/>
      <c r="AO141" s="110" t="n"/>
      <c r="AP141" s="110" t="n"/>
      <c r="AQ141" s="110" t="n"/>
      <c r="AR141" s="110" t="n"/>
      <c r="AS141" s="110" t="n"/>
      <c r="AT141" s="110" t="n"/>
      <c r="AU141" s="110" t="n"/>
      <c r="AV141" s="110" t="n"/>
      <c r="AW141" s="110" t="n"/>
      <c r="AX141" s="110" t="n"/>
      <c r="AY141" s="110" t="n"/>
      <c r="AZ141" s="110" t="n"/>
      <c r="BA141" s="110" t="n"/>
      <c r="BB141" s="110" t="n"/>
      <c r="BC141" t="inlineStr">
        <is>
          <t>ORIGINAL</t>
        </is>
      </c>
      <c r="BD141" t="n">
        <v>132</v>
      </c>
      <c r="BF141" s="109">
        <f>IF($BD141="","",SUMIF($BD$6:$BD$2000,$BD141,$J$6:$J$2000))</f>
        <v/>
      </c>
    </row>
    <row r="142" ht="19.5" customHeight="1">
      <c r="A142" s="96" t="inlineStr">
        <is>
          <t>PENDENTE</t>
        </is>
      </c>
      <c r="B142" s="26" t="inlineStr">
        <is>
          <t>RIACHUELO</t>
        </is>
      </c>
      <c r="C142" s="27" t="n">
        <v>137</v>
      </c>
      <c r="D142" s="26" t="inlineStr">
        <is>
          <t>RIO BANGU SH</t>
        </is>
      </c>
      <c r="E142" s="26" t="inlineStr">
        <is>
          <t>RIO DE JANEIRO</t>
        </is>
      </c>
      <c r="F142" s="27" t="inlineStr">
        <is>
          <t>RJ</t>
        </is>
      </c>
      <c r="G142" s="107" t="n">
        <v>46266</v>
      </c>
      <c r="H142" s="108">
        <f>IF($B142="","",SUM($K142:$AG142)+SUM($AS142:$BB142))</f>
        <v/>
      </c>
      <c r="I142" s="108">
        <f>IF($B142="","",SUM($AH142:$AL142))</f>
        <v/>
      </c>
      <c r="J142" s="109">
        <f>IF($B142="","",SUMPRODUCT($K142:$BB142,$K$2:$BB$2))</f>
        <v/>
      </c>
      <c r="K142" s="110" t="n"/>
      <c r="L142" s="110" t="n"/>
      <c r="M142" s="110" t="n"/>
      <c r="N142" s="110" t="n"/>
      <c r="O142" s="110" t="n"/>
      <c r="P142" s="110" t="n"/>
      <c r="Q142" s="110" t="n"/>
      <c r="R142" s="110" t="n"/>
      <c r="S142" s="110" t="n"/>
      <c r="T142" s="110" t="n"/>
      <c r="U142" s="110" t="n">
        <v>27</v>
      </c>
      <c r="V142" s="110" t="n"/>
      <c r="W142" s="110" t="n"/>
      <c r="X142" s="110" t="n"/>
      <c r="Y142" s="110" t="n"/>
      <c r="Z142" s="110" t="n"/>
      <c r="AA142" s="110" t="n"/>
      <c r="AB142" s="110" t="n"/>
      <c r="AC142" s="110" t="n"/>
      <c r="AD142" s="110" t="n"/>
      <c r="AE142" s="110" t="n"/>
      <c r="AF142" s="110" t="n"/>
      <c r="AG142" s="110" t="n"/>
      <c r="AH142" s="110" t="n">
        <v>20</v>
      </c>
      <c r="AI142" s="110" t="n"/>
      <c r="AJ142" s="110" t="n"/>
      <c r="AK142" s="110" t="n"/>
      <c r="AL142" s="110" t="n"/>
      <c r="AM142" s="110" t="n"/>
      <c r="AN142" s="110" t="n"/>
      <c r="AO142" s="110" t="n"/>
      <c r="AP142" s="110" t="n"/>
      <c r="AQ142" s="110" t="n"/>
      <c r="AR142" s="110" t="n"/>
      <c r="AS142" s="110" t="n"/>
      <c r="AT142" s="110" t="n"/>
      <c r="AU142" s="110" t="n"/>
      <c r="AV142" s="110" t="n"/>
      <c r="AW142" s="110" t="n"/>
      <c r="AX142" s="110" t="n"/>
      <c r="AY142" s="110" t="n"/>
      <c r="AZ142" s="110" t="n"/>
      <c r="BA142" s="110" t="n"/>
      <c r="BB142" s="110" t="n"/>
      <c r="BC142" t="inlineStr">
        <is>
          <t>ORIGINAL</t>
        </is>
      </c>
      <c r="BD142" t="n">
        <v>133</v>
      </c>
      <c r="BF142" s="109">
        <f>IF($BD142="","",SUMIF($BD$6:$BD$2000,$BD142,$J$6:$J$2000))</f>
        <v/>
      </c>
    </row>
    <row r="143" ht="19.5" customHeight="1">
      <c r="A143" s="96" t="inlineStr">
        <is>
          <t>PENDENTE</t>
        </is>
      </c>
      <c r="B143" s="26" t="inlineStr">
        <is>
          <t>RIACHUELO</t>
        </is>
      </c>
      <c r="C143" s="27" t="n">
        <v>138</v>
      </c>
      <c r="D143" s="26" t="inlineStr">
        <is>
          <t>FORTALEZA NORTH SH</t>
        </is>
      </c>
      <c r="E143" s="26" t="inlineStr">
        <is>
          <t>FORTALEZA</t>
        </is>
      </c>
      <c r="F143" s="27" t="inlineStr">
        <is>
          <t>CE</t>
        </is>
      </c>
      <c r="G143" s="107" t="n">
        <v>46174</v>
      </c>
      <c r="H143" s="108">
        <f>IF($B143="","",SUM($K143:$AG143)+SUM($AS143:$BB143))</f>
        <v/>
      </c>
      <c r="I143" s="108">
        <f>IF($B143="","",SUM($AH143:$AL143))</f>
        <v/>
      </c>
      <c r="J143" s="109">
        <f>IF($B143="","",SUMPRODUCT($K143:$BB143,$K$2:$BB$2))</f>
        <v/>
      </c>
      <c r="K143" s="110" t="n">
        <v>5</v>
      </c>
      <c r="L143" s="110" t="n"/>
      <c r="M143" s="110" t="n"/>
      <c r="N143" s="110" t="n">
        <v>5</v>
      </c>
      <c r="O143" s="110" t="n"/>
      <c r="P143" s="110" t="n"/>
      <c r="Q143" s="110" t="n"/>
      <c r="R143" s="110" t="n"/>
      <c r="S143" s="110" t="n"/>
      <c r="T143" s="110" t="n"/>
      <c r="U143" s="110" t="n"/>
      <c r="V143" s="110" t="n"/>
      <c r="W143" s="110" t="n"/>
      <c r="X143" s="110" t="n"/>
      <c r="Y143" s="110" t="n"/>
      <c r="Z143" s="110" t="n"/>
      <c r="AA143" s="110" t="n">
        <v>3</v>
      </c>
      <c r="AB143" s="110" t="n"/>
      <c r="AC143" s="110" t="n"/>
      <c r="AD143" s="110" t="n"/>
      <c r="AE143" s="110" t="n"/>
      <c r="AF143" s="110" t="n"/>
      <c r="AG143" s="110" t="n"/>
      <c r="AH143" s="110" t="n">
        <v>14</v>
      </c>
      <c r="AI143" s="110" t="n"/>
      <c r="AJ143" s="110" t="n"/>
      <c r="AK143" s="110" t="n"/>
      <c r="AL143" s="110" t="n"/>
      <c r="AM143" s="110" t="n"/>
      <c r="AN143" s="110" t="n"/>
      <c r="AO143" s="110" t="n"/>
      <c r="AP143" s="110" t="n"/>
      <c r="AQ143" s="110" t="n"/>
      <c r="AR143" s="110" t="n"/>
      <c r="AS143" s="110" t="n"/>
      <c r="AT143" s="110" t="n"/>
      <c r="AU143" s="110" t="n"/>
      <c r="AV143" s="110" t="n"/>
      <c r="AW143" s="110" t="n"/>
      <c r="AX143" s="110" t="n"/>
      <c r="AY143" s="110" t="n"/>
      <c r="AZ143" s="110" t="n"/>
      <c r="BA143" s="110" t="n"/>
      <c r="BB143" s="110" t="n"/>
      <c r="BC143" t="inlineStr">
        <is>
          <t>ORIGINAL</t>
        </is>
      </c>
      <c r="BD143" t="n">
        <v>134</v>
      </c>
      <c r="BF143" s="109">
        <f>IF($BD143="","",SUMIF($BD$6:$BD$2000,$BD143,$J$6:$J$2000))</f>
        <v/>
      </c>
    </row>
    <row r="144" ht="19.5" customHeight="1">
      <c r="A144" s="96" t="inlineStr">
        <is>
          <t>PENDENTE</t>
        </is>
      </c>
      <c r="B144" s="26" t="inlineStr">
        <is>
          <t>RIACHUELO</t>
        </is>
      </c>
      <c r="C144" s="27" t="n">
        <v>139</v>
      </c>
      <c r="D144" s="26" t="inlineStr">
        <is>
          <t>BELÉM BOULEVARD SH</t>
        </is>
      </c>
      <c r="E144" s="26" t="inlineStr">
        <is>
          <t>BELÉM</t>
        </is>
      </c>
      <c r="F144" s="27" t="inlineStr">
        <is>
          <t>PA</t>
        </is>
      </c>
      <c r="G144" s="107" t="n">
        <v>46143</v>
      </c>
      <c r="H144" s="108">
        <f>IF($B144="","",SUM($K144:$AG144)+SUM($AS144:$BB144))</f>
        <v/>
      </c>
      <c r="I144" s="108">
        <f>IF($B144="","",SUM($AH144:$AL144))</f>
        <v/>
      </c>
      <c r="J144" s="109">
        <f>IF($B144="","",SUMPRODUCT($K144:$BB144,$K$2:$BB$2))</f>
        <v/>
      </c>
      <c r="K144" s="110" t="n"/>
      <c r="L144" s="110" t="n"/>
      <c r="M144" s="110" t="n"/>
      <c r="N144" s="110" t="n"/>
      <c r="O144" s="110" t="n"/>
      <c r="P144" s="110" t="n"/>
      <c r="Q144" s="110" t="n"/>
      <c r="R144" s="110" t="n"/>
      <c r="S144" s="110" t="n"/>
      <c r="T144" s="110" t="n"/>
      <c r="U144" s="110" t="n">
        <v>37</v>
      </c>
      <c r="V144" s="110" t="n"/>
      <c r="W144" s="110" t="n"/>
      <c r="X144" s="110" t="n"/>
      <c r="Y144" s="110" t="n"/>
      <c r="Z144" s="110" t="n"/>
      <c r="AA144" s="110" t="n"/>
      <c r="AB144" s="110" t="n"/>
      <c r="AC144" s="110" t="n"/>
      <c r="AD144" s="110" t="n"/>
      <c r="AE144" s="110" t="n"/>
      <c r="AF144" s="110" t="n"/>
      <c r="AG144" s="110" t="n"/>
      <c r="AH144" s="110" t="n">
        <v>36</v>
      </c>
      <c r="AI144" s="110" t="n"/>
      <c r="AJ144" s="110" t="n"/>
      <c r="AK144" s="110" t="n"/>
      <c r="AL144" s="110" t="n"/>
      <c r="AM144" s="110" t="n"/>
      <c r="AN144" s="110" t="n"/>
      <c r="AO144" s="110" t="n"/>
      <c r="AP144" s="110" t="n"/>
      <c r="AQ144" s="110" t="n"/>
      <c r="AR144" s="110" t="n"/>
      <c r="AS144" s="110" t="n"/>
      <c r="AT144" s="110" t="n"/>
      <c r="AU144" s="110" t="n"/>
      <c r="AV144" s="110" t="n"/>
      <c r="AW144" s="110" t="n"/>
      <c r="AX144" s="110" t="n"/>
      <c r="AY144" s="110" t="n"/>
      <c r="AZ144" s="110" t="n"/>
      <c r="BA144" s="110" t="n"/>
      <c r="BB144" s="110" t="n"/>
      <c r="BC144" t="inlineStr">
        <is>
          <t>ORIGINAL</t>
        </is>
      </c>
      <c r="BD144" t="n">
        <v>135</v>
      </c>
      <c r="BF144" s="109">
        <f>IF($BD144="","",SUMIF($BD$6:$BD$2000,$BD144,$J$6:$J$2000))</f>
        <v/>
      </c>
    </row>
    <row r="145" ht="19.5" customHeight="1">
      <c r="A145" s="96" t="inlineStr">
        <is>
          <t>PENDENTE</t>
        </is>
      </c>
      <c r="B145" s="26" t="inlineStr">
        <is>
          <t>RIACHUELO</t>
        </is>
      </c>
      <c r="C145" s="27" t="n">
        <v>140</v>
      </c>
      <c r="D145" s="26" t="inlineStr">
        <is>
          <t>BELEM CENTRO</t>
        </is>
      </c>
      <c r="E145" s="26" t="inlineStr">
        <is>
          <t>BELÉM</t>
        </is>
      </c>
      <c r="F145" s="27" t="inlineStr">
        <is>
          <t>PA</t>
        </is>
      </c>
      <c r="G145" s="107" t="n">
        <v>46143</v>
      </c>
      <c r="H145" s="108">
        <f>IF($B145="","",SUM($K145:$AG145)+SUM($AS145:$BB145))</f>
        <v/>
      </c>
      <c r="I145" s="108">
        <f>IF($B145="","",SUM($AH145:$AL145))</f>
        <v/>
      </c>
      <c r="J145" s="109">
        <f>IF($B145="","",SUMPRODUCT($K145:$BB145,$K$2:$BB$2))</f>
        <v/>
      </c>
      <c r="K145" s="110" t="n">
        <v>1</v>
      </c>
      <c r="L145" s="110" t="n"/>
      <c r="M145" s="110" t="n"/>
      <c r="N145" s="110" t="n"/>
      <c r="O145" s="110" t="n"/>
      <c r="P145" s="110" t="n"/>
      <c r="Q145" s="110" t="n"/>
      <c r="R145" s="110" t="n"/>
      <c r="S145" s="110" t="n"/>
      <c r="T145" s="110" t="n"/>
      <c r="U145" s="110" t="n">
        <v>41</v>
      </c>
      <c r="V145" s="110" t="n"/>
      <c r="W145" s="110" t="n"/>
      <c r="X145" s="110" t="n"/>
      <c r="Y145" s="110" t="n"/>
      <c r="Z145" s="110" t="n"/>
      <c r="AA145" s="110" t="n"/>
      <c r="AB145" s="110" t="n"/>
      <c r="AC145" s="110" t="n"/>
      <c r="AD145" s="110" t="n"/>
      <c r="AE145" s="110" t="n"/>
      <c r="AF145" s="110" t="n"/>
      <c r="AG145" s="110" t="n"/>
      <c r="AH145" s="110" t="n">
        <v>56</v>
      </c>
      <c r="AI145" s="110" t="n"/>
      <c r="AJ145" s="110" t="n"/>
      <c r="AK145" s="110" t="n"/>
      <c r="AL145" s="110" t="n"/>
      <c r="AM145" s="110" t="n"/>
      <c r="AN145" s="110" t="n"/>
      <c r="AO145" s="110" t="n"/>
      <c r="AP145" s="110" t="n"/>
      <c r="AQ145" s="110" t="n"/>
      <c r="AR145" s="110" t="n"/>
      <c r="AS145" s="110" t="n"/>
      <c r="AT145" s="110" t="n"/>
      <c r="AU145" s="110" t="n"/>
      <c r="AV145" s="110" t="n"/>
      <c r="AW145" s="110" t="n"/>
      <c r="AX145" s="110" t="n"/>
      <c r="AY145" s="110" t="n"/>
      <c r="AZ145" s="110" t="n"/>
      <c r="BA145" s="110" t="n"/>
      <c r="BB145" s="110" t="n"/>
      <c r="BC145" t="inlineStr">
        <is>
          <t>ORIGINAL</t>
        </is>
      </c>
      <c r="BD145" t="n">
        <v>136</v>
      </c>
      <c r="BF145" s="109">
        <f>IF($BD145="","",SUMIF($BD$6:$BD$2000,$BD145,$J$6:$J$2000))</f>
        <v/>
      </c>
    </row>
    <row r="146" ht="19.5" customHeight="1">
      <c r="A146" s="96" t="inlineStr">
        <is>
          <t>PENDENTE</t>
        </is>
      </c>
      <c r="B146" s="26" t="inlineStr">
        <is>
          <t>RIACHUELO</t>
        </is>
      </c>
      <c r="C146" s="27" t="n">
        <v>141</v>
      </c>
      <c r="D146" s="26" t="inlineStr">
        <is>
          <t>BELÉM PARQUE SHOPPING</t>
        </is>
      </c>
      <c r="E146" s="26" t="inlineStr">
        <is>
          <t>BELÉM</t>
        </is>
      </c>
      <c r="F146" s="27" t="inlineStr">
        <is>
          <t>PA</t>
        </is>
      </c>
      <c r="G146" s="107" t="n">
        <v>46113</v>
      </c>
      <c r="H146" s="108">
        <f>IF($B146="","",SUM($K146:$AG146)+SUM($AS146:$BB146))</f>
        <v/>
      </c>
      <c r="I146" s="108">
        <f>IF($B146="","",SUM($AH146:$AL146))</f>
        <v/>
      </c>
      <c r="J146" s="109">
        <f>IF($B146="","",SUMPRODUCT($K146:$BB146,$K$2:$BB$2))</f>
        <v/>
      </c>
      <c r="K146" s="110" t="n">
        <v>2</v>
      </c>
      <c r="L146" s="110" t="n"/>
      <c r="M146" s="110" t="n"/>
      <c r="N146" s="110" t="n">
        <v>1</v>
      </c>
      <c r="O146" s="110" t="n"/>
      <c r="P146" s="110" t="n">
        <v>2</v>
      </c>
      <c r="Q146" s="110" t="n"/>
      <c r="R146" s="110" t="n"/>
      <c r="S146" s="110" t="n"/>
      <c r="T146" s="110" t="n"/>
      <c r="U146" s="110" t="n">
        <v>17</v>
      </c>
      <c r="V146" s="110" t="n"/>
      <c r="W146" s="110" t="n"/>
      <c r="X146" s="110" t="n"/>
      <c r="Y146" s="110" t="n"/>
      <c r="Z146" s="110" t="n"/>
      <c r="AA146" s="110" t="n">
        <v>10</v>
      </c>
      <c r="AB146" s="110" t="n"/>
      <c r="AC146" s="110" t="n"/>
      <c r="AD146" s="110" t="n"/>
      <c r="AE146" s="110" t="n"/>
      <c r="AF146" s="110" t="n"/>
      <c r="AG146" s="110" t="n"/>
      <c r="AH146" s="110" t="n">
        <v>20</v>
      </c>
      <c r="AI146" s="110" t="n"/>
      <c r="AJ146" s="110" t="n"/>
      <c r="AK146" s="110" t="n"/>
      <c r="AL146" s="110" t="n"/>
      <c r="AM146" s="110" t="n"/>
      <c r="AN146" s="110" t="n"/>
      <c r="AO146" s="110" t="n"/>
      <c r="AP146" s="110" t="n"/>
      <c r="AQ146" s="110" t="n"/>
      <c r="AR146" s="110" t="n"/>
      <c r="AS146" s="110" t="n"/>
      <c r="AT146" s="110" t="n"/>
      <c r="AU146" s="110" t="n"/>
      <c r="AV146" s="110" t="n"/>
      <c r="AW146" s="110" t="n"/>
      <c r="AX146" s="110" t="n"/>
      <c r="AY146" s="110" t="n"/>
      <c r="AZ146" s="110" t="n"/>
      <c r="BA146" s="110" t="n"/>
      <c r="BB146" s="110" t="n"/>
      <c r="BC146" t="inlineStr">
        <is>
          <t>ORIGINAL</t>
        </is>
      </c>
      <c r="BD146" t="n">
        <v>137</v>
      </c>
      <c r="BF146" s="109">
        <f>IF($BD146="","",SUMIF($BD$6:$BD$2000,$BD146,$J$6:$J$2000))</f>
        <v/>
      </c>
    </row>
    <row r="147" ht="19.5" customHeight="1">
      <c r="A147" s="96" t="inlineStr">
        <is>
          <t>PENDENTE</t>
        </is>
      </c>
      <c r="B147" s="26" t="inlineStr">
        <is>
          <t>RIACHUELO</t>
        </is>
      </c>
      <c r="C147" s="27" t="n">
        <v>142</v>
      </c>
      <c r="D147" s="26" t="inlineStr">
        <is>
          <t>FORTALEZA VIA SUL SH</t>
        </is>
      </c>
      <c r="E147" s="26" t="inlineStr">
        <is>
          <t>FORTALEZA</t>
        </is>
      </c>
      <c r="F147" s="27" t="inlineStr">
        <is>
          <t>CE</t>
        </is>
      </c>
      <c r="G147" s="107" t="n">
        <v>46235</v>
      </c>
      <c r="H147" s="108">
        <f>IF($B147="","",SUM($K147:$AG147)+SUM($AS147:$BB147))</f>
        <v/>
      </c>
      <c r="I147" s="108">
        <f>IF($B147="","",SUM($AH147:$AL147))</f>
        <v/>
      </c>
      <c r="J147" s="109">
        <f>IF($B147="","",SUMPRODUCT($K147:$BB147,$K$2:$BB$2))</f>
        <v/>
      </c>
      <c r="K147" s="110" t="n"/>
      <c r="L147" s="110" t="n"/>
      <c r="M147" s="110" t="n"/>
      <c r="N147" s="110" t="n"/>
      <c r="O147" s="110" t="n"/>
      <c r="P147" s="110" t="n"/>
      <c r="Q147" s="110" t="n"/>
      <c r="R147" s="110" t="n"/>
      <c r="S147" s="110" t="n"/>
      <c r="T147" s="110" t="n"/>
      <c r="U147" s="110" t="n">
        <v>20</v>
      </c>
      <c r="V147" s="110" t="n"/>
      <c r="W147" s="110" t="n"/>
      <c r="X147" s="110" t="n"/>
      <c r="Y147" s="110" t="n"/>
      <c r="Z147" s="110" t="n"/>
      <c r="AA147" s="110" t="n"/>
      <c r="AB147" s="110" t="n"/>
      <c r="AC147" s="110" t="n"/>
      <c r="AD147" s="110" t="n"/>
      <c r="AE147" s="110" t="n"/>
      <c r="AF147" s="110" t="n"/>
      <c r="AG147" s="110" t="n"/>
      <c r="AH147" s="110" t="n">
        <v>20</v>
      </c>
      <c r="AI147" s="110" t="n"/>
      <c r="AJ147" s="110" t="n"/>
      <c r="AK147" s="110" t="n"/>
      <c r="AL147" s="110" t="n"/>
      <c r="AM147" s="110" t="n"/>
      <c r="AN147" s="110" t="n"/>
      <c r="AO147" s="110" t="n"/>
      <c r="AP147" s="110" t="n"/>
      <c r="AQ147" s="110" t="n"/>
      <c r="AR147" s="110" t="n"/>
      <c r="AS147" s="110" t="n"/>
      <c r="AT147" s="110" t="n"/>
      <c r="AU147" s="110" t="n"/>
      <c r="AV147" s="110" t="n"/>
      <c r="AW147" s="110" t="n"/>
      <c r="AX147" s="110" t="n"/>
      <c r="AY147" s="110" t="n"/>
      <c r="AZ147" s="110" t="n"/>
      <c r="BA147" s="110" t="n"/>
      <c r="BB147" s="110" t="n"/>
      <c r="BC147" t="inlineStr">
        <is>
          <t>ORIGINAL</t>
        </is>
      </c>
      <c r="BD147" t="n">
        <v>138</v>
      </c>
      <c r="BF147" s="109">
        <f>IF($BD147="","",SUMIF($BD$6:$BD$2000,$BD147,$J$6:$J$2000))</f>
        <v/>
      </c>
    </row>
    <row r="148" ht="19.5" customHeight="1">
      <c r="A148" s="96" t="inlineStr">
        <is>
          <t>PENDENTE</t>
        </is>
      </c>
      <c r="B148" s="26" t="inlineStr">
        <is>
          <t>RIACHUELO</t>
        </is>
      </c>
      <c r="C148" s="27" t="n">
        <v>143</v>
      </c>
      <c r="D148" s="26" t="inlineStr">
        <is>
          <t>MACEIÓ PÁTIO</t>
        </is>
      </c>
      <c r="E148" s="26" t="inlineStr">
        <is>
          <t>MACEIO</t>
        </is>
      </c>
      <c r="F148" s="27" t="inlineStr">
        <is>
          <t>AL</t>
        </is>
      </c>
      <c r="G148" s="107" t="n">
        <v>46388</v>
      </c>
      <c r="H148" s="108">
        <f>IF($B148="","",SUM($K148:$AG148)+SUM($AS148:$BB148))</f>
        <v/>
      </c>
      <c r="I148" s="108">
        <f>IF($B148="","",SUM($AH148:$AL148))</f>
        <v/>
      </c>
      <c r="J148" s="109">
        <f>IF($B148="","",SUMPRODUCT($K148:$BB148,$K$2:$BB$2))</f>
        <v/>
      </c>
      <c r="K148" s="110" t="n">
        <v>9</v>
      </c>
      <c r="L148" s="110" t="n"/>
      <c r="M148" s="110" t="n">
        <v>1</v>
      </c>
      <c r="N148" s="110" t="n">
        <v>2</v>
      </c>
      <c r="O148" s="110" t="n">
        <v>10</v>
      </c>
      <c r="P148" s="110" t="n">
        <v>2</v>
      </c>
      <c r="Q148" s="110" t="n"/>
      <c r="R148" s="110" t="n"/>
      <c r="S148" s="110" t="n"/>
      <c r="T148" s="110" t="n"/>
      <c r="U148" s="110" t="n">
        <v>3</v>
      </c>
      <c r="V148" s="110" t="n"/>
      <c r="W148" s="110" t="n"/>
      <c r="X148" s="110" t="n"/>
      <c r="Y148" s="110" t="n"/>
      <c r="Z148" s="110" t="n"/>
      <c r="AA148" s="110" t="n">
        <v>6</v>
      </c>
      <c r="AB148" s="110" t="n"/>
      <c r="AC148" s="110" t="n"/>
      <c r="AD148" s="110" t="n"/>
      <c r="AE148" s="110" t="n"/>
      <c r="AF148" s="110" t="n"/>
      <c r="AG148" s="110" t="n"/>
      <c r="AH148" s="110" t="n">
        <v>24</v>
      </c>
      <c r="AI148" s="110" t="n"/>
      <c r="AJ148" s="110" t="n"/>
      <c r="AK148" s="110" t="n"/>
      <c r="AL148" s="110" t="n"/>
      <c r="AM148" s="110" t="n"/>
      <c r="AN148" s="110" t="n"/>
      <c r="AO148" s="110" t="n"/>
      <c r="AP148" s="110" t="n"/>
      <c r="AQ148" s="110" t="n"/>
      <c r="AR148" s="110" t="n"/>
      <c r="AS148" s="110" t="n"/>
      <c r="AT148" s="110" t="n"/>
      <c r="AU148" s="110" t="n"/>
      <c r="AV148" s="110" t="n"/>
      <c r="AW148" s="110" t="n"/>
      <c r="AX148" s="110" t="n"/>
      <c r="AY148" s="110" t="n"/>
      <c r="AZ148" s="110" t="n"/>
      <c r="BA148" s="110" t="n"/>
      <c r="BB148" s="110" t="n"/>
      <c r="BC148" t="inlineStr">
        <is>
          <t>ORIGINAL</t>
        </is>
      </c>
      <c r="BD148" t="n">
        <v>139</v>
      </c>
      <c r="BF148" s="109">
        <f>IF($BD148="","",SUMIF($BD$6:$BD$2000,$BD148,$J$6:$J$2000))</f>
        <v/>
      </c>
    </row>
    <row r="149" ht="19.5" customHeight="1">
      <c r="A149" s="96" t="inlineStr">
        <is>
          <t>PENDENTE</t>
        </is>
      </c>
      <c r="B149" s="26" t="inlineStr">
        <is>
          <t>RIACHUELO</t>
        </is>
      </c>
      <c r="C149" s="27" t="n">
        <v>144</v>
      </c>
      <c r="D149" s="26" t="inlineStr">
        <is>
          <t>CASTANHEIRA SHOPPING</t>
        </is>
      </c>
      <c r="E149" s="26" t="inlineStr">
        <is>
          <t>BELÉM</t>
        </is>
      </c>
      <c r="F149" s="27" t="inlineStr">
        <is>
          <t>PA</t>
        </is>
      </c>
      <c r="G149" s="107" t="n">
        <v>46143</v>
      </c>
      <c r="H149" s="108">
        <f>IF($B149="","",SUM($K149:$AG149)+SUM($AS149:$BB149))</f>
        <v/>
      </c>
      <c r="I149" s="108">
        <f>IF($B149="","",SUM($AH149:$AL149))</f>
        <v/>
      </c>
      <c r="J149" s="109">
        <f>IF($B149="","",SUMPRODUCT($K149:$BB149,$K$2:$BB$2))</f>
        <v/>
      </c>
      <c r="K149" s="110" t="n"/>
      <c r="L149" s="110" t="n"/>
      <c r="M149" s="110" t="n"/>
      <c r="N149" s="110" t="n"/>
      <c r="O149" s="110" t="n"/>
      <c r="P149" s="110" t="n">
        <v>2</v>
      </c>
      <c r="Q149" s="110" t="n"/>
      <c r="R149" s="110" t="n"/>
      <c r="S149" s="110" t="n"/>
      <c r="T149" s="110" t="n"/>
      <c r="U149" s="110" t="n">
        <v>44</v>
      </c>
      <c r="V149" s="110" t="n"/>
      <c r="W149" s="110" t="n"/>
      <c r="X149" s="110" t="n"/>
      <c r="Y149" s="110" t="n"/>
      <c r="Z149" s="110" t="n"/>
      <c r="AA149" s="110" t="n">
        <v>2</v>
      </c>
      <c r="AB149" s="110" t="n"/>
      <c r="AC149" s="110" t="n"/>
      <c r="AD149" s="110" t="n"/>
      <c r="AE149" s="110" t="n"/>
      <c r="AF149" s="110" t="n"/>
      <c r="AG149" s="110" t="n"/>
      <c r="AH149" s="110" t="n">
        <v>48</v>
      </c>
      <c r="AI149" s="110" t="n"/>
      <c r="AJ149" s="110" t="n"/>
      <c r="AK149" s="110" t="n"/>
      <c r="AL149" s="110" t="n"/>
      <c r="AM149" s="110" t="n"/>
      <c r="AN149" s="110" t="n"/>
      <c r="AO149" s="110" t="n"/>
      <c r="AP149" s="110" t="n"/>
      <c r="AQ149" s="110" t="n"/>
      <c r="AR149" s="110" t="n"/>
      <c r="AS149" s="110" t="n"/>
      <c r="AT149" s="110" t="n"/>
      <c r="AU149" s="110" t="n"/>
      <c r="AV149" s="110" t="n"/>
      <c r="AW149" s="110" t="n"/>
      <c r="AX149" s="110" t="n"/>
      <c r="AY149" s="110" t="n"/>
      <c r="AZ149" s="110" t="n"/>
      <c r="BA149" s="110" t="n"/>
      <c r="BB149" s="110" t="n"/>
      <c r="BC149" t="inlineStr">
        <is>
          <t>ORIGINAL</t>
        </is>
      </c>
      <c r="BD149" t="n">
        <v>140</v>
      </c>
      <c r="BF149" s="109">
        <f>IF($BD149="","",SUMIF($BD$6:$BD$2000,$BD149,$J$6:$J$2000))</f>
        <v/>
      </c>
    </row>
    <row r="150" ht="19.5" customHeight="1">
      <c r="A150" s="96" t="inlineStr">
        <is>
          <t>PENDENTE</t>
        </is>
      </c>
      <c r="B150" s="26" t="inlineStr">
        <is>
          <t>RIACHUELO</t>
        </is>
      </c>
      <c r="C150" s="27" t="n">
        <v>145</v>
      </c>
      <c r="D150" s="26" t="inlineStr">
        <is>
          <t>SHOPPING DEL REY</t>
        </is>
      </c>
      <c r="E150" s="26" t="inlineStr">
        <is>
          <t>BELO HORIZONTE</t>
        </is>
      </c>
      <c r="F150" s="27" t="inlineStr">
        <is>
          <t>MG</t>
        </is>
      </c>
      <c r="G150" s="107" t="n">
        <v>46388</v>
      </c>
      <c r="H150" s="108">
        <f>IF($B150="","",SUM($K150:$AG150)+SUM($AS150:$BB150))</f>
        <v/>
      </c>
      <c r="I150" s="108">
        <f>IF($B150="","",SUM($AH150:$AL150))</f>
        <v/>
      </c>
      <c r="J150" s="109">
        <f>IF($B150="","",SUMPRODUCT($K150:$BB150,$K$2:$BB$2))</f>
        <v/>
      </c>
      <c r="K150" s="110" t="n">
        <v>5</v>
      </c>
      <c r="L150" s="110" t="n"/>
      <c r="M150" s="110" t="n"/>
      <c r="N150" s="110" t="n">
        <v>12</v>
      </c>
      <c r="O150" s="110" t="n"/>
      <c r="P150" s="110" t="n"/>
      <c r="Q150" s="110" t="n"/>
      <c r="R150" s="110" t="n"/>
      <c r="S150" s="110" t="n"/>
      <c r="T150" s="110" t="n"/>
      <c r="U150" s="110" t="n"/>
      <c r="V150" s="110" t="n"/>
      <c r="W150" s="110" t="n"/>
      <c r="X150" s="110" t="n"/>
      <c r="Y150" s="110" t="n"/>
      <c r="Z150" s="110" t="n"/>
      <c r="AA150" s="110" t="n">
        <v>3</v>
      </c>
      <c r="AB150" s="110" t="n"/>
      <c r="AC150" s="110" t="n"/>
      <c r="AD150" s="110" t="n"/>
      <c r="AE150" s="110" t="n"/>
      <c r="AF150" s="110" t="n"/>
      <c r="AG150" s="110" t="n"/>
      <c r="AH150" s="110" t="n"/>
      <c r="AI150" s="110" t="n"/>
      <c r="AJ150" s="110" t="n">
        <v>20</v>
      </c>
      <c r="AK150" s="110" t="n"/>
      <c r="AL150" s="110" t="n"/>
      <c r="AM150" s="110" t="n"/>
      <c r="AN150" s="110" t="n"/>
      <c r="AO150" s="110" t="n"/>
      <c r="AP150" s="110" t="n"/>
      <c r="AQ150" s="110" t="n"/>
      <c r="AR150" s="110" t="n"/>
      <c r="AS150" s="110" t="n"/>
      <c r="AT150" s="110" t="n"/>
      <c r="AU150" s="110" t="n"/>
      <c r="AV150" s="110" t="n"/>
      <c r="AW150" s="110" t="n"/>
      <c r="AX150" s="110" t="n"/>
      <c r="AY150" s="110" t="n"/>
      <c r="AZ150" s="110" t="n"/>
      <c r="BA150" s="110" t="n"/>
      <c r="BB150" s="110" t="n"/>
      <c r="BC150" t="inlineStr">
        <is>
          <t>ORIGINAL</t>
        </is>
      </c>
      <c r="BD150" t="n">
        <v>141</v>
      </c>
      <c r="BF150" s="109">
        <f>IF($BD150="","",SUMIF($BD$6:$BD$2000,$BD150,$J$6:$J$2000))</f>
        <v/>
      </c>
    </row>
    <row r="151" ht="19.5" customHeight="1">
      <c r="A151" s="96" t="inlineStr">
        <is>
          <t>PENDENTE</t>
        </is>
      </c>
      <c r="B151" s="26" t="inlineStr">
        <is>
          <t>RIACHUELO</t>
        </is>
      </c>
      <c r="C151" s="27" t="n">
        <v>146</v>
      </c>
      <c r="D151" s="26" t="inlineStr">
        <is>
          <t>FORTALEZA CT</t>
        </is>
      </c>
      <c r="E151" s="26" t="inlineStr">
        <is>
          <t>FORTALEZA</t>
        </is>
      </c>
      <c r="F151" s="27" t="inlineStr">
        <is>
          <t>CE</t>
        </is>
      </c>
      <c r="G151" s="107" t="n">
        <v>46266</v>
      </c>
      <c r="H151" s="108">
        <f>IF($B151="","",SUM($K151:$AG151)+SUM($AS151:$BB151))</f>
        <v/>
      </c>
      <c r="I151" s="108">
        <f>IF($B151="","",SUM($AH151:$AL151))</f>
        <v/>
      </c>
      <c r="J151" s="109">
        <f>IF($B151="","",SUMPRODUCT($K151:$BB151,$K$2:$BB$2))</f>
        <v/>
      </c>
      <c r="K151" s="110" t="n">
        <v>11</v>
      </c>
      <c r="L151" s="110" t="n"/>
      <c r="M151" s="110" t="n"/>
      <c r="N151" s="110" t="n">
        <v>12</v>
      </c>
      <c r="O151" s="110" t="n"/>
      <c r="P151" s="110" t="n">
        <v>1</v>
      </c>
      <c r="Q151" s="110" t="n"/>
      <c r="R151" s="110" t="n"/>
      <c r="S151" s="110" t="n"/>
      <c r="T151" s="110" t="n"/>
      <c r="U151" s="110" t="n">
        <v>14</v>
      </c>
      <c r="V151" s="110" t="n"/>
      <c r="W151" s="110" t="n"/>
      <c r="X151" s="110" t="n"/>
      <c r="Y151" s="110" t="n"/>
      <c r="Z151" s="110" t="n"/>
      <c r="AA151" s="110" t="n">
        <v>3</v>
      </c>
      <c r="AB151" s="110" t="n"/>
      <c r="AC151" s="110" t="n"/>
      <c r="AD151" s="110" t="n"/>
      <c r="AE151" s="110" t="n"/>
      <c r="AF151" s="110" t="n"/>
      <c r="AG151" s="110" t="n"/>
      <c r="AH151" s="110" t="n">
        <v>32</v>
      </c>
      <c r="AI151" s="110" t="n"/>
      <c r="AJ151" s="110" t="n"/>
      <c r="AK151" s="110" t="n"/>
      <c r="AL151" s="110" t="n"/>
      <c r="AM151" s="110" t="n"/>
      <c r="AN151" s="110" t="n"/>
      <c r="AO151" s="110" t="n"/>
      <c r="AP151" s="110" t="n"/>
      <c r="AQ151" s="110" t="n"/>
      <c r="AR151" s="110" t="n"/>
      <c r="AS151" s="110" t="n"/>
      <c r="AT151" s="110" t="n"/>
      <c r="AU151" s="110" t="n"/>
      <c r="AV151" s="110" t="n"/>
      <c r="AW151" s="110" t="n"/>
      <c r="AX151" s="110" t="n"/>
      <c r="AY151" s="110" t="n"/>
      <c r="AZ151" s="110" t="n"/>
      <c r="BA151" s="110" t="n"/>
      <c r="BB151" s="110" t="n"/>
      <c r="BC151" t="inlineStr">
        <is>
          <t>ORIGINAL</t>
        </is>
      </c>
      <c r="BD151" t="n">
        <v>142</v>
      </c>
      <c r="BF151" s="109">
        <f>IF($BD151="","",SUMIF($BD$6:$BD$2000,$BD151,$J$6:$J$2000))</f>
        <v/>
      </c>
    </row>
    <row r="152" ht="19.5" customHeight="1">
      <c r="A152" s="96" t="inlineStr">
        <is>
          <t>PENDENTE</t>
        </is>
      </c>
      <c r="B152" s="26" t="inlineStr">
        <is>
          <t>RIACHUELO</t>
        </is>
      </c>
      <c r="C152" s="27" t="n">
        <v>147</v>
      </c>
      <c r="D152" s="26" t="inlineStr">
        <is>
          <t>MACEIO SH</t>
        </is>
      </c>
      <c r="E152" s="26" t="inlineStr">
        <is>
          <t>MACEIO</t>
        </is>
      </c>
      <c r="F152" s="27" t="inlineStr">
        <is>
          <t>AL</t>
        </is>
      </c>
      <c r="G152" s="107" t="n">
        <v>46204</v>
      </c>
      <c r="H152" s="108">
        <f>IF($B152="","",SUM($K152:$AG152)+SUM($AS152:$BB152))</f>
        <v/>
      </c>
      <c r="I152" s="108">
        <f>IF($B152="","",SUM($AH152:$AL152))</f>
        <v/>
      </c>
      <c r="J152" s="109">
        <f>IF($B152="","",SUMPRODUCT($K152:$BB152,$K$2:$BB$2))</f>
        <v/>
      </c>
      <c r="K152" s="110" t="n">
        <v>29</v>
      </c>
      <c r="L152" s="110" t="n"/>
      <c r="M152" s="110" t="n"/>
      <c r="N152" s="110" t="n">
        <v>3</v>
      </c>
      <c r="O152" s="110" t="n">
        <v>11</v>
      </c>
      <c r="P152" s="110" t="n"/>
      <c r="Q152" s="110" t="n"/>
      <c r="R152" s="110" t="n"/>
      <c r="S152" s="110" t="n"/>
      <c r="T152" s="110" t="n"/>
      <c r="U152" s="110" t="n"/>
      <c r="V152" s="110" t="n"/>
      <c r="W152" s="110" t="n"/>
      <c r="X152" s="110" t="n"/>
      <c r="Y152" s="110" t="n"/>
      <c r="Z152" s="110" t="n"/>
      <c r="AA152" s="110" t="n">
        <v>10</v>
      </c>
      <c r="AB152" s="110" t="n"/>
      <c r="AC152" s="110" t="n"/>
      <c r="AD152" s="110" t="n"/>
      <c r="AE152" s="110" t="n"/>
      <c r="AF152" s="110" t="n"/>
      <c r="AG152" s="110" t="n"/>
      <c r="AH152" s="110" t="n">
        <v>8</v>
      </c>
      <c r="AI152" s="110" t="n"/>
      <c r="AJ152" s="110" t="n">
        <v>40</v>
      </c>
      <c r="AK152" s="110" t="n"/>
      <c r="AL152" s="110" t="n"/>
      <c r="AM152" s="110" t="n"/>
      <c r="AN152" s="110" t="n"/>
      <c r="AO152" s="110" t="n"/>
      <c r="AP152" s="110" t="n"/>
      <c r="AQ152" s="110" t="n"/>
      <c r="AR152" s="110" t="n"/>
      <c r="AS152" s="110" t="n"/>
      <c r="AT152" s="110" t="n"/>
      <c r="AU152" s="110" t="n"/>
      <c r="AV152" s="110" t="n"/>
      <c r="AW152" s="110" t="n"/>
      <c r="AX152" s="110" t="n"/>
      <c r="AY152" s="110" t="n"/>
      <c r="AZ152" s="110" t="n"/>
      <c r="BA152" s="110" t="n"/>
      <c r="BB152" s="110" t="n"/>
      <c r="BC152" t="inlineStr">
        <is>
          <t>ORIGINAL</t>
        </is>
      </c>
      <c r="BD152" t="n">
        <v>143</v>
      </c>
      <c r="BF152" s="109">
        <f>IF($BD152="","",SUMIF($BD$6:$BD$2000,$BD152,$J$6:$J$2000))</f>
        <v/>
      </c>
    </row>
    <row r="153" ht="19.5" customHeight="1">
      <c r="A153" s="96" t="inlineStr">
        <is>
          <t>PENDENTE</t>
        </is>
      </c>
      <c r="B153" s="26" t="inlineStr">
        <is>
          <t>RIACHUELO</t>
        </is>
      </c>
      <c r="C153" s="27" t="n">
        <v>148</v>
      </c>
      <c r="D153" s="26" t="inlineStr">
        <is>
          <t>SHOPPING JARDIM ANÁLIA FRANCO</t>
        </is>
      </c>
      <c r="E153" s="26" t="inlineStr">
        <is>
          <t>SÃO PAULO</t>
        </is>
      </c>
      <c r="F153" s="27" t="inlineStr">
        <is>
          <t>SP</t>
        </is>
      </c>
      <c r="G153" s="107" t="n">
        <v>46296</v>
      </c>
      <c r="H153" s="108">
        <f>IF($B153="","",SUM($K153:$AG153)+SUM($AS153:$BB153))</f>
        <v/>
      </c>
      <c r="I153" s="108">
        <f>IF($B153="","",SUM($AH153:$AL153))</f>
        <v/>
      </c>
      <c r="J153" s="109">
        <f>IF($B153="","",SUMPRODUCT($K153:$BB153,$K$2:$BB$2))</f>
        <v/>
      </c>
      <c r="K153" s="110" t="n">
        <v>13</v>
      </c>
      <c r="L153" s="110" t="n"/>
      <c r="M153" s="110" t="n">
        <v>9</v>
      </c>
      <c r="N153" s="110" t="n"/>
      <c r="O153" s="110" t="n"/>
      <c r="P153" s="110" t="n"/>
      <c r="Q153" s="110" t="n"/>
      <c r="R153" s="110" t="n"/>
      <c r="S153" s="110" t="n"/>
      <c r="T153" s="110" t="n"/>
      <c r="U153" s="110" t="n"/>
      <c r="V153" s="110" t="n"/>
      <c r="W153" s="110" t="n"/>
      <c r="X153" s="110" t="n"/>
      <c r="Y153" s="110" t="n"/>
      <c r="Z153" s="110" t="n"/>
      <c r="AA153" s="110" t="n">
        <v>9</v>
      </c>
      <c r="AB153" s="110" t="n"/>
      <c r="AC153" s="110" t="n"/>
      <c r="AD153" s="110" t="n"/>
      <c r="AE153" s="110" t="n"/>
      <c r="AF153" s="110" t="n"/>
      <c r="AG153" s="110" t="n"/>
      <c r="AH153" s="110" t="n">
        <v>32</v>
      </c>
      <c r="AI153" s="110" t="n"/>
      <c r="AJ153" s="110" t="n"/>
      <c r="AK153" s="110" t="n"/>
      <c r="AL153" s="110" t="n"/>
      <c r="AM153" s="110" t="n"/>
      <c r="AN153" s="110" t="n"/>
      <c r="AO153" s="110" t="n"/>
      <c r="AP153" s="110" t="n"/>
      <c r="AQ153" s="110" t="n"/>
      <c r="AR153" s="110" t="n"/>
      <c r="AS153" s="110" t="n"/>
      <c r="AT153" s="110" t="n"/>
      <c r="AU153" s="110" t="n"/>
      <c r="AV153" s="110" t="n"/>
      <c r="AW153" s="110" t="n"/>
      <c r="AX153" s="110" t="n"/>
      <c r="AY153" s="110" t="n"/>
      <c r="AZ153" s="110" t="n"/>
      <c r="BA153" s="110" t="n"/>
      <c r="BB153" s="110" t="n"/>
      <c r="BC153" t="inlineStr">
        <is>
          <t>ORIGINAL</t>
        </is>
      </c>
      <c r="BD153" t="n">
        <v>144</v>
      </c>
      <c r="BF153" s="109">
        <f>IF($BD153="","",SUMIF($BD$6:$BD$2000,$BD153,$J$6:$J$2000))</f>
        <v/>
      </c>
    </row>
    <row r="154" ht="19.5" customHeight="1">
      <c r="A154" s="96" t="inlineStr">
        <is>
          <t>PENDENTE</t>
        </is>
      </c>
      <c r="B154" s="26" t="inlineStr">
        <is>
          <t>RIACHUELO</t>
        </is>
      </c>
      <c r="C154" s="27" t="n">
        <v>149</v>
      </c>
      <c r="D154" s="26" t="inlineStr">
        <is>
          <t>SHOPPING CIDADE</t>
        </is>
      </c>
      <c r="E154" s="26" t="inlineStr">
        <is>
          <t>BELO HORIZONTE</t>
        </is>
      </c>
      <c r="F154" s="27" t="inlineStr">
        <is>
          <t>MG</t>
        </is>
      </c>
      <c r="G154" s="107" t="n">
        <v>46388</v>
      </c>
      <c r="H154" s="108">
        <f>IF($B154="","",SUM($K154:$AG154)+SUM($AS154:$BB154))</f>
        <v/>
      </c>
      <c r="I154" s="108">
        <f>IF($B154="","",SUM($AH154:$AL154))</f>
        <v/>
      </c>
      <c r="J154" s="109">
        <f>IF($B154="","",SUMPRODUCT($K154:$BB154,$K$2:$BB$2))</f>
        <v/>
      </c>
      <c r="K154" s="110" t="n">
        <v>2</v>
      </c>
      <c r="L154" s="110" t="n"/>
      <c r="M154" s="110" t="n"/>
      <c r="N154" s="110" t="n">
        <v>1</v>
      </c>
      <c r="O154" s="110" t="n"/>
      <c r="P154" s="110" t="n"/>
      <c r="Q154" s="110" t="n"/>
      <c r="R154" s="110" t="n"/>
      <c r="S154" s="110" t="n"/>
      <c r="T154" s="110" t="n"/>
      <c r="U154" s="110" t="n">
        <v>19</v>
      </c>
      <c r="V154" s="110" t="n"/>
      <c r="W154" s="110" t="n"/>
      <c r="X154" s="110" t="n"/>
      <c r="Y154" s="110" t="n"/>
      <c r="Z154" s="110" t="n"/>
      <c r="AA154" s="110" t="n"/>
      <c r="AB154" s="110" t="n"/>
      <c r="AC154" s="110" t="n"/>
      <c r="AD154" s="110" t="n"/>
      <c r="AE154" s="110" t="n"/>
      <c r="AF154" s="110" t="n"/>
      <c r="AG154" s="110" t="n"/>
      <c r="AH154" s="110" t="n">
        <v>40</v>
      </c>
      <c r="AI154" s="110" t="n"/>
      <c r="AJ154" s="110" t="n"/>
      <c r="AK154" s="110" t="n"/>
      <c r="AL154" s="110" t="n"/>
      <c r="AM154" s="110" t="n"/>
      <c r="AN154" s="110" t="n"/>
      <c r="AO154" s="110" t="n"/>
      <c r="AP154" s="110" t="n"/>
      <c r="AQ154" s="110" t="n"/>
      <c r="AR154" s="110" t="n"/>
      <c r="AS154" s="110" t="n"/>
      <c r="AT154" s="110" t="n"/>
      <c r="AU154" s="110" t="n"/>
      <c r="AV154" s="110" t="n"/>
      <c r="AW154" s="110" t="n"/>
      <c r="AX154" s="110" t="n"/>
      <c r="AY154" s="110" t="n"/>
      <c r="AZ154" s="110" t="n"/>
      <c r="BA154" s="110" t="n"/>
      <c r="BB154" s="110" t="n"/>
      <c r="BC154" t="inlineStr">
        <is>
          <t>ORIGINAL</t>
        </is>
      </c>
      <c r="BD154" t="n">
        <v>145</v>
      </c>
      <c r="BF154" s="109">
        <f>IF($BD154="","",SUMIF($BD$6:$BD$2000,$BD154,$J$6:$J$2000))</f>
        <v/>
      </c>
    </row>
    <row r="155" ht="19.5" customHeight="1">
      <c r="A155" s="96" t="inlineStr">
        <is>
          <t>PENDENTE</t>
        </is>
      </c>
      <c r="B155" s="26" t="inlineStr">
        <is>
          <t>RIACHUELO</t>
        </is>
      </c>
      <c r="C155" s="27" t="n">
        <v>150</v>
      </c>
      <c r="D155" s="26" t="inlineStr">
        <is>
          <t>SHOPPING ESTAÇÃO</t>
        </is>
      </c>
      <c r="E155" s="26" t="inlineStr">
        <is>
          <t>BELO HORIZONTE</t>
        </is>
      </c>
      <c r="F155" s="27" t="inlineStr">
        <is>
          <t>MG</t>
        </is>
      </c>
      <c r="G155" s="107" t="n">
        <v>46266</v>
      </c>
      <c r="H155" s="108">
        <f>IF($B155="","",SUM($K155:$AG155)+SUM($AS155:$BB155))</f>
        <v/>
      </c>
      <c r="I155" s="108">
        <f>IF($B155="","",SUM($AH155:$AL155))</f>
        <v/>
      </c>
      <c r="J155" s="109">
        <f>IF($B155="","",SUMPRODUCT($K155:$BB155,$K$2:$BB$2))</f>
        <v/>
      </c>
      <c r="K155" s="110" t="n">
        <v>13</v>
      </c>
      <c r="L155" s="110" t="n"/>
      <c r="M155" s="110" t="n">
        <v>4</v>
      </c>
      <c r="N155" s="110" t="n">
        <v>1</v>
      </c>
      <c r="O155" s="110" t="n"/>
      <c r="P155" s="110" t="n"/>
      <c r="Q155" s="110" t="n"/>
      <c r="R155" s="110" t="n"/>
      <c r="S155" s="110" t="n"/>
      <c r="T155" s="110" t="n"/>
      <c r="U155" s="110" t="n"/>
      <c r="V155" s="110" t="n"/>
      <c r="W155" s="110" t="n"/>
      <c r="X155" s="110" t="n"/>
      <c r="Y155" s="110" t="n"/>
      <c r="Z155" s="110" t="n"/>
      <c r="AA155" s="110" t="n">
        <v>11</v>
      </c>
      <c r="AB155" s="110" t="n"/>
      <c r="AC155" s="110" t="n"/>
      <c r="AD155" s="110" t="n"/>
      <c r="AE155" s="110" t="n"/>
      <c r="AF155" s="110" t="n"/>
      <c r="AG155" s="110" t="n"/>
      <c r="AH155" s="110" t="n">
        <v>28</v>
      </c>
      <c r="AI155" s="110" t="n"/>
      <c r="AJ155" s="110" t="n"/>
      <c r="AK155" s="110" t="n"/>
      <c r="AL155" s="110" t="n"/>
      <c r="AM155" s="110" t="n"/>
      <c r="AN155" s="110" t="n"/>
      <c r="AO155" s="110" t="n"/>
      <c r="AP155" s="110" t="n"/>
      <c r="AQ155" s="110" t="n"/>
      <c r="AR155" s="110" t="n"/>
      <c r="AS155" s="110" t="n"/>
      <c r="AT155" s="110" t="n"/>
      <c r="AU155" s="110" t="n"/>
      <c r="AV155" s="110" t="n"/>
      <c r="AW155" s="110" t="n"/>
      <c r="AX155" s="110" t="n"/>
      <c r="AY155" s="110" t="n"/>
      <c r="AZ155" s="110" t="n"/>
      <c r="BA155" s="110" t="n"/>
      <c r="BB155" s="110" t="n"/>
      <c r="BC155" t="inlineStr">
        <is>
          <t>ORIGINAL</t>
        </is>
      </c>
      <c r="BD155" t="n">
        <v>146</v>
      </c>
      <c r="BF155" s="109">
        <f>IF($BD155="","",SUMIF($BD$6:$BD$2000,$BD155,$J$6:$J$2000))</f>
        <v/>
      </c>
    </row>
    <row r="156" ht="19.5" customHeight="1">
      <c r="A156" s="96" t="inlineStr">
        <is>
          <t>PENDENTE</t>
        </is>
      </c>
      <c r="B156" s="26" t="inlineStr">
        <is>
          <t>RIACHUELO</t>
        </is>
      </c>
      <c r="C156" s="27" t="n">
        <v>151</v>
      </c>
      <c r="D156" s="26" t="inlineStr">
        <is>
          <t>SÃO JOSÉ CAMPOS CT</t>
        </is>
      </c>
      <c r="E156" s="26" t="inlineStr">
        <is>
          <t>SÃO JOSÉ DOS CAMPOS</t>
        </is>
      </c>
      <c r="F156" s="27" t="inlineStr">
        <is>
          <t>SP</t>
        </is>
      </c>
      <c r="G156" s="107" t="n">
        <v>46235</v>
      </c>
      <c r="H156" s="108">
        <f>IF($B156="","",SUM($K156:$AG156)+SUM($AS156:$BB156))</f>
        <v/>
      </c>
      <c r="I156" s="108">
        <f>IF($B156="","",SUM($AH156:$AL156))</f>
        <v/>
      </c>
      <c r="J156" s="109">
        <f>IF($B156="","",SUMPRODUCT($K156:$BB156,$K$2:$BB$2))</f>
        <v/>
      </c>
      <c r="K156" s="110" t="n">
        <v>8</v>
      </c>
      <c r="L156" s="110" t="n"/>
      <c r="M156" s="110" t="n">
        <v>6</v>
      </c>
      <c r="N156" s="110" t="n">
        <v>1</v>
      </c>
      <c r="O156" s="110" t="n"/>
      <c r="P156" s="110" t="n"/>
      <c r="Q156" s="110" t="n"/>
      <c r="R156" s="110" t="n"/>
      <c r="S156" s="110" t="n"/>
      <c r="T156" s="110" t="n"/>
      <c r="U156" s="110" t="n"/>
      <c r="V156" s="110" t="n"/>
      <c r="W156" s="110" t="n"/>
      <c r="X156" s="110" t="n"/>
      <c r="Y156" s="110" t="n"/>
      <c r="Z156" s="110" t="n"/>
      <c r="AA156" s="110" t="n">
        <v>4</v>
      </c>
      <c r="AB156" s="110" t="n"/>
      <c r="AC156" s="110" t="n"/>
      <c r="AD156" s="110" t="n">
        <v>2</v>
      </c>
      <c r="AE156" s="110" t="n"/>
      <c r="AF156" s="110" t="n"/>
      <c r="AG156" s="110" t="n"/>
      <c r="AH156" s="110" t="n">
        <v>14</v>
      </c>
      <c r="AI156" s="110" t="n"/>
      <c r="AJ156" s="110" t="n"/>
      <c r="AK156" s="110" t="n"/>
      <c r="AL156" s="110" t="n"/>
      <c r="AM156" s="110" t="n"/>
      <c r="AN156" s="110" t="n"/>
      <c r="AO156" s="110" t="n"/>
      <c r="AP156" s="110" t="n"/>
      <c r="AQ156" s="110" t="n"/>
      <c r="AR156" s="110" t="n"/>
      <c r="AS156" s="110" t="n"/>
      <c r="AT156" s="110" t="n"/>
      <c r="AU156" s="110" t="n"/>
      <c r="AV156" s="110" t="n"/>
      <c r="AW156" s="110" t="n"/>
      <c r="AX156" s="110" t="n"/>
      <c r="AY156" s="110" t="n"/>
      <c r="AZ156" s="110" t="n"/>
      <c r="BA156" s="110" t="n"/>
      <c r="BB156" s="110" t="n"/>
      <c r="BC156" t="inlineStr">
        <is>
          <t>ORIGINAL</t>
        </is>
      </c>
      <c r="BD156" t="n">
        <v>147</v>
      </c>
      <c r="BF156" s="109">
        <f>IF($BD156="","",SUMIF($BD$6:$BD$2000,$BD156,$J$6:$J$2000))</f>
        <v/>
      </c>
    </row>
    <row r="157" ht="19.5" customHeight="1">
      <c r="A157" s="96" t="inlineStr">
        <is>
          <t>PENDENTE</t>
        </is>
      </c>
      <c r="B157" s="26" t="inlineStr">
        <is>
          <t>RIACHUELO</t>
        </is>
      </c>
      <c r="C157" s="27" t="n">
        <v>152</v>
      </c>
      <c r="D157" s="26" t="inlineStr">
        <is>
          <t>SÃO JOSÉ CAMPOS CENTER SH</t>
        </is>
      </c>
      <c r="E157" s="26" t="inlineStr">
        <is>
          <t>SÃO JOSÉ DOS CAMPOS</t>
        </is>
      </c>
      <c r="F157" s="27" t="inlineStr">
        <is>
          <t>SP</t>
        </is>
      </c>
      <c r="G157" s="107" t="n">
        <v>46235</v>
      </c>
      <c r="H157" s="108">
        <f>IF($B157="","",SUM($K157:$AG157)+SUM($AS157:$BB157))</f>
        <v/>
      </c>
      <c r="I157" s="108">
        <f>IF($B157="","",SUM($AH157:$AL157))</f>
        <v/>
      </c>
      <c r="J157" s="109">
        <f>IF($B157="","",SUMPRODUCT($K157:$BB157,$K$2:$BB$2))</f>
        <v/>
      </c>
      <c r="K157" s="110" t="n">
        <v>9</v>
      </c>
      <c r="L157" s="110" t="n"/>
      <c r="M157" s="110" t="n">
        <v>7</v>
      </c>
      <c r="N157" s="110" t="n"/>
      <c r="O157" s="110" t="n"/>
      <c r="P157" s="110" t="n"/>
      <c r="Q157" s="110" t="n"/>
      <c r="R157" s="110" t="n"/>
      <c r="S157" s="110" t="n"/>
      <c r="T157" s="110" t="n"/>
      <c r="U157" s="110" t="n"/>
      <c r="V157" s="110" t="n"/>
      <c r="W157" s="110" t="n"/>
      <c r="X157" s="110" t="n"/>
      <c r="Y157" s="110" t="n"/>
      <c r="Z157" s="110" t="n"/>
      <c r="AA157" s="110" t="n">
        <v>11</v>
      </c>
      <c r="AB157" s="110" t="n"/>
      <c r="AC157" s="110" t="n"/>
      <c r="AD157" s="110" t="n"/>
      <c r="AE157" s="110" t="n"/>
      <c r="AF157" s="110" t="n"/>
      <c r="AG157" s="110" t="n"/>
      <c r="AH157" s="110" t="n">
        <v>40</v>
      </c>
      <c r="AI157" s="110" t="n"/>
      <c r="AJ157" s="110" t="n"/>
      <c r="AK157" s="110" t="n"/>
      <c r="AL157" s="110" t="n"/>
      <c r="AM157" s="110" t="n"/>
      <c r="AN157" s="110" t="n"/>
      <c r="AO157" s="110" t="n"/>
      <c r="AP157" s="110" t="n"/>
      <c r="AQ157" s="110" t="n"/>
      <c r="AR157" s="110" t="n"/>
      <c r="AS157" s="110" t="n"/>
      <c r="AT157" s="110" t="n"/>
      <c r="AU157" s="110" t="n"/>
      <c r="AV157" s="110" t="n"/>
      <c r="AW157" s="110" t="n"/>
      <c r="AX157" s="110" t="n"/>
      <c r="AY157" s="110" t="n"/>
      <c r="AZ157" s="110" t="n"/>
      <c r="BA157" s="110" t="n"/>
      <c r="BB157" s="110" t="n"/>
      <c r="BC157" t="inlineStr">
        <is>
          <t>ORIGINAL</t>
        </is>
      </c>
      <c r="BD157" t="n">
        <v>148</v>
      </c>
      <c r="BF157" s="109">
        <f>IF($BD157="","",SUMIF($BD$6:$BD$2000,$BD157,$J$6:$J$2000))</f>
        <v/>
      </c>
    </row>
    <row r="158" ht="19.5" customHeight="1">
      <c r="A158" s="96" t="inlineStr">
        <is>
          <t>PENDENTE</t>
        </is>
      </c>
      <c r="B158" s="26" t="inlineStr">
        <is>
          <t>RIACHUELO</t>
        </is>
      </c>
      <c r="C158" s="27" t="n">
        <v>153</v>
      </c>
      <c r="D158" s="26" t="inlineStr">
        <is>
          <t>GUARULHOS SHOPPING CENTER</t>
        </is>
      </c>
      <c r="E158" s="26" t="inlineStr">
        <is>
          <t>GUARULHOS</t>
        </is>
      </c>
      <c r="F158" s="27" t="inlineStr">
        <is>
          <t>SP</t>
        </is>
      </c>
      <c r="G158" s="107" t="n">
        <v>46143</v>
      </c>
      <c r="H158" s="108">
        <f>IF($B158="","",SUM($K158:$AG158)+SUM($AS158:$BB158))</f>
        <v/>
      </c>
      <c r="I158" s="108">
        <f>IF($B158="","",SUM($AH158:$AL158))</f>
        <v/>
      </c>
      <c r="J158" s="109">
        <f>IF($B158="","",SUMPRODUCT($K158:$BB158,$K$2:$BB$2))</f>
        <v/>
      </c>
      <c r="K158" s="110" t="n">
        <v>10</v>
      </c>
      <c r="L158" s="110" t="n"/>
      <c r="M158" s="110" t="n"/>
      <c r="N158" s="110" t="n">
        <v>5</v>
      </c>
      <c r="O158" s="110" t="n"/>
      <c r="P158" s="110" t="n"/>
      <c r="Q158" s="110" t="n"/>
      <c r="R158" s="110" t="n"/>
      <c r="S158" s="110" t="n"/>
      <c r="T158" s="110" t="n"/>
      <c r="U158" s="110" t="n"/>
      <c r="V158" s="110" t="n"/>
      <c r="W158" s="110" t="n"/>
      <c r="X158" s="110" t="n"/>
      <c r="Y158" s="110" t="n"/>
      <c r="Z158" s="110" t="n"/>
      <c r="AA158" s="110" t="n">
        <v>8</v>
      </c>
      <c r="AB158" s="110" t="n"/>
      <c r="AC158" s="110" t="n"/>
      <c r="AD158" s="110" t="n"/>
      <c r="AE158" s="110" t="n"/>
      <c r="AF158" s="110" t="n"/>
      <c r="AG158" s="110" t="n"/>
      <c r="AH158" s="110" t="n"/>
      <c r="AI158" s="110" t="n"/>
      <c r="AJ158" s="110" t="n">
        <v>16</v>
      </c>
      <c r="AK158" s="110" t="n"/>
      <c r="AL158" s="110" t="n"/>
      <c r="AM158" s="110" t="n"/>
      <c r="AN158" s="110" t="n"/>
      <c r="AO158" s="110" t="n"/>
      <c r="AP158" s="110" t="n"/>
      <c r="AQ158" s="110" t="n"/>
      <c r="AR158" s="110" t="n"/>
      <c r="AS158" s="110" t="n"/>
      <c r="AT158" s="110" t="n"/>
      <c r="AU158" s="110" t="n"/>
      <c r="AV158" s="110" t="n"/>
      <c r="AW158" s="110" t="n"/>
      <c r="AX158" s="110" t="n"/>
      <c r="AY158" s="110" t="n"/>
      <c r="AZ158" s="110" t="n"/>
      <c r="BA158" s="110" t="n"/>
      <c r="BB158" s="110" t="n"/>
      <c r="BC158" t="inlineStr">
        <is>
          <t>ORIGINAL</t>
        </is>
      </c>
      <c r="BD158" t="n">
        <v>149</v>
      </c>
      <c r="BF158" s="109">
        <f>IF($BD158="","",SUMIF($BD$6:$BD$2000,$BD158,$J$6:$J$2000))</f>
        <v/>
      </c>
    </row>
    <row r="159" ht="19.5" customHeight="1">
      <c r="A159" s="96" t="inlineStr">
        <is>
          <t>PENDENTE</t>
        </is>
      </c>
      <c r="B159" s="26" t="inlineStr">
        <is>
          <t>RIACHUELO</t>
        </is>
      </c>
      <c r="C159" s="27" t="n">
        <v>154</v>
      </c>
      <c r="D159" s="26" t="inlineStr">
        <is>
          <t>GOIANIA FLAMBOYANT SH</t>
        </is>
      </c>
      <c r="E159" s="26" t="inlineStr">
        <is>
          <t>GOIANIA</t>
        </is>
      </c>
      <c r="F159" s="27" t="inlineStr">
        <is>
          <t>GO</t>
        </is>
      </c>
      <c r="G159" s="107" t="n">
        <v>46235</v>
      </c>
      <c r="H159" s="108">
        <f>IF($B159="","",SUM($K159:$AG159)+SUM($AS159:$BB159))</f>
        <v/>
      </c>
      <c r="I159" s="108">
        <f>IF($B159="","",SUM($AH159:$AL159))</f>
        <v/>
      </c>
      <c r="J159" s="109">
        <f>IF($B159="","",SUMPRODUCT($K159:$BB159,$K$2:$BB$2))</f>
        <v/>
      </c>
      <c r="K159" s="110" t="n">
        <v>20</v>
      </c>
      <c r="L159" s="110" t="n"/>
      <c r="M159" s="110" t="n">
        <v>3</v>
      </c>
      <c r="N159" s="110" t="n">
        <v>14</v>
      </c>
      <c r="O159" s="110" t="n"/>
      <c r="P159" s="110" t="n"/>
      <c r="Q159" s="110" t="n"/>
      <c r="R159" s="110" t="n"/>
      <c r="S159" s="110" t="n"/>
      <c r="T159" s="110" t="n"/>
      <c r="U159" s="110" t="n">
        <v>6</v>
      </c>
      <c r="V159" s="110" t="n"/>
      <c r="W159" s="110" t="n"/>
      <c r="X159" s="110" t="n"/>
      <c r="Y159" s="110" t="n"/>
      <c r="Z159" s="110" t="n"/>
      <c r="AA159" s="110" t="n">
        <v>13</v>
      </c>
      <c r="AB159" s="110" t="n"/>
      <c r="AC159" s="110" t="n"/>
      <c r="AD159" s="110" t="n"/>
      <c r="AE159" s="110" t="n"/>
      <c r="AF159" s="110" t="n"/>
      <c r="AG159" s="110" t="n"/>
      <c r="AH159" s="110" t="n"/>
      <c r="AI159" s="110" t="n"/>
      <c r="AJ159" s="110" t="n">
        <v>25</v>
      </c>
      <c r="AK159" s="110" t="n"/>
      <c r="AL159" s="110" t="n"/>
      <c r="AM159" s="110" t="n"/>
      <c r="AN159" s="110" t="n"/>
      <c r="AO159" s="110" t="n"/>
      <c r="AP159" s="110" t="n"/>
      <c r="AQ159" s="110" t="n"/>
      <c r="AR159" s="110" t="n"/>
      <c r="AS159" s="110" t="n"/>
      <c r="AT159" s="110" t="n"/>
      <c r="AU159" s="110" t="n"/>
      <c r="AV159" s="110" t="n"/>
      <c r="AW159" s="110" t="n"/>
      <c r="AX159" s="110" t="n"/>
      <c r="AY159" s="110" t="n"/>
      <c r="AZ159" s="110" t="n"/>
      <c r="BA159" s="110" t="n"/>
      <c r="BB159" s="110" t="n"/>
      <c r="BC159" t="inlineStr">
        <is>
          <t>ORIGINAL</t>
        </is>
      </c>
      <c r="BD159" t="n">
        <v>150</v>
      </c>
      <c r="BF159" s="109">
        <f>IF($BD159="","",SUMIF($BD$6:$BD$2000,$BD159,$J$6:$J$2000))</f>
        <v/>
      </c>
    </row>
    <row r="160" ht="19.5" customHeight="1">
      <c r="A160" s="96" t="inlineStr">
        <is>
          <t>PENDENTE</t>
        </is>
      </c>
      <c r="B160" s="26" t="inlineStr">
        <is>
          <t>RIACHUELO</t>
        </is>
      </c>
      <c r="C160" s="27" t="n">
        <v>155</v>
      </c>
      <c r="D160" s="26" t="inlineStr">
        <is>
          <t>B.H. SHOPPING</t>
        </is>
      </c>
      <c r="E160" s="26" t="inlineStr">
        <is>
          <t>BELO HORIZONTE</t>
        </is>
      </c>
      <c r="F160" s="27" t="inlineStr">
        <is>
          <t>MG</t>
        </is>
      </c>
      <c r="G160" s="107" t="n">
        <v>46266</v>
      </c>
      <c r="H160" s="108">
        <f>IF($B160="","",SUM($K160:$AG160)+SUM($AS160:$BB160))</f>
        <v/>
      </c>
      <c r="I160" s="108">
        <f>IF($B160="","",SUM($AH160:$AL160))</f>
        <v/>
      </c>
      <c r="J160" s="109">
        <f>IF($B160="","",SUMPRODUCT($K160:$BB160,$K$2:$BB$2))</f>
        <v/>
      </c>
      <c r="K160" s="110" t="n">
        <v>17</v>
      </c>
      <c r="L160" s="110" t="n"/>
      <c r="M160" s="110" t="n">
        <v>2</v>
      </c>
      <c r="N160" s="110" t="n">
        <v>8</v>
      </c>
      <c r="O160" s="110" t="n"/>
      <c r="P160" s="110" t="n"/>
      <c r="Q160" s="110" t="n"/>
      <c r="R160" s="110" t="n"/>
      <c r="S160" s="110" t="n"/>
      <c r="T160" s="110" t="n">
        <v>2</v>
      </c>
      <c r="U160" s="110" t="n">
        <v>2</v>
      </c>
      <c r="V160" s="110" t="n"/>
      <c r="W160" s="110" t="n"/>
      <c r="X160" s="110" t="n"/>
      <c r="Y160" s="110" t="n"/>
      <c r="Z160" s="110" t="n"/>
      <c r="AA160" s="110" t="n">
        <v>8</v>
      </c>
      <c r="AB160" s="110" t="n"/>
      <c r="AC160" s="110" t="n"/>
      <c r="AD160" s="110" t="n"/>
      <c r="AE160" s="110" t="n"/>
      <c r="AF160" s="110" t="n"/>
      <c r="AG160" s="110" t="n"/>
      <c r="AH160" s="110" t="n"/>
      <c r="AI160" s="110" t="n"/>
      <c r="AJ160" s="110" t="n">
        <v>32</v>
      </c>
      <c r="AK160" s="110" t="n"/>
      <c r="AL160" s="110" t="n"/>
      <c r="AM160" s="110" t="n"/>
      <c r="AN160" s="110" t="n"/>
      <c r="AO160" s="110" t="n"/>
      <c r="AP160" s="110" t="n"/>
      <c r="AQ160" s="110" t="n"/>
      <c r="AR160" s="110" t="n"/>
      <c r="AS160" s="110" t="n"/>
      <c r="AT160" s="110" t="n"/>
      <c r="AU160" s="110" t="n"/>
      <c r="AV160" s="110" t="n"/>
      <c r="AW160" s="110" t="n"/>
      <c r="AX160" s="110" t="n"/>
      <c r="AY160" s="110" t="n"/>
      <c r="AZ160" s="110" t="n"/>
      <c r="BA160" s="110" t="n"/>
      <c r="BB160" s="110" t="n"/>
      <c r="BC160" t="inlineStr">
        <is>
          <t>ORIGINAL</t>
        </is>
      </c>
      <c r="BD160" t="n">
        <v>151</v>
      </c>
      <c r="BF160" s="109">
        <f>IF($BD160="","",SUMIF($BD$6:$BD$2000,$BD160,$J$6:$J$2000))</f>
        <v/>
      </c>
    </row>
    <row r="161" ht="19.5" customHeight="1">
      <c r="A161" s="96" t="inlineStr">
        <is>
          <t>PENDENTE</t>
        </is>
      </c>
      <c r="B161" s="26" t="inlineStr">
        <is>
          <t>RIACHUELO</t>
        </is>
      </c>
      <c r="C161" s="27" t="n">
        <v>156</v>
      </c>
      <c r="D161" s="26" t="inlineStr">
        <is>
          <t>RIO CARIOCA SH</t>
        </is>
      </c>
      <c r="E161" s="26" t="inlineStr">
        <is>
          <t>RIO DE JANEIRO</t>
        </is>
      </c>
      <c r="F161" s="27" t="inlineStr">
        <is>
          <t>RJ</t>
        </is>
      </c>
      <c r="G161" s="107" t="n">
        <v>46235</v>
      </c>
      <c r="H161" s="108">
        <f>IF($B161="","",SUM($K161:$AG161)+SUM($AS161:$BB161))</f>
        <v/>
      </c>
      <c r="I161" s="108">
        <f>IF($B161="","",SUM($AH161:$AL161))</f>
        <v/>
      </c>
      <c r="J161" s="109">
        <f>IF($B161="","",SUMPRODUCT($K161:$BB161,$K$2:$BB$2))</f>
        <v/>
      </c>
      <c r="K161" s="110" t="n">
        <v>17</v>
      </c>
      <c r="L161" s="110" t="n"/>
      <c r="M161" s="110" t="n"/>
      <c r="N161" s="110" t="n">
        <v>1</v>
      </c>
      <c r="O161" s="110" t="n"/>
      <c r="P161" s="110" t="n"/>
      <c r="Q161" s="110" t="n"/>
      <c r="R161" s="110" t="n"/>
      <c r="S161" s="110" t="n"/>
      <c r="T161" s="110" t="n"/>
      <c r="U161" s="110" t="n"/>
      <c r="V161" s="110" t="n"/>
      <c r="W161" s="110" t="n"/>
      <c r="X161" s="110" t="n"/>
      <c r="Y161" s="110" t="n"/>
      <c r="Z161" s="110" t="n"/>
      <c r="AA161" s="110" t="n">
        <v>5</v>
      </c>
      <c r="AB161" s="110" t="n"/>
      <c r="AC161" s="110" t="n"/>
      <c r="AD161" s="110" t="n"/>
      <c r="AE161" s="110" t="n"/>
      <c r="AF161" s="110" t="n"/>
      <c r="AG161" s="110" t="n"/>
      <c r="AH161" s="110" t="n">
        <v>32</v>
      </c>
      <c r="AI161" s="110" t="n"/>
      <c r="AJ161" s="110" t="n"/>
      <c r="AK161" s="110" t="n"/>
      <c r="AL161" s="110" t="n"/>
      <c r="AM161" s="110" t="n"/>
      <c r="AN161" s="110" t="n"/>
      <c r="AO161" s="110" t="n"/>
      <c r="AP161" s="110" t="n"/>
      <c r="AQ161" s="110" t="n"/>
      <c r="AR161" s="110" t="n"/>
      <c r="AS161" s="110" t="n"/>
      <c r="AT161" s="110" t="n"/>
      <c r="AU161" s="110" t="n"/>
      <c r="AV161" s="110" t="n"/>
      <c r="AW161" s="110" t="n"/>
      <c r="AX161" s="110" t="n"/>
      <c r="AY161" s="110" t="n"/>
      <c r="AZ161" s="110" t="n"/>
      <c r="BA161" s="110" t="n"/>
      <c r="BB161" s="110" t="n"/>
      <c r="BC161" t="inlineStr">
        <is>
          <t>ORIGINAL</t>
        </is>
      </c>
      <c r="BD161" t="n">
        <v>152</v>
      </c>
      <c r="BF161" s="109">
        <f>IF($BD161="","",SUMIF($BD$6:$BD$2000,$BD161,$J$6:$J$2000))</f>
        <v/>
      </c>
    </row>
    <row r="162" ht="19.5" customHeight="1">
      <c r="A162" s="96" t="inlineStr">
        <is>
          <t>PENDENTE</t>
        </is>
      </c>
      <c r="B162" s="26" t="inlineStr">
        <is>
          <t>RIACHUELO</t>
        </is>
      </c>
      <c r="C162" s="27" t="n">
        <v>157</v>
      </c>
      <c r="D162" s="26" t="inlineStr">
        <is>
          <t>MADUREIRA SH</t>
        </is>
      </c>
      <c r="E162" s="26" t="inlineStr">
        <is>
          <t>RIO DE JANEIRO</t>
        </is>
      </c>
      <c r="F162" s="27" t="inlineStr">
        <is>
          <t>RJ</t>
        </is>
      </c>
      <c r="G162" s="107" t="n">
        <v>46082</v>
      </c>
      <c r="H162" s="108">
        <f>IF($B162="","",SUM($K162:$AG162)+SUM($AS162:$BB162))</f>
        <v/>
      </c>
      <c r="I162" s="108">
        <f>IF($B162="","",SUM($AH162:$AL162))</f>
        <v/>
      </c>
      <c r="J162" s="109">
        <f>IF($B162="","",SUMPRODUCT($K162:$BB162,$K$2:$BB$2))</f>
        <v/>
      </c>
      <c r="K162" s="110" t="n">
        <v>20</v>
      </c>
      <c r="L162" s="110" t="n"/>
      <c r="M162" s="110" t="n"/>
      <c r="N162" s="110" t="n">
        <v>7</v>
      </c>
      <c r="O162" s="110" t="n"/>
      <c r="P162" s="110" t="n"/>
      <c r="Q162" s="110" t="n"/>
      <c r="R162" s="110" t="n"/>
      <c r="S162" s="110" t="n"/>
      <c r="T162" s="110" t="n"/>
      <c r="U162" s="110" t="n"/>
      <c r="V162" s="110" t="n"/>
      <c r="W162" s="110" t="n"/>
      <c r="X162" s="110" t="n"/>
      <c r="Y162" s="110" t="n"/>
      <c r="Z162" s="110" t="n">
        <v>10</v>
      </c>
      <c r="AA162" s="110" t="n">
        <v>2</v>
      </c>
      <c r="AB162" s="110" t="n"/>
      <c r="AC162" s="110" t="n"/>
      <c r="AD162" s="110" t="n"/>
      <c r="AE162" s="110" t="n"/>
      <c r="AF162" s="110" t="n"/>
      <c r="AG162" s="110" t="n"/>
      <c r="AH162" s="110" t="n">
        <v>37</v>
      </c>
      <c r="AI162" s="110" t="n"/>
      <c r="AJ162" s="110" t="n">
        <v>4</v>
      </c>
      <c r="AK162" s="110" t="n"/>
      <c r="AL162" s="110" t="n"/>
      <c r="AM162" s="110" t="n"/>
      <c r="AN162" s="110" t="n"/>
      <c r="AO162" s="110" t="n"/>
      <c r="AP162" s="110" t="n"/>
      <c r="AQ162" s="110" t="n"/>
      <c r="AR162" s="110" t="n"/>
      <c r="AS162" s="110" t="n"/>
      <c r="AT162" s="110" t="n"/>
      <c r="AU162" s="110" t="n"/>
      <c r="AV162" s="110" t="n"/>
      <c r="AW162" s="110" t="n"/>
      <c r="AX162" s="110" t="n"/>
      <c r="AY162" s="110" t="n"/>
      <c r="AZ162" s="110" t="n"/>
      <c r="BA162" s="110" t="n"/>
      <c r="BB162" s="110" t="n"/>
      <c r="BC162" t="inlineStr">
        <is>
          <t>ORIGINAL</t>
        </is>
      </c>
      <c r="BD162" t="n">
        <v>153</v>
      </c>
      <c r="BF162" s="109">
        <f>IF($BD162="","",SUMIF($BD$6:$BD$2000,$BD162,$J$6:$J$2000))</f>
        <v/>
      </c>
    </row>
    <row r="163" ht="19.5" customHeight="1">
      <c r="A163" s="96" t="inlineStr">
        <is>
          <t>PENDENTE</t>
        </is>
      </c>
      <c r="B163" s="26" t="inlineStr">
        <is>
          <t>RIACHUELO</t>
        </is>
      </c>
      <c r="C163" s="27" t="n">
        <v>158</v>
      </c>
      <c r="D163" s="26" t="inlineStr">
        <is>
          <t>CENTRAL PLAZA SHOPPING</t>
        </is>
      </c>
      <c r="E163" s="26" t="inlineStr">
        <is>
          <t>SÃO PAULO</t>
        </is>
      </c>
      <c r="F163" s="27" t="inlineStr">
        <is>
          <t>SP</t>
        </is>
      </c>
      <c r="G163" s="107" t="n">
        <v>46204</v>
      </c>
      <c r="H163" s="108">
        <f>IF($B163="","",SUM($K163:$AG163)+SUM($AS163:$BB163))</f>
        <v/>
      </c>
      <c r="I163" s="108">
        <f>IF($B163="","",SUM($AH163:$AL163))</f>
        <v/>
      </c>
      <c r="J163" s="109">
        <f>IF($B163="","",SUMPRODUCT($K163:$BB163,$K$2:$BB$2))</f>
        <v/>
      </c>
      <c r="K163" s="110" t="n">
        <v>7</v>
      </c>
      <c r="L163" s="110" t="n"/>
      <c r="M163" s="110" t="n">
        <v>12</v>
      </c>
      <c r="N163" s="110" t="n"/>
      <c r="O163" s="110" t="n"/>
      <c r="P163" s="110" t="n"/>
      <c r="Q163" s="110" t="n"/>
      <c r="R163" s="110" t="n"/>
      <c r="S163" s="110" t="n"/>
      <c r="T163" s="110" t="n"/>
      <c r="U163" s="110" t="n"/>
      <c r="V163" s="110" t="n"/>
      <c r="W163" s="110" t="n"/>
      <c r="X163" s="110" t="n"/>
      <c r="Y163" s="110" t="n"/>
      <c r="Z163" s="110" t="n"/>
      <c r="AA163" s="110" t="n">
        <v>4</v>
      </c>
      <c r="AB163" s="110" t="n"/>
      <c r="AC163" s="110" t="n"/>
      <c r="AD163" s="110" t="n"/>
      <c r="AE163" s="110" t="n"/>
      <c r="AF163" s="110" t="n"/>
      <c r="AG163" s="110" t="n"/>
      <c r="AH163" s="110" t="n"/>
      <c r="AI163" s="110" t="n"/>
      <c r="AJ163" s="110" t="n">
        <v>28</v>
      </c>
      <c r="AK163" s="110" t="n"/>
      <c r="AL163" s="110" t="n"/>
      <c r="AM163" s="110" t="n"/>
      <c r="AN163" s="110" t="n"/>
      <c r="AO163" s="110" t="n"/>
      <c r="AP163" s="110" t="n"/>
      <c r="AQ163" s="110" t="n"/>
      <c r="AR163" s="110" t="n"/>
      <c r="AS163" s="110" t="n"/>
      <c r="AT163" s="110" t="n"/>
      <c r="AU163" s="110" t="n"/>
      <c r="AV163" s="110" t="n"/>
      <c r="AW163" s="110" t="n"/>
      <c r="AX163" s="110" t="n"/>
      <c r="AY163" s="110" t="n"/>
      <c r="AZ163" s="110" t="n"/>
      <c r="BA163" s="110" t="n"/>
      <c r="BB163" s="110" t="n"/>
      <c r="BC163" t="inlineStr">
        <is>
          <t>ORIGINAL</t>
        </is>
      </c>
      <c r="BD163" t="n">
        <v>154</v>
      </c>
      <c r="BF163" s="109">
        <f>IF($BD163="","",SUMIF($BD$6:$BD$2000,$BD163,$J$6:$J$2000))</f>
        <v/>
      </c>
    </row>
    <row r="164" ht="19.5" customHeight="1">
      <c r="A164" s="96" t="inlineStr">
        <is>
          <t>PENDENTE</t>
        </is>
      </c>
      <c r="B164" s="26" t="inlineStr">
        <is>
          <t>RIACHUELO</t>
        </is>
      </c>
      <c r="C164" s="27" t="n">
        <v>159</v>
      </c>
      <c r="D164" s="26" t="inlineStr">
        <is>
          <t>BOURBON SH</t>
        </is>
      </c>
      <c r="E164" s="26" t="inlineStr">
        <is>
          <t>SÃO PAULO</t>
        </is>
      </c>
      <c r="F164" s="27" t="inlineStr">
        <is>
          <t>SP</t>
        </is>
      </c>
      <c r="G164" s="107" t="n">
        <v>46388</v>
      </c>
      <c r="H164" s="108">
        <f>IF($B164="","",SUM($K164:$AG164)+SUM($AS164:$BB164))</f>
        <v/>
      </c>
      <c r="I164" s="108">
        <f>IF($B164="","",SUM($AH164:$AL164))</f>
        <v/>
      </c>
      <c r="J164" s="109">
        <f>IF($B164="","",SUMPRODUCT($K164:$BB164,$K$2:$BB$2))</f>
        <v/>
      </c>
      <c r="K164" s="110" t="n"/>
      <c r="L164" s="110" t="n"/>
      <c r="M164" s="110" t="n"/>
      <c r="N164" s="110" t="n"/>
      <c r="O164" s="110" t="n"/>
      <c r="P164" s="110" t="n"/>
      <c r="Q164" s="110" t="n"/>
      <c r="R164" s="110" t="n"/>
      <c r="S164" s="110" t="n"/>
      <c r="T164" s="110" t="n">
        <v>9</v>
      </c>
      <c r="U164" s="110" t="n">
        <v>11</v>
      </c>
      <c r="V164" s="110" t="n"/>
      <c r="W164" s="110" t="n"/>
      <c r="X164" s="110" t="n"/>
      <c r="Y164" s="110" t="n"/>
      <c r="Z164" s="110" t="n"/>
      <c r="AA164" s="110" t="n">
        <v>2</v>
      </c>
      <c r="AB164" s="110" t="n"/>
      <c r="AC164" s="110" t="n"/>
      <c r="AD164" s="110" t="n"/>
      <c r="AE164" s="110" t="n"/>
      <c r="AF164" s="110" t="n"/>
      <c r="AG164" s="110" t="n"/>
      <c r="AH164" s="110" t="n">
        <v>12</v>
      </c>
      <c r="AI164" s="110" t="n"/>
      <c r="AJ164" s="110" t="n"/>
      <c r="AK164" s="110" t="n"/>
      <c r="AL164" s="110" t="n"/>
      <c r="AM164" s="110" t="n"/>
      <c r="AN164" s="110" t="n"/>
      <c r="AO164" s="110" t="n"/>
      <c r="AP164" s="110" t="n"/>
      <c r="AQ164" s="110" t="n"/>
      <c r="AR164" s="110" t="n"/>
      <c r="AS164" s="110" t="n"/>
      <c r="AT164" s="110" t="n"/>
      <c r="AU164" s="110" t="n"/>
      <c r="AV164" s="110" t="n"/>
      <c r="AW164" s="110" t="n"/>
      <c r="AX164" s="110" t="n"/>
      <c r="AY164" s="110" t="n"/>
      <c r="AZ164" s="110" t="n"/>
      <c r="BA164" s="110" t="n"/>
      <c r="BB164" s="110" t="n"/>
      <c r="BC164" t="inlineStr">
        <is>
          <t>ORIGINAL</t>
        </is>
      </c>
      <c r="BD164" t="n">
        <v>155</v>
      </c>
      <c r="BF164" s="109">
        <f>IF($BD164="","",SUMIF($BD$6:$BD$2000,$BD164,$J$6:$J$2000))</f>
        <v/>
      </c>
    </row>
    <row r="165" ht="19.5" customHeight="1">
      <c r="A165" s="96" t="inlineStr">
        <is>
          <t>PENDENTE</t>
        </is>
      </c>
      <c r="B165" s="26" t="inlineStr">
        <is>
          <t>RIACHUELO</t>
        </is>
      </c>
      <c r="C165" s="27" t="n">
        <v>160</v>
      </c>
      <c r="D165" s="26" t="inlineStr">
        <is>
          <t>IMPERIAL SHOPPING</t>
        </is>
      </c>
      <c r="E165" s="26" t="inlineStr">
        <is>
          <t>IMPERATRIZ</t>
        </is>
      </c>
      <c r="F165" s="27" t="inlineStr">
        <is>
          <t>MA</t>
        </is>
      </c>
      <c r="G165" s="107" t="n">
        <v>46296</v>
      </c>
      <c r="H165" s="108">
        <f>IF($B165="","",SUM($K165:$AG165)+SUM($AS165:$BB165))</f>
        <v/>
      </c>
      <c r="I165" s="108">
        <f>IF($B165="","",SUM($AH165:$AL165))</f>
        <v/>
      </c>
      <c r="J165" s="109">
        <f>IF($B165="","",SUMPRODUCT($K165:$BB165,$K$2:$BB$2))</f>
        <v/>
      </c>
      <c r="K165" s="110" t="n"/>
      <c r="L165" s="110" t="n"/>
      <c r="M165" s="110" t="n"/>
      <c r="N165" s="110" t="n"/>
      <c r="O165" s="110" t="n"/>
      <c r="P165" s="110" t="n">
        <v>1</v>
      </c>
      <c r="Q165" s="110" t="n"/>
      <c r="R165" s="110" t="n"/>
      <c r="S165" s="110" t="n"/>
      <c r="T165" s="110" t="n"/>
      <c r="U165" s="110" t="n">
        <v>22</v>
      </c>
      <c r="V165" s="110" t="n"/>
      <c r="W165" s="110" t="n"/>
      <c r="X165" s="110" t="n"/>
      <c r="Y165" s="110" t="n"/>
      <c r="Z165" s="110" t="n"/>
      <c r="AA165" s="110" t="n">
        <v>5</v>
      </c>
      <c r="AB165" s="110" t="n"/>
      <c r="AC165" s="110" t="n"/>
      <c r="AD165" s="110" t="n"/>
      <c r="AE165" s="110" t="n"/>
      <c r="AF165" s="110" t="n"/>
      <c r="AG165" s="110" t="n"/>
      <c r="AH165" s="110" t="n">
        <v>20</v>
      </c>
      <c r="AI165" s="110" t="n"/>
      <c r="AJ165" s="110" t="n"/>
      <c r="AK165" s="110" t="n"/>
      <c r="AL165" s="110" t="n"/>
      <c r="AM165" s="110" t="n"/>
      <c r="AN165" s="110" t="n"/>
      <c r="AO165" s="110" t="n"/>
      <c r="AP165" s="110" t="n"/>
      <c r="AQ165" s="110" t="n"/>
      <c r="AR165" s="110" t="n"/>
      <c r="AS165" s="110" t="n"/>
      <c r="AT165" s="110" t="n"/>
      <c r="AU165" s="110" t="n"/>
      <c r="AV165" s="110" t="n"/>
      <c r="AW165" s="110" t="n"/>
      <c r="AX165" s="110" t="n"/>
      <c r="AY165" s="110" t="n"/>
      <c r="AZ165" s="110" t="n"/>
      <c r="BA165" s="110" t="n"/>
      <c r="BB165" s="110" t="n"/>
      <c r="BC165" t="inlineStr">
        <is>
          <t>ORIGINAL</t>
        </is>
      </c>
      <c r="BD165" t="n">
        <v>156</v>
      </c>
      <c r="BF165" s="109">
        <f>IF($BD165="","",SUMIF($BD$6:$BD$2000,$BD165,$J$6:$J$2000))</f>
        <v/>
      </c>
    </row>
    <row r="166" ht="19.5" customHeight="1">
      <c r="A166" s="96" t="inlineStr">
        <is>
          <t>PENDENTE</t>
        </is>
      </c>
      <c r="B166" s="26" t="inlineStr">
        <is>
          <t>RIACHUELO</t>
        </is>
      </c>
      <c r="C166" s="27" t="n">
        <v>161</v>
      </c>
      <c r="D166" s="26" t="inlineStr">
        <is>
          <t>TAMBIÁ SHOPPINGG</t>
        </is>
      </c>
      <c r="E166" s="26" t="inlineStr">
        <is>
          <t>JOAO PESSOA</t>
        </is>
      </c>
      <c r="F166" s="27" t="inlineStr">
        <is>
          <t>PB</t>
        </is>
      </c>
      <c r="G166" s="107" t="n">
        <v>46266</v>
      </c>
      <c r="H166" s="108">
        <f>IF($B166="","",SUM($K166:$AG166)+SUM($AS166:$BB166))</f>
        <v/>
      </c>
      <c r="I166" s="108">
        <f>IF($B166="","",SUM($AH166:$AL166))</f>
        <v/>
      </c>
      <c r="J166" s="109">
        <f>IF($B166="","",SUMPRODUCT($K166:$BB166,$K$2:$BB$2))</f>
        <v/>
      </c>
      <c r="K166" s="110" t="n">
        <v>14</v>
      </c>
      <c r="L166" s="110" t="n"/>
      <c r="M166" s="110" t="n"/>
      <c r="N166" s="110" t="n">
        <v>5</v>
      </c>
      <c r="O166" s="110" t="n">
        <v>9</v>
      </c>
      <c r="P166" s="110" t="n">
        <v>1</v>
      </c>
      <c r="Q166" s="110" t="n"/>
      <c r="R166" s="110" t="n"/>
      <c r="S166" s="110" t="n"/>
      <c r="T166" s="110" t="n"/>
      <c r="U166" s="110" t="n"/>
      <c r="V166" s="110" t="n"/>
      <c r="W166" s="110" t="n"/>
      <c r="X166" s="110" t="n"/>
      <c r="Y166" s="110" t="n"/>
      <c r="Z166" s="110" t="n"/>
      <c r="AA166" s="110" t="n">
        <v>7</v>
      </c>
      <c r="AB166" s="110" t="n"/>
      <c r="AC166" s="110" t="n"/>
      <c r="AD166" s="110" t="n"/>
      <c r="AE166" s="110" t="n"/>
      <c r="AF166" s="110" t="n"/>
      <c r="AG166" s="110" t="n"/>
      <c r="AH166" s="110" t="n">
        <v>28</v>
      </c>
      <c r="AI166" s="110" t="n"/>
      <c r="AJ166" s="110" t="n"/>
      <c r="AK166" s="110" t="n"/>
      <c r="AL166" s="110" t="n"/>
      <c r="AM166" s="110" t="n"/>
      <c r="AN166" s="110" t="n"/>
      <c r="AO166" s="110" t="n"/>
      <c r="AP166" s="110" t="n"/>
      <c r="AQ166" s="110" t="n"/>
      <c r="AR166" s="110" t="n"/>
      <c r="AS166" s="110" t="n"/>
      <c r="AT166" s="110" t="n"/>
      <c r="AU166" s="110" t="n"/>
      <c r="AV166" s="110" t="n"/>
      <c r="AW166" s="110" t="n"/>
      <c r="AX166" s="110" t="n"/>
      <c r="AY166" s="110" t="n"/>
      <c r="AZ166" s="110" t="n"/>
      <c r="BA166" s="110" t="n"/>
      <c r="BB166" s="110" t="n"/>
      <c r="BC166" t="inlineStr">
        <is>
          <t>ORIGINAL</t>
        </is>
      </c>
      <c r="BD166" t="n">
        <v>157</v>
      </c>
      <c r="BF166" s="109">
        <f>IF($BD166="","",SUMIF($BD$6:$BD$2000,$BD166,$J$6:$J$2000))</f>
        <v/>
      </c>
    </row>
    <row r="167" ht="19.5" customHeight="1">
      <c r="A167" s="96" t="inlineStr">
        <is>
          <t>PENDENTE</t>
        </is>
      </c>
      <c r="B167" s="26" t="inlineStr">
        <is>
          <t>RIACHUELO</t>
        </is>
      </c>
      <c r="C167" s="27" t="n">
        <v>162</v>
      </c>
      <c r="D167" s="26" t="inlineStr">
        <is>
          <t>MACEIÓ CT</t>
        </is>
      </c>
      <c r="E167" s="26" t="inlineStr">
        <is>
          <t>MACEIO</t>
        </is>
      </c>
      <c r="F167" s="27" t="inlineStr">
        <is>
          <t>AL</t>
        </is>
      </c>
      <c r="G167" s="107" t="n">
        <v>46204</v>
      </c>
      <c r="H167" s="108">
        <f>IF($B167="","",SUM($K167:$AG167)+SUM($AS167:$BB167))</f>
        <v/>
      </c>
      <c r="I167" s="108">
        <f>IF($B167="","",SUM($AH167:$AL167))</f>
        <v/>
      </c>
      <c r="J167" s="109">
        <f>IF($B167="","",SUMPRODUCT($K167:$BB167,$K$2:$BB$2))</f>
        <v/>
      </c>
      <c r="K167" s="110" t="n">
        <v>10</v>
      </c>
      <c r="L167" s="110" t="n"/>
      <c r="M167" s="110" t="n"/>
      <c r="N167" s="110" t="n">
        <v>4</v>
      </c>
      <c r="O167" s="110" t="n">
        <v>14</v>
      </c>
      <c r="P167" s="110" t="n">
        <v>1</v>
      </c>
      <c r="Q167" s="110" t="n"/>
      <c r="R167" s="110" t="n"/>
      <c r="S167" s="110" t="n"/>
      <c r="T167" s="110" t="n"/>
      <c r="U167" s="110" t="n"/>
      <c r="V167" s="110" t="n"/>
      <c r="W167" s="110" t="n"/>
      <c r="X167" s="110" t="n"/>
      <c r="Y167" s="110" t="n"/>
      <c r="Z167" s="110" t="n"/>
      <c r="AA167" s="110" t="n">
        <v>7</v>
      </c>
      <c r="AB167" s="110" t="n"/>
      <c r="AC167" s="110" t="n"/>
      <c r="AD167" s="110" t="n"/>
      <c r="AE167" s="110" t="n"/>
      <c r="AF167" s="110" t="n"/>
      <c r="AG167" s="110" t="n"/>
      <c r="AH167" s="110" t="n">
        <v>29</v>
      </c>
      <c r="AI167" s="110" t="n"/>
      <c r="AJ167" s="110" t="n"/>
      <c r="AK167" s="110" t="n"/>
      <c r="AL167" s="110" t="n"/>
      <c r="AM167" s="110" t="n"/>
      <c r="AN167" s="110" t="n"/>
      <c r="AO167" s="110" t="n"/>
      <c r="AP167" s="110" t="n"/>
      <c r="AQ167" s="110" t="n"/>
      <c r="AR167" s="110" t="n"/>
      <c r="AS167" s="110" t="n"/>
      <c r="AT167" s="110" t="n"/>
      <c r="AU167" s="110" t="n"/>
      <c r="AV167" s="110" t="n"/>
      <c r="AW167" s="110" t="n"/>
      <c r="AX167" s="110" t="n"/>
      <c r="AY167" s="110" t="n"/>
      <c r="AZ167" s="110" t="n"/>
      <c r="BA167" s="110" t="n"/>
      <c r="BB167" s="110" t="n"/>
      <c r="BC167" t="inlineStr">
        <is>
          <t>ORIGINAL</t>
        </is>
      </c>
      <c r="BD167" t="n">
        <v>158</v>
      </c>
      <c r="BF167" s="109">
        <f>IF($BD167="","",SUMIF($BD$6:$BD$2000,$BD167,$J$6:$J$2000))</f>
        <v/>
      </c>
    </row>
    <row r="168" ht="19.5" customHeight="1">
      <c r="A168" s="96" t="inlineStr">
        <is>
          <t>PENDENTE</t>
        </is>
      </c>
      <c r="B168" s="26" t="inlineStr">
        <is>
          <t>RIACHUELO</t>
        </is>
      </c>
      <c r="C168" s="27" t="n">
        <v>163</v>
      </c>
      <c r="D168" s="26" t="inlineStr">
        <is>
          <t>MOGI DAS CRUZES CT</t>
        </is>
      </c>
      <c r="E168" s="26" t="inlineStr">
        <is>
          <t>MOGI DAS CRUZES</t>
        </is>
      </c>
      <c r="F168" s="27" t="inlineStr">
        <is>
          <t>SP</t>
        </is>
      </c>
      <c r="G168" s="107" t="n">
        <v>46142</v>
      </c>
      <c r="H168" s="108">
        <f>IF($B168="","",SUM($K168:$AG168)+SUM($AS168:$BB168))</f>
        <v/>
      </c>
      <c r="I168" s="108">
        <f>IF($B168="","",SUM($AH168:$AL168))</f>
        <v/>
      </c>
      <c r="J168" s="109">
        <f>IF($B168="","",SUMPRODUCT($K168:$BB168,$K$2:$BB$2))</f>
        <v/>
      </c>
      <c r="K168" s="110" t="n">
        <v>13</v>
      </c>
      <c r="L168" s="110" t="n"/>
      <c r="M168" s="110" t="n">
        <v>2</v>
      </c>
      <c r="N168" s="110" t="n">
        <v>1</v>
      </c>
      <c r="O168" s="110" t="n"/>
      <c r="P168" s="110" t="n"/>
      <c r="Q168" s="110" t="n"/>
      <c r="R168" s="110" t="n"/>
      <c r="S168" s="110" t="n"/>
      <c r="T168" s="110" t="n">
        <v>8</v>
      </c>
      <c r="U168" s="110" t="n"/>
      <c r="V168" s="110" t="n"/>
      <c r="W168" s="110" t="n"/>
      <c r="X168" s="110" t="n"/>
      <c r="Y168" s="110" t="n"/>
      <c r="Z168" s="110" t="n"/>
      <c r="AA168" s="110" t="n">
        <v>7</v>
      </c>
      <c r="AB168" s="110" t="n"/>
      <c r="AC168" s="110" t="n"/>
      <c r="AD168" s="110" t="n"/>
      <c r="AE168" s="110" t="n"/>
      <c r="AF168" s="110" t="n"/>
      <c r="AG168" s="110" t="n"/>
      <c r="AH168" s="110" t="n">
        <v>26</v>
      </c>
      <c r="AI168" s="110" t="n"/>
      <c r="AJ168" s="110" t="n"/>
      <c r="AK168" s="110" t="n"/>
      <c r="AL168" s="110" t="n"/>
      <c r="AM168" s="110" t="n"/>
      <c r="AN168" s="110" t="n"/>
      <c r="AO168" s="110" t="n"/>
      <c r="AP168" s="110" t="n"/>
      <c r="AQ168" s="110" t="n"/>
      <c r="AR168" s="110" t="n"/>
      <c r="AS168" s="110" t="n"/>
      <c r="AT168" s="110" t="n"/>
      <c r="AU168" s="110" t="n"/>
      <c r="AV168" s="110" t="n"/>
      <c r="AW168" s="110" t="n"/>
      <c r="AX168" s="110" t="n"/>
      <c r="AY168" s="110" t="n"/>
      <c r="AZ168" s="110" t="n"/>
      <c r="BA168" s="110" t="n"/>
      <c r="BB168" s="110" t="n"/>
      <c r="BC168" t="inlineStr">
        <is>
          <t>ORIGINAL</t>
        </is>
      </c>
      <c r="BD168" t="n">
        <v>159</v>
      </c>
      <c r="BF168" s="109">
        <f>IF($BD168="","",SUMIF($BD$6:$BD$2000,$BD168,$J$6:$J$2000))</f>
        <v/>
      </c>
    </row>
    <row r="169" ht="19.5" customHeight="1">
      <c r="A169" s="96" t="inlineStr">
        <is>
          <t>PENDENTE</t>
        </is>
      </c>
      <c r="B169" s="26" t="inlineStr">
        <is>
          <t>RIACHUELO</t>
        </is>
      </c>
      <c r="C169" s="27" t="n">
        <v>164</v>
      </c>
      <c r="D169" s="26" t="inlineStr">
        <is>
          <t>JOÃO PESSOA MANAÍRA SH</t>
        </is>
      </c>
      <c r="E169" s="26" t="inlineStr">
        <is>
          <t>JOAO PESSOA</t>
        </is>
      </c>
      <c r="F169" s="27" t="inlineStr">
        <is>
          <t>PB</t>
        </is>
      </c>
      <c r="G169" s="107" t="n">
        <v>46266</v>
      </c>
      <c r="H169" s="108">
        <f>IF($B169="","",SUM($K169:$AG169)+SUM($AS169:$BB169))</f>
        <v/>
      </c>
      <c r="I169" s="108">
        <f>IF($B169="","",SUM($AH169:$AL169))</f>
        <v/>
      </c>
      <c r="J169" s="109">
        <f>IF($B169="","",SUMPRODUCT($K169:$BB169,$K$2:$BB$2))</f>
        <v/>
      </c>
      <c r="K169" s="110" t="n">
        <v>3</v>
      </c>
      <c r="L169" s="110" t="n"/>
      <c r="M169" s="110" t="n">
        <v>1</v>
      </c>
      <c r="N169" s="110" t="n">
        <v>9</v>
      </c>
      <c r="O169" s="110" t="n"/>
      <c r="P169" s="110" t="n">
        <v>3</v>
      </c>
      <c r="Q169" s="110" t="n"/>
      <c r="R169" s="110" t="n"/>
      <c r="S169" s="110" t="n"/>
      <c r="T169" s="110" t="n"/>
      <c r="U169" s="110" t="n">
        <v>26</v>
      </c>
      <c r="V169" s="110" t="n"/>
      <c r="W169" s="110" t="n"/>
      <c r="X169" s="110" t="n"/>
      <c r="Y169" s="110" t="n"/>
      <c r="Z169" s="110" t="n"/>
      <c r="AA169" s="110" t="n">
        <v>5</v>
      </c>
      <c r="AB169" s="110" t="n"/>
      <c r="AC169" s="110" t="n"/>
      <c r="AD169" s="110" t="n"/>
      <c r="AE169" s="110" t="n"/>
      <c r="AF169" s="110" t="n"/>
      <c r="AG169" s="110" t="n"/>
      <c r="AH169" s="110" t="n">
        <v>24</v>
      </c>
      <c r="AI169" s="110" t="n"/>
      <c r="AJ169" s="110" t="n"/>
      <c r="AK169" s="110" t="n"/>
      <c r="AL169" s="110" t="n"/>
      <c r="AM169" s="110" t="n"/>
      <c r="AN169" s="110" t="n"/>
      <c r="AO169" s="110" t="n"/>
      <c r="AP169" s="110" t="n"/>
      <c r="AQ169" s="110" t="n"/>
      <c r="AR169" s="110" t="n"/>
      <c r="AS169" s="110" t="n"/>
      <c r="AT169" s="110" t="n"/>
      <c r="AU169" s="110" t="n"/>
      <c r="AV169" s="110" t="n"/>
      <c r="AW169" s="110" t="n"/>
      <c r="AX169" s="110" t="n"/>
      <c r="AY169" s="110" t="n"/>
      <c r="AZ169" s="110" t="n"/>
      <c r="BA169" s="110" t="n"/>
      <c r="BB169" s="110" t="n"/>
      <c r="BC169" t="inlineStr">
        <is>
          <t>ORIGINAL</t>
        </is>
      </c>
      <c r="BD169" t="n">
        <v>160</v>
      </c>
      <c r="BF169" s="109">
        <f>IF($BD169="","",SUMIF($BD$6:$BD$2000,$BD169,$J$6:$J$2000))</f>
        <v/>
      </c>
    </row>
    <row r="170" ht="19.5" customHeight="1">
      <c r="A170" s="96" t="inlineStr">
        <is>
          <t>PENDENTE</t>
        </is>
      </c>
      <c r="B170" s="26" t="inlineStr">
        <is>
          <t>RIACHUELO</t>
        </is>
      </c>
      <c r="C170" s="27" t="n">
        <v>165</v>
      </c>
      <c r="D170" s="26" t="inlineStr">
        <is>
          <t>ESPLANADA SH</t>
        </is>
      </c>
      <c r="E170" s="26" t="inlineStr">
        <is>
          <t>VOTORANTIM</t>
        </is>
      </c>
      <c r="F170" s="27" t="inlineStr">
        <is>
          <t>SP</t>
        </is>
      </c>
      <c r="G170" s="107" t="n">
        <v>46204</v>
      </c>
      <c r="H170" s="108">
        <f>IF($B170="","",SUM($K170:$AG170)+SUM($AS170:$BB170))</f>
        <v/>
      </c>
      <c r="I170" s="108">
        <f>IF($B170="","",SUM($AH170:$AL170))</f>
        <v/>
      </c>
      <c r="J170" s="109">
        <f>IF($B170="","",SUMPRODUCT($K170:$BB170,$K$2:$BB$2))</f>
        <v/>
      </c>
      <c r="K170" s="110" t="n">
        <v>9</v>
      </c>
      <c r="L170" s="110" t="n"/>
      <c r="M170" s="110" t="n">
        <v>3</v>
      </c>
      <c r="N170" s="110" t="n">
        <v>1</v>
      </c>
      <c r="O170" s="110" t="n"/>
      <c r="P170" s="110" t="n"/>
      <c r="Q170" s="110" t="n"/>
      <c r="R170" s="110" t="n"/>
      <c r="S170" s="110" t="n"/>
      <c r="T170" s="110" t="n"/>
      <c r="U170" s="110" t="n">
        <v>2</v>
      </c>
      <c r="V170" s="110" t="n"/>
      <c r="W170" s="110" t="n"/>
      <c r="X170" s="110" t="n"/>
      <c r="Y170" s="110" t="n"/>
      <c r="Z170" s="110" t="n"/>
      <c r="AA170" s="110" t="n">
        <v>9</v>
      </c>
      <c r="AB170" s="110" t="n"/>
      <c r="AC170" s="110" t="n"/>
      <c r="AD170" s="110" t="n"/>
      <c r="AE170" s="110" t="n"/>
      <c r="AF170" s="110" t="n"/>
      <c r="AG170" s="110" t="n"/>
      <c r="AH170" s="110" t="n"/>
      <c r="AI170" s="110" t="n"/>
      <c r="AJ170" s="110" t="n">
        <v>22</v>
      </c>
      <c r="AK170" s="110" t="n"/>
      <c r="AL170" s="110" t="n"/>
      <c r="AM170" s="110" t="n"/>
      <c r="AN170" s="110" t="n"/>
      <c r="AO170" s="110" t="n"/>
      <c r="AP170" s="110" t="n"/>
      <c r="AQ170" s="110" t="n"/>
      <c r="AR170" s="110" t="n"/>
      <c r="AS170" s="110" t="n"/>
      <c r="AT170" s="110" t="n"/>
      <c r="AU170" s="110" t="n"/>
      <c r="AV170" s="110" t="n"/>
      <c r="AW170" s="110" t="n"/>
      <c r="AX170" s="110" t="n"/>
      <c r="AY170" s="110" t="n"/>
      <c r="AZ170" s="110" t="n"/>
      <c r="BA170" s="110" t="n"/>
      <c r="BB170" s="110" t="n"/>
      <c r="BC170" t="inlineStr">
        <is>
          <t>ORIGINAL</t>
        </is>
      </c>
      <c r="BD170" t="n">
        <v>161</v>
      </c>
      <c r="BF170" s="109">
        <f>IF($BD170="","",SUMIF($BD$6:$BD$2000,$BD170,$J$6:$J$2000))</f>
        <v/>
      </c>
    </row>
    <row r="171" ht="19.5" customHeight="1">
      <c r="A171" s="96" t="inlineStr">
        <is>
          <t>PENDENTE</t>
        </is>
      </c>
      <c r="B171" s="26" t="inlineStr">
        <is>
          <t>RIACHUELO</t>
        </is>
      </c>
      <c r="C171" s="27" t="n">
        <v>166</v>
      </c>
      <c r="D171" s="26" t="inlineStr">
        <is>
          <t>PATIO BRASIL SH</t>
        </is>
      </c>
      <c r="E171" s="26" t="inlineStr">
        <is>
          <t>BRASILIA</t>
        </is>
      </c>
      <c r="F171" s="27" t="inlineStr">
        <is>
          <t>DF</t>
        </is>
      </c>
      <c r="G171" s="107" t="n">
        <v>46296</v>
      </c>
      <c r="H171" s="108">
        <f>IF($B171="","",SUM($K171:$AG171)+SUM($AS171:$BB171))</f>
        <v/>
      </c>
      <c r="I171" s="108">
        <f>IF($B171="","",SUM($AH171:$AL171))</f>
        <v/>
      </c>
      <c r="J171" s="109">
        <f>IF($B171="","",SUMPRODUCT($K171:$BB171,$K$2:$BB$2))</f>
        <v/>
      </c>
      <c r="K171" s="110" t="n">
        <v>15</v>
      </c>
      <c r="L171" s="110" t="n"/>
      <c r="M171" s="110" t="n"/>
      <c r="N171" s="110" t="n">
        <v>1</v>
      </c>
      <c r="O171" s="110" t="n"/>
      <c r="P171" s="110" t="n"/>
      <c r="Q171" s="110" t="n"/>
      <c r="R171" s="110" t="n"/>
      <c r="S171" s="110" t="n"/>
      <c r="T171" s="110" t="n"/>
      <c r="U171" s="110" t="n">
        <v>4</v>
      </c>
      <c r="V171" s="110" t="n"/>
      <c r="W171" s="110" t="n"/>
      <c r="X171" s="110" t="n"/>
      <c r="Y171" s="110" t="n"/>
      <c r="Z171" s="110" t="n"/>
      <c r="AA171" s="110" t="n">
        <v>8</v>
      </c>
      <c r="AB171" s="110" t="n"/>
      <c r="AC171" s="110" t="n"/>
      <c r="AD171" s="110" t="n"/>
      <c r="AE171" s="110" t="n"/>
      <c r="AF171" s="110" t="n"/>
      <c r="AG171" s="110" t="n"/>
      <c r="AH171" s="110" t="n">
        <v>12</v>
      </c>
      <c r="AI171" s="110" t="n"/>
      <c r="AJ171" s="110" t="n"/>
      <c r="AK171" s="110" t="n"/>
      <c r="AL171" s="110" t="n"/>
      <c r="AM171" s="110" t="n"/>
      <c r="AN171" s="110" t="n"/>
      <c r="AO171" s="110" t="n"/>
      <c r="AP171" s="110" t="n"/>
      <c r="AQ171" s="110" t="n"/>
      <c r="AR171" s="110" t="n"/>
      <c r="AS171" s="110" t="n"/>
      <c r="AT171" s="110" t="n"/>
      <c r="AU171" s="110" t="n"/>
      <c r="AV171" s="110" t="n"/>
      <c r="AW171" s="110" t="n"/>
      <c r="AX171" s="110" t="n"/>
      <c r="AY171" s="110" t="n"/>
      <c r="AZ171" s="110" t="n"/>
      <c r="BA171" s="110" t="n"/>
      <c r="BB171" s="110" t="n"/>
      <c r="BC171" t="inlineStr">
        <is>
          <t>ORIGINAL</t>
        </is>
      </c>
      <c r="BD171" t="n">
        <v>162</v>
      </c>
      <c r="BF171" s="109">
        <f>IF($BD171="","",SUMIF($BD$6:$BD$2000,$BD171,$J$6:$J$2000))</f>
        <v/>
      </c>
    </row>
    <row r="172" ht="19.5" customHeight="1">
      <c r="A172" s="96" t="inlineStr">
        <is>
          <t>PENDENTE</t>
        </is>
      </c>
      <c r="B172" s="26" t="inlineStr">
        <is>
          <t>RIACHUELO</t>
        </is>
      </c>
      <c r="C172" s="27" t="n">
        <v>167</v>
      </c>
      <c r="D172" s="26" t="inlineStr">
        <is>
          <t>BH MINAS SHOPPING</t>
        </is>
      </c>
      <c r="E172" s="26" t="inlineStr">
        <is>
          <t>BELO HORIZONTE</t>
        </is>
      </c>
      <c r="F172" s="27" t="inlineStr">
        <is>
          <t>MG</t>
        </is>
      </c>
      <c r="G172" s="107" t="n">
        <v>46204</v>
      </c>
      <c r="H172" s="108">
        <f>IF($B172="","",SUM($K172:$AG172)+SUM($AS172:$BB172))</f>
        <v/>
      </c>
      <c r="I172" s="108">
        <f>IF($B172="","",SUM($AH172:$AL172))</f>
        <v/>
      </c>
      <c r="J172" s="109">
        <f>IF($B172="","",SUMPRODUCT($K172:$BB172,$K$2:$BB$2))</f>
        <v/>
      </c>
      <c r="K172" s="110" t="n">
        <v>19</v>
      </c>
      <c r="L172" s="110" t="n"/>
      <c r="M172" s="110" t="n">
        <v>1</v>
      </c>
      <c r="N172" s="110" t="n">
        <v>9</v>
      </c>
      <c r="O172" s="110" t="n"/>
      <c r="P172" s="110" t="n"/>
      <c r="Q172" s="110" t="n"/>
      <c r="R172" s="110" t="n"/>
      <c r="S172" s="110" t="n"/>
      <c r="T172" s="110" t="n"/>
      <c r="U172" s="110" t="n"/>
      <c r="V172" s="110" t="n"/>
      <c r="W172" s="110" t="n"/>
      <c r="X172" s="110" t="n"/>
      <c r="Y172" s="110" t="n"/>
      <c r="Z172" s="110" t="n"/>
      <c r="AA172" s="110" t="n">
        <v>20</v>
      </c>
      <c r="AB172" s="110" t="n"/>
      <c r="AC172" s="110" t="n"/>
      <c r="AD172" s="110" t="n"/>
      <c r="AE172" s="110" t="n"/>
      <c r="AF172" s="110" t="n"/>
      <c r="AG172" s="110" t="n"/>
      <c r="AH172" s="110" t="n"/>
      <c r="AI172" s="110" t="n"/>
      <c r="AJ172" s="110" t="n">
        <v>48</v>
      </c>
      <c r="AK172" s="110" t="n"/>
      <c r="AL172" s="110" t="n"/>
      <c r="AM172" s="110" t="n"/>
      <c r="AN172" s="110" t="n"/>
      <c r="AO172" s="110" t="n"/>
      <c r="AP172" s="110" t="n"/>
      <c r="AQ172" s="110" t="n"/>
      <c r="AR172" s="110" t="n"/>
      <c r="AS172" s="110" t="n"/>
      <c r="AT172" s="110" t="n"/>
      <c r="AU172" s="110" t="n"/>
      <c r="AV172" s="110" t="n"/>
      <c r="AW172" s="110" t="n"/>
      <c r="AX172" s="110" t="n"/>
      <c r="AY172" s="110" t="n"/>
      <c r="AZ172" s="110" t="n"/>
      <c r="BA172" s="110" t="n"/>
      <c r="BB172" s="110" t="n"/>
      <c r="BC172" t="inlineStr">
        <is>
          <t>ORIGINAL</t>
        </is>
      </c>
      <c r="BD172" t="n">
        <v>163</v>
      </c>
      <c r="BF172" s="109">
        <f>IF($BD172="","",SUMIF($BD$6:$BD$2000,$BD172,$J$6:$J$2000))</f>
        <v/>
      </c>
    </row>
    <row r="173" ht="19.5" customHeight="1">
      <c r="A173" s="96" t="inlineStr">
        <is>
          <t>PENDENTE</t>
        </is>
      </c>
      <c r="B173" s="26" t="inlineStr">
        <is>
          <t>RIACHUELO</t>
        </is>
      </c>
      <c r="C173" s="27" t="n">
        <v>168</v>
      </c>
      <c r="D173" s="26" t="inlineStr">
        <is>
          <t>AMAZONAS SHOPPING</t>
        </is>
      </c>
      <c r="E173" s="26" t="inlineStr">
        <is>
          <t>MANAUS</t>
        </is>
      </c>
      <c r="F173" s="27" t="inlineStr">
        <is>
          <t>AM</t>
        </is>
      </c>
      <c r="G173" s="107" t="n">
        <v>46054</v>
      </c>
      <c r="H173" s="108">
        <f>IF($B173="","",SUM($K173:$AG173)+SUM($AS173:$BB173))</f>
        <v/>
      </c>
      <c r="I173" s="108">
        <f>IF($B173="","",SUM($AH173:$AL173))</f>
        <v/>
      </c>
      <c r="J173" s="109">
        <f>IF($B173="","",SUMPRODUCT($K173:$BB173,$K$2:$BB$2))</f>
        <v/>
      </c>
      <c r="K173" s="110" t="n">
        <v>8</v>
      </c>
      <c r="L173" s="110" t="n"/>
      <c r="M173" s="110" t="n">
        <v>5</v>
      </c>
      <c r="N173" s="110" t="n">
        <v>4</v>
      </c>
      <c r="O173" s="110" t="n">
        <v>1</v>
      </c>
      <c r="P173" s="110" t="n"/>
      <c r="Q173" s="110" t="n"/>
      <c r="R173" s="110" t="n"/>
      <c r="S173" s="110" t="n"/>
      <c r="T173" s="110" t="n"/>
      <c r="U173" s="110" t="n"/>
      <c r="V173" s="110" t="n"/>
      <c r="W173" s="110" t="n"/>
      <c r="X173" s="110" t="n"/>
      <c r="Y173" s="110" t="n"/>
      <c r="Z173" s="110" t="n"/>
      <c r="AA173" s="110" t="n">
        <v>8</v>
      </c>
      <c r="AB173" s="110" t="n"/>
      <c r="AC173" s="110" t="n"/>
      <c r="AD173" s="110" t="n"/>
      <c r="AE173" s="110" t="n"/>
      <c r="AF173" s="110" t="n"/>
      <c r="AG173" s="110" t="n"/>
      <c r="AH173" s="110" t="n">
        <v>36</v>
      </c>
      <c r="AI173" s="110" t="n"/>
      <c r="AJ173" s="110" t="n"/>
      <c r="AK173" s="110" t="n"/>
      <c r="AL173" s="110" t="n"/>
      <c r="AM173" s="110" t="n"/>
      <c r="AN173" s="110" t="n"/>
      <c r="AO173" s="110" t="n"/>
      <c r="AP173" s="110" t="n"/>
      <c r="AQ173" s="110" t="n"/>
      <c r="AR173" s="110" t="n"/>
      <c r="AS173" s="110" t="n"/>
      <c r="AT173" s="110" t="n"/>
      <c r="AU173" s="110" t="n"/>
      <c r="AV173" s="110" t="n"/>
      <c r="AW173" s="110" t="n"/>
      <c r="AX173" s="110" t="n"/>
      <c r="AY173" s="110" t="n"/>
      <c r="AZ173" s="110" t="n"/>
      <c r="BA173" s="110" t="n"/>
      <c r="BB173" s="110" t="n"/>
      <c r="BC173" t="inlineStr">
        <is>
          <t>ORIGINAL</t>
        </is>
      </c>
      <c r="BD173" t="n">
        <v>164</v>
      </c>
      <c r="BF173" s="109">
        <f>IF($BD173="","",SUMIF($BD$6:$BD$2000,$BD173,$J$6:$J$2000))</f>
        <v/>
      </c>
    </row>
    <row r="174" ht="19.5" customHeight="1">
      <c r="A174" s="96" t="inlineStr">
        <is>
          <t>PENDENTE</t>
        </is>
      </c>
      <c r="B174" s="26" t="inlineStr">
        <is>
          <t>RIACHUELO</t>
        </is>
      </c>
      <c r="C174" s="27" t="n">
        <v>169</v>
      </c>
      <c r="D174" s="26" t="inlineStr">
        <is>
          <t>VITORIA SH</t>
        </is>
      </c>
      <c r="E174" s="26" t="inlineStr">
        <is>
          <t>VITORIA</t>
        </is>
      </c>
      <c r="F174" s="27" t="inlineStr">
        <is>
          <t>ES</t>
        </is>
      </c>
      <c r="G174" s="107" t="n">
        <v>46204</v>
      </c>
      <c r="H174" s="108">
        <f>IF($B174="","",SUM($K174:$AG174)+SUM($AS174:$BB174))</f>
        <v/>
      </c>
      <c r="I174" s="108">
        <f>IF($B174="","",SUM($AH174:$AL174))</f>
        <v/>
      </c>
      <c r="J174" s="109">
        <f>IF($B174="","",SUMPRODUCT($K174:$BB174,$K$2:$BB$2))</f>
        <v/>
      </c>
      <c r="K174" s="110" t="n">
        <v>12</v>
      </c>
      <c r="L174" s="110" t="n"/>
      <c r="M174" s="110" t="n">
        <v>7</v>
      </c>
      <c r="N174" s="110" t="n"/>
      <c r="O174" s="110" t="n"/>
      <c r="P174" s="110" t="n"/>
      <c r="Q174" s="110" t="n"/>
      <c r="R174" s="110" t="n"/>
      <c r="S174" s="110" t="n"/>
      <c r="T174" s="110" t="n"/>
      <c r="U174" s="110" t="n"/>
      <c r="V174" s="110" t="n"/>
      <c r="W174" s="110" t="n"/>
      <c r="X174" s="110" t="n"/>
      <c r="Y174" s="110" t="n"/>
      <c r="Z174" s="110" t="n"/>
      <c r="AA174" s="110" t="n">
        <v>15</v>
      </c>
      <c r="AB174" s="110" t="n"/>
      <c r="AC174" s="110" t="n"/>
      <c r="AD174" s="110" t="n"/>
      <c r="AE174" s="110" t="n"/>
      <c r="AF174" s="110" t="n"/>
      <c r="AG174" s="110" t="n"/>
      <c r="AH174" s="110" t="n"/>
      <c r="AI174" s="110" t="n"/>
      <c r="AJ174" s="110" t="n">
        <v>32</v>
      </c>
      <c r="AK174" s="110" t="n"/>
      <c r="AL174" s="110" t="n"/>
      <c r="AM174" s="110" t="n"/>
      <c r="AN174" s="110" t="n"/>
      <c r="AO174" s="110" t="n"/>
      <c r="AP174" s="110" t="n"/>
      <c r="AQ174" s="110" t="n"/>
      <c r="AR174" s="110" t="n"/>
      <c r="AS174" s="110" t="n"/>
      <c r="AT174" s="110" t="n"/>
      <c r="AU174" s="110" t="n"/>
      <c r="AV174" s="110" t="n"/>
      <c r="AW174" s="110" t="n"/>
      <c r="AX174" s="110" t="n"/>
      <c r="AY174" s="110" t="n"/>
      <c r="AZ174" s="110" t="n"/>
      <c r="BA174" s="110" t="n"/>
      <c r="BB174" s="110" t="n"/>
      <c r="BC174" t="inlineStr">
        <is>
          <t>ORIGINAL</t>
        </is>
      </c>
      <c r="BD174" t="n">
        <v>165</v>
      </c>
      <c r="BF174" s="109">
        <f>IF($BD174="","",SUMIF($BD$6:$BD$2000,$BD174,$J$6:$J$2000))</f>
        <v/>
      </c>
    </row>
    <row r="175" ht="19.5" customHeight="1">
      <c r="A175" s="96" t="inlineStr">
        <is>
          <t>PENDENTE</t>
        </is>
      </c>
      <c r="B175" s="26" t="inlineStr">
        <is>
          <t>RIACHUELO</t>
        </is>
      </c>
      <c r="C175" s="27" t="n">
        <v>171</v>
      </c>
      <c r="D175" s="26" t="inlineStr">
        <is>
          <t>SÃO BERNARDO PLAZA SHOPPING</t>
        </is>
      </c>
      <c r="E175" s="26" t="inlineStr">
        <is>
          <t>SÃO BERNARDO DO CAMPO</t>
        </is>
      </c>
      <c r="F175" s="27" t="inlineStr">
        <is>
          <t>SP</t>
        </is>
      </c>
      <c r="G175" s="107" t="n">
        <v>46204</v>
      </c>
      <c r="H175" s="108">
        <f>IF($B175="","",SUM($K175:$AG175)+SUM($AS175:$BB175))</f>
        <v/>
      </c>
      <c r="I175" s="108">
        <f>IF($B175="","",SUM($AH175:$AL175))</f>
        <v/>
      </c>
      <c r="J175" s="109">
        <f>IF($B175="","",SUMPRODUCT($K175:$BB175,$K$2:$BB$2))</f>
        <v/>
      </c>
      <c r="K175" s="110" t="n">
        <v>13</v>
      </c>
      <c r="L175" s="110" t="n"/>
      <c r="M175" s="110" t="n">
        <v>4</v>
      </c>
      <c r="N175" s="110" t="n">
        <v>3</v>
      </c>
      <c r="O175" s="110" t="n"/>
      <c r="P175" s="110" t="n"/>
      <c r="Q175" s="110" t="n"/>
      <c r="R175" s="110" t="n"/>
      <c r="S175" s="110" t="n"/>
      <c r="T175" s="110" t="n"/>
      <c r="U175" s="110" t="n"/>
      <c r="V175" s="110" t="n"/>
      <c r="W175" s="110" t="n"/>
      <c r="X175" s="110" t="n"/>
      <c r="Y175" s="110" t="n"/>
      <c r="Z175" s="110" t="n"/>
      <c r="AA175" s="110" t="n">
        <v>6</v>
      </c>
      <c r="AB175" s="110" t="n"/>
      <c r="AC175" s="110" t="n"/>
      <c r="AD175" s="110" t="n"/>
      <c r="AE175" s="110" t="n"/>
      <c r="AF175" s="110" t="n"/>
      <c r="AG175" s="110" t="n"/>
      <c r="AH175" s="110" t="n">
        <v>32</v>
      </c>
      <c r="AI175" s="110" t="n"/>
      <c r="AJ175" s="110" t="n"/>
      <c r="AK175" s="110" t="n"/>
      <c r="AL175" s="110" t="n"/>
      <c r="AM175" s="110" t="n"/>
      <c r="AN175" s="110" t="n"/>
      <c r="AO175" s="110" t="n"/>
      <c r="AP175" s="110" t="n"/>
      <c r="AQ175" s="110" t="n"/>
      <c r="AR175" s="110" t="n"/>
      <c r="AS175" s="110" t="n"/>
      <c r="AT175" s="110" t="n"/>
      <c r="AU175" s="110" t="n"/>
      <c r="AV175" s="110" t="n"/>
      <c r="AW175" s="110" t="n"/>
      <c r="AX175" s="110" t="n"/>
      <c r="AY175" s="110" t="n"/>
      <c r="AZ175" s="110" t="n"/>
      <c r="BA175" s="110" t="n"/>
      <c r="BB175" s="110" t="n"/>
      <c r="BC175" t="inlineStr">
        <is>
          <t>ORIGINAL</t>
        </is>
      </c>
      <c r="BD175" t="n">
        <v>166</v>
      </c>
      <c r="BF175" s="109">
        <f>IF($BD175="","",SUMIF($BD$6:$BD$2000,$BD175,$J$6:$J$2000))</f>
        <v/>
      </c>
    </row>
    <row r="176" ht="19.5" customHeight="1">
      <c r="A176" s="96" t="inlineStr">
        <is>
          <t>PENDENTE</t>
        </is>
      </c>
      <c r="B176" s="26" t="inlineStr">
        <is>
          <t>RIACHUELO</t>
        </is>
      </c>
      <c r="C176" s="27" t="n">
        <v>172</v>
      </c>
      <c r="D176" s="26" t="inlineStr">
        <is>
          <t>METROPOLITAN GARDEN SHOP</t>
        </is>
      </c>
      <c r="E176" s="26" t="inlineStr">
        <is>
          <t>BETIM</t>
        </is>
      </c>
      <c r="F176" s="27" t="inlineStr">
        <is>
          <t>MG</t>
        </is>
      </c>
      <c r="G176" s="107" t="n">
        <v>46235</v>
      </c>
      <c r="H176" s="108">
        <f>IF($B176="","",SUM($K176:$AG176)+SUM($AS176:$BB176))</f>
        <v/>
      </c>
      <c r="I176" s="108">
        <f>IF($B176="","",SUM($AH176:$AL176))</f>
        <v/>
      </c>
      <c r="J176" s="109">
        <f>IF($B176="","",SUMPRODUCT($K176:$BB176,$K$2:$BB$2))</f>
        <v/>
      </c>
      <c r="K176" s="110" t="n">
        <v>1</v>
      </c>
      <c r="L176" s="110" t="n"/>
      <c r="M176" s="110" t="n"/>
      <c r="N176" s="110" t="n">
        <v>2</v>
      </c>
      <c r="O176" s="110" t="n"/>
      <c r="P176" s="110" t="n"/>
      <c r="Q176" s="110" t="n"/>
      <c r="R176" s="110" t="n"/>
      <c r="S176" s="110" t="n"/>
      <c r="T176" s="110" t="n"/>
      <c r="U176" s="110" t="n">
        <v>11</v>
      </c>
      <c r="V176" s="110" t="n"/>
      <c r="W176" s="110" t="n"/>
      <c r="X176" s="110" t="n"/>
      <c r="Y176" s="110" t="n"/>
      <c r="Z176" s="110" t="n"/>
      <c r="AA176" s="110" t="n">
        <v>9</v>
      </c>
      <c r="AB176" s="110" t="n"/>
      <c r="AC176" s="110" t="n"/>
      <c r="AD176" s="110" t="n"/>
      <c r="AE176" s="110" t="n"/>
      <c r="AF176" s="110" t="n"/>
      <c r="AG176" s="110" t="n"/>
      <c r="AH176" s="110" t="n">
        <v>20</v>
      </c>
      <c r="AI176" s="110" t="n"/>
      <c r="AJ176" s="110" t="n"/>
      <c r="AK176" s="110" t="n"/>
      <c r="AL176" s="110" t="n"/>
      <c r="AM176" s="110" t="n"/>
      <c r="AN176" s="110" t="n"/>
      <c r="AO176" s="110" t="n"/>
      <c r="AP176" s="110" t="n"/>
      <c r="AQ176" s="110" t="n"/>
      <c r="AR176" s="110" t="n"/>
      <c r="AS176" s="110" t="n"/>
      <c r="AT176" s="110" t="n"/>
      <c r="AU176" s="110" t="n"/>
      <c r="AV176" s="110" t="n"/>
      <c r="AW176" s="110" t="n"/>
      <c r="AX176" s="110" t="n"/>
      <c r="AY176" s="110" t="n"/>
      <c r="AZ176" s="110" t="n"/>
      <c r="BA176" s="110" t="n"/>
      <c r="BB176" s="110" t="n"/>
      <c r="BC176" t="inlineStr">
        <is>
          <t>ORIGINAL</t>
        </is>
      </c>
      <c r="BD176" t="n">
        <v>167</v>
      </c>
      <c r="BF176" s="109">
        <f>IF($BD176="","",SUMIF($BD$6:$BD$2000,$BD176,$J$6:$J$2000))</f>
        <v/>
      </c>
    </row>
    <row r="177" ht="19.5" customHeight="1">
      <c r="A177" s="96" t="inlineStr">
        <is>
          <t>PENDENTE</t>
        </is>
      </c>
      <c r="B177" s="26" t="inlineStr">
        <is>
          <t>RIACHUELO</t>
        </is>
      </c>
      <c r="C177" s="27" t="n">
        <v>173</v>
      </c>
      <c r="D177" s="26" t="inlineStr">
        <is>
          <t>CAMPO GRANDE PARK SH</t>
        </is>
      </c>
      <c r="E177" s="26" t="inlineStr">
        <is>
          <t>RIO DE JANEIRO</t>
        </is>
      </c>
      <c r="F177" s="27" t="inlineStr">
        <is>
          <t>RJ</t>
        </is>
      </c>
      <c r="G177" s="107" t="n">
        <v>46143</v>
      </c>
      <c r="H177" s="108">
        <f>IF($B177="","",SUM($K177:$AG177)+SUM($AS177:$BB177))</f>
        <v/>
      </c>
      <c r="I177" s="108">
        <f>IF($B177="","",SUM($AH177:$AL177))</f>
        <v/>
      </c>
      <c r="J177" s="109">
        <f>IF($B177="","",SUMPRODUCT($K177:$BB177,$K$2:$BB$2))</f>
        <v/>
      </c>
      <c r="K177" s="110" t="n">
        <v>11</v>
      </c>
      <c r="L177" s="110" t="n"/>
      <c r="M177" s="110" t="n">
        <v>3</v>
      </c>
      <c r="N177" s="110" t="n">
        <v>1</v>
      </c>
      <c r="O177" s="110" t="n"/>
      <c r="P177" s="110" t="n"/>
      <c r="Q177" s="110" t="n"/>
      <c r="R177" s="110" t="n"/>
      <c r="S177" s="110" t="n"/>
      <c r="T177" s="110" t="n"/>
      <c r="U177" s="110" t="n"/>
      <c r="V177" s="110" t="n"/>
      <c r="W177" s="110" t="n"/>
      <c r="X177" s="110" t="n"/>
      <c r="Y177" s="110" t="n"/>
      <c r="Z177" s="110" t="n"/>
      <c r="AA177" s="110" t="n">
        <v>9</v>
      </c>
      <c r="AB177" s="110" t="n"/>
      <c r="AC177" s="110" t="n"/>
      <c r="AD177" s="110" t="n"/>
      <c r="AE177" s="110" t="n"/>
      <c r="AF177" s="110" t="n"/>
      <c r="AG177" s="110" t="n"/>
      <c r="AH177" s="110" t="n">
        <v>28</v>
      </c>
      <c r="AI177" s="110" t="n"/>
      <c r="AJ177" s="110" t="n"/>
      <c r="AK177" s="110" t="n"/>
      <c r="AL177" s="110" t="n"/>
      <c r="AM177" s="110" t="n"/>
      <c r="AN177" s="110" t="n"/>
      <c r="AO177" s="110" t="n"/>
      <c r="AP177" s="110" t="n"/>
      <c r="AQ177" s="110" t="n"/>
      <c r="AR177" s="110" t="n"/>
      <c r="AS177" s="110" t="n"/>
      <c r="AT177" s="110" t="n"/>
      <c r="AU177" s="110" t="n"/>
      <c r="AV177" s="110" t="n"/>
      <c r="AW177" s="110" t="n"/>
      <c r="AX177" s="110" t="n"/>
      <c r="AY177" s="110" t="n"/>
      <c r="AZ177" s="110" t="n"/>
      <c r="BA177" s="110" t="n"/>
      <c r="BB177" s="110" t="n"/>
      <c r="BC177" t="inlineStr">
        <is>
          <t>ORIGINAL</t>
        </is>
      </c>
      <c r="BD177" t="n">
        <v>168</v>
      </c>
      <c r="BF177" s="109">
        <f>IF($BD177="","",SUMIF($BD$6:$BD$2000,$BD177,$J$6:$J$2000))</f>
        <v/>
      </c>
    </row>
    <row r="178" ht="19.5" customHeight="1">
      <c r="A178" s="96" t="inlineStr">
        <is>
          <t>PENDENTE</t>
        </is>
      </c>
      <c r="B178" s="26" t="inlineStr">
        <is>
          <t>RIACHUELO</t>
        </is>
      </c>
      <c r="C178" s="27" t="n">
        <v>175</v>
      </c>
      <c r="D178" s="26" t="inlineStr">
        <is>
          <t>SOBRAL SH</t>
        </is>
      </c>
      <c r="E178" s="26" t="inlineStr">
        <is>
          <t>SOBRAL</t>
        </is>
      </c>
      <c r="F178" s="27" t="inlineStr">
        <is>
          <t>CE</t>
        </is>
      </c>
      <c r="G178" s="107" t="n">
        <v>46235</v>
      </c>
      <c r="H178" s="108">
        <f>IF($B178="","",SUM($K178:$AG178)+SUM($AS178:$BB178))</f>
        <v/>
      </c>
      <c r="I178" s="108">
        <f>IF($B178="","",SUM($AH178:$AL178))</f>
        <v/>
      </c>
      <c r="J178" s="109">
        <f>IF($B178="","",SUMPRODUCT($K178:$BB178,$K$2:$BB$2))</f>
        <v/>
      </c>
      <c r="K178" s="110" t="n">
        <v>5</v>
      </c>
      <c r="L178" s="110" t="n"/>
      <c r="M178" s="110" t="n"/>
      <c r="N178" s="110" t="n"/>
      <c r="O178" s="110" t="n"/>
      <c r="P178" s="110" t="n"/>
      <c r="Q178" s="110" t="n"/>
      <c r="R178" s="110" t="n"/>
      <c r="S178" s="110" t="n"/>
      <c r="T178" s="110" t="n"/>
      <c r="U178" s="110" t="n">
        <v>10</v>
      </c>
      <c r="V178" s="110" t="n"/>
      <c r="W178" s="110" t="n"/>
      <c r="X178" s="110" t="n"/>
      <c r="Y178" s="110" t="n"/>
      <c r="Z178" s="110" t="n"/>
      <c r="AA178" s="110" t="n">
        <v>1</v>
      </c>
      <c r="AB178" s="110" t="n"/>
      <c r="AC178" s="110" t="n"/>
      <c r="AD178" s="110" t="n"/>
      <c r="AE178" s="110" t="n"/>
      <c r="AF178" s="110" t="n"/>
      <c r="AG178" s="110" t="n"/>
      <c r="AH178" s="110" t="n">
        <v>10</v>
      </c>
      <c r="AI178" s="110" t="n"/>
      <c r="AJ178" s="110" t="n"/>
      <c r="AK178" s="110" t="n"/>
      <c r="AL178" s="110" t="n"/>
      <c r="AM178" s="110" t="n"/>
      <c r="AN178" s="110" t="n"/>
      <c r="AO178" s="110" t="n"/>
      <c r="AP178" s="110" t="n"/>
      <c r="AQ178" s="110" t="n"/>
      <c r="AR178" s="110" t="n"/>
      <c r="AS178" s="110" t="n"/>
      <c r="AT178" s="110" t="n"/>
      <c r="AU178" s="110" t="n"/>
      <c r="AV178" s="110" t="n"/>
      <c r="AW178" s="110" t="n"/>
      <c r="AX178" s="110" t="n"/>
      <c r="AY178" s="110" t="n"/>
      <c r="AZ178" s="110" t="n"/>
      <c r="BA178" s="110" t="n"/>
      <c r="BB178" s="110" t="n"/>
      <c r="BC178" t="inlineStr">
        <is>
          <t>ORIGINAL</t>
        </is>
      </c>
      <c r="BD178" t="n">
        <v>169</v>
      </c>
      <c r="BF178" s="109">
        <f>IF($BD178="","",SUMIF($BD$6:$BD$2000,$BD178,$J$6:$J$2000))</f>
        <v/>
      </c>
    </row>
    <row r="179" ht="19.5" customHeight="1">
      <c r="A179" s="96" t="inlineStr">
        <is>
          <t>PENDENTE</t>
        </is>
      </c>
      <c r="B179" s="26" t="inlineStr">
        <is>
          <t>RIACHUELO</t>
        </is>
      </c>
      <c r="C179" s="27" t="n">
        <v>176</v>
      </c>
      <c r="D179" s="26" t="inlineStr">
        <is>
          <t>RECIFE RIOMAR SH</t>
        </is>
      </c>
      <c r="E179" s="26" t="inlineStr">
        <is>
          <t>RECIFE</t>
        </is>
      </c>
      <c r="F179" s="27" t="inlineStr">
        <is>
          <t>PE</t>
        </is>
      </c>
      <c r="G179" s="107" t="n">
        <v>46266</v>
      </c>
      <c r="H179" s="108">
        <f>IF($B179="","",SUM($K179:$AG179)+SUM($AS179:$BB179))</f>
        <v/>
      </c>
      <c r="I179" s="108">
        <f>IF($B179="","",SUM($AH179:$AL179))</f>
        <v/>
      </c>
      <c r="J179" s="109">
        <f>IF($B179="","",SUMPRODUCT($K179:$BB179,$K$2:$BB$2))</f>
        <v/>
      </c>
      <c r="K179" s="110" t="n">
        <v>7</v>
      </c>
      <c r="L179" s="110" t="n"/>
      <c r="M179" s="110" t="n"/>
      <c r="N179" s="110" t="n">
        <v>6</v>
      </c>
      <c r="O179" s="110" t="n"/>
      <c r="P179" s="110" t="n">
        <v>2</v>
      </c>
      <c r="Q179" s="110" t="n"/>
      <c r="R179" s="110" t="n"/>
      <c r="S179" s="110" t="n"/>
      <c r="T179" s="110" t="n"/>
      <c r="U179" s="110" t="n">
        <v>5</v>
      </c>
      <c r="V179" s="110" t="n"/>
      <c r="W179" s="110" t="n"/>
      <c r="X179" s="110" t="n"/>
      <c r="Y179" s="110" t="n"/>
      <c r="Z179" s="110" t="n"/>
      <c r="AA179" s="110" t="n">
        <v>5</v>
      </c>
      <c r="AB179" s="110" t="n"/>
      <c r="AC179" s="110" t="n"/>
      <c r="AD179" s="110" t="n"/>
      <c r="AE179" s="110" t="n"/>
      <c r="AF179" s="110" t="n"/>
      <c r="AG179" s="110" t="n"/>
      <c r="AH179" s="110" t="n">
        <v>24</v>
      </c>
      <c r="AI179" s="110" t="n"/>
      <c r="AJ179" s="110" t="n"/>
      <c r="AK179" s="110" t="n"/>
      <c r="AL179" s="110" t="n"/>
      <c r="AM179" s="110" t="n"/>
      <c r="AN179" s="110" t="n"/>
      <c r="AO179" s="110" t="n"/>
      <c r="AP179" s="110" t="n"/>
      <c r="AQ179" s="110" t="n"/>
      <c r="AR179" s="110" t="n"/>
      <c r="AS179" s="110" t="n"/>
      <c r="AT179" s="110" t="n"/>
      <c r="AU179" s="110" t="n"/>
      <c r="AV179" s="110" t="n"/>
      <c r="AW179" s="110" t="n"/>
      <c r="AX179" s="110" t="n"/>
      <c r="AY179" s="110" t="n"/>
      <c r="AZ179" s="110" t="n"/>
      <c r="BA179" s="110" t="n"/>
      <c r="BB179" s="110" t="n"/>
      <c r="BC179" t="inlineStr">
        <is>
          <t>ORIGINAL</t>
        </is>
      </c>
      <c r="BD179" t="n">
        <v>170</v>
      </c>
      <c r="BF179" s="109">
        <f>IF($BD179="","",SUMIF($BD$6:$BD$2000,$BD179,$J$6:$J$2000))</f>
        <v/>
      </c>
    </row>
    <row r="180" ht="19.5" customHeight="1">
      <c r="A180" s="96" t="inlineStr">
        <is>
          <t>PENDENTE</t>
        </is>
      </c>
      <c r="B180" s="26" t="inlineStr">
        <is>
          <t>RIACHUELO</t>
        </is>
      </c>
      <c r="C180" s="27" t="n">
        <v>177</v>
      </c>
      <c r="D180" s="26" t="inlineStr">
        <is>
          <t>TERESINA SHOPPING</t>
        </is>
      </c>
      <c r="E180" s="26" t="inlineStr">
        <is>
          <t>TERESINA</t>
        </is>
      </c>
      <c r="F180" s="27" t="inlineStr">
        <is>
          <t>PI</t>
        </is>
      </c>
      <c r="G180" s="107" t="n">
        <v>46142</v>
      </c>
      <c r="H180" s="108">
        <f>IF($B180="","",SUM($K180:$AG180)+SUM($AS180:$BB180))</f>
        <v/>
      </c>
      <c r="I180" s="108">
        <f>IF($B180="","",SUM($AH180:$AL180))</f>
        <v/>
      </c>
      <c r="J180" s="109">
        <f>IF($B180="","",SUMPRODUCT($K180:$BB180,$K$2:$BB$2))</f>
        <v/>
      </c>
      <c r="K180" s="110" t="n">
        <v>1</v>
      </c>
      <c r="L180" s="110" t="n"/>
      <c r="M180" s="110" t="n"/>
      <c r="N180" s="110" t="n"/>
      <c r="O180" s="110" t="n"/>
      <c r="P180" s="110" t="n">
        <v>2</v>
      </c>
      <c r="Q180" s="110" t="n"/>
      <c r="R180" s="110" t="n"/>
      <c r="S180" s="110" t="n"/>
      <c r="T180" s="110" t="n"/>
      <c r="U180" s="110" t="n">
        <v>15</v>
      </c>
      <c r="V180" s="110" t="n"/>
      <c r="W180" s="110" t="n"/>
      <c r="X180" s="110" t="n"/>
      <c r="Y180" s="110" t="n"/>
      <c r="Z180" s="110" t="n"/>
      <c r="AA180" s="110" t="n">
        <v>8</v>
      </c>
      <c r="AB180" s="110" t="n"/>
      <c r="AC180" s="110" t="n"/>
      <c r="AD180" s="110" t="n"/>
      <c r="AE180" s="110" t="n"/>
      <c r="AF180" s="110" t="n"/>
      <c r="AG180" s="110" t="n"/>
      <c r="AH180" s="110" t="n">
        <v>28</v>
      </c>
      <c r="AI180" s="110" t="n"/>
      <c r="AJ180" s="110" t="n"/>
      <c r="AK180" s="110" t="n"/>
      <c r="AL180" s="110" t="n"/>
      <c r="AM180" s="110" t="n"/>
      <c r="AN180" s="110" t="n"/>
      <c r="AO180" s="110" t="n"/>
      <c r="AP180" s="110" t="n"/>
      <c r="AQ180" s="110" t="n"/>
      <c r="AR180" s="110" t="n"/>
      <c r="AS180" s="110" t="n"/>
      <c r="AT180" s="110" t="n"/>
      <c r="AU180" s="110" t="n"/>
      <c r="AV180" s="110" t="n"/>
      <c r="AW180" s="110" t="n"/>
      <c r="AX180" s="110" t="n"/>
      <c r="AY180" s="110" t="n"/>
      <c r="AZ180" s="110" t="n"/>
      <c r="BA180" s="110" t="n"/>
      <c r="BB180" s="110" t="n"/>
      <c r="BC180" t="inlineStr">
        <is>
          <t>ORIGINAL</t>
        </is>
      </c>
      <c r="BD180" t="n">
        <v>171</v>
      </c>
      <c r="BF180" s="109">
        <f>IF($BD180="","",SUMIF($BD$6:$BD$2000,$BD180,$J$6:$J$2000))</f>
        <v/>
      </c>
    </row>
    <row r="181" ht="19.5" customHeight="1">
      <c r="A181" s="96" t="inlineStr">
        <is>
          <t>PENDENTE</t>
        </is>
      </c>
      <c r="B181" s="26" t="inlineStr">
        <is>
          <t>RIACHUELO</t>
        </is>
      </c>
      <c r="C181" s="27" t="n">
        <v>178</v>
      </c>
      <c r="D181" s="26" t="inlineStr">
        <is>
          <t>SHOPPING BOSQUE DOS IPÊS</t>
        </is>
      </c>
      <c r="E181" s="26" t="inlineStr">
        <is>
          <t>CAMPO GRANDE</t>
        </is>
      </c>
      <c r="F181" s="27" t="inlineStr">
        <is>
          <t>MS</t>
        </is>
      </c>
      <c r="G181" s="107" t="n">
        <v>46235</v>
      </c>
      <c r="H181" s="108">
        <f>IF($B181="","",SUM($K181:$AG181)+SUM($AS181:$BB181))</f>
        <v/>
      </c>
      <c r="I181" s="108">
        <f>IF($B181="","",SUM($AH181:$AL181))</f>
        <v/>
      </c>
      <c r="J181" s="109">
        <f>IF($B181="","",SUMPRODUCT($K181:$BB181,$K$2:$BB$2))</f>
        <v/>
      </c>
      <c r="K181" s="110" t="n">
        <v>7</v>
      </c>
      <c r="L181" s="110" t="n"/>
      <c r="M181" s="110" t="n"/>
      <c r="N181" s="110" t="n"/>
      <c r="O181" s="110" t="n"/>
      <c r="P181" s="110" t="n"/>
      <c r="Q181" s="110" t="n"/>
      <c r="R181" s="110" t="n"/>
      <c r="S181" s="110" t="n"/>
      <c r="T181" s="110" t="n">
        <v>2</v>
      </c>
      <c r="U181" s="110" t="n">
        <v>1</v>
      </c>
      <c r="V181" s="110" t="n"/>
      <c r="W181" s="110" t="n"/>
      <c r="X181" s="110" t="n"/>
      <c r="Y181" s="110" t="n"/>
      <c r="Z181" s="110" t="n"/>
      <c r="AA181" s="110" t="n">
        <v>11</v>
      </c>
      <c r="AB181" s="110" t="n"/>
      <c r="AC181" s="110" t="n"/>
      <c r="AD181" s="110" t="n"/>
      <c r="AE181" s="110" t="n"/>
      <c r="AF181" s="110" t="n"/>
      <c r="AG181" s="110" t="n"/>
      <c r="AH181" s="110" t="n">
        <v>10</v>
      </c>
      <c r="AI181" s="110" t="n"/>
      <c r="AJ181" s="110" t="n"/>
      <c r="AK181" s="110" t="n"/>
      <c r="AL181" s="110" t="n"/>
      <c r="AM181" s="110" t="n"/>
      <c r="AN181" s="110" t="n"/>
      <c r="AO181" s="110" t="n"/>
      <c r="AP181" s="110" t="n"/>
      <c r="AQ181" s="110" t="n"/>
      <c r="AR181" s="110" t="n"/>
      <c r="AS181" s="110" t="n"/>
      <c r="AT181" s="110" t="n"/>
      <c r="AU181" s="110" t="n"/>
      <c r="AV181" s="110" t="n"/>
      <c r="AW181" s="110" t="n"/>
      <c r="AX181" s="110" t="n"/>
      <c r="AY181" s="110" t="n"/>
      <c r="AZ181" s="110" t="n"/>
      <c r="BA181" s="110" t="n"/>
      <c r="BB181" s="110" t="n"/>
      <c r="BC181" t="inlineStr">
        <is>
          <t>ORIGINAL</t>
        </is>
      </c>
      <c r="BD181" t="n">
        <v>172</v>
      </c>
      <c r="BF181" s="109">
        <f>IF($BD181="","",SUMIF($BD$6:$BD$2000,$BD181,$J$6:$J$2000))</f>
        <v/>
      </c>
    </row>
    <row r="182" ht="19.5" customHeight="1">
      <c r="A182" s="96" t="inlineStr">
        <is>
          <t>PENDENTE</t>
        </is>
      </c>
      <c r="B182" s="26" t="inlineStr">
        <is>
          <t>RIACHUELO</t>
        </is>
      </c>
      <c r="C182" s="27" t="n">
        <v>179</v>
      </c>
      <c r="D182" s="26" t="inlineStr">
        <is>
          <t>TAUBATÉ VIA VALE</t>
        </is>
      </c>
      <c r="E182" s="26" t="inlineStr">
        <is>
          <t>TAUBATE</t>
        </is>
      </c>
      <c r="F182" s="27" t="inlineStr">
        <is>
          <t>SP</t>
        </is>
      </c>
      <c r="G182" s="107" t="n">
        <v>46266</v>
      </c>
      <c r="H182" s="108">
        <f>IF($B182="","",SUM($K182:$AG182)+SUM($AS182:$BB182))</f>
        <v/>
      </c>
      <c r="I182" s="108">
        <f>IF($B182="","",SUM($AH182:$AL182))</f>
        <v/>
      </c>
      <c r="J182" s="109">
        <f>IF($B182="","",SUMPRODUCT($K182:$BB182,$K$2:$BB$2))</f>
        <v/>
      </c>
      <c r="K182" s="110" t="n">
        <v>8</v>
      </c>
      <c r="L182" s="110" t="n"/>
      <c r="M182" s="110" t="n">
        <v>7</v>
      </c>
      <c r="N182" s="110" t="n"/>
      <c r="O182" s="110" t="n"/>
      <c r="P182" s="110" t="n"/>
      <c r="Q182" s="110" t="n"/>
      <c r="R182" s="110" t="n"/>
      <c r="S182" s="110" t="n"/>
      <c r="T182" s="110" t="n"/>
      <c r="U182" s="110" t="n"/>
      <c r="V182" s="110" t="n"/>
      <c r="W182" s="110" t="n"/>
      <c r="X182" s="110" t="n"/>
      <c r="Y182" s="110" t="n"/>
      <c r="Z182" s="110" t="n">
        <v>9</v>
      </c>
      <c r="AA182" s="110" t="n"/>
      <c r="AB182" s="110" t="n"/>
      <c r="AC182" s="110" t="n"/>
      <c r="AD182" s="110" t="n"/>
      <c r="AE182" s="110" t="n"/>
      <c r="AF182" s="110" t="n"/>
      <c r="AG182" s="110" t="n"/>
      <c r="AH182" s="110" t="n">
        <v>14</v>
      </c>
      <c r="AI182" s="110" t="n"/>
      <c r="AJ182" s="110" t="n"/>
      <c r="AK182" s="110" t="n"/>
      <c r="AL182" s="110" t="n"/>
      <c r="AM182" s="110" t="n"/>
      <c r="AN182" s="110" t="n"/>
      <c r="AO182" s="110" t="n"/>
      <c r="AP182" s="110" t="n"/>
      <c r="AQ182" s="110" t="n"/>
      <c r="AR182" s="110" t="n"/>
      <c r="AS182" s="110" t="n"/>
      <c r="AT182" s="110" t="n"/>
      <c r="AU182" s="110" t="n"/>
      <c r="AV182" s="110" t="n"/>
      <c r="AW182" s="110" t="n"/>
      <c r="AX182" s="110" t="n"/>
      <c r="AY182" s="110" t="n"/>
      <c r="AZ182" s="110" t="n"/>
      <c r="BA182" s="110" t="n"/>
      <c r="BB182" s="110" t="n"/>
      <c r="BC182" t="inlineStr">
        <is>
          <t>ORIGINAL</t>
        </is>
      </c>
      <c r="BD182" t="n">
        <v>173</v>
      </c>
      <c r="BF182" s="109">
        <f>IF($BD182="","",SUMIF($BD$6:$BD$2000,$BD182,$J$6:$J$2000))</f>
        <v/>
      </c>
    </row>
    <row r="183" ht="19.5" customHeight="1">
      <c r="A183" s="96" t="inlineStr">
        <is>
          <t>PENDENTE</t>
        </is>
      </c>
      <c r="B183" s="26" t="inlineStr">
        <is>
          <t>RIACHUELO</t>
        </is>
      </c>
      <c r="C183" s="27" t="n">
        <v>180</v>
      </c>
      <c r="D183" s="26" t="inlineStr">
        <is>
          <t>CD MANAUS</t>
        </is>
      </c>
      <c r="E183" s="26" t="inlineStr">
        <is>
          <t>MANAUS</t>
        </is>
      </c>
      <c r="F183" s="27" t="inlineStr">
        <is>
          <t>AM</t>
        </is>
      </c>
      <c r="G183" s="107" t="n">
        <v>46142</v>
      </c>
      <c r="H183" s="108">
        <f>IF($B183="","",SUM($K183:$AG183)+SUM($AS183:$BB183))</f>
        <v/>
      </c>
      <c r="I183" s="108">
        <f>IF($B183="","",SUM($AH183:$AL183))</f>
        <v/>
      </c>
      <c r="J183" s="109">
        <f>IF($B183="","",SUMPRODUCT($K183:$BB183,$K$2:$BB$2))</f>
        <v/>
      </c>
      <c r="K183" s="110" t="n">
        <v>24</v>
      </c>
      <c r="L183" s="110" t="n"/>
      <c r="M183" s="110" t="n"/>
      <c r="N183" s="110" t="n">
        <v>24</v>
      </c>
      <c r="O183" s="110" t="n"/>
      <c r="P183" s="110" t="n"/>
      <c r="Q183" s="110" t="n"/>
      <c r="R183" s="110" t="n"/>
      <c r="S183" s="110" t="n"/>
      <c r="T183" s="110" t="n"/>
      <c r="U183" s="110" t="n">
        <v>8</v>
      </c>
      <c r="V183" s="110" t="n"/>
      <c r="W183" s="110" t="n"/>
      <c r="X183" s="110" t="n"/>
      <c r="Y183" s="110" t="n"/>
      <c r="Z183" s="110" t="n"/>
      <c r="AA183" s="110" t="n">
        <v>11</v>
      </c>
      <c r="AB183" s="110" t="n"/>
      <c r="AC183" s="110" t="n"/>
      <c r="AD183" s="110" t="n"/>
      <c r="AE183" s="110" t="n"/>
      <c r="AF183" s="110" t="n"/>
      <c r="AG183" s="110" t="n"/>
      <c r="AH183" s="110" t="n">
        <v>44</v>
      </c>
      <c r="AI183" s="110" t="n"/>
      <c r="AJ183" s="110" t="n"/>
      <c r="AK183" s="110" t="n"/>
      <c r="AL183" s="110" t="n"/>
      <c r="AM183" s="110" t="n"/>
      <c r="AN183" s="110" t="n"/>
      <c r="AO183" s="110" t="n"/>
      <c r="AP183" s="110" t="n"/>
      <c r="AQ183" s="110" t="n"/>
      <c r="AR183" s="110" t="n"/>
      <c r="AS183" s="110" t="n"/>
      <c r="AT183" s="110" t="n"/>
      <c r="AU183" s="110" t="n"/>
      <c r="AV183" s="110" t="n"/>
      <c r="AW183" s="110" t="n"/>
      <c r="AX183" s="110" t="n"/>
      <c r="AY183" s="110" t="n"/>
      <c r="AZ183" s="110" t="n"/>
      <c r="BA183" s="110" t="n"/>
      <c r="BB183" s="110" t="n"/>
      <c r="BC183" t="inlineStr">
        <is>
          <t>ORIGINAL</t>
        </is>
      </c>
      <c r="BD183" t="n">
        <v>174</v>
      </c>
      <c r="BF183" s="109">
        <f>IF($BD183="","",SUMIF($BD$6:$BD$2000,$BD183,$J$6:$J$2000))</f>
        <v/>
      </c>
    </row>
    <row r="184" ht="19.5" customHeight="1">
      <c r="A184" s="96" t="inlineStr">
        <is>
          <t>PENDENTE</t>
        </is>
      </c>
      <c r="B184" s="26" t="inlineStr">
        <is>
          <t>RIACHUELO</t>
        </is>
      </c>
      <c r="C184" s="27" t="n">
        <v>181</v>
      </c>
      <c r="D184" s="26" t="inlineStr">
        <is>
          <t>SHOPPING BURITI MOGI</t>
        </is>
      </c>
      <c r="E184" s="26" t="inlineStr">
        <is>
          <t>MOGI-GUACU</t>
        </is>
      </c>
      <c r="F184" s="27" t="inlineStr">
        <is>
          <t>SP</t>
        </is>
      </c>
      <c r="G184" s="107" t="n">
        <v>46204</v>
      </c>
      <c r="H184" s="108">
        <f>IF($B184="","",SUM($K184:$AG184)+SUM($AS184:$BB184))</f>
        <v/>
      </c>
      <c r="I184" s="108">
        <f>IF($B184="","",SUM($AH184:$AL184))</f>
        <v/>
      </c>
      <c r="J184" s="109">
        <f>IF($B184="","",SUMPRODUCT($K184:$BB184,$K$2:$BB$2))</f>
        <v/>
      </c>
      <c r="K184" s="110" t="n">
        <v>8</v>
      </c>
      <c r="L184" s="110" t="n"/>
      <c r="M184" s="110" t="n"/>
      <c r="N184" s="110" t="n">
        <v>6</v>
      </c>
      <c r="O184" s="110" t="n"/>
      <c r="P184" s="110" t="n"/>
      <c r="Q184" s="110" t="n"/>
      <c r="R184" s="110" t="n"/>
      <c r="S184" s="110" t="n"/>
      <c r="T184" s="110" t="n"/>
      <c r="U184" s="110" t="n"/>
      <c r="V184" s="110" t="n"/>
      <c r="W184" s="110" t="n"/>
      <c r="X184" s="110" t="n"/>
      <c r="Y184" s="110" t="n"/>
      <c r="Z184" s="110" t="n"/>
      <c r="AA184" s="110" t="n">
        <v>5</v>
      </c>
      <c r="AB184" s="110" t="n"/>
      <c r="AC184" s="110" t="n"/>
      <c r="AD184" s="110" t="n"/>
      <c r="AE184" s="110" t="n"/>
      <c r="AF184" s="110" t="n"/>
      <c r="AG184" s="110" t="n"/>
      <c r="AH184" s="110" t="n">
        <v>16</v>
      </c>
      <c r="AI184" s="110" t="n"/>
      <c r="AJ184" s="110" t="n"/>
      <c r="AK184" s="110" t="n"/>
      <c r="AL184" s="110" t="n"/>
      <c r="AM184" s="110" t="n"/>
      <c r="AN184" s="110" t="n"/>
      <c r="AO184" s="110" t="n"/>
      <c r="AP184" s="110" t="n"/>
      <c r="AQ184" s="110" t="n"/>
      <c r="AR184" s="110" t="n"/>
      <c r="AS184" s="110" t="n"/>
      <c r="AT184" s="110" t="n"/>
      <c r="AU184" s="110" t="n"/>
      <c r="AV184" s="110" t="n"/>
      <c r="AW184" s="110" t="n"/>
      <c r="AX184" s="110" t="n"/>
      <c r="AY184" s="110" t="n"/>
      <c r="AZ184" s="110" t="n"/>
      <c r="BA184" s="110" t="n"/>
      <c r="BB184" s="110" t="n"/>
      <c r="BC184" t="inlineStr">
        <is>
          <t>ORIGINAL</t>
        </is>
      </c>
      <c r="BD184" t="n">
        <v>175</v>
      </c>
      <c r="BF184" s="109">
        <f>IF($BD184="","",SUMIF($BD$6:$BD$2000,$BD184,$J$6:$J$2000))</f>
        <v/>
      </c>
    </row>
    <row r="185" ht="19.5" customHeight="1">
      <c r="A185" s="96" t="inlineStr">
        <is>
          <t>PENDENTE</t>
        </is>
      </c>
      <c r="B185" s="26" t="inlineStr">
        <is>
          <t>RIACHUELO</t>
        </is>
      </c>
      <c r="C185" s="27" t="n">
        <v>182</v>
      </c>
      <c r="D185" s="26" t="inlineStr">
        <is>
          <t xml:space="preserve"> PARQUE DOM PEDRO CARTERS</t>
        </is>
      </c>
      <c r="E185" s="26" t="inlineStr">
        <is>
          <t>CAMPINAS</t>
        </is>
      </c>
      <c r="F185" s="27" t="inlineStr">
        <is>
          <t>SP</t>
        </is>
      </c>
      <c r="G185" s="107" t="n">
        <v>46082</v>
      </c>
      <c r="H185" s="108">
        <f>IF($B185="","",SUM($K185:$AG185)+SUM($AS185:$BB185))</f>
        <v/>
      </c>
      <c r="I185" s="108">
        <f>IF($B185="","",SUM($AH185:$AL185))</f>
        <v/>
      </c>
      <c r="J185" s="109">
        <f>IF($B185="","",SUMPRODUCT($K185:$BB185,$K$2:$BB$2))</f>
        <v/>
      </c>
      <c r="K185" s="110" t="n"/>
      <c r="L185" s="110" t="n"/>
      <c r="M185" s="110" t="n"/>
      <c r="N185" s="110" t="n"/>
      <c r="O185" s="110" t="n"/>
      <c r="P185" s="110" t="n"/>
      <c r="Q185" s="110" t="n"/>
      <c r="R185" s="110" t="n"/>
      <c r="S185" s="110" t="n"/>
      <c r="T185" s="110" t="n"/>
      <c r="U185" s="110" t="n">
        <v>3</v>
      </c>
      <c r="V185" s="110" t="n"/>
      <c r="W185" s="110" t="n"/>
      <c r="X185" s="110" t="n"/>
      <c r="Y185" s="110" t="n"/>
      <c r="Z185" s="110" t="n"/>
      <c r="AA185" s="110" t="n"/>
      <c r="AB185" s="110" t="n"/>
      <c r="AC185" s="110" t="n"/>
      <c r="AD185" s="110" t="n"/>
      <c r="AE185" s="110" t="n"/>
      <c r="AF185" s="110" t="n"/>
      <c r="AG185" s="110" t="n"/>
      <c r="AH185" s="110" t="n"/>
      <c r="AI185" s="110" t="n"/>
      <c r="AJ185" s="110" t="n"/>
      <c r="AK185" s="110" t="n"/>
      <c r="AL185" s="110" t="n"/>
      <c r="AM185" s="110" t="n"/>
      <c r="AN185" s="110" t="n"/>
      <c r="AO185" s="110" t="n"/>
      <c r="AP185" s="110" t="n"/>
      <c r="AQ185" s="110" t="n"/>
      <c r="AR185" s="110" t="n"/>
      <c r="AS185" s="110" t="n"/>
      <c r="AT185" s="110" t="n"/>
      <c r="AU185" s="110" t="n"/>
      <c r="AV185" s="110" t="n"/>
      <c r="AW185" s="110" t="n"/>
      <c r="AX185" s="110" t="n"/>
      <c r="AY185" s="110" t="n"/>
      <c r="AZ185" s="110" t="n"/>
      <c r="BA185" s="110" t="n"/>
      <c r="BB185" s="110" t="n"/>
      <c r="BC185" t="inlineStr">
        <is>
          <t>ORIGINAL</t>
        </is>
      </c>
      <c r="BD185" t="n">
        <v>176</v>
      </c>
      <c r="BF185" s="109">
        <f>IF($BD185="","",SUMIF($BD$6:$BD$2000,$BD185,$J$6:$J$2000))</f>
        <v/>
      </c>
    </row>
    <row r="186" ht="19.5" customHeight="1">
      <c r="A186" s="96" t="inlineStr">
        <is>
          <t>PENDENTE</t>
        </is>
      </c>
      <c r="B186" s="26" t="inlineStr">
        <is>
          <t>RIACHUELO</t>
        </is>
      </c>
      <c r="C186" s="27" t="n">
        <v>183</v>
      </c>
      <c r="D186" s="26" t="inlineStr">
        <is>
          <t>SHOPPING NAÇÕES</t>
        </is>
      </c>
      <c r="E186" s="26" t="inlineStr">
        <is>
          <t>BAURU</t>
        </is>
      </c>
      <c r="F186" s="27" t="inlineStr">
        <is>
          <t>SP</t>
        </is>
      </c>
      <c r="G186" s="107" t="n">
        <v>46204</v>
      </c>
      <c r="H186" s="108">
        <f>IF($B186="","",SUM($K186:$AG186)+SUM($AS186:$BB186))</f>
        <v/>
      </c>
      <c r="I186" s="108">
        <f>IF($B186="","",SUM($AH186:$AL186))</f>
        <v/>
      </c>
      <c r="J186" s="109">
        <f>IF($B186="","",SUMPRODUCT($K186:$BB186,$K$2:$BB$2))</f>
        <v/>
      </c>
      <c r="K186" s="110" t="n">
        <v>5</v>
      </c>
      <c r="L186" s="110" t="n"/>
      <c r="M186" s="110" t="n">
        <v>5</v>
      </c>
      <c r="N186" s="110" t="n"/>
      <c r="O186" s="110" t="n"/>
      <c r="P186" s="110" t="n"/>
      <c r="Q186" s="110" t="n"/>
      <c r="R186" s="110" t="n"/>
      <c r="S186" s="110" t="n"/>
      <c r="T186" s="110" t="n"/>
      <c r="U186" s="110" t="n"/>
      <c r="V186" s="110" t="n"/>
      <c r="W186" s="110" t="n"/>
      <c r="X186" s="110" t="n"/>
      <c r="Y186" s="110" t="n"/>
      <c r="Z186" s="110" t="n"/>
      <c r="AA186" s="110" t="n">
        <v>7</v>
      </c>
      <c r="AB186" s="110" t="n"/>
      <c r="AC186" s="110" t="n"/>
      <c r="AD186" s="110" t="n"/>
      <c r="AE186" s="110" t="n"/>
      <c r="AF186" s="110" t="n"/>
      <c r="AG186" s="110" t="n"/>
      <c r="AH186" s="110" t="n">
        <v>6</v>
      </c>
      <c r="AI186" s="110" t="n"/>
      <c r="AJ186" s="110" t="n"/>
      <c r="AK186" s="110" t="n"/>
      <c r="AL186" s="110" t="n"/>
      <c r="AM186" s="110" t="n"/>
      <c r="AN186" s="110" t="n"/>
      <c r="AO186" s="110" t="n"/>
      <c r="AP186" s="110" t="n"/>
      <c r="AQ186" s="110" t="n"/>
      <c r="AR186" s="110" t="n"/>
      <c r="AS186" s="110" t="n"/>
      <c r="AT186" s="110" t="n"/>
      <c r="AU186" s="110" t="n"/>
      <c r="AV186" s="110" t="n"/>
      <c r="AW186" s="110" t="n"/>
      <c r="AX186" s="110" t="n"/>
      <c r="AY186" s="110" t="n"/>
      <c r="AZ186" s="110" t="n"/>
      <c r="BA186" s="110" t="n"/>
      <c r="BB186" s="110" t="n"/>
      <c r="BC186" t="inlineStr">
        <is>
          <t>ORIGINAL</t>
        </is>
      </c>
      <c r="BD186" t="n">
        <v>177</v>
      </c>
      <c r="BF186" s="109">
        <f>IF($BD186="","",SUMIF($BD$6:$BD$2000,$BD186,$J$6:$J$2000))</f>
        <v/>
      </c>
    </row>
    <row r="187" ht="19.5" customHeight="1">
      <c r="A187" s="96" t="inlineStr">
        <is>
          <t>PENDENTE</t>
        </is>
      </c>
      <c r="B187" s="26" t="inlineStr">
        <is>
          <t>RIACHUELO</t>
        </is>
      </c>
      <c r="C187" s="27" t="n">
        <v>184</v>
      </c>
      <c r="D187" s="26" t="inlineStr">
        <is>
          <t>SHOPPING PIRACICABA</t>
        </is>
      </c>
      <c r="E187" s="26" t="inlineStr">
        <is>
          <t>PIRACICABA</t>
        </is>
      </c>
      <c r="F187" s="27" t="inlineStr">
        <is>
          <t>SP</t>
        </is>
      </c>
      <c r="G187" s="107" t="n">
        <v>46266</v>
      </c>
      <c r="H187" s="108">
        <f>IF($B187="","",SUM($K187:$AG187)+SUM($AS187:$BB187))</f>
        <v/>
      </c>
      <c r="I187" s="108">
        <f>IF($B187="","",SUM($AH187:$AL187))</f>
        <v/>
      </c>
      <c r="J187" s="109">
        <f>IF($B187="","",SUMPRODUCT($K187:$BB187,$K$2:$BB$2))</f>
        <v/>
      </c>
      <c r="K187" s="110" t="n">
        <v>15</v>
      </c>
      <c r="L187" s="110" t="n"/>
      <c r="M187" s="110" t="n"/>
      <c r="N187" s="110" t="n"/>
      <c r="O187" s="110" t="n"/>
      <c r="P187" s="110" t="n"/>
      <c r="Q187" s="110" t="n"/>
      <c r="R187" s="110" t="n"/>
      <c r="S187" s="110" t="n"/>
      <c r="T187" s="110" t="n"/>
      <c r="U187" s="110" t="n">
        <v>1</v>
      </c>
      <c r="V187" s="110" t="n"/>
      <c r="W187" s="110" t="n"/>
      <c r="X187" s="110" t="n"/>
      <c r="Y187" s="110" t="n"/>
      <c r="Z187" s="110" t="n"/>
      <c r="AA187" s="110" t="n">
        <v>11</v>
      </c>
      <c r="AB187" s="110" t="n"/>
      <c r="AC187" s="110" t="n"/>
      <c r="AD187" s="110" t="n"/>
      <c r="AE187" s="110" t="n"/>
      <c r="AF187" s="110" t="n"/>
      <c r="AG187" s="110" t="n"/>
      <c r="AH187" s="110" t="n">
        <v>10</v>
      </c>
      <c r="AI187" s="110" t="n"/>
      <c r="AJ187" s="110" t="n"/>
      <c r="AK187" s="110" t="n"/>
      <c r="AL187" s="110" t="n"/>
      <c r="AM187" s="110" t="n"/>
      <c r="AN187" s="110" t="n"/>
      <c r="AO187" s="110" t="n"/>
      <c r="AP187" s="110" t="n"/>
      <c r="AQ187" s="110" t="n"/>
      <c r="AR187" s="110" t="n"/>
      <c r="AS187" s="110" t="n"/>
      <c r="AT187" s="110" t="n"/>
      <c r="AU187" s="110" t="n"/>
      <c r="AV187" s="110" t="n"/>
      <c r="AW187" s="110" t="n"/>
      <c r="AX187" s="110" t="n"/>
      <c r="AY187" s="110" t="n"/>
      <c r="AZ187" s="110" t="n"/>
      <c r="BA187" s="110" t="n"/>
      <c r="BB187" s="110" t="n"/>
      <c r="BC187" t="inlineStr">
        <is>
          <t>ORIGINAL</t>
        </is>
      </c>
      <c r="BD187" t="n">
        <v>178</v>
      </c>
      <c r="BF187" s="109">
        <f>IF($BD187="","",SUMIF($BD$6:$BD$2000,$BD187,$J$6:$J$2000))</f>
        <v/>
      </c>
    </row>
    <row r="188" ht="19.5" customHeight="1">
      <c r="A188" s="96" t="inlineStr">
        <is>
          <t>PENDENTE</t>
        </is>
      </c>
      <c r="B188" s="26" t="inlineStr">
        <is>
          <t>RIACHUELO</t>
        </is>
      </c>
      <c r="C188" s="27" t="n">
        <v>185</v>
      </c>
      <c r="D188" s="26" t="inlineStr">
        <is>
          <t>SHOPPING RIBEIRÃO</t>
        </is>
      </c>
      <c r="E188" s="26" t="inlineStr">
        <is>
          <t>RIBEIRAO PRETO</t>
        </is>
      </c>
      <c r="F188" s="27" t="inlineStr">
        <is>
          <t>SP</t>
        </is>
      </c>
      <c r="G188" s="107" t="n">
        <v>46143</v>
      </c>
      <c r="H188" s="108">
        <f>IF($B188="","",SUM($K188:$AG188)+SUM($AS188:$BB188))</f>
        <v/>
      </c>
      <c r="I188" s="108">
        <f>IF($B188="","",SUM($AH188:$AL188))</f>
        <v/>
      </c>
      <c r="J188" s="109">
        <f>IF($B188="","",SUMPRODUCT($K188:$BB188,$K$2:$BB$2))</f>
        <v/>
      </c>
      <c r="K188" s="110" t="n">
        <v>12</v>
      </c>
      <c r="L188" s="110" t="n"/>
      <c r="M188" s="110" t="n">
        <v>3</v>
      </c>
      <c r="N188" s="110" t="n"/>
      <c r="O188" s="110" t="n"/>
      <c r="P188" s="110" t="n"/>
      <c r="Q188" s="110" t="n"/>
      <c r="R188" s="110" t="n"/>
      <c r="S188" s="110" t="n"/>
      <c r="T188" s="110" t="n"/>
      <c r="U188" s="110" t="n"/>
      <c r="V188" s="110" t="n"/>
      <c r="W188" s="110" t="n"/>
      <c r="X188" s="110" t="n"/>
      <c r="Y188" s="110" t="n"/>
      <c r="Z188" s="110" t="n"/>
      <c r="AA188" s="110" t="n">
        <v>10</v>
      </c>
      <c r="AB188" s="110" t="n"/>
      <c r="AC188" s="110" t="n"/>
      <c r="AD188" s="110" t="n"/>
      <c r="AE188" s="110" t="n"/>
      <c r="AF188" s="110" t="n"/>
      <c r="AG188" s="110" t="n"/>
      <c r="AH188" s="110" t="n">
        <v>8</v>
      </c>
      <c r="AI188" s="110" t="n"/>
      <c r="AJ188" s="110" t="n"/>
      <c r="AK188" s="110" t="n"/>
      <c r="AL188" s="110" t="n"/>
      <c r="AM188" s="110" t="n"/>
      <c r="AN188" s="110" t="n"/>
      <c r="AO188" s="110" t="n"/>
      <c r="AP188" s="110" t="n"/>
      <c r="AQ188" s="110" t="n"/>
      <c r="AR188" s="110" t="n"/>
      <c r="AS188" s="110" t="n"/>
      <c r="AT188" s="110" t="n"/>
      <c r="AU188" s="110" t="n"/>
      <c r="AV188" s="110" t="n"/>
      <c r="AW188" s="110" t="n"/>
      <c r="AX188" s="110" t="n"/>
      <c r="AY188" s="110" t="n"/>
      <c r="AZ188" s="110" t="n"/>
      <c r="BA188" s="110" t="n"/>
      <c r="BB188" s="110" t="n"/>
      <c r="BC188" t="inlineStr">
        <is>
          <t>ORIGINAL</t>
        </is>
      </c>
      <c r="BD188" t="n">
        <v>179</v>
      </c>
      <c r="BF188" s="109">
        <f>IF($BD188="","",SUMIF($BD$6:$BD$2000,$BD188,$J$6:$J$2000))</f>
        <v/>
      </c>
    </row>
    <row r="189" ht="19.5" customHeight="1">
      <c r="A189" s="96" t="inlineStr">
        <is>
          <t>PENDENTE</t>
        </is>
      </c>
      <c r="B189" s="26" t="inlineStr">
        <is>
          <t>RIACHUELO</t>
        </is>
      </c>
      <c r="C189" s="27" t="n">
        <v>186</v>
      </c>
      <c r="D189" s="26" t="inlineStr">
        <is>
          <t>PÁTIO CIANÊ SHOPPING</t>
        </is>
      </c>
      <c r="E189" s="26" t="inlineStr">
        <is>
          <t>SOROCABA</t>
        </is>
      </c>
      <c r="F189" s="27" t="inlineStr">
        <is>
          <t>SP</t>
        </is>
      </c>
      <c r="G189" s="107" t="n">
        <v>46296</v>
      </c>
      <c r="H189" s="108">
        <f>IF($B189="","",SUM($K189:$AG189)+SUM($AS189:$BB189))</f>
        <v/>
      </c>
      <c r="I189" s="108">
        <f>IF($B189="","",SUM($AH189:$AL189))</f>
        <v/>
      </c>
      <c r="J189" s="109">
        <f>IF($B189="","",SUMPRODUCT($K189:$BB189,$K$2:$BB$2))</f>
        <v/>
      </c>
      <c r="K189" s="110" t="n">
        <v>16</v>
      </c>
      <c r="L189" s="110" t="n"/>
      <c r="M189" s="110" t="n"/>
      <c r="N189" s="110" t="n"/>
      <c r="O189" s="110" t="n"/>
      <c r="P189" s="110" t="n"/>
      <c r="Q189" s="110" t="n"/>
      <c r="R189" s="110" t="n"/>
      <c r="S189" s="110" t="n"/>
      <c r="T189" s="110" t="n"/>
      <c r="U189" s="110" t="n"/>
      <c r="V189" s="110" t="n"/>
      <c r="W189" s="110" t="n"/>
      <c r="X189" s="110" t="n"/>
      <c r="Y189" s="110" t="n"/>
      <c r="Z189" s="110" t="n"/>
      <c r="AA189" s="110" t="n">
        <v>12</v>
      </c>
      <c r="AB189" s="110" t="n"/>
      <c r="AC189" s="110" t="n"/>
      <c r="AD189" s="110" t="n"/>
      <c r="AE189" s="110" t="n"/>
      <c r="AF189" s="110" t="n"/>
      <c r="AG189" s="110" t="n"/>
      <c r="AH189" s="110" t="n">
        <v>16</v>
      </c>
      <c r="AI189" s="110" t="n"/>
      <c r="AJ189" s="110" t="n"/>
      <c r="AK189" s="110" t="n"/>
      <c r="AL189" s="110" t="n"/>
      <c r="AM189" s="110" t="n"/>
      <c r="AN189" s="110" t="n"/>
      <c r="AO189" s="110" t="n"/>
      <c r="AP189" s="110" t="n"/>
      <c r="AQ189" s="110" t="n"/>
      <c r="AR189" s="110" t="n"/>
      <c r="AS189" s="110" t="n"/>
      <c r="AT189" s="110" t="n"/>
      <c r="AU189" s="110" t="n"/>
      <c r="AV189" s="110" t="n"/>
      <c r="AW189" s="110" t="n"/>
      <c r="AX189" s="110" t="n"/>
      <c r="AY189" s="110" t="n"/>
      <c r="AZ189" s="110" t="n"/>
      <c r="BA189" s="110" t="n"/>
      <c r="BB189" s="110" t="n"/>
      <c r="BC189" t="inlineStr">
        <is>
          <t>ORIGINAL</t>
        </is>
      </c>
      <c r="BD189" t="n">
        <v>180</v>
      </c>
      <c r="BF189" s="109">
        <f>IF($BD189="","",SUMIF($BD$6:$BD$2000,$BD189,$J$6:$J$2000))</f>
        <v/>
      </c>
    </row>
    <row r="190" ht="19.5" customHeight="1">
      <c r="A190" s="96" t="inlineStr">
        <is>
          <t>PENDENTE</t>
        </is>
      </c>
      <c r="B190" s="26" t="inlineStr">
        <is>
          <t>RIACHUELO</t>
        </is>
      </c>
      <c r="C190" s="27" t="n">
        <v>187</v>
      </c>
      <c r="D190" s="26" t="inlineStr">
        <is>
          <t>SHOPPING VILA OLÍMPIA</t>
        </is>
      </c>
      <c r="E190" s="26" t="inlineStr">
        <is>
          <t>SÃO PAULO</t>
        </is>
      </c>
      <c r="F190" s="27" t="inlineStr">
        <is>
          <t>SP</t>
        </is>
      </c>
      <c r="G190" s="107" t="n">
        <v>46082</v>
      </c>
      <c r="H190" s="108">
        <f>IF($B190="","",SUM($K190:$AG190)+SUM($AS190:$BB190))</f>
        <v/>
      </c>
      <c r="I190" s="108">
        <f>IF($B190="","",SUM($AH190:$AL190))</f>
        <v/>
      </c>
      <c r="J190" s="109">
        <f>IF($B190="","",SUMPRODUCT($K190:$BB190,$K$2:$BB$2))</f>
        <v/>
      </c>
      <c r="K190" s="110" t="n">
        <v>9</v>
      </c>
      <c r="L190" s="110" t="n"/>
      <c r="M190" s="110" t="n"/>
      <c r="N190" s="110" t="n">
        <v>5</v>
      </c>
      <c r="O190" s="110" t="n"/>
      <c r="P190" s="110" t="n"/>
      <c r="Q190" s="110" t="n"/>
      <c r="R190" s="110" t="n"/>
      <c r="S190" s="110" t="n"/>
      <c r="T190" s="110" t="n"/>
      <c r="U190" s="110" t="n"/>
      <c r="V190" s="110" t="n"/>
      <c r="W190" s="110" t="n"/>
      <c r="X190" s="110" t="n"/>
      <c r="Y190" s="110" t="n"/>
      <c r="Z190" s="110" t="n"/>
      <c r="AA190" s="110" t="n">
        <v>4</v>
      </c>
      <c r="AB190" s="110" t="n"/>
      <c r="AC190" s="110" t="n"/>
      <c r="AD190" s="110" t="n"/>
      <c r="AE190" s="110" t="n"/>
      <c r="AF190" s="110" t="n"/>
      <c r="AG190" s="110" t="n"/>
      <c r="AH190" s="110" t="n"/>
      <c r="AI190" s="110" t="n"/>
      <c r="AJ190" s="110" t="n">
        <v>12</v>
      </c>
      <c r="AK190" s="110" t="n"/>
      <c r="AL190" s="110" t="n"/>
      <c r="AM190" s="110" t="n"/>
      <c r="AN190" s="110" t="n"/>
      <c r="AO190" s="110" t="n"/>
      <c r="AP190" s="110" t="n"/>
      <c r="AQ190" s="110" t="n"/>
      <c r="AR190" s="110" t="n"/>
      <c r="AS190" s="110" t="n"/>
      <c r="AT190" s="110" t="n"/>
      <c r="AU190" s="110" t="n"/>
      <c r="AV190" s="110" t="n"/>
      <c r="AW190" s="110" t="n"/>
      <c r="AX190" s="110" t="n"/>
      <c r="AY190" s="110" t="n"/>
      <c r="AZ190" s="110" t="n"/>
      <c r="BA190" s="110" t="n"/>
      <c r="BB190" s="110" t="n"/>
      <c r="BC190" t="inlineStr">
        <is>
          <t>ORIGINAL</t>
        </is>
      </c>
      <c r="BD190" t="n">
        <v>181</v>
      </c>
      <c r="BF190" s="109">
        <f>IF($BD190="","",SUMIF($BD$6:$BD$2000,$BD190,$J$6:$J$2000))</f>
        <v/>
      </c>
    </row>
    <row r="191" ht="19.5" customHeight="1">
      <c r="A191" s="96" t="inlineStr">
        <is>
          <t>PENDENTE</t>
        </is>
      </c>
      <c r="B191" s="26" t="inlineStr">
        <is>
          <t>RIACHUELO</t>
        </is>
      </c>
      <c r="C191" s="27" t="n">
        <v>188</v>
      </c>
      <c r="D191" s="26" t="inlineStr">
        <is>
          <t>WEST PLAZA SH</t>
        </is>
      </c>
      <c r="E191" s="26" t="inlineStr">
        <is>
          <t>SÃO PAULO</t>
        </is>
      </c>
      <c r="F191" s="27" t="inlineStr">
        <is>
          <t>SP</t>
        </is>
      </c>
      <c r="G191" s="107" t="n">
        <v>46142</v>
      </c>
      <c r="H191" s="108">
        <f>IF($B191="","",SUM($K191:$AG191)+SUM($AS191:$BB191))</f>
        <v/>
      </c>
      <c r="I191" s="108">
        <f>IF($B191="","",SUM($AH191:$AL191))</f>
        <v/>
      </c>
      <c r="J191" s="109">
        <f>IF($B191="","",SUMPRODUCT($K191:$BB191,$K$2:$BB$2))</f>
        <v/>
      </c>
      <c r="K191" s="110" t="n"/>
      <c r="L191" s="110" t="n"/>
      <c r="M191" s="110" t="n"/>
      <c r="N191" s="110" t="n"/>
      <c r="O191" s="110" t="n"/>
      <c r="P191" s="110" t="n"/>
      <c r="Q191" s="110" t="n"/>
      <c r="R191" s="110" t="n"/>
      <c r="S191" s="110" t="n"/>
      <c r="T191" s="110" t="n"/>
      <c r="U191" s="110" t="n">
        <v>13</v>
      </c>
      <c r="V191" s="110" t="n"/>
      <c r="W191" s="110" t="n"/>
      <c r="X191" s="110" t="n"/>
      <c r="Y191" s="110" t="n"/>
      <c r="Z191" s="110" t="n"/>
      <c r="AA191" s="110" t="n">
        <v>1</v>
      </c>
      <c r="AB191" s="110" t="n"/>
      <c r="AC191" s="110" t="n"/>
      <c r="AD191" s="110" t="n"/>
      <c r="AE191" s="110" t="n"/>
      <c r="AF191" s="110" t="n"/>
      <c r="AG191" s="110" t="n"/>
      <c r="AH191" s="110" t="n">
        <v>12</v>
      </c>
      <c r="AI191" s="110" t="n"/>
      <c r="AJ191" s="110" t="n"/>
      <c r="AK191" s="110" t="n"/>
      <c r="AL191" s="110" t="n"/>
      <c r="AM191" s="110" t="n"/>
      <c r="AN191" s="110" t="n"/>
      <c r="AO191" s="110" t="n"/>
      <c r="AP191" s="110" t="n"/>
      <c r="AQ191" s="110" t="n"/>
      <c r="AR191" s="110" t="n"/>
      <c r="AS191" s="110" t="n"/>
      <c r="AT191" s="110" t="n"/>
      <c r="AU191" s="110" t="n"/>
      <c r="AV191" s="110" t="n"/>
      <c r="AW191" s="110" t="n"/>
      <c r="AX191" s="110" t="n"/>
      <c r="AY191" s="110" t="n"/>
      <c r="AZ191" s="110" t="n"/>
      <c r="BA191" s="110" t="n"/>
      <c r="BB191" s="110" t="n"/>
      <c r="BC191" t="inlineStr">
        <is>
          <t>ORIGINAL</t>
        </is>
      </c>
      <c r="BD191" t="n">
        <v>182</v>
      </c>
      <c r="BF191" s="109">
        <f>IF($BD191="","",SUMIF($BD$6:$BD$2000,$BD191,$J$6:$J$2000))</f>
        <v/>
      </c>
    </row>
    <row r="192" ht="19.5" customHeight="1">
      <c r="A192" s="96" t="inlineStr">
        <is>
          <t>PENDENTE</t>
        </is>
      </c>
      <c r="B192" s="26" t="inlineStr">
        <is>
          <t>RIACHUELO</t>
        </is>
      </c>
      <c r="C192" s="27" t="n">
        <v>189</v>
      </c>
      <c r="D192" s="26" t="inlineStr">
        <is>
          <t>GOIANIA PORTAL SH</t>
        </is>
      </c>
      <c r="E192" s="26" t="inlineStr">
        <is>
          <t>GOIANIA</t>
        </is>
      </c>
      <c r="F192" s="27" t="inlineStr">
        <is>
          <t>GO</t>
        </is>
      </c>
      <c r="G192" s="107" t="n">
        <v>46296</v>
      </c>
      <c r="H192" s="108">
        <f>IF($B192="","",SUM($K192:$AG192)+SUM($AS192:$BB192))</f>
        <v/>
      </c>
      <c r="I192" s="108">
        <f>IF($B192="","",SUM($AH192:$AL192))</f>
        <v/>
      </c>
      <c r="J192" s="109">
        <f>IF($B192="","",SUMPRODUCT($K192:$BB192,$K$2:$BB$2))</f>
        <v/>
      </c>
      <c r="K192" s="110" t="n">
        <v>8</v>
      </c>
      <c r="L192" s="110" t="n"/>
      <c r="M192" s="110" t="n"/>
      <c r="N192" s="110" t="n">
        <v>1</v>
      </c>
      <c r="O192" s="110" t="n"/>
      <c r="P192" s="110" t="n"/>
      <c r="Q192" s="110" t="n"/>
      <c r="R192" s="110" t="n"/>
      <c r="S192" s="110" t="n"/>
      <c r="T192" s="110" t="n"/>
      <c r="U192" s="110" t="n"/>
      <c r="V192" s="110" t="n"/>
      <c r="W192" s="110" t="n"/>
      <c r="X192" s="110" t="n"/>
      <c r="Y192" s="110" t="n"/>
      <c r="Z192" s="110" t="n"/>
      <c r="AA192" s="110" t="n">
        <v>11</v>
      </c>
      <c r="AB192" s="110" t="n"/>
      <c r="AC192" s="110" t="n"/>
      <c r="AD192" s="110" t="n"/>
      <c r="AE192" s="110" t="n"/>
      <c r="AF192" s="110" t="n"/>
      <c r="AG192" s="110" t="n"/>
      <c r="AH192" s="110" t="n">
        <v>10</v>
      </c>
      <c r="AI192" s="110" t="n"/>
      <c r="AJ192" s="110" t="n"/>
      <c r="AK192" s="110" t="n"/>
      <c r="AL192" s="110" t="n"/>
      <c r="AM192" s="110" t="n"/>
      <c r="AN192" s="110" t="n"/>
      <c r="AO192" s="110" t="n"/>
      <c r="AP192" s="110" t="n"/>
      <c r="AQ192" s="110" t="n"/>
      <c r="AR192" s="110" t="n"/>
      <c r="AS192" s="110" t="n"/>
      <c r="AT192" s="110" t="n"/>
      <c r="AU192" s="110" t="n"/>
      <c r="AV192" s="110" t="n"/>
      <c r="AW192" s="110" t="n"/>
      <c r="AX192" s="110" t="n"/>
      <c r="AY192" s="110" t="n"/>
      <c r="AZ192" s="110" t="n"/>
      <c r="BA192" s="110" t="n"/>
      <c r="BB192" s="110" t="n"/>
      <c r="BC192" t="inlineStr">
        <is>
          <t>ORIGINAL</t>
        </is>
      </c>
      <c r="BD192" t="n">
        <v>183</v>
      </c>
      <c r="BF192" s="109">
        <f>IF($BD192="","",SUMIF($BD$6:$BD$2000,$BD192,$J$6:$J$2000))</f>
        <v/>
      </c>
    </row>
    <row r="193" ht="19.5" customHeight="1">
      <c r="A193" s="96" t="inlineStr">
        <is>
          <t>PENDENTE</t>
        </is>
      </c>
      <c r="B193" s="26" t="inlineStr">
        <is>
          <t>RIACHUELO</t>
        </is>
      </c>
      <c r="C193" s="27" t="n">
        <v>191</v>
      </c>
      <c r="D193" s="26" t="inlineStr">
        <is>
          <t>AGUAS LINDAS SH</t>
        </is>
      </c>
      <c r="E193" s="26" t="inlineStr">
        <is>
          <t>AGUAS LINDAS DE GOIAS</t>
        </is>
      </c>
      <c r="F193" s="27" t="inlineStr">
        <is>
          <t>GO</t>
        </is>
      </c>
      <c r="G193" s="107" t="n">
        <v>46419</v>
      </c>
      <c r="H193" s="108">
        <f>IF($B193="","",SUM($K193:$AG193)+SUM($AS193:$BB193))</f>
        <v/>
      </c>
      <c r="I193" s="108">
        <f>IF($B193="","",SUM($AH193:$AL193))</f>
        <v/>
      </c>
      <c r="J193" s="109">
        <f>IF($B193="","",SUMPRODUCT($K193:$BB193,$K$2:$BB$2))</f>
        <v/>
      </c>
      <c r="K193" s="110" t="n"/>
      <c r="L193" s="110" t="n"/>
      <c r="M193" s="110" t="n"/>
      <c r="N193" s="110" t="n"/>
      <c r="O193" s="110" t="n"/>
      <c r="P193" s="110" t="n"/>
      <c r="Q193" s="110" t="n"/>
      <c r="R193" s="110" t="n"/>
      <c r="S193" s="110" t="n"/>
      <c r="T193" s="110" t="n"/>
      <c r="U193" s="110" t="n">
        <v>10</v>
      </c>
      <c r="V193" s="110" t="n"/>
      <c r="W193" s="110" t="n"/>
      <c r="X193" s="110" t="n"/>
      <c r="Y193" s="110" t="n"/>
      <c r="Z193" s="110" t="n"/>
      <c r="AA193" s="110" t="n">
        <v>6</v>
      </c>
      <c r="AB193" s="110" t="n"/>
      <c r="AC193" s="110" t="n"/>
      <c r="AD193" s="110" t="n"/>
      <c r="AE193" s="110" t="n"/>
      <c r="AF193" s="110" t="n"/>
      <c r="AG193" s="110" t="n"/>
      <c r="AH193" s="110" t="n">
        <v>8</v>
      </c>
      <c r="AI193" s="110" t="n"/>
      <c r="AJ193" s="110" t="n"/>
      <c r="AK193" s="110" t="n"/>
      <c r="AL193" s="110" t="n"/>
      <c r="AM193" s="110" t="n"/>
      <c r="AN193" s="110" t="n"/>
      <c r="AO193" s="110" t="n"/>
      <c r="AP193" s="110" t="n"/>
      <c r="AQ193" s="110" t="n"/>
      <c r="AR193" s="110" t="n"/>
      <c r="AS193" s="110" t="n"/>
      <c r="AT193" s="110" t="n"/>
      <c r="AU193" s="110" t="n"/>
      <c r="AV193" s="110" t="n"/>
      <c r="AW193" s="110" t="n"/>
      <c r="AX193" s="110" t="n"/>
      <c r="AY193" s="110" t="n"/>
      <c r="AZ193" s="110" t="n"/>
      <c r="BA193" s="110" t="n"/>
      <c r="BB193" s="110" t="n"/>
      <c r="BC193" t="inlineStr">
        <is>
          <t>ORIGINAL</t>
        </is>
      </c>
      <c r="BD193" t="n">
        <v>184</v>
      </c>
      <c r="BF193" s="109">
        <f>IF($BD193="","",SUMIF($BD$6:$BD$2000,$BD193,$J$6:$J$2000))</f>
        <v/>
      </c>
    </row>
    <row r="194" ht="19.5" customHeight="1">
      <c r="A194" s="96" t="inlineStr">
        <is>
          <t>PENDENTE</t>
        </is>
      </c>
      <c r="B194" s="26" t="inlineStr">
        <is>
          <t>RIACHUELO</t>
        </is>
      </c>
      <c r="C194" s="27" t="n">
        <v>192</v>
      </c>
      <c r="D194" s="26" t="inlineStr">
        <is>
          <t>VILA VELHA BOULEVARD SH</t>
        </is>
      </c>
      <c r="E194" s="26" t="inlineStr">
        <is>
          <t>VILA VELHA</t>
        </is>
      </c>
      <c r="F194" s="27" t="inlineStr">
        <is>
          <t>ES</t>
        </is>
      </c>
      <c r="G194" s="107" t="n">
        <v>46142</v>
      </c>
      <c r="H194" s="108">
        <f>IF($B194="","",SUM($K194:$AG194)+SUM($AS194:$BB194))</f>
        <v/>
      </c>
      <c r="I194" s="108">
        <f>IF($B194="","",SUM($AH194:$AL194))</f>
        <v/>
      </c>
      <c r="J194" s="109">
        <f>IF($B194="","",SUMPRODUCT($K194:$BB194,$K$2:$BB$2))</f>
        <v/>
      </c>
      <c r="K194" s="110" t="n">
        <v>4</v>
      </c>
      <c r="L194" s="110" t="n"/>
      <c r="M194" s="110" t="n"/>
      <c r="N194" s="110" t="n"/>
      <c r="O194" s="110" t="n"/>
      <c r="P194" s="110" t="n"/>
      <c r="Q194" s="110" t="n"/>
      <c r="R194" s="110" t="n"/>
      <c r="S194" s="110" t="n"/>
      <c r="T194" s="110" t="n"/>
      <c r="U194" s="110" t="n">
        <v>8</v>
      </c>
      <c r="V194" s="110" t="n"/>
      <c r="W194" s="110" t="n"/>
      <c r="X194" s="110" t="n"/>
      <c r="Y194" s="110" t="n"/>
      <c r="Z194" s="110" t="n"/>
      <c r="AA194" s="110" t="n">
        <v>6</v>
      </c>
      <c r="AB194" s="110" t="n"/>
      <c r="AC194" s="110" t="n"/>
      <c r="AD194" s="110" t="n"/>
      <c r="AE194" s="110" t="n"/>
      <c r="AF194" s="110" t="n"/>
      <c r="AG194" s="110" t="n"/>
      <c r="AH194" s="110" t="n"/>
      <c r="AI194" s="110" t="n"/>
      <c r="AJ194" s="110" t="n">
        <v>16</v>
      </c>
      <c r="AK194" s="110" t="n"/>
      <c r="AL194" s="110" t="n"/>
      <c r="AM194" s="110" t="n"/>
      <c r="AN194" s="110" t="n"/>
      <c r="AO194" s="110" t="n"/>
      <c r="AP194" s="110" t="n"/>
      <c r="AQ194" s="110" t="n"/>
      <c r="AR194" s="110" t="n"/>
      <c r="AS194" s="110" t="n"/>
      <c r="AT194" s="110" t="n"/>
      <c r="AU194" s="110" t="n"/>
      <c r="AV194" s="110" t="n"/>
      <c r="AW194" s="110" t="n"/>
      <c r="AX194" s="110" t="n"/>
      <c r="AY194" s="110" t="n"/>
      <c r="AZ194" s="110" t="n"/>
      <c r="BA194" s="110" t="n"/>
      <c r="BB194" s="110" t="n"/>
      <c r="BC194" t="inlineStr">
        <is>
          <t>ORIGINAL</t>
        </is>
      </c>
      <c r="BD194" t="n">
        <v>185</v>
      </c>
      <c r="BF194" s="109">
        <f>IF($BD194="","",SUMIF($BD$6:$BD$2000,$BD194,$J$6:$J$2000))</f>
        <v/>
      </c>
    </row>
    <row r="195" ht="19.5" customHeight="1">
      <c r="A195" s="96" t="inlineStr">
        <is>
          <t>PENDENTE</t>
        </is>
      </c>
      <c r="B195" s="26" t="inlineStr">
        <is>
          <t>RIACHUELO</t>
        </is>
      </c>
      <c r="C195" s="27" t="n">
        <v>193</v>
      </c>
      <c r="D195" s="26" t="inlineStr">
        <is>
          <t>PRUDENSHOPPING</t>
        </is>
      </c>
      <c r="E195" s="26" t="inlineStr">
        <is>
          <t>PRESIDENTE PRUDENTE</t>
        </is>
      </c>
      <c r="F195" s="27" t="inlineStr">
        <is>
          <t>SP</t>
        </is>
      </c>
      <c r="G195" s="107" t="n">
        <v>46235</v>
      </c>
      <c r="H195" s="108">
        <f>IF($B195="","",SUM($K195:$AG195)+SUM($AS195:$BB195))</f>
        <v/>
      </c>
      <c r="I195" s="108">
        <f>IF($B195="","",SUM($AH195:$AL195))</f>
        <v/>
      </c>
      <c r="J195" s="109">
        <f>IF($B195="","",SUMPRODUCT($K195:$BB195,$K$2:$BB$2))</f>
        <v/>
      </c>
      <c r="K195" s="110" t="n">
        <v>5</v>
      </c>
      <c r="L195" s="110" t="n"/>
      <c r="M195" s="110" t="n">
        <v>8</v>
      </c>
      <c r="N195" s="110" t="n"/>
      <c r="O195" s="110" t="n"/>
      <c r="P195" s="110" t="n"/>
      <c r="Q195" s="110" t="n"/>
      <c r="R195" s="110" t="n"/>
      <c r="S195" s="110" t="n"/>
      <c r="T195" s="110" t="n"/>
      <c r="U195" s="110" t="n"/>
      <c r="V195" s="110" t="n"/>
      <c r="W195" s="110" t="n"/>
      <c r="X195" s="110" t="n"/>
      <c r="Y195" s="110" t="n"/>
      <c r="Z195" s="110" t="n"/>
      <c r="AA195" s="110" t="n"/>
      <c r="AB195" s="110" t="n"/>
      <c r="AC195" s="110" t="n"/>
      <c r="AD195" s="110" t="n"/>
      <c r="AE195" s="110" t="n"/>
      <c r="AF195" s="110" t="n"/>
      <c r="AG195" s="110" t="n"/>
      <c r="AH195" s="110" t="n">
        <v>8</v>
      </c>
      <c r="AI195" s="110" t="n"/>
      <c r="AJ195" s="110" t="n"/>
      <c r="AK195" s="110" t="n"/>
      <c r="AL195" s="110" t="n"/>
      <c r="AM195" s="110" t="n"/>
      <c r="AN195" s="110" t="n"/>
      <c r="AO195" s="110" t="n"/>
      <c r="AP195" s="110" t="n"/>
      <c r="AQ195" s="110" t="n"/>
      <c r="AR195" s="110" t="n"/>
      <c r="AS195" s="110" t="n"/>
      <c r="AT195" s="110" t="n"/>
      <c r="AU195" s="110" t="n"/>
      <c r="AV195" s="110" t="n"/>
      <c r="AW195" s="110" t="n"/>
      <c r="AX195" s="110" t="n"/>
      <c r="AY195" s="110" t="n"/>
      <c r="AZ195" s="110" t="n"/>
      <c r="BA195" s="110" t="n"/>
      <c r="BB195" s="110" t="n"/>
      <c r="BC195" t="inlineStr">
        <is>
          <t>ORIGINAL</t>
        </is>
      </c>
      <c r="BD195" t="n">
        <v>186</v>
      </c>
      <c r="BF195" s="109">
        <f>IF($BD195="","",SUMIF($BD$6:$BD$2000,$BD195,$J$6:$J$2000))</f>
        <v/>
      </c>
    </row>
    <row r="196" ht="19.5" customHeight="1">
      <c r="A196" s="96" t="inlineStr">
        <is>
          <t>PENDENTE</t>
        </is>
      </c>
      <c r="B196" s="26" t="inlineStr">
        <is>
          <t>RIACHUELO</t>
        </is>
      </c>
      <c r="C196" s="27" t="n">
        <v>194</v>
      </c>
      <c r="D196" s="26" t="inlineStr">
        <is>
          <t>LONDRINA NORTE SH</t>
        </is>
      </c>
      <c r="E196" s="26" t="inlineStr">
        <is>
          <t>LONDRINA</t>
        </is>
      </c>
      <c r="F196" s="27" t="inlineStr">
        <is>
          <t>PR</t>
        </is>
      </c>
      <c r="G196" s="107" t="n">
        <v>46419</v>
      </c>
      <c r="H196" s="108">
        <f>IF($B196="","",SUM($K196:$AG196)+SUM($AS196:$BB196))</f>
        <v/>
      </c>
      <c r="I196" s="108">
        <f>IF($B196="","",SUM($AH196:$AL196))</f>
        <v/>
      </c>
      <c r="J196" s="109">
        <f>IF($B196="","",SUMPRODUCT($K196:$BB196,$K$2:$BB$2))</f>
        <v/>
      </c>
      <c r="K196" s="110" t="n">
        <v>13</v>
      </c>
      <c r="L196" s="110" t="n"/>
      <c r="M196" s="110" t="n"/>
      <c r="N196" s="110" t="n"/>
      <c r="O196" s="110" t="n"/>
      <c r="P196" s="110" t="n"/>
      <c r="Q196" s="110" t="n"/>
      <c r="R196" s="110" t="n"/>
      <c r="S196" s="110" t="n"/>
      <c r="T196" s="110" t="n">
        <v>3</v>
      </c>
      <c r="U196" s="110" t="n">
        <v>2</v>
      </c>
      <c r="V196" s="110" t="n"/>
      <c r="W196" s="110" t="n"/>
      <c r="X196" s="110" t="n"/>
      <c r="Y196" s="110" t="n"/>
      <c r="Z196" s="110" t="n">
        <v>6</v>
      </c>
      <c r="AA196" s="110" t="n">
        <v>2</v>
      </c>
      <c r="AB196" s="110" t="n"/>
      <c r="AC196" s="110" t="n"/>
      <c r="AD196" s="110" t="n"/>
      <c r="AE196" s="110" t="n"/>
      <c r="AF196" s="110" t="n"/>
      <c r="AG196" s="110" t="n"/>
      <c r="AH196" s="110" t="n"/>
      <c r="AI196" s="110" t="n"/>
      <c r="AJ196" s="110" t="n">
        <v>20</v>
      </c>
      <c r="AK196" s="110" t="n"/>
      <c r="AL196" s="110" t="n"/>
      <c r="AM196" s="110" t="n"/>
      <c r="AN196" s="110" t="n"/>
      <c r="AO196" s="110" t="n"/>
      <c r="AP196" s="110" t="n"/>
      <c r="AQ196" s="110" t="n"/>
      <c r="AR196" s="110" t="n"/>
      <c r="AS196" s="110" t="n"/>
      <c r="AT196" s="110" t="n"/>
      <c r="AU196" s="110" t="n"/>
      <c r="AV196" s="110" t="n"/>
      <c r="AW196" s="110" t="n"/>
      <c r="AX196" s="110" t="n"/>
      <c r="AY196" s="110" t="n"/>
      <c r="AZ196" s="110" t="n"/>
      <c r="BA196" s="110" t="n"/>
      <c r="BB196" s="110" t="n"/>
      <c r="BC196" t="inlineStr">
        <is>
          <t>ORIGINAL</t>
        </is>
      </c>
      <c r="BD196" t="n">
        <v>187</v>
      </c>
      <c r="BF196" s="109">
        <f>IF($BD196="","",SUMIF($BD$6:$BD$2000,$BD196,$J$6:$J$2000))</f>
        <v/>
      </c>
    </row>
    <row r="197" ht="19.5" customHeight="1">
      <c r="A197" s="96" t="inlineStr">
        <is>
          <t>PENDENTE</t>
        </is>
      </c>
      <c r="B197" s="26" t="inlineStr">
        <is>
          <t>RIACHUELO</t>
        </is>
      </c>
      <c r="C197" s="27" t="n">
        <v>195</v>
      </c>
      <c r="D197" s="26" t="inlineStr">
        <is>
          <t>SHOPPING CONTAGEM</t>
        </is>
      </c>
      <c r="E197" s="26" t="inlineStr">
        <is>
          <t>CONTAGEM</t>
        </is>
      </c>
      <c r="F197" s="27" t="inlineStr">
        <is>
          <t>MG</t>
        </is>
      </c>
      <c r="G197" s="107" t="n">
        <v>46388</v>
      </c>
      <c r="H197" s="108">
        <f>IF($B197="","",SUM($K197:$AG197)+SUM($AS197:$BB197))</f>
        <v/>
      </c>
      <c r="I197" s="108">
        <f>IF($B197="","",SUM($AH197:$AL197))</f>
        <v/>
      </c>
      <c r="J197" s="109">
        <f>IF($B197="","",SUMPRODUCT($K197:$BB197,$K$2:$BB$2))</f>
        <v/>
      </c>
      <c r="K197" s="110" t="n"/>
      <c r="L197" s="110" t="n"/>
      <c r="M197" s="110" t="n"/>
      <c r="N197" s="110" t="n"/>
      <c r="O197" s="110" t="n"/>
      <c r="P197" s="110" t="n"/>
      <c r="Q197" s="110" t="n"/>
      <c r="R197" s="110" t="n"/>
      <c r="S197" s="110" t="n"/>
      <c r="T197" s="110" t="n"/>
      <c r="U197" s="110" t="n">
        <v>17</v>
      </c>
      <c r="V197" s="110" t="n"/>
      <c r="W197" s="110" t="n"/>
      <c r="X197" s="110" t="n"/>
      <c r="Y197" s="110" t="n"/>
      <c r="Z197" s="110" t="n"/>
      <c r="AA197" s="110" t="n"/>
      <c r="AB197" s="110" t="n"/>
      <c r="AC197" s="110" t="n"/>
      <c r="AD197" s="110" t="n"/>
      <c r="AE197" s="110" t="n"/>
      <c r="AF197" s="110" t="n"/>
      <c r="AG197" s="110" t="n"/>
      <c r="AH197" s="110" t="n">
        <v>10</v>
      </c>
      <c r="AI197" s="110" t="n"/>
      <c r="AJ197" s="110" t="n"/>
      <c r="AK197" s="110" t="n"/>
      <c r="AL197" s="110" t="n"/>
      <c r="AM197" s="110" t="n"/>
      <c r="AN197" s="110" t="n"/>
      <c r="AO197" s="110" t="n"/>
      <c r="AP197" s="110" t="n"/>
      <c r="AQ197" s="110" t="n"/>
      <c r="AR197" s="110" t="n"/>
      <c r="AS197" s="110" t="n"/>
      <c r="AT197" s="110" t="n"/>
      <c r="AU197" s="110" t="n"/>
      <c r="AV197" s="110" t="n"/>
      <c r="AW197" s="110" t="n"/>
      <c r="AX197" s="110" t="n"/>
      <c r="AY197" s="110" t="n"/>
      <c r="AZ197" s="110" t="n"/>
      <c r="BA197" s="110" t="n"/>
      <c r="BB197" s="110" t="n"/>
      <c r="BC197" t="inlineStr">
        <is>
          <t>ORIGINAL</t>
        </is>
      </c>
      <c r="BD197" t="n">
        <v>188</v>
      </c>
      <c r="BF197" s="109">
        <f>IF($BD197="","",SUMIF($BD$6:$BD$2000,$BD197,$J$6:$J$2000))</f>
        <v/>
      </c>
    </row>
    <row r="198" ht="19.5" customHeight="1">
      <c r="A198" s="96" t="inlineStr">
        <is>
          <t>PENDENTE</t>
        </is>
      </c>
      <c r="B198" s="26" t="inlineStr">
        <is>
          <t>RIACHUELO</t>
        </is>
      </c>
      <c r="C198" s="27" t="n">
        <v>196</v>
      </c>
      <c r="D198" s="26" t="inlineStr">
        <is>
          <t>BETIM MONTE CARMO SH</t>
        </is>
      </c>
      <c r="E198" s="26" t="inlineStr">
        <is>
          <t>BETIM</t>
        </is>
      </c>
      <c r="F198" s="27" t="inlineStr">
        <is>
          <t>MG</t>
        </is>
      </c>
      <c r="G198" s="107" t="n">
        <v>46266</v>
      </c>
      <c r="H198" s="108">
        <f>IF($B198="","",SUM($K198:$AG198)+SUM($AS198:$BB198))</f>
        <v/>
      </c>
      <c r="I198" s="108">
        <f>IF($B198="","",SUM($AH198:$AL198))</f>
        <v/>
      </c>
      <c r="J198" s="109">
        <f>IF($B198="","",SUMPRODUCT($K198:$BB198,$K$2:$BB$2))</f>
        <v/>
      </c>
      <c r="K198" s="110" t="n"/>
      <c r="L198" s="110" t="n"/>
      <c r="M198" s="110" t="n"/>
      <c r="N198" s="110" t="n">
        <v>4</v>
      </c>
      <c r="O198" s="110" t="n"/>
      <c r="P198" s="110" t="n"/>
      <c r="Q198" s="110" t="n"/>
      <c r="R198" s="110" t="n"/>
      <c r="S198" s="110" t="n"/>
      <c r="T198" s="110" t="n"/>
      <c r="U198" s="110" t="n">
        <v>13</v>
      </c>
      <c r="V198" s="110" t="n"/>
      <c r="W198" s="110" t="n"/>
      <c r="X198" s="110" t="n"/>
      <c r="Y198" s="110" t="n"/>
      <c r="Z198" s="110" t="n"/>
      <c r="AA198" s="110" t="n">
        <v>3</v>
      </c>
      <c r="AB198" s="110" t="n"/>
      <c r="AC198" s="110" t="n"/>
      <c r="AD198" s="110" t="n"/>
      <c r="AE198" s="110" t="n"/>
      <c r="AF198" s="110" t="n"/>
      <c r="AG198" s="110" t="n"/>
      <c r="AH198" s="110" t="n">
        <v>20</v>
      </c>
      <c r="AI198" s="110" t="n"/>
      <c r="AJ198" s="110" t="n"/>
      <c r="AK198" s="110" t="n"/>
      <c r="AL198" s="110" t="n"/>
      <c r="AM198" s="110" t="n"/>
      <c r="AN198" s="110" t="n"/>
      <c r="AO198" s="110" t="n"/>
      <c r="AP198" s="110" t="n"/>
      <c r="AQ198" s="110" t="n"/>
      <c r="AR198" s="110" t="n"/>
      <c r="AS198" s="110" t="n"/>
      <c r="AT198" s="110" t="n"/>
      <c r="AU198" s="110" t="n"/>
      <c r="AV198" s="110" t="n"/>
      <c r="AW198" s="110" t="n"/>
      <c r="AX198" s="110" t="n"/>
      <c r="AY198" s="110" t="n"/>
      <c r="AZ198" s="110" t="n"/>
      <c r="BA198" s="110" t="n"/>
      <c r="BB198" s="110" t="n"/>
      <c r="BC198" t="inlineStr">
        <is>
          <t>ORIGINAL</t>
        </is>
      </c>
      <c r="BD198" t="n">
        <v>189</v>
      </c>
      <c r="BF198" s="109">
        <f>IF($BD198="","",SUMIF($BD$6:$BD$2000,$BD198,$J$6:$J$2000))</f>
        <v/>
      </c>
    </row>
    <row r="199" ht="19.5" customHeight="1">
      <c r="A199" s="96" t="inlineStr">
        <is>
          <t>PENDENTE</t>
        </is>
      </c>
      <c r="B199" s="26" t="inlineStr">
        <is>
          <t>RIACHUELO</t>
        </is>
      </c>
      <c r="C199" s="27" t="n">
        <v>199</v>
      </c>
      <c r="D199" s="26" t="inlineStr">
        <is>
          <t>SERRASUL SHOPPING</t>
        </is>
      </c>
      <c r="E199" s="26" t="inlineStr">
        <is>
          <t>POUSO ALEGRE</t>
        </is>
      </c>
      <c r="F199" s="27" t="inlineStr">
        <is>
          <t>MG</t>
        </is>
      </c>
      <c r="G199" s="107" t="n">
        <v>46142</v>
      </c>
      <c r="H199" s="108">
        <f>IF($B199="","",SUM($K199:$AG199)+SUM($AS199:$BB199))</f>
        <v/>
      </c>
      <c r="I199" s="108">
        <f>IF($B199="","",SUM($AH199:$AL199))</f>
        <v/>
      </c>
      <c r="J199" s="109">
        <f>IF($B199="","",SUMPRODUCT($K199:$BB199,$K$2:$BB$2))</f>
        <v/>
      </c>
      <c r="K199" s="110" t="n">
        <v>12</v>
      </c>
      <c r="L199" s="110" t="n"/>
      <c r="M199" s="110" t="n">
        <v>17</v>
      </c>
      <c r="N199" s="110" t="n">
        <v>1</v>
      </c>
      <c r="O199" s="110" t="n"/>
      <c r="P199" s="110" t="n">
        <v>1</v>
      </c>
      <c r="Q199" s="110" t="n"/>
      <c r="R199" s="110" t="n"/>
      <c r="S199" s="110" t="n"/>
      <c r="T199" s="110" t="n"/>
      <c r="U199" s="110" t="n"/>
      <c r="V199" s="110" t="n"/>
      <c r="W199" s="110" t="n"/>
      <c r="X199" s="110" t="n"/>
      <c r="Y199" s="110" t="n"/>
      <c r="Z199" s="110" t="n"/>
      <c r="AA199" s="110" t="n">
        <v>5</v>
      </c>
      <c r="AB199" s="110" t="n"/>
      <c r="AC199" s="110" t="n"/>
      <c r="AD199" s="110" t="n"/>
      <c r="AE199" s="110" t="n"/>
      <c r="AF199" s="110" t="n"/>
      <c r="AG199" s="110" t="n"/>
      <c r="AH199" s="110" t="n">
        <v>20</v>
      </c>
      <c r="AI199" s="110" t="n"/>
      <c r="AJ199" s="110" t="n"/>
      <c r="AK199" s="110" t="n"/>
      <c r="AL199" s="110" t="n"/>
      <c r="AM199" s="110" t="n"/>
      <c r="AN199" s="110" t="n"/>
      <c r="AO199" s="110" t="n"/>
      <c r="AP199" s="110" t="n"/>
      <c r="AQ199" s="110" t="n"/>
      <c r="AR199" s="110" t="n"/>
      <c r="AS199" s="110" t="n"/>
      <c r="AT199" s="110" t="n"/>
      <c r="AU199" s="110" t="n"/>
      <c r="AV199" s="110" t="n"/>
      <c r="AW199" s="110" t="n"/>
      <c r="AX199" s="110" t="n"/>
      <c r="AY199" s="110" t="n"/>
      <c r="AZ199" s="110" t="n"/>
      <c r="BA199" s="110" t="n"/>
      <c r="BB199" s="110" t="n"/>
      <c r="BC199" t="inlineStr">
        <is>
          <t>ORIGINAL</t>
        </is>
      </c>
      <c r="BD199" t="n">
        <v>190</v>
      </c>
      <c r="BF199" s="109">
        <f>IF($BD199="","",SUMIF($BD$6:$BD$2000,$BD199,$J$6:$J$2000))</f>
        <v/>
      </c>
    </row>
    <row r="200" ht="19.5" customHeight="1">
      <c r="A200" s="96" t="inlineStr">
        <is>
          <t>PENDENTE</t>
        </is>
      </c>
      <c r="B200" s="26" t="inlineStr">
        <is>
          <t>RIACHUELO</t>
        </is>
      </c>
      <c r="C200" s="27" t="n">
        <v>200</v>
      </c>
      <c r="D200" s="26" t="inlineStr">
        <is>
          <t>AV. PAULISTA CT</t>
        </is>
      </c>
      <c r="E200" s="26" t="inlineStr">
        <is>
          <t>SÃO PAULO</t>
        </is>
      </c>
      <c r="F200" s="27" t="inlineStr">
        <is>
          <t>SP</t>
        </is>
      </c>
      <c r="G200" s="107" t="n">
        <v>46235</v>
      </c>
      <c r="H200" s="108">
        <f>IF($B200="","",SUM($K200:$AG200)+SUM($AS200:$BB200))</f>
        <v/>
      </c>
      <c r="I200" s="108">
        <f>IF($B200="","",SUM($AH200:$AL200))</f>
        <v/>
      </c>
      <c r="J200" s="109">
        <f>IF($B200="","",SUMPRODUCT($K200:$BB200,$K$2:$BB$2))</f>
        <v/>
      </c>
      <c r="K200" s="110" t="n">
        <v>17</v>
      </c>
      <c r="L200" s="110" t="n"/>
      <c r="M200" s="110" t="n">
        <v>9</v>
      </c>
      <c r="N200" s="110" t="n"/>
      <c r="O200" s="110" t="n"/>
      <c r="P200" s="110" t="n"/>
      <c r="Q200" s="110" t="n"/>
      <c r="R200" s="110" t="n"/>
      <c r="S200" s="110" t="n"/>
      <c r="T200" s="110" t="n"/>
      <c r="U200" s="110" t="n"/>
      <c r="V200" s="110" t="n"/>
      <c r="W200" s="110" t="n"/>
      <c r="X200" s="110" t="n"/>
      <c r="Y200" s="110" t="n"/>
      <c r="Z200" s="110" t="n"/>
      <c r="AA200" s="110" t="n">
        <v>15</v>
      </c>
      <c r="AB200" s="110" t="n"/>
      <c r="AC200" s="110" t="n"/>
      <c r="AD200" s="110" t="n"/>
      <c r="AE200" s="110" t="n"/>
      <c r="AF200" s="110" t="n"/>
      <c r="AG200" s="110" t="n"/>
      <c r="AH200" s="110" t="n">
        <v>26</v>
      </c>
      <c r="AI200" s="110" t="n"/>
      <c r="AJ200" s="110" t="n"/>
      <c r="AK200" s="110" t="n"/>
      <c r="AL200" s="110" t="n"/>
      <c r="AM200" s="110" t="n"/>
      <c r="AN200" s="110" t="n"/>
      <c r="AO200" s="110" t="n"/>
      <c r="AP200" s="110" t="n"/>
      <c r="AQ200" s="110" t="n"/>
      <c r="AR200" s="110" t="n"/>
      <c r="AS200" s="110" t="n"/>
      <c r="AT200" s="110" t="n"/>
      <c r="AU200" s="110" t="n"/>
      <c r="AV200" s="110" t="n"/>
      <c r="AW200" s="110" t="n"/>
      <c r="AX200" s="110" t="n"/>
      <c r="AY200" s="110" t="n"/>
      <c r="AZ200" s="110" t="n"/>
      <c r="BA200" s="110" t="n"/>
      <c r="BB200" s="110" t="n"/>
      <c r="BC200" t="inlineStr">
        <is>
          <t>ORIGINAL</t>
        </is>
      </c>
      <c r="BD200" t="n">
        <v>191</v>
      </c>
      <c r="BF200" s="109">
        <f>IF($BD200="","",SUMIF($BD$6:$BD$2000,$BD200,$J$6:$J$2000))</f>
        <v/>
      </c>
    </row>
    <row r="201" ht="19.5" customHeight="1">
      <c r="A201" s="96" t="inlineStr">
        <is>
          <t>PENDENTE</t>
        </is>
      </c>
      <c r="B201" s="26" t="inlineStr">
        <is>
          <t>RIACHUELO</t>
        </is>
      </c>
      <c r="C201" s="27" t="n">
        <v>201</v>
      </c>
      <c r="D201" s="26" t="inlineStr">
        <is>
          <t>G</t>
        </is>
      </c>
      <c r="E201" s="26" t="inlineStr">
        <is>
          <t>LONDRINA</t>
        </is>
      </c>
      <c r="F201" s="27" t="inlineStr">
        <is>
          <t>PR</t>
        </is>
      </c>
      <c r="G201" s="107" t="n">
        <v>46419</v>
      </c>
      <c r="H201" s="108">
        <f>IF($B201="","",SUM($K201:$AG201)+SUM($AS201:$BB201))</f>
        <v/>
      </c>
      <c r="I201" s="108">
        <f>IF($B201="","",SUM($AH201:$AL201))</f>
        <v/>
      </c>
      <c r="J201" s="109">
        <f>IF($B201="","",SUMPRODUCT($K201:$BB201,$K$2:$BB$2))</f>
        <v/>
      </c>
      <c r="K201" s="110" t="n">
        <v>10</v>
      </c>
      <c r="L201" s="110" t="n"/>
      <c r="M201" s="110" t="n"/>
      <c r="N201" s="110" t="n"/>
      <c r="O201" s="110" t="n"/>
      <c r="P201" s="110" t="n"/>
      <c r="Q201" s="110" t="n"/>
      <c r="R201" s="110" t="n"/>
      <c r="S201" s="110" t="n"/>
      <c r="T201" s="110" t="n"/>
      <c r="U201" s="110" t="n">
        <v>1</v>
      </c>
      <c r="V201" s="110" t="n"/>
      <c r="W201" s="110" t="n"/>
      <c r="X201" s="110" t="n"/>
      <c r="Y201" s="110" t="n"/>
      <c r="Z201" s="110" t="n">
        <v>1</v>
      </c>
      <c r="AA201" s="110" t="n">
        <v>7</v>
      </c>
      <c r="AB201" s="110" t="n"/>
      <c r="AC201" s="110" t="n"/>
      <c r="AD201" s="110" t="n"/>
      <c r="AE201" s="110" t="n"/>
      <c r="AF201" s="110" t="n"/>
      <c r="AG201" s="110" t="n"/>
      <c r="AH201" s="110" t="n"/>
      <c r="AI201" s="110" t="n"/>
      <c r="AJ201" s="110" t="n">
        <v>12</v>
      </c>
      <c r="AK201" s="110" t="n"/>
      <c r="AL201" s="110" t="n"/>
      <c r="AM201" s="110" t="n"/>
      <c r="AN201" s="110" t="n"/>
      <c r="AO201" s="110" t="n"/>
      <c r="AP201" s="110" t="n"/>
      <c r="AQ201" s="110" t="n"/>
      <c r="AR201" s="110" t="n"/>
      <c r="AS201" s="110" t="n"/>
      <c r="AT201" s="110" t="n"/>
      <c r="AU201" s="110" t="n"/>
      <c r="AV201" s="110" t="n"/>
      <c r="AW201" s="110" t="n"/>
      <c r="AX201" s="110" t="n"/>
      <c r="AY201" s="110" t="n"/>
      <c r="AZ201" s="110" t="n"/>
      <c r="BA201" s="110" t="n"/>
      <c r="BB201" s="110" t="n"/>
      <c r="BC201" t="inlineStr">
        <is>
          <t>ORIGINAL</t>
        </is>
      </c>
      <c r="BD201" t="n">
        <v>192</v>
      </c>
      <c r="BF201" s="109">
        <f>IF($BD201="","",SUMIF($BD$6:$BD$2000,$BD201,$J$6:$J$2000))</f>
        <v/>
      </c>
    </row>
    <row r="202" ht="19.5" customHeight="1">
      <c r="A202" s="96" t="inlineStr">
        <is>
          <t>PENDENTE</t>
        </is>
      </c>
      <c r="B202" s="26" t="inlineStr">
        <is>
          <t>RIACHUELO</t>
        </is>
      </c>
      <c r="C202" s="27" t="n">
        <v>202</v>
      </c>
      <c r="D202" s="26" t="inlineStr">
        <is>
          <t>MANAUS SUMAÚMA PARK SH</t>
        </is>
      </c>
      <c r="E202" s="26" t="inlineStr">
        <is>
          <t>MANAUS</t>
        </is>
      </c>
      <c r="F202" s="27" t="inlineStr">
        <is>
          <t>AM</t>
        </is>
      </c>
      <c r="G202" s="107" t="n">
        <v>46142</v>
      </c>
      <c r="H202" s="108">
        <f>IF($B202="","",SUM($K202:$AG202)+SUM($AS202:$BB202))</f>
        <v/>
      </c>
      <c r="I202" s="108">
        <f>IF($B202="","",SUM($AH202:$AL202))</f>
        <v/>
      </c>
      <c r="J202" s="109">
        <f>IF($B202="","",SUMPRODUCT($K202:$BB202,$K$2:$BB$2))</f>
        <v/>
      </c>
      <c r="K202" s="110" t="n">
        <v>10</v>
      </c>
      <c r="L202" s="110" t="n"/>
      <c r="M202" s="110" t="n">
        <v>2</v>
      </c>
      <c r="N202" s="110" t="n"/>
      <c r="O202" s="110" t="n">
        <v>1</v>
      </c>
      <c r="P202" s="110" t="n"/>
      <c r="Q202" s="110" t="n"/>
      <c r="R202" s="110" t="n"/>
      <c r="S202" s="110" t="n"/>
      <c r="T202" s="110" t="n"/>
      <c r="U202" s="110" t="n"/>
      <c r="V202" s="110" t="n"/>
      <c r="W202" s="110" t="n"/>
      <c r="X202" s="110" t="n"/>
      <c r="Y202" s="110" t="n"/>
      <c r="Z202" s="110" t="n"/>
      <c r="AA202" s="110" t="n">
        <v>12</v>
      </c>
      <c r="AB202" s="110" t="n"/>
      <c r="AC202" s="110" t="n"/>
      <c r="AD202" s="110" t="n"/>
      <c r="AE202" s="110" t="n"/>
      <c r="AF202" s="110" t="n"/>
      <c r="AG202" s="110" t="n"/>
      <c r="AH202" s="110" t="n">
        <v>24</v>
      </c>
      <c r="AI202" s="110" t="n"/>
      <c r="AJ202" s="110" t="n"/>
      <c r="AK202" s="110" t="n"/>
      <c r="AL202" s="110" t="n"/>
      <c r="AM202" s="110" t="n"/>
      <c r="AN202" s="110" t="n"/>
      <c r="AO202" s="110" t="n"/>
      <c r="AP202" s="110" t="n"/>
      <c r="AQ202" s="110" t="n"/>
      <c r="AR202" s="110" t="n"/>
      <c r="AS202" s="110" t="n"/>
      <c r="AT202" s="110" t="n"/>
      <c r="AU202" s="110" t="n"/>
      <c r="AV202" s="110" t="n"/>
      <c r="AW202" s="110" t="n"/>
      <c r="AX202" s="110" t="n"/>
      <c r="AY202" s="110" t="n"/>
      <c r="AZ202" s="110" t="n"/>
      <c r="BA202" s="110" t="n"/>
      <c r="BB202" s="110" t="n"/>
      <c r="BC202" t="inlineStr">
        <is>
          <t>ORIGINAL</t>
        </is>
      </c>
      <c r="BD202" t="n">
        <v>193</v>
      </c>
      <c r="BF202" s="109">
        <f>IF($BD202="","",SUMIF($BD$6:$BD$2000,$BD202,$J$6:$J$2000))</f>
        <v/>
      </c>
    </row>
    <row r="203" ht="19.5" customHeight="1">
      <c r="A203" s="96" t="inlineStr">
        <is>
          <t>PENDENTE</t>
        </is>
      </c>
      <c r="B203" s="26" t="inlineStr">
        <is>
          <t>RIACHUELO</t>
        </is>
      </c>
      <c r="C203" s="27" t="n">
        <v>26</v>
      </c>
      <c r="D203" s="26" t="inlineStr">
        <is>
          <t>CANOAS SH</t>
        </is>
      </c>
      <c r="E203" s="26" t="inlineStr">
        <is>
          <t>CANOAS</t>
        </is>
      </c>
      <c r="F203" s="27" t="inlineStr">
        <is>
          <t>RS</t>
        </is>
      </c>
      <c r="G203" s="107" t="n">
        <v>46235</v>
      </c>
      <c r="H203" s="108">
        <f>IF($B203="","",SUM($K203:$AG203)+SUM($AS203:$BB203))</f>
        <v/>
      </c>
      <c r="I203" s="108">
        <f>IF($B203="","",SUM($AH203:$AL203))</f>
        <v/>
      </c>
      <c r="J203" s="109">
        <f>IF($B203="","",SUMPRODUCT($K203:$BB203,$K$2:$BB$2))</f>
        <v/>
      </c>
      <c r="K203" s="110" t="n">
        <v>10</v>
      </c>
      <c r="L203" s="110" t="n"/>
      <c r="M203" s="110" t="n">
        <v>4</v>
      </c>
      <c r="N203" s="110" t="n"/>
      <c r="O203" s="110" t="n"/>
      <c r="P203" s="110" t="n"/>
      <c r="Q203" s="110" t="n"/>
      <c r="R203" s="110" t="n"/>
      <c r="S203" s="110" t="n"/>
      <c r="T203" s="110" t="n"/>
      <c r="U203" s="110" t="n"/>
      <c r="V203" s="110" t="n"/>
      <c r="W203" s="110" t="n"/>
      <c r="X203" s="110" t="n"/>
      <c r="Y203" s="110" t="n"/>
      <c r="Z203" s="110" t="n"/>
      <c r="AA203" s="110" t="n">
        <v>10</v>
      </c>
      <c r="AB203" s="110" t="n"/>
      <c r="AC203" s="110" t="n"/>
      <c r="AD203" s="110" t="n"/>
      <c r="AE203" s="110" t="n"/>
      <c r="AF203" s="110" t="n"/>
      <c r="AG203" s="110" t="n"/>
      <c r="AH203" s="110" t="n">
        <v>24</v>
      </c>
      <c r="AI203" s="110" t="n"/>
      <c r="AJ203" s="110" t="n"/>
      <c r="AK203" s="110" t="n"/>
      <c r="AL203" s="110" t="n"/>
      <c r="AM203" s="110" t="n"/>
      <c r="AN203" s="110" t="n"/>
      <c r="AO203" s="110" t="n"/>
      <c r="AP203" s="110" t="n"/>
      <c r="AQ203" s="110" t="n"/>
      <c r="AR203" s="110" t="n"/>
      <c r="AS203" s="110" t="n"/>
      <c r="AT203" s="110" t="n"/>
      <c r="AU203" s="110" t="n"/>
      <c r="AV203" s="110" t="n"/>
      <c r="AW203" s="110" t="n"/>
      <c r="AX203" s="110" t="n"/>
      <c r="AY203" s="110" t="n"/>
      <c r="AZ203" s="110" t="n"/>
      <c r="BA203" s="110" t="n"/>
      <c r="BB203" s="110" t="n"/>
      <c r="BC203" t="inlineStr">
        <is>
          <t>ORIGINAL</t>
        </is>
      </c>
      <c r="BD203" t="n">
        <v>194</v>
      </c>
      <c r="BF203" s="109">
        <f>IF($BD203="","",SUMIF($BD$6:$BD$2000,$BD203,$J$6:$J$2000))</f>
        <v/>
      </c>
    </row>
    <row r="204" ht="19.5" customHeight="1">
      <c r="A204" s="96" t="inlineStr">
        <is>
          <t>PENDENTE</t>
        </is>
      </c>
      <c r="B204" s="26" t="inlineStr">
        <is>
          <t>RIACHUELO</t>
        </is>
      </c>
      <c r="C204" s="27" t="n">
        <v>204</v>
      </c>
      <c r="D204" s="26" t="inlineStr">
        <is>
          <t>METROPOLITANO BARRA SH</t>
        </is>
      </c>
      <c r="E204" s="26" t="inlineStr">
        <is>
          <t>RIO DE JANEIRO</t>
        </is>
      </c>
      <c r="F204" s="27" t="inlineStr">
        <is>
          <t>RJ</t>
        </is>
      </c>
      <c r="G204" s="107" t="n">
        <v>46388</v>
      </c>
      <c r="H204" s="108">
        <f>IF($B204="","",SUM($K204:$AG204)+SUM($AS204:$BB204))</f>
        <v/>
      </c>
      <c r="I204" s="108">
        <f>IF($B204="","",SUM($AH204:$AL204))</f>
        <v/>
      </c>
      <c r="J204" s="109">
        <f>IF($B204="","",SUMPRODUCT($K204:$BB204,$K$2:$BB$2))</f>
        <v/>
      </c>
      <c r="K204" s="110" t="n"/>
      <c r="L204" s="110" t="n"/>
      <c r="M204" s="110" t="n"/>
      <c r="N204" s="110" t="n">
        <v>19</v>
      </c>
      <c r="O204" s="110" t="n"/>
      <c r="P204" s="110" t="n"/>
      <c r="Q204" s="110" t="n"/>
      <c r="R204" s="110" t="n"/>
      <c r="S204" s="110" t="n"/>
      <c r="T204" s="110" t="n"/>
      <c r="U204" s="110" t="n"/>
      <c r="V204" s="110" t="n"/>
      <c r="W204" s="110" t="n"/>
      <c r="X204" s="110" t="n"/>
      <c r="Y204" s="110" t="n"/>
      <c r="Z204" s="110" t="n"/>
      <c r="AA204" s="110" t="n">
        <v>12</v>
      </c>
      <c r="AB204" s="110" t="n"/>
      <c r="AC204" s="110" t="n"/>
      <c r="AD204" s="110" t="n"/>
      <c r="AE204" s="110" t="n"/>
      <c r="AF204" s="110" t="n"/>
      <c r="AG204" s="110" t="n"/>
      <c r="AH204" s="110" t="n">
        <v>14</v>
      </c>
      <c r="AI204" s="110" t="n"/>
      <c r="AJ204" s="110" t="n"/>
      <c r="AK204" s="110" t="n"/>
      <c r="AL204" s="110" t="n"/>
      <c r="AM204" s="110" t="n"/>
      <c r="AN204" s="110" t="n"/>
      <c r="AO204" s="110" t="n"/>
      <c r="AP204" s="110" t="n"/>
      <c r="AQ204" s="110" t="n"/>
      <c r="AR204" s="110" t="n"/>
      <c r="AS204" s="110" t="n"/>
      <c r="AT204" s="110" t="n"/>
      <c r="AU204" s="110" t="n"/>
      <c r="AV204" s="110" t="n"/>
      <c r="AW204" s="110" t="n"/>
      <c r="AX204" s="110" t="n"/>
      <c r="AY204" s="110" t="n"/>
      <c r="AZ204" s="110" t="n"/>
      <c r="BA204" s="110" t="n"/>
      <c r="BB204" s="110" t="n"/>
      <c r="BC204" t="inlineStr">
        <is>
          <t>ORIGINAL</t>
        </is>
      </c>
      <c r="BD204" t="n">
        <v>195</v>
      </c>
      <c r="BF204" s="109">
        <f>IF($BD204="","",SUMIF($BD$6:$BD$2000,$BD204,$J$6:$J$2000))</f>
        <v/>
      </c>
    </row>
    <row r="205" ht="19.5" customHeight="1">
      <c r="A205" s="96" t="inlineStr">
        <is>
          <t>PENDENTE</t>
        </is>
      </c>
      <c r="B205" s="26" t="inlineStr">
        <is>
          <t>RIACHUELO</t>
        </is>
      </c>
      <c r="C205" s="27" t="n">
        <v>205</v>
      </c>
      <c r="D205" s="26" t="inlineStr">
        <is>
          <t>CABO FRIO LAGOS SH</t>
        </is>
      </c>
      <c r="E205" s="26" t="inlineStr">
        <is>
          <t>CABO FRIO</t>
        </is>
      </c>
      <c r="F205" s="27" t="inlineStr">
        <is>
          <t>RJ</t>
        </is>
      </c>
      <c r="G205" s="107" t="n">
        <v>46235</v>
      </c>
      <c r="H205" s="108">
        <f>IF($B205="","",SUM($K205:$AG205)+SUM($AS205:$BB205))</f>
        <v/>
      </c>
      <c r="I205" s="108">
        <f>IF($B205="","",SUM($AH205:$AL205))</f>
        <v/>
      </c>
      <c r="J205" s="109">
        <f>IF($B205="","",SUMPRODUCT($K205:$BB205,$K$2:$BB$2))</f>
        <v/>
      </c>
      <c r="K205" s="110" t="n">
        <v>21</v>
      </c>
      <c r="L205" s="110" t="n"/>
      <c r="M205" s="110" t="n"/>
      <c r="N205" s="110" t="n">
        <v>1</v>
      </c>
      <c r="O205" s="110" t="n"/>
      <c r="P205" s="110" t="n"/>
      <c r="Q205" s="110" t="n"/>
      <c r="R205" s="110" t="n"/>
      <c r="S205" s="110" t="n"/>
      <c r="T205" s="110" t="n"/>
      <c r="U205" s="110" t="n"/>
      <c r="V205" s="110" t="n"/>
      <c r="W205" s="110" t="n"/>
      <c r="X205" s="110" t="n"/>
      <c r="Y205" s="110" t="n"/>
      <c r="Z205" s="110" t="n"/>
      <c r="AA205" s="110" t="n">
        <v>15</v>
      </c>
      <c r="AB205" s="110" t="n"/>
      <c r="AC205" s="110" t="n"/>
      <c r="AD205" s="110" t="n"/>
      <c r="AE205" s="110" t="n"/>
      <c r="AF205" s="110" t="n">
        <v>1</v>
      </c>
      <c r="AG205" s="110" t="n"/>
      <c r="AH205" s="110" t="n">
        <v>27</v>
      </c>
      <c r="AI205" s="110" t="n"/>
      <c r="AJ205" s="110" t="n"/>
      <c r="AK205" s="110" t="n"/>
      <c r="AL205" s="110" t="n"/>
      <c r="AM205" s="110" t="n"/>
      <c r="AN205" s="110" t="n"/>
      <c r="AO205" s="110" t="n"/>
      <c r="AP205" s="110" t="n"/>
      <c r="AQ205" s="110" t="n"/>
      <c r="AR205" s="110" t="n"/>
      <c r="AS205" s="110" t="n"/>
      <c r="AT205" s="110" t="n"/>
      <c r="AU205" s="110" t="n"/>
      <c r="AV205" s="110" t="n"/>
      <c r="AW205" s="110" t="n"/>
      <c r="AX205" s="110" t="n"/>
      <c r="AY205" s="110" t="n"/>
      <c r="AZ205" s="110" t="n"/>
      <c r="BA205" s="110" t="n"/>
      <c r="BB205" s="110" t="n"/>
      <c r="BC205" t="inlineStr">
        <is>
          <t>ORIGINAL</t>
        </is>
      </c>
      <c r="BD205" t="n">
        <v>196</v>
      </c>
      <c r="BF205" s="109">
        <f>IF($BD205="","",SUMIF($BD$6:$BD$2000,$BD205,$J$6:$J$2000))</f>
        <v/>
      </c>
    </row>
    <row r="206" ht="19.5" customHeight="1">
      <c r="A206" s="96" t="inlineStr">
        <is>
          <t>PENDENTE</t>
        </is>
      </c>
      <c r="B206" s="26" t="inlineStr">
        <is>
          <t>RIACHUELO</t>
        </is>
      </c>
      <c r="C206" s="27" t="n">
        <v>206</v>
      </c>
      <c r="D206" s="26" t="inlineStr">
        <is>
          <t>RIBEIRÃO PRETO - SHOPPING IGUATEMI</t>
        </is>
      </c>
      <c r="E206" s="26" t="inlineStr">
        <is>
          <t>RIBEIRAO PRETO</t>
        </is>
      </c>
      <c r="F206" s="27" t="inlineStr">
        <is>
          <t>SP</t>
        </is>
      </c>
      <c r="G206" s="107" t="n">
        <v>46388</v>
      </c>
      <c r="H206" s="108">
        <f>IF($B206="","",SUM($K206:$AG206)+SUM($AS206:$BB206))</f>
        <v/>
      </c>
      <c r="I206" s="108">
        <f>IF($B206="","",SUM($AH206:$AL206))</f>
        <v/>
      </c>
      <c r="J206" s="109">
        <f>IF($B206="","",SUMPRODUCT($K206:$BB206,$K$2:$BB$2))</f>
        <v/>
      </c>
      <c r="K206" s="110" t="n">
        <v>4</v>
      </c>
      <c r="L206" s="110" t="n"/>
      <c r="M206" s="110" t="n">
        <v>9</v>
      </c>
      <c r="N206" s="110" t="n"/>
      <c r="O206" s="110" t="n"/>
      <c r="P206" s="110" t="n"/>
      <c r="Q206" s="110" t="n"/>
      <c r="R206" s="110" t="n"/>
      <c r="S206" s="110" t="n"/>
      <c r="T206" s="110" t="n"/>
      <c r="U206" s="110" t="n"/>
      <c r="V206" s="110" t="n"/>
      <c r="W206" s="110" t="n"/>
      <c r="X206" s="110" t="n"/>
      <c r="Y206" s="110" t="n"/>
      <c r="Z206" s="110" t="n"/>
      <c r="AA206" s="110" t="n">
        <v>2</v>
      </c>
      <c r="AB206" s="110" t="n"/>
      <c r="AC206" s="110" t="n"/>
      <c r="AD206" s="110" t="n"/>
      <c r="AE206" s="110" t="n"/>
      <c r="AF206" s="110" t="n"/>
      <c r="AG206" s="110" t="n"/>
      <c r="AH206" s="110" t="n">
        <v>20</v>
      </c>
      <c r="AI206" s="110" t="n"/>
      <c r="AJ206" s="110" t="n"/>
      <c r="AK206" s="110" t="n"/>
      <c r="AL206" s="110" t="n"/>
      <c r="AM206" s="110" t="n"/>
      <c r="AN206" s="110" t="n"/>
      <c r="AO206" s="110" t="n"/>
      <c r="AP206" s="110" t="n"/>
      <c r="AQ206" s="110" t="n"/>
      <c r="AR206" s="110" t="n"/>
      <c r="AS206" s="110" t="n"/>
      <c r="AT206" s="110" t="n"/>
      <c r="AU206" s="110" t="n"/>
      <c r="AV206" s="110" t="n"/>
      <c r="AW206" s="110" t="n"/>
      <c r="AX206" s="110" t="n"/>
      <c r="AY206" s="110" t="n"/>
      <c r="AZ206" s="110" t="n"/>
      <c r="BA206" s="110" t="n"/>
      <c r="BB206" s="110" t="n"/>
      <c r="BC206" t="inlineStr">
        <is>
          <t>ORIGINAL</t>
        </is>
      </c>
      <c r="BD206" t="n">
        <v>197</v>
      </c>
      <c r="BF206" s="109">
        <f>IF($BD206="","",SUMIF($BD$6:$BD$2000,$BD206,$J$6:$J$2000))</f>
        <v/>
      </c>
    </row>
    <row r="207" ht="19.5" customHeight="1">
      <c r="A207" s="96" t="inlineStr">
        <is>
          <t>PENDENTE</t>
        </is>
      </c>
      <c r="B207" s="26" t="inlineStr">
        <is>
          <t>RIACHUELO</t>
        </is>
      </c>
      <c r="C207" s="27" t="n">
        <v>207</v>
      </c>
      <c r="D207" s="26" t="inlineStr">
        <is>
          <t>SULACAP SH</t>
        </is>
      </c>
      <c r="E207" s="26" t="inlineStr">
        <is>
          <t>RIO DE JANEIRO</t>
        </is>
      </c>
      <c r="F207" s="27" t="inlineStr">
        <is>
          <t>RJ</t>
        </is>
      </c>
      <c r="G207" s="107" t="n">
        <v>46388</v>
      </c>
      <c r="H207" s="108">
        <f>IF($B207="","",SUM($K207:$AG207)+SUM($AS207:$BB207))</f>
        <v/>
      </c>
      <c r="I207" s="108">
        <f>IF($B207="","",SUM($AH207:$AL207))</f>
        <v/>
      </c>
      <c r="J207" s="109">
        <f>IF($B207="","",SUMPRODUCT($K207:$BB207,$K$2:$BB$2))</f>
        <v/>
      </c>
      <c r="K207" s="110" t="n"/>
      <c r="L207" s="110" t="n"/>
      <c r="M207" s="110" t="n"/>
      <c r="N207" s="110" t="n">
        <v>10</v>
      </c>
      <c r="O207" s="110" t="n"/>
      <c r="P207" s="110" t="n"/>
      <c r="Q207" s="110" t="n"/>
      <c r="R207" s="110" t="n"/>
      <c r="S207" s="110" t="n"/>
      <c r="T207" s="110" t="n"/>
      <c r="U207" s="110" t="n">
        <v>7</v>
      </c>
      <c r="V207" s="110" t="n"/>
      <c r="W207" s="110" t="n"/>
      <c r="X207" s="110" t="n"/>
      <c r="Y207" s="110" t="n"/>
      <c r="Z207" s="110" t="n"/>
      <c r="AA207" s="110" t="n">
        <v>5</v>
      </c>
      <c r="AB207" s="110" t="n"/>
      <c r="AC207" s="110" t="n"/>
      <c r="AD207" s="110" t="n"/>
      <c r="AE207" s="110" t="n"/>
      <c r="AF207" s="110" t="n"/>
      <c r="AG207" s="110" t="n"/>
      <c r="AH207" s="110" t="n">
        <v>24</v>
      </c>
      <c r="AI207" s="110" t="n"/>
      <c r="AJ207" s="110" t="n"/>
      <c r="AK207" s="110" t="n"/>
      <c r="AL207" s="110" t="n"/>
      <c r="AM207" s="110" t="n"/>
      <c r="AN207" s="110" t="n"/>
      <c r="AO207" s="110" t="n"/>
      <c r="AP207" s="110" t="n"/>
      <c r="AQ207" s="110" t="n"/>
      <c r="AR207" s="110" t="n"/>
      <c r="AS207" s="110" t="n"/>
      <c r="AT207" s="110" t="n"/>
      <c r="AU207" s="110" t="n"/>
      <c r="AV207" s="110" t="n"/>
      <c r="AW207" s="110" t="n"/>
      <c r="AX207" s="110" t="n"/>
      <c r="AY207" s="110" t="n"/>
      <c r="AZ207" s="110" t="n"/>
      <c r="BA207" s="110" t="n"/>
      <c r="BB207" s="110" t="n"/>
      <c r="BC207" t="inlineStr">
        <is>
          <t>ORIGINAL</t>
        </is>
      </c>
      <c r="BD207" t="n">
        <v>198</v>
      </c>
      <c r="BF207" s="109">
        <f>IF($BD207="","",SUMIF($BD$6:$BD$2000,$BD207,$J$6:$J$2000))</f>
        <v/>
      </c>
    </row>
    <row r="208" ht="19.5" customHeight="1">
      <c r="A208" s="96" t="inlineStr">
        <is>
          <t>PENDENTE</t>
        </is>
      </c>
      <c r="B208" s="26" t="inlineStr">
        <is>
          <t>RIACHUELO</t>
        </is>
      </c>
      <c r="C208" s="27" t="n">
        <v>208</v>
      </c>
      <c r="D208" s="26" t="inlineStr">
        <is>
          <t>ITABORAI PLAZA SH</t>
        </is>
      </c>
      <c r="E208" s="26" t="inlineStr">
        <is>
          <t>ITABORAÍ</t>
        </is>
      </c>
      <c r="F208" s="27" t="inlineStr">
        <is>
          <t>RJ</t>
        </is>
      </c>
      <c r="G208" s="107" t="n">
        <v>46082</v>
      </c>
      <c r="H208" s="108">
        <f>IF($B208="","",SUM($K208:$AG208)+SUM($AS208:$BB208))</f>
        <v/>
      </c>
      <c r="I208" s="108">
        <f>IF($B208="","",SUM($AH208:$AL208))</f>
        <v/>
      </c>
      <c r="J208" s="109">
        <f>IF($B208="","",SUMPRODUCT($K208:$BB208,$K$2:$BB$2))</f>
        <v/>
      </c>
      <c r="K208" s="110" t="n">
        <v>7</v>
      </c>
      <c r="L208" s="110" t="n"/>
      <c r="M208" s="110" t="n"/>
      <c r="N208" s="110" t="n">
        <v>5</v>
      </c>
      <c r="O208" s="110" t="n"/>
      <c r="P208" s="110" t="n"/>
      <c r="Q208" s="110" t="n"/>
      <c r="R208" s="110" t="n"/>
      <c r="S208" s="110" t="n"/>
      <c r="T208" s="110" t="n"/>
      <c r="U208" s="110" t="n"/>
      <c r="V208" s="110" t="n"/>
      <c r="W208" s="110" t="n"/>
      <c r="X208" s="110" t="n"/>
      <c r="Y208" s="110" t="n"/>
      <c r="Z208" s="110" t="n"/>
      <c r="AA208" s="110" t="n">
        <v>5</v>
      </c>
      <c r="AB208" s="110" t="n"/>
      <c r="AC208" s="110" t="n"/>
      <c r="AD208" s="110" t="n"/>
      <c r="AE208" s="110" t="n"/>
      <c r="AF208" s="110" t="n"/>
      <c r="AG208" s="110" t="n"/>
      <c r="AH208" s="110" t="n">
        <v>18</v>
      </c>
      <c r="AI208" s="110" t="n"/>
      <c r="AJ208" s="110" t="n"/>
      <c r="AK208" s="110" t="n"/>
      <c r="AL208" s="110" t="n"/>
      <c r="AM208" s="110" t="n"/>
      <c r="AN208" s="110" t="n"/>
      <c r="AO208" s="110" t="n"/>
      <c r="AP208" s="110" t="n"/>
      <c r="AQ208" s="110" t="n"/>
      <c r="AR208" s="110" t="n"/>
      <c r="AS208" s="110" t="n"/>
      <c r="AT208" s="110" t="n"/>
      <c r="AU208" s="110" t="n"/>
      <c r="AV208" s="110" t="n"/>
      <c r="AW208" s="110" t="n"/>
      <c r="AX208" s="110" t="n"/>
      <c r="AY208" s="110" t="n"/>
      <c r="AZ208" s="110" t="n"/>
      <c r="BA208" s="110" t="n"/>
      <c r="BB208" s="110" t="n"/>
      <c r="BC208" t="inlineStr">
        <is>
          <t>ORIGINAL</t>
        </is>
      </c>
      <c r="BD208" t="n">
        <v>199</v>
      </c>
      <c r="BF208" s="109">
        <f>IF($BD208="","",SUMIF($BD$6:$BD$2000,$BD208,$J$6:$J$2000))</f>
        <v/>
      </c>
    </row>
    <row r="209" ht="19.5" customHeight="1">
      <c r="A209" s="96" t="inlineStr">
        <is>
          <t>PENDENTE</t>
        </is>
      </c>
      <c r="B209" s="26" t="inlineStr">
        <is>
          <t>RIACHUELO</t>
        </is>
      </c>
      <c r="C209" s="27" t="n">
        <v>209</v>
      </c>
      <c r="D209" s="26" t="inlineStr">
        <is>
          <t>PORTO VELHO SH</t>
        </is>
      </c>
      <c r="E209" s="26" t="inlineStr">
        <is>
          <t>PORTO VELHO</t>
        </is>
      </c>
      <c r="F209" s="27" t="inlineStr">
        <is>
          <t>RO</t>
        </is>
      </c>
      <c r="G209" s="107" t="n">
        <v>46296</v>
      </c>
      <c r="H209" s="108">
        <f>IF($B209="","",SUM($K209:$AG209)+SUM($AS209:$BB209))</f>
        <v/>
      </c>
      <c r="I209" s="108">
        <f>IF($B209="","",SUM($AH209:$AL209))</f>
        <v/>
      </c>
      <c r="J209" s="109">
        <f>IF($B209="","",SUMPRODUCT($K209:$BB209,$K$2:$BB$2))</f>
        <v/>
      </c>
      <c r="K209" s="110" t="n"/>
      <c r="L209" s="110" t="n"/>
      <c r="M209" s="110" t="n"/>
      <c r="N209" s="110" t="n">
        <v>13</v>
      </c>
      <c r="O209" s="110" t="n"/>
      <c r="P209" s="110" t="n">
        <v>6</v>
      </c>
      <c r="Q209" s="110" t="n"/>
      <c r="R209" s="110" t="n"/>
      <c r="S209" s="110" t="n"/>
      <c r="T209" s="110" t="n"/>
      <c r="U209" s="110" t="n"/>
      <c r="V209" s="110" t="n"/>
      <c r="W209" s="110" t="n"/>
      <c r="X209" s="110" t="n"/>
      <c r="Y209" s="110" t="n"/>
      <c r="Z209" s="110" t="n"/>
      <c r="AA209" s="110" t="n">
        <v>8</v>
      </c>
      <c r="AB209" s="110" t="n"/>
      <c r="AC209" s="110" t="n"/>
      <c r="AD209" s="110" t="n"/>
      <c r="AE209" s="110" t="n"/>
      <c r="AF209" s="110" t="n"/>
      <c r="AG209" s="110" t="n"/>
      <c r="AH209" s="110" t="n">
        <v>24</v>
      </c>
      <c r="AI209" s="110" t="n"/>
      <c r="AJ209" s="110" t="n"/>
      <c r="AK209" s="110" t="n"/>
      <c r="AL209" s="110" t="n"/>
      <c r="AM209" s="110" t="n"/>
      <c r="AN209" s="110" t="n"/>
      <c r="AO209" s="110" t="n"/>
      <c r="AP209" s="110" t="n"/>
      <c r="AQ209" s="110" t="n"/>
      <c r="AR209" s="110" t="n"/>
      <c r="AS209" s="110" t="n"/>
      <c r="AT209" s="110" t="n"/>
      <c r="AU209" s="110" t="n"/>
      <c r="AV209" s="110" t="n"/>
      <c r="AW209" s="110" t="n"/>
      <c r="AX209" s="110" t="n"/>
      <c r="AY209" s="110" t="n"/>
      <c r="AZ209" s="110" t="n"/>
      <c r="BA209" s="110" t="n"/>
      <c r="BB209" s="110" t="n"/>
      <c r="BC209" t="inlineStr">
        <is>
          <t>ORIGINAL</t>
        </is>
      </c>
      <c r="BD209" t="n">
        <v>200</v>
      </c>
      <c r="BF209" s="109">
        <f>IF($BD209="","",SUMIF($BD$6:$BD$2000,$BD209,$J$6:$J$2000))</f>
        <v/>
      </c>
    </row>
    <row r="210" ht="19.5" customHeight="1">
      <c r="A210" s="96" t="inlineStr">
        <is>
          <t>PENDENTE</t>
        </is>
      </c>
      <c r="B210" s="26" t="inlineStr">
        <is>
          <t>RIACHUELO</t>
        </is>
      </c>
      <c r="C210" s="27" t="n">
        <v>28</v>
      </c>
      <c r="D210" s="26" t="inlineStr">
        <is>
          <t>BOURBON WALLIIG SH</t>
        </is>
      </c>
      <c r="E210" s="26" t="inlineStr">
        <is>
          <t>PORTO ALEGRE</t>
        </is>
      </c>
      <c r="F210" s="27" t="inlineStr">
        <is>
          <t>RS</t>
        </is>
      </c>
      <c r="G210" s="107" t="n">
        <v>46235</v>
      </c>
      <c r="H210" s="108">
        <f>IF($B210="","",SUM($K210:$AG210)+SUM($AS210:$BB210))</f>
        <v/>
      </c>
      <c r="I210" s="108">
        <f>IF($B210="","",SUM($AH210:$AL210))</f>
        <v/>
      </c>
      <c r="J210" s="109">
        <f>IF($B210="","",SUMPRODUCT($K210:$BB210,$K$2:$BB$2))</f>
        <v/>
      </c>
      <c r="K210" s="110" t="n">
        <v>12</v>
      </c>
      <c r="L210" s="110" t="n"/>
      <c r="M210" s="110" t="n">
        <v>3</v>
      </c>
      <c r="N210" s="110" t="n"/>
      <c r="O210" s="110" t="n"/>
      <c r="P210" s="110" t="n"/>
      <c r="Q210" s="110" t="n"/>
      <c r="R210" s="110" t="n"/>
      <c r="S210" s="110" t="n"/>
      <c r="T210" s="110" t="n"/>
      <c r="U210" s="110" t="n"/>
      <c r="V210" s="110" t="n"/>
      <c r="W210" s="110" t="n"/>
      <c r="X210" s="110" t="n"/>
      <c r="Y210" s="110" t="n"/>
      <c r="Z210" s="110" t="n"/>
      <c r="AA210" s="110" t="n">
        <v>11</v>
      </c>
      <c r="AB210" s="110" t="n"/>
      <c r="AC210" s="110" t="n"/>
      <c r="AD210" s="110" t="n"/>
      <c r="AE210" s="110" t="n"/>
      <c r="AF210" s="110" t="n"/>
      <c r="AG210" s="110" t="n"/>
      <c r="AH210" s="110" t="n">
        <v>40</v>
      </c>
      <c r="AI210" s="110" t="n"/>
      <c r="AJ210" s="110" t="n"/>
      <c r="AK210" s="110" t="n"/>
      <c r="AL210" s="110" t="n"/>
      <c r="AM210" s="110" t="n"/>
      <c r="AN210" s="110" t="n"/>
      <c r="AO210" s="110" t="n"/>
      <c r="AP210" s="110" t="n"/>
      <c r="AQ210" s="110" t="n"/>
      <c r="AR210" s="110" t="n"/>
      <c r="AS210" s="110" t="n"/>
      <c r="AT210" s="110" t="n"/>
      <c r="AU210" s="110" t="n"/>
      <c r="AV210" s="110" t="n"/>
      <c r="AW210" s="110" t="n"/>
      <c r="AX210" s="110" t="n"/>
      <c r="AY210" s="110" t="n"/>
      <c r="AZ210" s="110" t="n"/>
      <c r="BA210" s="110" t="n"/>
      <c r="BB210" s="110" t="n"/>
      <c r="BC210" t="inlineStr">
        <is>
          <t>ORIGINAL</t>
        </is>
      </c>
      <c r="BD210" t="n">
        <v>201</v>
      </c>
      <c r="BF210" s="109">
        <f>IF($BD210="","",SUMIF($BD$6:$BD$2000,$BD210,$J$6:$J$2000))</f>
        <v/>
      </c>
    </row>
    <row r="211" ht="19.5" customHeight="1">
      <c r="A211" s="96" t="inlineStr">
        <is>
          <t>PENDENTE</t>
        </is>
      </c>
      <c r="B211" s="26" t="inlineStr">
        <is>
          <t>RIACHUELO</t>
        </is>
      </c>
      <c r="C211" s="27" t="n">
        <v>212</v>
      </c>
      <c r="D211" s="26" t="inlineStr">
        <is>
          <t>FREI CANECA SH</t>
        </is>
      </c>
      <c r="E211" s="26" t="inlineStr">
        <is>
          <t>SÃO PAULO</t>
        </is>
      </c>
      <c r="F211" s="27" t="inlineStr">
        <is>
          <t>SP</t>
        </is>
      </c>
      <c r="G211" s="107" t="n">
        <v>46204</v>
      </c>
      <c r="H211" s="108">
        <f>IF($B211="","",SUM($K211:$AG211)+SUM($AS211:$BB211))</f>
        <v/>
      </c>
      <c r="I211" s="108">
        <f>IF($B211="","",SUM($AH211:$AL211))</f>
        <v/>
      </c>
      <c r="J211" s="109">
        <f>IF($B211="","",SUMPRODUCT($K211:$BB211,$K$2:$BB$2))</f>
        <v/>
      </c>
      <c r="K211" s="110" t="n">
        <v>6</v>
      </c>
      <c r="L211" s="110" t="n"/>
      <c r="M211" s="110" t="n"/>
      <c r="N211" s="110" t="n">
        <v>6</v>
      </c>
      <c r="O211" s="110" t="n"/>
      <c r="P211" s="110" t="n"/>
      <c r="Q211" s="110" t="n"/>
      <c r="R211" s="110" t="n"/>
      <c r="S211" s="110" t="n"/>
      <c r="T211" s="110" t="n"/>
      <c r="U211" s="110" t="n"/>
      <c r="V211" s="110" t="n"/>
      <c r="W211" s="110" t="n"/>
      <c r="X211" s="110" t="n"/>
      <c r="Y211" s="110" t="n"/>
      <c r="Z211" s="110" t="n"/>
      <c r="AA211" s="110" t="n">
        <v>6</v>
      </c>
      <c r="AB211" s="110" t="n"/>
      <c r="AC211" s="110" t="n"/>
      <c r="AD211" s="110" t="n"/>
      <c r="AE211" s="110" t="n"/>
      <c r="AF211" s="110" t="n"/>
      <c r="AG211" s="110" t="n"/>
      <c r="AH211" s="110" t="n"/>
      <c r="AI211" s="110" t="n">
        <v>8</v>
      </c>
      <c r="AJ211" s="110" t="n"/>
      <c r="AK211" s="110" t="n"/>
      <c r="AL211" s="110" t="n"/>
      <c r="AM211" s="110" t="n"/>
      <c r="AN211" s="110" t="n"/>
      <c r="AO211" s="110" t="n"/>
      <c r="AP211" s="110" t="n"/>
      <c r="AQ211" s="110" t="n"/>
      <c r="AR211" s="110" t="n"/>
      <c r="AS211" s="110" t="n"/>
      <c r="AT211" s="110" t="n"/>
      <c r="AU211" s="110" t="n"/>
      <c r="AV211" s="110" t="n"/>
      <c r="AW211" s="110" t="n"/>
      <c r="AX211" s="110" t="n"/>
      <c r="AY211" s="110" t="n"/>
      <c r="AZ211" s="110" t="n"/>
      <c r="BA211" s="110" t="n"/>
      <c r="BB211" s="110" t="n"/>
      <c r="BC211" t="inlineStr">
        <is>
          <t>ORIGINAL</t>
        </is>
      </c>
      <c r="BD211" t="n">
        <v>202</v>
      </c>
      <c r="BF211" s="109">
        <f>IF($BD211="","",SUMIF($BD$6:$BD$2000,$BD211,$J$6:$J$2000))</f>
        <v/>
      </c>
    </row>
    <row r="212" ht="19.5" customHeight="1">
      <c r="A212" s="96" t="inlineStr">
        <is>
          <t>PENDENTE</t>
        </is>
      </c>
      <c r="B212" s="26" t="inlineStr">
        <is>
          <t>RIACHUELO</t>
        </is>
      </c>
      <c r="C212" s="27" t="n">
        <v>213</v>
      </c>
      <c r="D212" s="26" t="inlineStr">
        <is>
          <t>TIETÊ PLAZA SHOPPING</t>
        </is>
      </c>
      <c r="E212" s="26" t="inlineStr">
        <is>
          <t>SÃO PAULO</t>
        </is>
      </c>
      <c r="F212" s="27" t="inlineStr">
        <is>
          <t>SP</t>
        </is>
      </c>
      <c r="G212" s="107" t="n">
        <v>46054</v>
      </c>
      <c r="H212" s="108">
        <f>IF($B212="","",SUM($K212:$AG212)+SUM($AS212:$BB212))</f>
        <v/>
      </c>
      <c r="I212" s="108">
        <f>IF($B212="","",SUM($AH212:$AL212))</f>
        <v/>
      </c>
      <c r="J212" s="109">
        <f>IF($B212="","",SUMPRODUCT($K212:$BB212,$K$2:$BB$2))</f>
        <v/>
      </c>
      <c r="K212" s="110" t="n">
        <v>19</v>
      </c>
      <c r="L212" s="110" t="n"/>
      <c r="M212" s="110" t="n">
        <v>5</v>
      </c>
      <c r="N212" s="110" t="n"/>
      <c r="O212" s="110" t="n"/>
      <c r="P212" s="110" t="n"/>
      <c r="Q212" s="110" t="n"/>
      <c r="R212" s="110" t="n"/>
      <c r="S212" s="110" t="n"/>
      <c r="T212" s="110" t="n"/>
      <c r="U212" s="110" t="n"/>
      <c r="V212" s="110" t="n"/>
      <c r="W212" s="110" t="n"/>
      <c r="X212" s="110" t="n"/>
      <c r="Y212" s="110" t="n"/>
      <c r="Z212" s="110" t="n"/>
      <c r="AA212" s="110" t="n">
        <v>10</v>
      </c>
      <c r="AB212" s="110" t="n"/>
      <c r="AC212" s="110" t="n"/>
      <c r="AD212" s="110" t="n"/>
      <c r="AE212" s="110" t="n"/>
      <c r="AF212" s="110" t="n"/>
      <c r="AG212" s="110" t="n"/>
      <c r="AH212" s="110" t="n">
        <v>10</v>
      </c>
      <c r="AI212" s="110" t="n"/>
      <c r="AJ212" s="110" t="n"/>
      <c r="AK212" s="110" t="n"/>
      <c r="AL212" s="110" t="n"/>
      <c r="AM212" s="110" t="n"/>
      <c r="AN212" s="110" t="n"/>
      <c r="AO212" s="110" t="n"/>
      <c r="AP212" s="110" t="n"/>
      <c r="AQ212" s="110" t="n"/>
      <c r="AR212" s="110" t="n"/>
      <c r="AS212" s="110" t="n"/>
      <c r="AT212" s="110" t="n"/>
      <c r="AU212" s="110" t="n"/>
      <c r="AV212" s="110" t="n"/>
      <c r="AW212" s="110" t="n"/>
      <c r="AX212" s="110" t="n"/>
      <c r="AY212" s="110" t="n"/>
      <c r="AZ212" s="110" t="n"/>
      <c r="BA212" s="110" t="n"/>
      <c r="BB212" s="110" t="n"/>
      <c r="BC212" t="inlineStr">
        <is>
          <t>ORIGINAL</t>
        </is>
      </c>
      <c r="BD212" t="n">
        <v>203</v>
      </c>
      <c r="BF212" s="109">
        <f>IF($BD212="","",SUMIF($BD$6:$BD$2000,$BD212,$J$6:$J$2000))</f>
        <v/>
      </c>
    </row>
    <row r="213" ht="19.5" customHeight="1">
      <c r="A213" s="96" t="inlineStr">
        <is>
          <t>PENDENTE</t>
        </is>
      </c>
      <c r="B213" s="26" t="inlineStr">
        <is>
          <t>RIACHUELO</t>
        </is>
      </c>
      <c r="C213" s="27" t="n">
        <v>215</v>
      </c>
      <c r="D213" s="26" t="inlineStr">
        <is>
          <t>NITEROI PLAZA SH</t>
        </is>
      </c>
      <c r="E213" s="26" t="inlineStr">
        <is>
          <t>NITEROI</t>
        </is>
      </c>
      <c r="F213" s="27" t="inlineStr">
        <is>
          <t>RJ</t>
        </is>
      </c>
      <c r="G213" s="107" t="n">
        <v>46143</v>
      </c>
      <c r="H213" s="108">
        <f>IF($B213="","",SUM($K213:$AG213)+SUM($AS213:$BB213))</f>
        <v/>
      </c>
      <c r="I213" s="108">
        <f>IF($B213="","",SUM($AH213:$AL213))</f>
        <v/>
      </c>
      <c r="J213" s="109">
        <f>IF($B213="","",SUMPRODUCT($K213:$BB213,$K$2:$BB$2))</f>
        <v/>
      </c>
      <c r="K213" s="110" t="n">
        <v>7</v>
      </c>
      <c r="L213" s="110" t="n"/>
      <c r="M213" s="110" t="n"/>
      <c r="N213" s="110" t="n">
        <v>14</v>
      </c>
      <c r="O213" s="110" t="n"/>
      <c r="P213" s="110" t="n"/>
      <c r="Q213" s="110" t="n"/>
      <c r="R213" s="110" t="n"/>
      <c r="S213" s="110" t="n"/>
      <c r="T213" s="110" t="n"/>
      <c r="U213" s="110" t="n"/>
      <c r="V213" s="110" t="n"/>
      <c r="W213" s="110" t="n"/>
      <c r="X213" s="110" t="n"/>
      <c r="Y213" s="110" t="n"/>
      <c r="Z213" s="110" t="n"/>
      <c r="AA213" s="110" t="n">
        <v>5</v>
      </c>
      <c r="AB213" s="110" t="n"/>
      <c r="AC213" s="110" t="n"/>
      <c r="AD213" s="110" t="n"/>
      <c r="AE213" s="110" t="n"/>
      <c r="AF213" s="110" t="n"/>
      <c r="AG213" s="110" t="n"/>
      <c r="AH213" s="110" t="n">
        <v>12</v>
      </c>
      <c r="AI213" s="110" t="n"/>
      <c r="AJ213" s="110" t="n">
        <v>8</v>
      </c>
      <c r="AK213" s="110" t="n"/>
      <c r="AL213" s="110" t="n"/>
      <c r="AM213" s="110" t="n"/>
      <c r="AN213" s="110" t="n"/>
      <c r="AO213" s="110" t="n"/>
      <c r="AP213" s="110" t="n"/>
      <c r="AQ213" s="110" t="n"/>
      <c r="AR213" s="110" t="n"/>
      <c r="AS213" s="110" t="n"/>
      <c r="AT213" s="110" t="n"/>
      <c r="AU213" s="110" t="n"/>
      <c r="AV213" s="110" t="n"/>
      <c r="AW213" s="110" t="n"/>
      <c r="AX213" s="110" t="n"/>
      <c r="AY213" s="110" t="n"/>
      <c r="AZ213" s="110" t="n"/>
      <c r="BA213" s="110" t="n"/>
      <c r="BB213" s="110" t="n"/>
      <c r="BC213" t="inlineStr">
        <is>
          <t>ORIGINAL</t>
        </is>
      </c>
      <c r="BD213" t="n">
        <v>204</v>
      </c>
      <c r="BF213" s="109">
        <f>IF($BD213="","",SUMIF($BD$6:$BD$2000,$BD213,$J$6:$J$2000))</f>
        <v/>
      </c>
    </row>
    <row r="214" ht="19.5" customHeight="1">
      <c r="A214" s="96" t="inlineStr">
        <is>
          <t>PENDENTE</t>
        </is>
      </c>
      <c r="B214" s="26" t="inlineStr">
        <is>
          <t>RIACHUELO</t>
        </is>
      </c>
      <c r="C214" s="27" t="n">
        <v>216</v>
      </c>
      <c r="D214" s="26" t="inlineStr">
        <is>
          <t>RECIFE RUA NOVA</t>
        </is>
      </c>
      <c r="E214" s="26" t="inlineStr">
        <is>
          <t>RECIFE</t>
        </is>
      </c>
      <c r="F214" s="27" t="inlineStr">
        <is>
          <t>PE</t>
        </is>
      </c>
      <c r="G214" s="107" t="n">
        <v>46142</v>
      </c>
      <c r="H214" s="108">
        <f>IF($B214="","",SUM($K214:$AG214)+SUM($AS214:$BB214))</f>
        <v/>
      </c>
      <c r="I214" s="108">
        <f>IF($B214="","",SUM($AH214:$AL214))</f>
        <v/>
      </c>
      <c r="J214" s="109">
        <f>IF($B214="","",SUMPRODUCT($K214:$BB214,$K$2:$BB$2))</f>
        <v/>
      </c>
      <c r="K214" s="110" t="n">
        <v>6</v>
      </c>
      <c r="L214" s="110" t="n"/>
      <c r="M214" s="110" t="n"/>
      <c r="N214" s="110" t="n">
        <v>16</v>
      </c>
      <c r="O214" s="110" t="n"/>
      <c r="P214" s="110" t="n"/>
      <c r="Q214" s="110" t="n"/>
      <c r="R214" s="110" t="n"/>
      <c r="S214" s="110" t="n"/>
      <c r="T214" s="110" t="n"/>
      <c r="U214" s="110" t="n"/>
      <c r="V214" s="110" t="n"/>
      <c r="W214" s="110" t="n"/>
      <c r="X214" s="110" t="n"/>
      <c r="Y214" s="110" t="n"/>
      <c r="Z214" s="110" t="n"/>
      <c r="AA214" s="110" t="n">
        <v>6</v>
      </c>
      <c r="AB214" s="110" t="n"/>
      <c r="AC214" s="110" t="n"/>
      <c r="AD214" s="110" t="n"/>
      <c r="AE214" s="110" t="n"/>
      <c r="AF214" s="110" t="n"/>
      <c r="AG214" s="110" t="n"/>
      <c r="AH214" s="110" t="n"/>
      <c r="AI214" s="110" t="n"/>
      <c r="AJ214" s="110" t="n">
        <v>20</v>
      </c>
      <c r="AK214" s="110" t="n"/>
      <c r="AL214" s="110" t="n"/>
      <c r="AM214" s="110" t="n"/>
      <c r="AN214" s="110" t="n"/>
      <c r="AO214" s="110" t="n"/>
      <c r="AP214" s="110" t="n"/>
      <c r="AQ214" s="110" t="n"/>
      <c r="AR214" s="110" t="n"/>
      <c r="AS214" s="110" t="n"/>
      <c r="AT214" s="110" t="n"/>
      <c r="AU214" s="110" t="n"/>
      <c r="AV214" s="110" t="n"/>
      <c r="AW214" s="110" t="n"/>
      <c r="AX214" s="110" t="n"/>
      <c r="AY214" s="110" t="n"/>
      <c r="AZ214" s="110" t="n"/>
      <c r="BA214" s="110" t="n"/>
      <c r="BB214" s="110" t="n"/>
      <c r="BC214" t="inlineStr">
        <is>
          <t>ORIGINAL</t>
        </is>
      </c>
      <c r="BD214" t="n">
        <v>205</v>
      </c>
      <c r="BF214" s="109">
        <f>IF($BD214="","",SUMIF($BD$6:$BD$2000,$BD214,$J$6:$J$2000))</f>
        <v/>
      </c>
    </row>
    <row r="215" ht="19.5" customHeight="1">
      <c r="A215" s="96" t="inlineStr">
        <is>
          <t>PENDENTE</t>
        </is>
      </c>
      <c r="B215" s="26" t="inlineStr">
        <is>
          <t>RIACHUELO</t>
        </is>
      </c>
      <c r="C215" s="27" t="n">
        <v>218</v>
      </c>
      <c r="D215" s="26" t="inlineStr">
        <is>
          <t>SÃO BERNARDO GOLDEN SH</t>
        </is>
      </c>
      <c r="E215" s="26" t="inlineStr">
        <is>
          <t>SÃO BERNARDO DO CAMPO</t>
        </is>
      </c>
      <c r="F215" s="27" t="inlineStr">
        <is>
          <t>SP</t>
        </is>
      </c>
      <c r="G215" s="107" t="n">
        <v>46388</v>
      </c>
      <c r="H215" s="108">
        <f>IF($B215="","",SUM($K215:$AG215)+SUM($AS215:$BB215))</f>
        <v/>
      </c>
      <c r="I215" s="108">
        <f>IF($B215="","",SUM($AH215:$AL215))</f>
        <v/>
      </c>
      <c r="J215" s="109">
        <f>IF($B215="","",SUMPRODUCT($K215:$BB215,$K$2:$BB$2))</f>
        <v/>
      </c>
      <c r="K215" s="110" t="n">
        <v>5</v>
      </c>
      <c r="L215" s="110" t="n"/>
      <c r="M215" s="110" t="n">
        <v>1</v>
      </c>
      <c r="N215" s="110" t="n"/>
      <c r="O215" s="110" t="n"/>
      <c r="P215" s="110" t="n"/>
      <c r="Q215" s="110" t="n"/>
      <c r="R215" s="110" t="n"/>
      <c r="S215" s="110" t="n"/>
      <c r="T215" s="110" t="n"/>
      <c r="U215" s="110" t="n">
        <v>6</v>
      </c>
      <c r="V215" s="110" t="n"/>
      <c r="W215" s="110" t="n"/>
      <c r="X215" s="110" t="n"/>
      <c r="Y215" s="110" t="n"/>
      <c r="Z215" s="110" t="n"/>
      <c r="AA215" s="110" t="n">
        <v>3</v>
      </c>
      <c r="AB215" s="110" t="n"/>
      <c r="AC215" s="110" t="n"/>
      <c r="AD215" s="110" t="n"/>
      <c r="AE215" s="110" t="n"/>
      <c r="AF215" s="110" t="n"/>
      <c r="AG215" s="110" t="n"/>
      <c r="AH215" s="110" t="n"/>
      <c r="AI215" s="110" t="n"/>
      <c r="AJ215" s="110" t="n"/>
      <c r="AK215" s="110" t="n">
        <v>7</v>
      </c>
      <c r="AL215" s="110" t="n"/>
      <c r="AM215" s="110" t="n"/>
      <c r="AN215" s="110" t="n"/>
      <c r="AO215" s="110" t="n"/>
      <c r="AP215" s="110" t="n"/>
      <c r="AQ215" s="110" t="n"/>
      <c r="AR215" s="110" t="n"/>
      <c r="AS215" s="110" t="n"/>
      <c r="AT215" s="110" t="n"/>
      <c r="AU215" s="110" t="n"/>
      <c r="AV215" s="110" t="n"/>
      <c r="AW215" s="110" t="n"/>
      <c r="AX215" s="110" t="n"/>
      <c r="AY215" s="110" t="n"/>
      <c r="AZ215" s="110" t="n"/>
      <c r="BA215" s="110" t="n"/>
      <c r="BB215" s="110" t="n"/>
      <c r="BC215" t="inlineStr">
        <is>
          <t>ORIGINAL</t>
        </is>
      </c>
      <c r="BD215" t="n">
        <v>206</v>
      </c>
      <c r="BF215" s="109">
        <f>IF($BD215="","",SUMIF($BD$6:$BD$2000,$BD215,$J$6:$J$2000))</f>
        <v/>
      </c>
    </row>
    <row r="216" ht="19.5" customHeight="1">
      <c r="A216" s="96" t="inlineStr">
        <is>
          <t>PENDENTE</t>
        </is>
      </c>
      <c r="B216" s="26" t="inlineStr">
        <is>
          <t>RIACHUELO</t>
        </is>
      </c>
      <c r="C216" s="27" t="n">
        <v>219</v>
      </c>
      <c r="D216" s="26" t="inlineStr">
        <is>
          <t>MANGABEIRA SHOPPING CENTER</t>
        </is>
      </c>
      <c r="E216" s="26" t="inlineStr">
        <is>
          <t>JOAO PESSOA</t>
        </is>
      </c>
      <c r="F216" s="27" t="inlineStr">
        <is>
          <t>PB</t>
        </is>
      </c>
      <c r="G216" s="107" t="n">
        <v>46266</v>
      </c>
      <c r="H216" s="108">
        <f>IF($B216="","",SUM($K216:$AG216)+SUM($AS216:$BB216))</f>
        <v/>
      </c>
      <c r="I216" s="108">
        <f>IF($B216="","",SUM($AH216:$AL216))</f>
        <v/>
      </c>
      <c r="J216" s="109">
        <f>IF($B216="","",SUMPRODUCT($K216:$BB216,$K$2:$BB$2))</f>
        <v/>
      </c>
      <c r="K216" s="110" t="n">
        <v>10</v>
      </c>
      <c r="L216" s="110" t="n"/>
      <c r="M216" s="110" t="n"/>
      <c r="N216" s="110" t="n">
        <v>9</v>
      </c>
      <c r="O216" s="110" t="n"/>
      <c r="P216" s="110" t="n"/>
      <c r="Q216" s="110" t="n"/>
      <c r="R216" s="110" t="n"/>
      <c r="S216" s="110" t="n"/>
      <c r="T216" s="110" t="n"/>
      <c r="U216" s="110" t="n"/>
      <c r="V216" s="110" t="n"/>
      <c r="W216" s="110" t="n"/>
      <c r="X216" s="110" t="n"/>
      <c r="Y216" s="110" t="n"/>
      <c r="Z216" s="110" t="n"/>
      <c r="AA216" s="110" t="n">
        <v>11</v>
      </c>
      <c r="AB216" s="110" t="n"/>
      <c r="AC216" s="110" t="n"/>
      <c r="AD216" s="110" t="n"/>
      <c r="AE216" s="110" t="n"/>
      <c r="AF216" s="110" t="n"/>
      <c r="AG216" s="110" t="n"/>
      <c r="AH216" s="110" t="n">
        <v>20</v>
      </c>
      <c r="AI216" s="110" t="n"/>
      <c r="AJ216" s="110" t="n"/>
      <c r="AK216" s="110" t="n"/>
      <c r="AL216" s="110" t="n"/>
      <c r="AM216" s="110" t="n"/>
      <c r="AN216" s="110" t="n"/>
      <c r="AO216" s="110" t="n"/>
      <c r="AP216" s="110" t="n"/>
      <c r="AQ216" s="110" t="n"/>
      <c r="AR216" s="110" t="n"/>
      <c r="AS216" s="110" t="n"/>
      <c r="AT216" s="110" t="n"/>
      <c r="AU216" s="110" t="n"/>
      <c r="AV216" s="110" t="n"/>
      <c r="AW216" s="110" t="n"/>
      <c r="AX216" s="110" t="n"/>
      <c r="AY216" s="110" t="n"/>
      <c r="AZ216" s="110" t="n"/>
      <c r="BA216" s="110" t="n"/>
      <c r="BB216" s="110" t="n"/>
      <c r="BC216" t="inlineStr">
        <is>
          <t>ORIGINAL</t>
        </is>
      </c>
      <c r="BD216" t="n">
        <v>207</v>
      </c>
      <c r="BF216" s="109">
        <f>IF($BD216="","",SUMIF($BD$6:$BD$2000,$BD216,$J$6:$J$2000))</f>
        <v/>
      </c>
    </row>
    <row r="217" ht="19.5" customHeight="1">
      <c r="A217" s="96" t="inlineStr">
        <is>
          <t>PENDENTE</t>
        </is>
      </c>
      <c r="B217" s="26" t="inlineStr">
        <is>
          <t>RIACHUELO</t>
        </is>
      </c>
      <c r="C217" s="27" t="n">
        <v>220</v>
      </c>
      <c r="D217" s="26" t="inlineStr">
        <is>
          <t>CONTACT CENTER</t>
        </is>
      </c>
      <c r="E217" s="26" t="inlineStr">
        <is>
          <t>NATAL</t>
        </is>
      </c>
      <c r="F217" s="27" t="inlineStr">
        <is>
          <t>RN</t>
        </is>
      </c>
      <c r="G217" s="107" t="n">
        <v>46082</v>
      </c>
      <c r="H217" s="108">
        <f>IF($B217="","",SUM($K217:$AG217)+SUM($AS217:$BB217))</f>
        <v/>
      </c>
      <c r="I217" s="108">
        <f>IF($B217="","",SUM($AH217:$AL217))</f>
        <v/>
      </c>
      <c r="J217" s="109">
        <f>IF($B217="","",SUMPRODUCT($K217:$BB217,$K$2:$BB$2))</f>
        <v/>
      </c>
      <c r="K217" s="110" t="n">
        <v>7</v>
      </c>
      <c r="L217" s="110" t="n"/>
      <c r="M217" s="110" t="n"/>
      <c r="N217" s="110" t="n"/>
      <c r="O217" s="110" t="n"/>
      <c r="P217" s="110" t="n">
        <v>5</v>
      </c>
      <c r="Q217" s="110" t="n"/>
      <c r="R217" s="110" t="n"/>
      <c r="S217" s="110" t="n"/>
      <c r="T217" s="110" t="n"/>
      <c r="U217" s="110" t="n">
        <v>16</v>
      </c>
      <c r="V217" s="110" t="n"/>
      <c r="W217" s="110" t="n"/>
      <c r="X217" s="110" t="n"/>
      <c r="Y217" s="110" t="n"/>
      <c r="Z217" s="110" t="n"/>
      <c r="AA217" s="110" t="n">
        <v>47</v>
      </c>
      <c r="AB217" s="110" t="n"/>
      <c r="AC217" s="110" t="n"/>
      <c r="AD217" s="110" t="n"/>
      <c r="AE217" s="110" t="n"/>
      <c r="AF217" s="110" t="n"/>
      <c r="AG217" s="110" t="n"/>
      <c r="AH217" s="110" t="n">
        <v>40</v>
      </c>
      <c r="AI217" s="110" t="n"/>
      <c r="AJ217" s="110" t="n"/>
      <c r="AK217" s="110" t="n"/>
      <c r="AL217" s="110" t="n"/>
      <c r="AM217" s="110" t="n"/>
      <c r="AN217" s="110" t="n"/>
      <c r="AO217" s="110" t="n"/>
      <c r="AP217" s="110" t="n"/>
      <c r="AQ217" s="110" t="n"/>
      <c r="AR217" s="110" t="n"/>
      <c r="AS217" s="110" t="n"/>
      <c r="AT217" s="110" t="n"/>
      <c r="AU217" s="110" t="n"/>
      <c r="AV217" s="110" t="n"/>
      <c r="AW217" s="110" t="n"/>
      <c r="AX217" s="110" t="n"/>
      <c r="AY217" s="110" t="n"/>
      <c r="AZ217" s="110" t="n"/>
      <c r="BA217" s="110" t="n"/>
      <c r="BB217" s="110" t="n"/>
      <c r="BC217" t="inlineStr">
        <is>
          <t>ORIGINAL</t>
        </is>
      </c>
      <c r="BD217" t="n">
        <v>208</v>
      </c>
      <c r="BF217" s="109">
        <f>IF($BD217="","",SUMIF($BD$6:$BD$2000,$BD217,$J$6:$J$2000))</f>
        <v/>
      </c>
    </row>
    <row r="218" ht="19.5" customHeight="1">
      <c r="A218" s="96" t="inlineStr">
        <is>
          <t>PENDENTE</t>
        </is>
      </c>
      <c r="B218" s="26" t="inlineStr">
        <is>
          <t>RIACHUELO</t>
        </is>
      </c>
      <c r="C218" s="27" t="n">
        <v>220</v>
      </c>
      <c r="D218" s="26" t="inlineStr">
        <is>
          <t>CONTACT CENTER</t>
        </is>
      </c>
      <c r="E218" s="26" t="inlineStr">
        <is>
          <t>NATAL</t>
        </is>
      </c>
      <c r="F218" s="27" t="inlineStr">
        <is>
          <t>RN</t>
        </is>
      </c>
      <c r="G218" s="107" t="n">
        <v>46023</v>
      </c>
      <c r="H218" s="108">
        <f>IF($B218="","",SUM($K218:$AG218)+SUM($AS218:$BB218))</f>
        <v/>
      </c>
      <c r="I218" s="108">
        <f>IF($B218="","",SUM($AH218:$AL218))</f>
        <v/>
      </c>
      <c r="J218" s="109">
        <f>IF($B218="","",SUMPRODUCT($K218:$BB218,$K$2:$BB$2))</f>
        <v/>
      </c>
      <c r="K218" s="110" t="n">
        <v>7</v>
      </c>
      <c r="L218" s="110" t="n"/>
      <c r="M218" s="110" t="n"/>
      <c r="N218" s="110" t="n"/>
      <c r="O218" s="110" t="n"/>
      <c r="P218" s="110" t="n">
        <v>5</v>
      </c>
      <c r="Q218" s="110" t="n"/>
      <c r="R218" s="110" t="n"/>
      <c r="S218" s="110" t="n"/>
      <c r="T218" s="110" t="n"/>
      <c r="U218" s="110" t="n">
        <v>16</v>
      </c>
      <c r="V218" s="110" t="n"/>
      <c r="W218" s="110" t="n"/>
      <c r="X218" s="110" t="n"/>
      <c r="Y218" s="110" t="n"/>
      <c r="Z218" s="110" t="n"/>
      <c r="AA218" s="110" t="n">
        <v>47</v>
      </c>
      <c r="AB218" s="110" t="n"/>
      <c r="AC218" s="110" t="n"/>
      <c r="AD218" s="110" t="n"/>
      <c r="AE218" s="110" t="n"/>
      <c r="AF218" s="110" t="n"/>
      <c r="AG218" s="110" t="n"/>
      <c r="AH218" s="110" t="n">
        <v>40</v>
      </c>
      <c r="AI218" s="110" t="n"/>
      <c r="AJ218" s="110" t="n"/>
      <c r="AK218" s="110" t="n"/>
      <c r="AL218" s="110" t="n"/>
      <c r="AM218" s="110" t="n"/>
      <c r="AN218" s="110" t="n"/>
      <c r="AO218" s="110" t="n"/>
      <c r="AP218" s="110" t="n"/>
      <c r="AQ218" s="110" t="n"/>
      <c r="AR218" s="110" t="n"/>
      <c r="AS218" s="110" t="n"/>
      <c r="AT218" s="110" t="n"/>
      <c r="AU218" s="110" t="n"/>
      <c r="AV218" s="110" t="n"/>
      <c r="AW218" s="110" t="n"/>
      <c r="AX218" s="110" t="n"/>
      <c r="AY218" s="110" t="n"/>
      <c r="AZ218" s="110" t="n"/>
      <c r="BA218" s="110" t="n"/>
      <c r="BB218" s="110" t="n"/>
      <c r="BC218" t="inlineStr">
        <is>
          <t>ORIGINAL</t>
        </is>
      </c>
      <c r="BD218" t="n">
        <v>209</v>
      </c>
      <c r="BF218" s="109">
        <f>IF($BD218="","",SUMIF($BD$6:$BD$2000,$BD218,$J$6:$J$2000))</f>
        <v/>
      </c>
    </row>
    <row r="219" ht="19.5" customHeight="1">
      <c r="A219" s="96" t="inlineStr">
        <is>
          <t>PENDENTE</t>
        </is>
      </c>
      <c r="B219" s="26" t="inlineStr">
        <is>
          <t>RIACHUELO</t>
        </is>
      </c>
      <c r="C219" s="27" t="n">
        <v>221</v>
      </c>
      <c r="D219" s="26" t="inlineStr">
        <is>
          <t>VITÓRIA PARK SHOPPING</t>
        </is>
      </c>
      <c r="E219" s="26" t="inlineStr">
        <is>
          <t>VITORIA DE SANTO ANTAO</t>
        </is>
      </c>
      <c r="F219" s="27" t="inlineStr">
        <is>
          <t>PE</t>
        </is>
      </c>
      <c r="G219" s="107" t="n">
        <v>46023</v>
      </c>
      <c r="H219" s="108">
        <f>IF($B219="","",SUM($K219:$AG219)+SUM($AS219:$BB219))</f>
        <v/>
      </c>
      <c r="I219" s="108">
        <f>IF($B219="","",SUM($AH219:$AL219))</f>
        <v/>
      </c>
      <c r="J219" s="109">
        <f>IF($B219="","",SUMPRODUCT($K219:$BB219,$K$2:$BB$2))</f>
        <v/>
      </c>
      <c r="K219" s="110" t="n"/>
      <c r="L219" s="110" t="n"/>
      <c r="M219" s="110" t="n"/>
      <c r="N219" s="110" t="n"/>
      <c r="O219" s="110" t="n"/>
      <c r="P219" s="110" t="n">
        <v>2</v>
      </c>
      <c r="Q219" s="110" t="n"/>
      <c r="R219" s="110" t="n"/>
      <c r="S219" s="110" t="n"/>
      <c r="T219" s="110" t="n"/>
      <c r="U219" s="110" t="n">
        <v>14</v>
      </c>
      <c r="V219" s="110" t="n"/>
      <c r="W219" s="110" t="n"/>
      <c r="X219" s="110" t="n"/>
      <c r="Y219" s="110" t="n"/>
      <c r="Z219" s="110" t="n"/>
      <c r="AA219" s="110" t="n">
        <v>5</v>
      </c>
      <c r="AB219" s="110" t="n"/>
      <c r="AC219" s="110" t="n"/>
      <c r="AD219" s="110" t="n"/>
      <c r="AE219" s="110" t="n"/>
      <c r="AF219" s="110" t="n"/>
      <c r="AG219" s="110" t="n"/>
      <c r="AH219" s="110" t="n">
        <v>12</v>
      </c>
      <c r="AI219" s="110" t="n"/>
      <c r="AJ219" s="110" t="n"/>
      <c r="AK219" s="110" t="n"/>
      <c r="AL219" s="110" t="n"/>
      <c r="AM219" s="110" t="n"/>
      <c r="AN219" s="110" t="n"/>
      <c r="AO219" s="110" t="n"/>
      <c r="AP219" s="110" t="n"/>
      <c r="AQ219" s="110" t="n"/>
      <c r="AR219" s="110" t="n"/>
      <c r="AS219" s="110" t="n"/>
      <c r="AT219" s="110" t="n"/>
      <c r="AU219" s="110" t="n"/>
      <c r="AV219" s="110" t="n"/>
      <c r="AW219" s="110" t="n"/>
      <c r="AX219" s="110" t="n"/>
      <c r="AY219" s="110" t="n"/>
      <c r="AZ219" s="110" t="n"/>
      <c r="BA219" s="110" t="n"/>
      <c r="BB219" s="110" t="n"/>
      <c r="BC219" t="inlineStr">
        <is>
          <t>ORIGINAL</t>
        </is>
      </c>
      <c r="BD219" t="n">
        <v>210</v>
      </c>
      <c r="BF219" s="109">
        <f>IF($BD219="","",SUMIF($BD$6:$BD$2000,$BD219,$J$6:$J$2000))</f>
        <v/>
      </c>
    </row>
    <row r="220" ht="19.5" customHeight="1">
      <c r="A220" s="96" t="inlineStr">
        <is>
          <t>PENDENTE</t>
        </is>
      </c>
      <c r="B220" s="26" t="inlineStr">
        <is>
          <t>RIACHUELO</t>
        </is>
      </c>
      <c r="C220" s="27" t="n">
        <v>222</v>
      </c>
      <c r="D220" s="26" t="inlineStr">
        <is>
          <t>FORTALEZA PARANGABA NORTH SH</t>
        </is>
      </c>
      <c r="E220" s="26" t="inlineStr">
        <is>
          <t>FORTALEZA</t>
        </is>
      </c>
      <c r="F220" s="27" t="inlineStr">
        <is>
          <t>CE</t>
        </is>
      </c>
      <c r="G220" s="107" t="n">
        <v>46204</v>
      </c>
      <c r="H220" s="108">
        <f>IF($B220="","",SUM($K220:$AG220)+SUM($AS220:$BB220))</f>
        <v/>
      </c>
      <c r="I220" s="108">
        <f>IF($B220="","",SUM($AH220:$AL220))</f>
        <v/>
      </c>
      <c r="J220" s="109">
        <f>IF($B220="","",SUMPRODUCT($K220:$BB220,$K$2:$BB$2))</f>
        <v/>
      </c>
      <c r="K220" s="110" t="n"/>
      <c r="L220" s="110" t="n"/>
      <c r="M220" s="110" t="n"/>
      <c r="N220" s="110" t="n"/>
      <c r="O220" s="110" t="n"/>
      <c r="P220" s="110" t="n">
        <v>1</v>
      </c>
      <c r="Q220" s="110" t="n"/>
      <c r="R220" s="110" t="n"/>
      <c r="S220" s="110" t="n"/>
      <c r="T220" s="110" t="n"/>
      <c r="U220" s="110" t="n">
        <v>11</v>
      </c>
      <c r="V220" s="110" t="n"/>
      <c r="W220" s="110" t="n"/>
      <c r="X220" s="110" t="n"/>
      <c r="Y220" s="110" t="n"/>
      <c r="Z220" s="110" t="n"/>
      <c r="AA220" s="110" t="n">
        <v>6</v>
      </c>
      <c r="AB220" s="110" t="n"/>
      <c r="AC220" s="110" t="n"/>
      <c r="AD220" s="110" t="n"/>
      <c r="AE220" s="110" t="n"/>
      <c r="AF220" s="110" t="n"/>
      <c r="AG220" s="110" t="n"/>
      <c r="AH220" s="110" t="n">
        <v>20</v>
      </c>
      <c r="AI220" s="110" t="n"/>
      <c r="AJ220" s="110" t="n"/>
      <c r="AK220" s="110" t="n"/>
      <c r="AL220" s="110" t="n"/>
      <c r="AM220" s="110" t="n"/>
      <c r="AN220" s="110" t="n"/>
      <c r="AO220" s="110" t="n"/>
      <c r="AP220" s="110" t="n"/>
      <c r="AQ220" s="110" t="n"/>
      <c r="AR220" s="110" t="n"/>
      <c r="AS220" s="110" t="n"/>
      <c r="AT220" s="110" t="n"/>
      <c r="AU220" s="110" t="n"/>
      <c r="AV220" s="110" t="n"/>
      <c r="AW220" s="110" t="n"/>
      <c r="AX220" s="110" t="n"/>
      <c r="AY220" s="110" t="n"/>
      <c r="AZ220" s="110" t="n"/>
      <c r="BA220" s="110" t="n"/>
      <c r="BB220" s="110" t="n"/>
      <c r="BC220" t="inlineStr">
        <is>
          <t>ORIGINAL</t>
        </is>
      </c>
      <c r="BD220" t="n">
        <v>211</v>
      </c>
      <c r="BF220" s="109">
        <f>IF($BD220="","",SUMIF($BD$6:$BD$2000,$BD220,$J$6:$J$2000))</f>
        <v/>
      </c>
    </row>
    <row r="221" ht="19.5" customHeight="1">
      <c r="A221" s="96" t="inlineStr">
        <is>
          <t>PENDENTE</t>
        </is>
      </c>
      <c r="B221" s="26" t="inlineStr">
        <is>
          <t>RIACHUELO</t>
        </is>
      </c>
      <c r="C221" s="27" t="n">
        <v>223</v>
      </c>
      <c r="D221" s="26" t="inlineStr">
        <is>
          <t>CEILÂNDIA PLAZA</t>
        </is>
      </c>
      <c r="E221" s="26" t="inlineStr">
        <is>
          <t>BRASILIA</t>
        </is>
      </c>
      <c r="F221" s="27" t="inlineStr">
        <is>
          <t>DF</t>
        </is>
      </c>
      <c r="G221" s="107" t="n">
        <v>46296</v>
      </c>
      <c r="H221" s="108">
        <f>IF($B221="","",SUM($K221:$AG221)+SUM($AS221:$BB221))</f>
        <v/>
      </c>
      <c r="I221" s="108">
        <f>IF($B221="","",SUM($AH221:$AL221))</f>
        <v/>
      </c>
      <c r="J221" s="109">
        <f>IF($B221="","",SUMPRODUCT($K221:$BB221,$K$2:$BB$2))</f>
        <v/>
      </c>
      <c r="K221" s="110" t="n"/>
      <c r="L221" s="110" t="n"/>
      <c r="M221" s="110" t="n"/>
      <c r="N221" s="110" t="n"/>
      <c r="O221" s="110" t="n"/>
      <c r="P221" s="110" t="n"/>
      <c r="Q221" s="110" t="n"/>
      <c r="R221" s="110" t="n"/>
      <c r="S221" s="110" t="n"/>
      <c r="T221" s="110" t="n"/>
      <c r="U221" s="110" t="n">
        <v>15</v>
      </c>
      <c r="V221" s="110" t="n"/>
      <c r="W221" s="110" t="n"/>
      <c r="X221" s="110" t="n"/>
      <c r="Y221" s="110" t="n"/>
      <c r="Z221" s="110" t="n"/>
      <c r="AA221" s="110" t="n">
        <v>4</v>
      </c>
      <c r="AB221" s="110" t="n"/>
      <c r="AC221" s="110" t="n"/>
      <c r="AD221" s="110" t="n"/>
      <c r="AE221" s="110" t="n"/>
      <c r="AF221" s="110" t="n"/>
      <c r="AG221" s="110" t="n"/>
      <c r="AH221" s="110" t="n">
        <v>12</v>
      </c>
      <c r="AI221" s="110" t="n"/>
      <c r="AJ221" s="110" t="n"/>
      <c r="AK221" s="110" t="n"/>
      <c r="AL221" s="110" t="n"/>
      <c r="AM221" s="110" t="n"/>
      <c r="AN221" s="110" t="n"/>
      <c r="AO221" s="110" t="n"/>
      <c r="AP221" s="110" t="n"/>
      <c r="AQ221" s="110" t="n"/>
      <c r="AR221" s="110" t="n"/>
      <c r="AS221" s="110" t="n"/>
      <c r="AT221" s="110" t="n"/>
      <c r="AU221" s="110" t="n"/>
      <c r="AV221" s="110" t="n"/>
      <c r="AW221" s="110" t="n"/>
      <c r="AX221" s="110" t="n"/>
      <c r="AY221" s="110" t="n"/>
      <c r="AZ221" s="110" t="n"/>
      <c r="BA221" s="110" t="n"/>
      <c r="BB221" s="110" t="n"/>
      <c r="BC221" t="inlineStr">
        <is>
          <t>ORIGINAL</t>
        </is>
      </c>
      <c r="BD221" t="n">
        <v>212</v>
      </c>
      <c r="BF221" s="109">
        <f>IF($BD221="","",SUMIF($BD$6:$BD$2000,$BD221,$J$6:$J$2000))</f>
        <v/>
      </c>
    </row>
    <row r="222" ht="19.5" customHeight="1">
      <c r="A222" s="96" t="inlineStr">
        <is>
          <t>PENDENTE</t>
        </is>
      </c>
      <c r="B222" s="26" t="inlineStr">
        <is>
          <t>RIACHUELO</t>
        </is>
      </c>
      <c r="C222" s="27" t="n">
        <v>224</v>
      </c>
      <c r="D222" s="26" t="inlineStr">
        <is>
          <t>CABO DE SANTO AGOSTINHO COSTA DOURADA SH</t>
        </is>
      </c>
      <c r="E222" s="26" t="inlineStr">
        <is>
          <t>CABO DE SANTO AGOSTINHO</t>
        </is>
      </c>
      <c r="F222" s="27" t="inlineStr">
        <is>
          <t>PE</t>
        </is>
      </c>
      <c r="G222" s="107" t="n">
        <v>46023</v>
      </c>
      <c r="H222" s="108">
        <f>IF($B222="","",SUM($K222:$AG222)+SUM($AS222:$BB222))</f>
        <v/>
      </c>
      <c r="I222" s="108">
        <f>IF($B222="","",SUM($AH222:$AL222))</f>
        <v/>
      </c>
      <c r="J222" s="109">
        <f>IF($B222="","",SUMPRODUCT($K222:$BB222,$K$2:$BB$2))</f>
        <v/>
      </c>
      <c r="K222" s="110" t="n"/>
      <c r="L222" s="110" t="n"/>
      <c r="M222" s="110" t="n"/>
      <c r="N222" s="110" t="n">
        <v>1</v>
      </c>
      <c r="O222" s="110" t="n"/>
      <c r="P222" s="110" t="n"/>
      <c r="Q222" s="110" t="n"/>
      <c r="R222" s="110" t="n"/>
      <c r="S222" s="110" t="n"/>
      <c r="T222" s="110" t="n"/>
      <c r="U222" s="110" t="n">
        <v>8</v>
      </c>
      <c r="V222" s="110" t="n"/>
      <c r="W222" s="110" t="n"/>
      <c r="X222" s="110" t="n"/>
      <c r="Y222" s="110" t="n"/>
      <c r="Z222" s="110" t="n"/>
      <c r="AA222" s="110" t="n">
        <v>5</v>
      </c>
      <c r="AB222" s="110" t="n"/>
      <c r="AC222" s="110" t="n"/>
      <c r="AD222" s="110" t="n"/>
      <c r="AE222" s="110" t="n"/>
      <c r="AF222" s="110" t="n"/>
      <c r="AG222" s="110" t="n"/>
      <c r="AH222" s="110" t="n">
        <v>16</v>
      </c>
      <c r="AI222" s="110" t="n"/>
      <c r="AJ222" s="110" t="n"/>
      <c r="AK222" s="110" t="n"/>
      <c r="AL222" s="110" t="n"/>
      <c r="AM222" s="110" t="n"/>
      <c r="AN222" s="110" t="n"/>
      <c r="AO222" s="110" t="n"/>
      <c r="AP222" s="110" t="n"/>
      <c r="AQ222" s="110" t="n"/>
      <c r="AR222" s="110" t="n"/>
      <c r="AS222" s="110" t="n"/>
      <c r="AT222" s="110" t="n"/>
      <c r="AU222" s="110" t="n"/>
      <c r="AV222" s="110" t="n"/>
      <c r="AW222" s="110" t="n"/>
      <c r="AX222" s="110" t="n"/>
      <c r="AY222" s="110" t="n"/>
      <c r="AZ222" s="110" t="n"/>
      <c r="BA222" s="110" t="n"/>
      <c r="BB222" s="110" t="n"/>
      <c r="BC222" t="inlineStr">
        <is>
          <t>ORIGINAL</t>
        </is>
      </c>
      <c r="BD222" t="n">
        <v>213</v>
      </c>
      <c r="BF222" s="109">
        <f>IF($BD222="","",SUMIF($BD$6:$BD$2000,$BD222,$J$6:$J$2000))</f>
        <v/>
      </c>
    </row>
    <row r="223" ht="19.5" customHeight="1">
      <c r="A223" s="96" t="inlineStr">
        <is>
          <t>PENDENTE</t>
        </is>
      </c>
      <c r="B223" s="26" t="inlineStr">
        <is>
          <t>RIACHUELO</t>
        </is>
      </c>
      <c r="C223" s="27" t="n">
        <v>225</v>
      </c>
      <c r="D223" s="26" t="inlineStr">
        <is>
          <t>PARQUE SHOPPING MACEIÓ</t>
        </is>
      </c>
      <c r="E223" s="26" t="inlineStr">
        <is>
          <t>MACEIO</t>
        </is>
      </c>
      <c r="F223" s="27" t="inlineStr">
        <is>
          <t>AL</t>
        </is>
      </c>
      <c r="G223" s="107" t="n">
        <v>46388</v>
      </c>
      <c r="H223" s="108">
        <f>IF($B223="","",SUM($K223:$AG223)+SUM($AS223:$BB223))</f>
        <v/>
      </c>
      <c r="I223" s="108">
        <f>IF($B223="","",SUM($AH223:$AL223))</f>
        <v/>
      </c>
      <c r="J223" s="109">
        <f>IF($B223="","",SUMPRODUCT($K223:$BB223,$K$2:$BB$2))</f>
        <v/>
      </c>
      <c r="K223" s="110" t="n"/>
      <c r="L223" s="110" t="n"/>
      <c r="M223" s="110" t="n"/>
      <c r="N223" s="110" t="n"/>
      <c r="O223" s="110" t="n"/>
      <c r="P223" s="110" t="n"/>
      <c r="Q223" s="110" t="n"/>
      <c r="R223" s="110" t="n"/>
      <c r="S223" s="110" t="n"/>
      <c r="T223" s="110" t="n"/>
      <c r="U223" s="110" t="n">
        <v>15</v>
      </c>
      <c r="V223" s="110" t="n"/>
      <c r="W223" s="110" t="n"/>
      <c r="X223" s="110" t="n"/>
      <c r="Y223" s="110" t="n"/>
      <c r="Z223" s="110" t="n"/>
      <c r="AA223" s="110" t="n">
        <v>6</v>
      </c>
      <c r="AB223" s="110" t="n"/>
      <c r="AC223" s="110" t="n"/>
      <c r="AD223" s="110" t="n"/>
      <c r="AE223" s="110" t="n"/>
      <c r="AF223" s="110" t="n"/>
      <c r="AG223" s="110" t="n"/>
      <c r="AH223" s="110" t="n">
        <v>24</v>
      </c>
      <c r="AI223" s="110" t="n"/>
      <c r="AJ223" s="110" t="n"/>
      <c r="AK223" s="110" t="n"/>
      <c r="AL223" s="110" t="n"/>
      <c r="AM223" s="110" t="n"/>
      <c r="AN223" s="110" t="n"/>
      <c r="AO223" s="110" t="n"/>
      <c r="AP223" s="110" t="n"/>
      <c r="AQ223" s="110" t="n"/>
      <c r="AR223" s="110" t="n"/>
      <c r="AS223" s="110" t="n"/>
      <c r="AT223" s="110" t="n"/>
      <c r="AU223" s="110" t="n"/>
      <c r="AV223" s="110" t="n"/>
      <c r="AW223" s="110" t="n"/>
      <c r="AX223" s="110" t="n"/>
      <c r="AY223" s="110" t="n"/>
      <c r="AZ223" s="110" t="n"/>
      <c r="BA223" s="110" t="n"/>
      <c r="BB223" s="110" t="n"/>
      <c r="BC223" t="inlineStr">
        <is>
          <t>ORIGINAL</t>
        </is>
      </c>
      <c r="BD223" t="n">
        <v>214</v>
      </c>
      <c r="BF223" s="109">
        <f>IF($BD223="","",SUMIF($BD$6:$BD$2000,$BD223,$J$6:$J$2000))</f>
        <v/>
      </c>
    </row>
    <row r="224" ht="19.5" customHeight="1">
      <c r="A224" s="96" t="inlineStr">
        <is>
          <t>PENDENTE</t>
        </is>
      </c>
      <c r="B224" s="26" t="inlineStr">
        <is>
          <t>RIACHUELO</t>
        </is>
      </c>
      <c r="C224" s="27" t="n">
        <v>226</v>
      </c>
      <c r="D224" s="26" t="inlineStr">
        <is>
          <t>PASSEIO DAS AGUAS SH</t>
        </is>
      </c>
      <c r="E224" s="26" t="inlineStr">
        <is>
          <t>GOIANIA</t>
        </is>
      </c>
      <c r="F224" s="27" t="inlineStr">
        <is>
          <t>GO</t>
        </is>
      </c>
      <c r="G224" s="107" t="n">
        <v>46419</v>
      </c>
      <c r="H224" s="108">
        <f>IF($B224="","",SUM($K224:$AG224)+SUM($AS224:$BB224))</f>
        <v/>
      </c>
      <c r="I224" s="108">
        <f>IF($B224="","",SUM($AH224:$AL224))</f>
        <v/>
      </c>
      <c r="J224" s="109">
        <f>IF($B224="","",SUMPRODUCT($K224:$BB224,$K$2:$BB$2))</f>
        <v/>
      </c>
      <c r="K224" s="110" t="n">
        <v>11</v>
      </c>
      <c r="L224" s="110" t="n"/>
      <c r="M224" s="110" t="n"/>
      <c r="N224" s="110" t="n">
        <v>2</v>
      </c>
      <c r="O224" s="110" t="n"/>
      <c r="P224" s="110" t="n"/>
      <c r="Q224" s="110" t="n"/>
      <c r="R224" s="110" t="n"/>
      <c r="S224" s="110" t="n"/>
      <c r="T224" s="110" t="n"/>
      <c r="U224" s="110" t="n"/>
      <c r="V224" s="110" t="n"/>
      <c r="W224" s="110" t="n"/>
      <c r="X224" s="110" t="n"/>
      <c r="Y224" s="110" t="n"/>
      <c r="Z224" s="110" t="n"/>
      <c r="AA224" s="110" t="n">
        <v>10</v>
      </c>
      <c r="AB224" s="110" t="n"/>
      <c r="AC224" s="110" t="n"/>
      <c r="AD224" s="110" t="n"/>
      <c r="AE224" s="110" t="n"/>
      <c r="AF224" s="110" t="n"/>
      <c r="AG224" s="110" t="n"/>
      <c r="AH224" s="110" t="n">
        <v>14</v>
      </c>
      <c r="AI224" s="110" t="n"/>
      <c r="AJ224" s="110" t="n"/>
      <c r="AK224" s="110" t="n"/>
      <c r="AL224" s="110" t="n"/>
      <c r="AM224" s="110" t="n"/>
      <c r="AN224" s="110" t="n"/>
      <c r="AO224" s="110" t="n"/>
      <c r="AP224" s="110" t="n"/>
      <c r="AQ224" s="110" t="n"/>
      <c r="AR224" s="110" t="n"/>
      <c r="AS224" s="110" t="n"/>
      <c r="AT224" s="110" t="n"/>
      <c r="AU224" s="110" t="n"/>
      <c r="AV224" s="110" t="n"/>
      <c r="AW224" s="110" t="n"/>
      <c r="AX224" s="110" t="n"/>
      <c r="AY224" s="110" t="n"/>
      <c r="AZ224" s="110" t="n"/>
      <c r="BA224" s="110" t="n"/>
      <c r="BB224" s="110" t="n"/>
      <c r="BC224" t="inlineStr">
        <is>
          <t>ORIGINAL</t>
        </is>
      </c>
      <c r="BD224" t="n">
        <v>215</v>
      </c>
      <c r="BF224" s="109">
        <f>IF($BD224="","",SUMIF($BD$6:$BD$2000,$BD224,$J$6:$J$2000))</f>
        <v/>
      </c>
    </row>
    <row r="225" ht="19.5" customHeight="1">
      <c r="A225" s="96" t="inlineStr">
        <is>
          <t>PENDENTE</t>
        </is>
      </c>
      <c r="B225" s="26" t="inlineStr">
        <is>
          <t>RIACHUELO</t>
        </is>
      </c>
      <c r="C225" s="27" t="n">
        <v>227</v>
      </c>
      <c r="D225" s="26" t="inlineStr">
        <is>
          <t>CHAPECÓ SH</t>
        </is>
      </c>
      <c r="E225" s="26" t="inlineStr">
        <is>
          <t>CHAPECO</t>
        </is>
      </c>
      <c r="F225" s="27" t="inlineStr">
        <is>
          <t>SC</t>
        </is>
      </c>
      <c r="G225" s="107" t="n">
        <v>46388</v>
      </c>
      <c r="H225" s="108">
        <f>IF($B225="","",SUM($K225:$AG225)+SUM($AS225:$BB225))</f>
        <v/>
      </c>
      <c r="I225" s="108">
        <f>IF($B225="","",SUM($AH225:$AL225))</f>
        <v/>
      </c>
      <c r="J225" s="109">
        <f>IF($B225="","",SUMPRODUCT($K225:$BB225,$K$2:$BB$2))</f>
        <v/>
      </c>
      <c r="K225" s="110" t="n">
        <v>9</v>
      </c>
      <c r="L225" s="110" t="n"/>
      <c r="M225" s="110" t="n"/>
      <c r="N225" s="110" t="n"/>
      <c r="O225" s="110" t="n"/>
      <c r="P225" s="110" t="n"/>
      <c r="Q225" s="110" t="n"/>
      <c r="R225" s="110" t="n"/>
      <c r="S225" s="110" t="n"/>
      <c r="T225" s="110" t="n"/>
      <c r="U225" s="110" t="n">
        <v>1</v>
      </c>
      <c r="V225" s="110" t="n"/>
      <c r="W225" s="110" t="n"/>
      <c r="X225" s="110" t="n"/>
      <c r="Y225" s="110" t="n"/>
      <c r="Z225" s="110" t="n"/>
      <c r="AA225" s="110" t="n">
        <v>8</v>
      </c>
      <c r="AB225" s="110" t="n"/>
      <c r="AC225" s="110" t="n"/>
      <c r="AD225" s="110" t="n"/>
      <c r="AE225" s="110" t="n"/>
      <c r="AF225" s="110" t="n"/>
      <c r="AG225" s="110" t="n"/>
      <c r="AH225" s="110" t="n"/>
      <c r="AI225" s="110" t="n"/>
      <c r="AJ225" s="110" t="n">
        <v>10</v>
      </c>
      <c r="AK225" s="110" t="n"/>
      <c r="AL225" s="110" t="n"/>
      <c r="AM225" s="110" t="n"/>
      <c r="AN225" s="110" t="n"/>
      <c r="AO225" s="110" t="n"/>
      <c r="AP225" s="110" t="n"/>
      <c r="AQ225" s="110" t="n"/>
      <c r="AR225" s="110" t="n"/>
      <c r="AS225" s="110" t="n"/>
      <c r="AT225" s="110" t="n"/>
      <c r="AU225" s="110" t="n"/>
      <c r="AV225" s="110" t="n"/>
      <c r="AW225" s="110" t="n"/>
      <c r="AX225" s="110" t="n"/>
      <c r="AY225" s="110" t="n"/>
      <c r="AZ225" s="110" t="n"/>
      <c r="BA225" s="110" t="n"/>
      <c r="BB225" s="110" t="n"/>
      <c r="BC225" t="inlineStr">
        <is>
          <t>ORIGINAL</t>
        </is>
      </c>
      <c r="BD225" t="n">
        <v>216</v>
      </c>
      <c r="BF225" s="109">
        <f>IF($BD225="","",SUMIF($BD$6:$BD$2000,$BD225,$J$6:$J$2000))</f>
        <v/>
      </c>
    </row>
    <row r="226" ht="19.5" customHeight="1">
      <c r="A226" s="96" t="inlineStr">
        <is>
          <t>PENDENTE</t>
        </is>
      </c>
      <c r="B226" s="26" t="inlineStr">
        <is>
          <t>RIACHUELO</t>
        </is>
      </c>
      <c r="C226" s="27" t="n">
        <v>228</v>
      </c>
      <c r="D226" s="26" t="inlineStr">
        <is>
          <t>SERRA MONTESERRAT SH</t>
        </is>
      </c>
      <c r="E226" s="26" t="inlineStr">
        <is>
          <t>SERRA</t>
        </is>
      </c>
      <c r="F226" s="27" t="inlineStr">
        <is>
          <t>ES</t>
        </is>
      </c>
      <c r="G226" s="107" t="n">
        <v>46054</v>
      </c>
      <c r="H226" s="108">
        <f>IF($B226="","",SUM($K226:$AG226)+SUM($AS226:$BB226))</f>
        <v/>
      </c>
      <c r="I226" s="108">
        <f>IF($B226="","",SUM($AH226:$AL226))</f>
        <v/>
      </c>
      <c r="J226" s="109">
        <f>IF($B226="","",SUMPRODUCT($K226:$BB226,$K$2:$BB$2))</f>
        <v/>
      </c>
      <c r="K226" s="110" t="n"/>
      <c r="L226" s="110" t="n"/>
      <c r="M226" s="110" t="n"/>
      <c r="N226" s="110" t="n"/>
      <c r="O226" s="110" t="n"/>
      <c r="P226" s="110" t="n"/>
      <c r="Q226" s="110" t="n"/>
      <c r="R226" s="110" t="n"/>
      <c r="S226" s="110" t="n"/>
      <c r="T226" s="110" t="n"/>
      <c r="U226" s="110" t="n">
        <v>8</v>
      </c>
      <c r="V226" s="110" t="n"/>
      <c r="W226" s="110" t="n"/>
      <c r="X226" s="110" t="n"/>
      <c r="Y226" s="110" t="n"/>
      <c r="Z226" s="110" t="n"/>
      <c r="AA226" s="110" t="n">
        <v>7</v>
      </c>
      <c r="AB226" s="110" t="n"/>
      <c r="AC226" s="110" t="n"/>
      <c r="AD226" s="110" t="n"/>
      <c r="AE226" s="110" t="n"/>
      <c r="AF226" s="110" t="n"/>
      <c r="AG226" s="110" t="n"/>
      <c r="AH226" s="110" t="n">
        <v>16</v>
      </c>
      <c r="AI226" s="110" t="n"/>
      <c r="AJ226" s="110" t="n"/>
      <c r="AK226" s="110" t="n"/>
      <c r="AL226" s="110" t="n"/>
      <c r="AM226" s="110" t="n"/>
      <c r="AN226" s="110" t="n"/>
      <c r="AO226" s="110" t="n"/>
      <c r="AP226" s="110" t="n"/>
      <c r="AQ226" s="110" t="n"/>
      <c r="AR226" s="110" t="n"/>
      <c r="AS226" s="110" t="n"/>
      <c r="AT226" s="110" t="n"/>
      <c r="AU226" s="110" t="n"/>
      <c r="AV226" s="110" t="n"/>
      <c r="AW226" s="110" t="n"/>
      <c r="AX226" s="110" t="n"/>
      <c r="AY226" s="110" t="n"/>
      <c r="AZ226" s="110" t="n"/>
      <c r="BA226" s="110" t="n"/>
      <c r="BB226" s="110" t="n"/>
      <c r="BC226" t="inlineStr">
        <is>
          <t>ORIGINAL</t>
        </is>
      </c>
      <c r="BD226" t="n">
        <v>217</v>
      </c>
      <c r="BF226" s="109">
        <f>IF($BD226="","",SUMIF($BD$6:$BD$2000,$BD226,$J$6:$J$2000))</f>
        <v/>
      </c>
    </row>
    <row r="227" ht="19.5" customHeight="1">
      <c r="A227" s="96" t="inlineStr">
        <is>
          <t>PENDENTE</t>
        </is>
      </c>
      <c r="B227" s="26" t="inlineStr">
        <is>
          <t>RIACHUELO</t>
        </is>
      </c>
      <c r="C227" s="27" t="n">
        <v>229</v>
      </c>
      <c r="D227" s="26" t="inlineStr">
        <is>
          <t>GUARARAPES SHOPPING</t>
        </is>
      </c>
      <c r="E227" s="26" t="inlineStr">
        <is>
          <t>JABOATAO DOS GUARARAPES</t>
        </is>
      </c>
      <c r="F227" s="27" t="inlineStr">
        <is>
          <t xml:space="preserve">PE </t>
        </is>
      </c>
      <c r="G227" s="107" t="n">
        <v>46023</v>
      </c>
      <c r="H227" s="108">
        <f>IF($B227="","",SUM($K227:$AG227)+SUM($AS227:$BB227))</f>
        <v/>
      </c>
      <c r="I227" s="108">
        <f>IF($B227="","",SUM($AH227:$AL227))</f>
        <v/>
      </c>
      <c r="J227" s="109">
        <f>IF($B227="","",SUMPRODUCT($K227:$BB227,$K$2:$BB$2))</f>
        <v/>
      </c>
      <c r="K227" s="110" t="n"/>
      <c r="L227" s="110" t="n"/>
      <c r="M227" s="110" t="n"/>
      <c r="N227" s="110" t="n"/>
      <c r="O227" s="110" t="n"/>
      <c r="P227" s="110" t="n">
        <v>2</v>
      </c>
      <c r="Q227" s="110" t="n"/>
      <c r="R227" s="110" t="n"/>
      <c r="S227" s="110" t="n"/>
      <c r="T227" s="110" t="n"/>
      <c r="U227" s="110" t="n">
        <v>24</v>
      </c>
      <c r="V227" s="110" t="n"/>
      <c r="W227" s="110" t="n"/>
      <c r="X227" s="110" t="n"/>
      <c r="Y227" s="110" t="n"/>
      <c r="Z227" s="110" t="n"/>
      <c r="AA227" s="110" t="n">
        <v>9</v>
      </c>
      <c r="AB227" s="110" t="n"/>
      <c r="AC227" s="110" t="n"/>
      <c r="AD227" s="110" t="n"/>
      <c r="AE227" s="110" t="n"/>
      <c r="AF227" s="110" t="n"/>
      <c r="AG227" s="110" t="n"/>
      <c r="AH227" s="110" t="n">
        <v>28</v>
      </c>
      <c r="AI227" s="110" t="n"/>
      <c r="AJ227" s="110" t="n"/>
      <c r="AK227" s="110" t="n"/>
      <c r="AL227" s="110" t="n"/>
      <c r="AM227" s="110" t="n"/>
      <c r="AN227" s="110" t="n"/>
      <c r="AO227" s="110" t="n"/>
      <c r="AP227" s="110" t="n"/>
      <c r="AQ227" s="110" t="n"/>
      <c r="AR227" s="110" t="n"/>
      <c r="AS227" s="110" t="n"/>
      <c r="AT227" s="110" t="n"/>
      <c r="AU227" s="110" t="n"/>
      <c r="AV227" s="110" t="n"/>
      <c r="AW227" s="110" t="n"/>
      <c r="AX227" s="110" t="n"/>
      <c r="AY227" s="110" t="n"/>
      <c r="AZ227" s="110" t="n"/>
      <c r="BA227" s="110" t="n"/>
      <c r="BB227" s="110" t="n"/>
      <c r="BC227" t="inlineStr">
        <is>
          <t>ORIGINAL</t>
        </is>
      </c>
      <c r="BD227" t="n">
        <v>218</v>
      </c>
      <c r="BF227" s="109">
        <f>IF($BD227="","",SUMIF($BD$6:$BD$2000,$BD227,$J$6:$J$2000))</f>
        <v/>
      </c>
    </row>
    <row r="228" ht="19.5" customHeight="1">
      <c r="A228" s="96" t="inlineStr">
        <is>
          <t>PENDENTE</t>
        </is>
      </c>
      <c r="B228" s="26" t="inlineStr">
        <is>
          <t>RIACHUELO</t>
        </is>
      </c>
      <c r="C228" s="27" t="n">
        <v>230</v>
      </c>
      <c r="D228" s="26" t="inlineStr">
        <is>
          <t>MOGI SHOPPING</t>
        </is>
      </c>
      <c r="E228" s="26" t="inlineStr">
        <is>
          <t>MOGI DAS CRUZES</t>
        </is>
      </c>
      <c r="F228" s="27" t="inlineStr">
        <is>
          <t>SP</t>
        </is>
      </c>
      <c r="G228" s="107" t="n">
        <v>46204</v>
      </c>
      <c r="H228" s="108">
        <f>IF($B228="","",SUM($K228:$AG228)+SUM($AS228:$BB228))</f>
        <v/>
      </c>
      <c r="I228" s="108">
        <f>IF($B228="","",SUM($AH228:$AL228))</f>
        <v/>
      </c>
      <c r="J228" s="109">
        <f>IF($B228="","",SUMPRODUCT($K228:$BB228,$K$2:$BB$2))</f>
        <v/>
      </c>
      <c r="K228" s="110" t="n">
        <v>12</v>
      </c>
      <c r="L228" s="110" t="n"/>
      <c r="M228" s="110" t="n">
        <v>1</v>
      </c>
      <c r="N228" s="110" t="n"/>
      <c r="O228" s="110" t="n"/>
      <c r="P228" s="110" t="n"/>
      <c r="Q228" s="110" t="n"/>
      <c r="R228" s="110" t="n"/>
      <c r="S228" s="110" t="n"/>
      <c r="T228" s="110" t="n"/>
      <c r="U228" s="110" t="n">
        <v>2</v>
      </c>
      <c r="V228" s="110" t="n"/>
      <c r="W228" s="110" t="n"/>
      <c r="X228" s="110" t="n"/>
      <c r="Y228" s="110" t="n"/>
      <c r="Z228" s="110" t="n"/>
      <c r="AA228" s="110" t="n">
        <v>6</v>
      </c>
      <c r="AB228" s="110" t="n"/>
      <c r="AC228" s="110" t="n"/>
      <c r="AD228" s="110" t="n"/>
      <c r="AE228" s="110" t="n"/>
      <c r="AF228" s="110" t="n"/>
      <c r="AG228" s="110" t="n"/>
      <c r="AH228" s="110" t="n"/>
      <c r="AI228" s="110" t="n"/>
      <c r="AJ228" s="110" t="n">
        <v>16</v>
      </c>
      <c r="AK228" s="110" t="n"/>
      <c r="AL228" s="110" t="n"/>
      <c r="AM228" s="110" t="n"/>
      <c r="AN228" s="110" t="n"/>
      <c r="AO228" s="110" t="n"/>
      <c r="AP228" s="110" t="n"/>
      <c r="AQ228" s="110" t="n"/>
      <c r="AR228" s="110" t="n"/>
      <c r="AS228" s="110" t="n"/>
      <c r="AT228" s="110" t="n"/>
      <c r="AU228" s="110" t="n"/>
      <c r="AV228" s="110" t="n"/>
      <c r="AW228" s="110" t="n"/>
      <c r="AX228" s="110" t="n"/>
      <c r="AY228" s="110" t="n"/>
      <c r="AZ228" s="110" t="n"/>
      <c r="BA228" s="110" t="n"/>
      <c r="BB228" s="110" t="n"/>
      <c r="BC228" t="inlineStr">
        <is>
          <t>ORIGINAL</t>
        </is>
      </c>
      <c r="BD228" t="n">
        <v>219</v>
      </c>
      <c r="BF228" s="109">
        <f>IF($BD228="","",SUMIF($BD$6:$BD$2000,$BD228,$J$6:$J$2000))</f>
        <v/>
      </c>
    </row>
    <row r="229" ht="19.5" customHeight="1">
      <c r="A229" s="96" t="inlineStr">
        <is>
          <t>PENDENTE</t>
        </is>
      </c>
      <c r="B229" s="26" t="inlineStr">
        <is>
          <t>RIACHUELO</t>
        </is>
      </c>
      <c r="C229" s="27" t="n">
        <v>231</v>
      </c>
      <c r="D229" s="26" t="inlineStr">
        <is>
          <t>BELÉM  PATIO SH</t>
        </is>
      </c>
      <c r="E229" s="26" t="inlineStr">
        <is>
          <t>BELÉM</t>
        </is>
      </c>
      <c r="F229" s="27" t="inlineStr">
        <is>
          <t>PA</t>
        </is>
      </c>
      <c r="G229" s="107" t="n">
        <v>46143</v>
      </c>
      <c r="H229" s="108">
        <f>IF($B229="","",SUM($K229:$AG229)+SUM($AS229:$BB229))</f>
        <v/>
      </c>
      <c r="I229" s="108">
        <f>IF($B229="","",SUM($AH229:$AL229))</f>
        <v/>
      </c>
      <c r="J229" s="109">
        <f>IF($B229="","",SUMPRODUCT($K229:$BB229,$K$2:$BB$2))</f>
        <v/>
      </c>
      <c r="K229" s="110" t="n"/>
      <c r="L229" s="110" t="n"/>
      <c r="M229" s="110" t="n"/>
      <c r="N229" s="110" t="n"/>
      <c r="O229" s="110" t="n"/>
      <c r="P229" s="110" t="n"/>
      <c r="Q229" s="110" t="n"/>
      <c r="R229" s="110" t="n"/>
      <c r="S229" s="110" t="n"/>
      <c r="T229" s="110" t="n"/>
      <c r="U229" s="110" t="n">
        <v>23</v>
      </c>
      <c r="V229" s="110" t="n"/>
      <c r="W229" s="110" t="n"/>
      <c r="X229" s="110" t="n"/>
      <c r="Y229" s="110" t="n"/>
      <c r="Z229" s="110" t="n"/>
      <c r="AA229" s="110" t="n">
        <v>7</v>
      </c>
      <c r="AB229" s="110" t="n"/>
      <c r="AC229" s="110" t="n"/>
      <c r="AD229" s="110" t="n"/>
      <c r="AE229" s="110" t="n"/>
      <c r="AF229" s="110" t="n"/>
      <c r="AG229" s="110" t="n"/>
      <c r="AH229" s="110" t="n">
        <v>16</v>
      </c>
      <c r="AI229" s="110" t="n"/>
      <c r="AJ229" s="110" t="n"/>
      <c r="AK229" s="110" t="n"/>
      <c r="AL229" s="110" t="n"/>
      <c r="AM229" s="110" t="n"/>
      <c r="AN229" s="110" t="n"/>
      <c r="AO229" s="110" t="n"/>
      <c r="AP229" s="110" t="n"/>
      <c r="AQ229" s="110" t="n"/>
      <c r="AR229" s="110" t="n"/>
      <c r="AS229" s="110" t="n"/>
      <c r="AT229" s="110" t="n"/>
      <c r="AU229" s="110" t="n"/>
      <c r="AV229" s="110" t="n"/>
      <c r="AW229" s="110" t="n"/>
      <c r="AX229" s="110" t="n"/>
      <c r="AY229" s="110" t="n"/>
      <c r="AZ229" s="110" t="n"/>
      <c r="BA229" s="110" t="n"/>
      <c r="BB229" s="110" t="n"/>
      <c r="BC229" t="inlineStr">
        <is>
          <t>ORIGINAL</t>
        </is>
      </c>
      <c r="BD229" t="n">
        <v>220</v>
      </c>
      <c r="BF229" s="109">
        <f>IF($BD229="","",SUMIF($BD$6:$BD$2000,$BD229,$J$6:$J$2000))</f>
        <v/>
      </c>
    </row>
    <row r="230" ht="19.5" customHeight="1">
      <c r="A230" s="96" t="inlineStr">
        <is>
          <t>PENDENTE</t>
        </is>
      </c>
      <c r="B230" s="26" t="inlineStr">
        <is>
          <t>RIACHUELO</t>
        </is>
      </c>
      <c r="C230" s="27" t="n">
        <v>232</v>
      </c>
      <c r="D230" s="26" t="inlineStr">
        <is>
          <t>SHOPPING METRÔ ITAQUERA</t>
        </is>
      </c>
      <c r="E230" s="26" t="inlineStr">
        <is>
          <t>SÃO PAULO</t>
        </is>
      </c>
      <c r="F230" s="27" t="inlineStr">
        <is>
          <t>SP</t>
        </is>
      </c>
      <c r="G230" s="107" t="n">
        <v>46235</v>
      </c>
      <c r="H230" s="108">
        <f>IF($B230="","",SUM($K230:$AG230)+SUM($AS230:$BB230))</f>
        <v/>
      </c>
      <c r="I230" s="108">
        <f>IF($B230="","",SUM($AH230:$AL230))</f>
        <v/>
      </c>
      <c r="J230" s="109">
        <f>IF($B230="","",SUMPRODUCT($K230:$BB230,$K$2:$BB$2))</f>
        <v/>
      </c>
      <c r="K230" s="110" t="n">
        <v>15</v>
      </c>
      <c r="L230" s="110" t="n"/>
      <c r="M230" s="110" t="n">
        <v>2</v>
      </c>
      <c r="N230" s="110" t="n"/>
      <c r="O230" s="110" t="n"/>
      <c r="P230" s="110" t="n"/>
      <c r="Q230" s="110" t="n"/>
      <c r="R230" s="110" t="n"/>
      <c r="S230" s="110" t="n"/>
      <c r="T230" s="110" t="n"/>
      <c r="U230" s="110" t="n"/>
      <c r="V230" s="110" t="n"/>
      <c r="W230" s="110" t="n"/>
      <c r="X230" s="110" t="n"/>
      <c r="Y230" s="110" t="n"/>
      <c r="Z230" s="110" t="n"/>
      <c r="AA230" s="110" t="n">
        <v>9</v>
      </c>
      <c r="AB230" s="110" t="n"/>
      <c r="AC230" s="110" t="n"/>
      <c r="AD230" s="110" t="n"/>
      <c r="AE230" s="110" t="n"/>
      <c r="AF230" s="110" t="n"/>
      <c r="AG230" s="110" t="n"/>
      <c r="AH230" s="110" t="n">
        <v>14</v>
      </c>
      <c r="AI230" s="110" t="n"/>
      <c r="AJ230" s="110" t="n"/>
      <c r="AK230" s="110" t="n"/>
      <c r="AL230" s="110" t="n"/>
      <c r="AM230" s="110" t="n"/>
      <c r="AN230" s="110" t="n"/>
      <c r="AO230" s="110" t="n"/>
      <c r="AP230" s="110" t="n"/>
      <c r="AQ230" s="110" t="n"/>
      <c r="AR230" s="110" t="n"/>
      <c r="AS230" s="110" t="n"/>
      <c r="AT230" s="110" t="n"/>
      <c r="AU230" s="110" t="n"/>
      <c r="AV230" s="110" t="n"/>
      <c r="AW230" s="110" t="n"/>
      <c r="AX230" s="110" t="n"/>
      <c r="AY230" s="110" t="n"/>
      <c r="AZ230" s="110" t="n"/>
      <c r="BA230" s="110" t="n"/>
      <c r="BB230" s="110" t="n"/>
      <c r="BC230" t="inlineStr">
        <is>
          <t>ORIGINAL</t>
        </is>
      </c>
      <c r="BD230" t="n">
        <v>221</v>
      </c>
      <c r="BF230" s="109">
        <f>IF($BD230="","",SUMIF($BD$6:$BD$2000,$BD230,$J$6:$J$2000))</f>
        <v/>
      </c>
    </row>
    <row r="231" ht="19.5" customHeight="1">
      <c r="A231" s="96" t="inlineStr">
        <is>
          <t>PENDENTE</t>
        </is>
      </c>
      <c r="B231" s="26" t="inlineStr">
        <is>
          <t>RIACHUELO</t>
        </is>
      </c>
      <c r="C231" s="27" t="n">
        <v>233</v>
      </c>
      <c r="D231" s="26" t="inlineStr">
        <is>
          <t>SHOPPING ELDORADO</t>
        </is>
      </c>
      <c r="E231" s="26" t="inlineStr">
        <is>
          <t>SÃO PAULO</t>
        </is>
      </c>
      <c r="F231" s="27" t="inlineStr">
        <is>
          <t>SP</t>
        </is>
      </c>
      <c r="G231" s="107" t="n">
        <v>46083</v>
      </c>
      <c r="H231" s="108">
        <f>IF($B231="","",SUM($K231:$AG231)+SUM($AS231:$BB231))</f>
        <v/>
      </c>
      <c r="I231" s="108">
        <f>IF($B231="","",SUM($AH231:$AL231))</f>
        <v/>
      </c>
      <c r="J231" s="109">
        <f>IF($B231="","",SUMPRODUCT($K231:$BB231,$K$2:$BB$2))</f>
        <v/>
      </c>
      <c r="K231" s="110" t="n">
        <v>9</v>
      </c>
      <c r="L231" s="110" t="n"/>
      <c r="M231" s="110" t="n">
        <v>9</v>
      </c>
      <c r="N231" s="110" t="n"/>
      <c r="O231" s="110" t="n"/>
      <c r="P231" s="110" t="n"/>
      <c r="Q231" s="110" t="n"/>
      <c r="R231" s="110" t="n"/>
      <c r="S231" s="110" t="n"/>
      <c r="T231" s="110" t="n"/>
      <c r="U231" s="110" t="n"/>
      <c r="V231" s="110" t="n"/>
      <c r="W231" s="110" t="n"/>
      <c r="X231" s="110" t="n"/>
      <c r="Y231" s="110" t="n"/>
      <c r="Z231" s="110" t="n">
        <v>1</v>
      </c>
      <c r="AA231" s="110" t="n">
        <v>4</v>
      </c>
      <c r="AB231" s="110" t="n"/>
      <c r="AC231" s="110" t="n"/>
      <c r="AD231" s="110" t="n"/>
      <c r="AE231" s="110" t="n"/>
      <c r="AF231" s="110" t="n"/>
      <c r="AG231" s="110" t="n"/>
      <c r="AH231" s="110" t="n"/>
      <c r="AI231" s="110" t="n"/>
      <c r="AJ231" s="110" t="n">
        <v>8</v>
      </c>
      <c r="AK231" s="110" t="n"/>
      <c r="AL231" s="110" t="n"/>
      <c r="AM231" s="110" t="n"/>
      <c r="AN231" s="110" t="n"/>
      <c r="AO231" s="110" t="n"/>
      <c r="AP231" s="110" t="n"/>
      <c r="AQ231" s="110" t="n"/>
      <c r="AR231" s="110" t="n"/>
      <c r="AS231" s="110" t="n"/>
      <c r="AT231" s="110" t="n"/>
      <c r="AU231" s="110" t="n"/>
      <c r="AV231" s="110" t="n"/>
      <c r="AW231" s="110" t="n"/>
      <c r="AX231" s="110" t="n"/>
      <c r="AY231" s="110" t="n"/>
      <c r="AZ231" s="110" t="n"/>
      <c r="BA231" s="110" t="n"/>
      <c r="BB231" s="110" t="n"/>
      <c r="BC231" t="inlineStr">
        <is>
          <t>ORIGINAL</t>
        </is>
      </c>
      <c r="BD231" t="n">
        <v>222</v>
      </c>
      <c r="BF231" s="109">
        <f>IF($BD231="","",SUMIF($BD$6:$BD$2000,$BD231,$J$6:$J$2000))</f>
        <v/>
      </c>
    </row>
    <row r="232" ht="19.5" customHeight="1">
      <c r="A232" s="96" t="inlineStr">
        <is>
          <t>PENDENTE</t>
        </is>
      </c>
      <c r="B232" s="26" t="inlineStr">
        <is>
          <t>RIACHUELO</t>
        </is>
      </c>
      <c r="C232" s="27" t="n">
        <v>234</v>
      </c>
      <c r="D232" s="26" t="inlineStr">
        <is>
          <t>SHOPPING GANJA VIANNA</t>
        </is>
      </c>
      <c r="E232" s="26" t="inlineStr">
        <is>
          <t>COTIA</t>
        </is>
      </c>
      <c r="F232" s="27" t="inlineStr">
        <is>
          <t>SP</t>
        </is>
      </c>
      <c r="G232" s="107" t="n">
        <v>46388</v>
      </c>
      <c r="H232" s="108">
        <f>IF($B232="","",SUM($K232:$AG232)+SUM($AS232:$BB232))</f>
        <v/>
      </c>
      <c r="I232" s="108">
        <f>IF($B232="","",SUM($AH232:$AL232))</f>
        <v/>
      </c>
      <c r="J232" s="109">
        <f>IF($B232="","",SUMPRODUCT($K232:$BB232,$K$2:$BB$2))</f>
        <v/>
      </c>
      <c r="K232" s="110" t="n">
        <v>9</v>
      </c>
      <c r="L232" s="110" t="n"/>
      <c r="M232" s="110" t="n">
        <v>3</v>
      </c>
      <c r="N232" s="110" t="n">
        <v>2</v>
      </c>
      <c r="O232" s="110" t="n"/>
      <c r="P232" s="110" t="n"/>
      <c r="Q232" s="110" t="n"/>
      <c r="R232" s="110" t="n"/>
      <c r="S232" s="110" t="n"/>
      <c r="T232" s="110" t="n"/>
      <c r="U232" s="110" t="n"/>
      <c r="V232" s="110" t="n"/>
      <c r="W232" s="110" t="n"/>
      <c r="X232" s="110" t="n"/>
      <c r="Y232" s="110" t="n"/>
      <c r="Z232" s="110" t="n"/>
      <c r="AA232" s="110" t="n">
        <v>6</v>
      </c>
      <c r="AB232" s="110" t="n"/>
      <c r="AC232" s="110" t="n"/>
      <c r="AD232" s="110" t="n"/>
      <c r="AE232" s="110" t="n"/>
      <c r="AF232" s="110" t="n"/>
      <c r="AG232" s="110" t="n"/>
      <c r="AH232" s="110" t="n">
        <v>16</v>
      </c>
      <c r="AI232" s="110" t="n"/>
      <c r="AJ232" s="110" t="n"/>
      <c r="AK232" s="110" t="n"/>
      <c r="AL232" s="110" t="n"/>
      <c r="AM232" s="110" t="n"/>
      <c r="AN232" s="110" t="n"/>
      <c r="AO232" s="110" t="n"/>
      <c r="AP232" s="110" t="n"/>
      <c r="AQ232" s="110" t="n"/>
      <c r="AR232" s="110" t="n"/>
      <c r="AS232" s="110" t="n"/>
      <c r="AT232" s="110" t="n"/>
      <c r="AU232" s="110" t="n"/>
      <c r="AV232" s="110" t="n"/>
      <c r="AW232" s="110" t="n"/>
      <c r="AX232" s="110" t="n"/>
      <c r="AY232" s="110" t="n"/>
      <c r="AZ232" s="110" t="n"/>
      <c r="BA232" s="110" t="n"/>
      <c r="BB232" s="110" t="n"/>
      <c r="BC232" t="inlineStr">
        <is>
          <t>ORIGINAL</t>
        </is>
      </c>
      <c r="BD232" t="n">
        <v>223</v>
      </c>
      <c r="BF232" s="109">
        <f>IF($BD232="","",SUMIF($BD$6:$BD$2000,$BD232,$J$6:$J$2000))</f>
        <v/>
      </c>
    </row>
    <row r="233" ht="19.5" customHeight="1">
      <c r="A233" s="96" t="inlineStr">
        <is>
          <t>PENDENTE</t>
        </is>
      </c>
      <c r="B233" s="26" t="inlineStr">
        <is>
          <t>RIACHUELO</t>
        </is>
      </c>
      <c r="C233" s="27" t="n">
        <v>236</v>
      </c>
      <c r="D233" s="26" t="inlineStr">
        <is>
          <t>VILA VELHA SH</t>
        </is>
      </c>
      <c r="E233" s="26" t="inlineStr">
        <is>
          <t>VILA VELHA</t>
        </is>
      </c>
      <c r="F233" s="27" t="inlineStr">
        <is>
          <t>ES</t>
        </is>
      </c>
      <c r="G233" s="107" t="n">
        <v>46204</v>
      </c>
      <c r="H233" s="108">
        <f>IF($B233="","",SUM($K233:$AG233)+SUM($AS233:$BB233))</f>
        <v/>
      </c>
      <c r="I233" s="108">
        <f>IF($B233="","",SUM($AH233:$AL233))</f>
        <v/>
      </c>
      <c r="J233" s="109">
        <f>IF($B233="","",SUMPRODUCT($K233:$BB233,$K$2:$BB$2))</f>
        <v/>
      </c>
      <c r="K233" s="110" t="n">
        <v>6</v>
      </c>
      <c r="L233" s="110" t="n"/>
      <c r="M233" s="110" t="n"/>
      <c r="N233" s="110" t="n">
        <v>1</v>
      </c>
      <c r="O233" s="110" t="n"/>
      <c r="P233" s="110" t="n"/>
      <c r="Q233" s="110" t="n"/>
      <c r="R233" s="110" t="n"/>
      <c r="S233" s="110" t="n"/>
      <c r="T233" s="110" t="n"/>
      <c r="U233" s="110" t="n">
        <v>8</v>
      </c>
      <c r="V233" s="110" t="n"/>
      <c r="W233" s="110" t="n"/>
      <c r="X233" s="110" t="n"/>
      <c r="Y233" s="110" t="n"/>
      <c r="Z233" s="110" t="n"/>
      <c r="AA233" s="110" t="n">
        <v>8</v>
      </c>
      <c r="AB233" s="110" t="n"/>
      <c r="AC233" s="110" t="n"/>
      <c r="AD233" s="110" t="n"/>
      <c r="AE233" s="110" t="n"/>
      <c r="AF233" s="110" t="n"/>
      <c r="AG233" s="110" t="n"/>
      <c r="AH233" s="110" t="n">
        <v>20</v>
      </c>
      <c r="AI233" s="110" t="n"/>
      <c r="AJ233" s="110" t="n"/>
      <c r="AK233" s="110" t="n"/>
      <c r="AL233" s="110" t="n"/>
      <c r="AM233" s="110" t="n"/>
      <c r="AN233" s="110" t="n"/>
      <c r="AO233" s="110" t="n"/>
      <c r="AP233" s="110" t="n"/>
      <c r="AQ233" s="110" t="n"/>
      <c r="AR233" s="110" t="n"/>
      <c r="AS233" s="110" t="n"/>
      <c r="AT233" s="110" t="n"/>
      <c r="AU233" s="110" t="n"/>
      <c r="AV233" s="110" t="n"/>
      <c r="AW233" s="110" t="n"/>
      <c r="AX233" s="110" t="n"/>
      <c r="AY233" s="110" t="n"/>
      <c r="AZ233" s="110" t="n"/>
      <c r="BA233" s="110" t="n"/>
      <c r="BB233" s="110" t="n"/>
      <c r="BC233" t="inlineStr">
        <is>
          <t>ORIGINAL</t>
        </is>
      </c>
      <c r="BD233" t="n">
        <v>224</v>
      </c>
      <c r="BF233" s="109">
        <f>IF($BD233="","",SUMIF($BD$6:$BD$2000,$BD233,$J$6:$J$2000))</f>
        <v/>
      </c>
    </row>
    <row r="234" ht="19.5" customHeight="1">
      <c r="A234" s="96" t="inlineStr">
        <is>
          <t>PENDENTE</t>
        </is>
      </c>
      <c r="B234" s="26" t="inlineStr">
        <is>
          <t>RIACHUELO</t>
        </is>
      </c>
      <c r="C234" s="27" t="n">
        <v>237</v>
      </c>
      <c r="D234" s="26" t="inlineStr">
        <is>
          <t>RIO AMERICA SH</t>
        </is>
      </c>
      <c r="E234" s="26" t="inlineStr">
        <is>
          <t>RIO DE JANEIRO</t>
        </is>
      </c>
      <c r="F234" s="27" t="inlineStr">
        <is>
          <t>RJ</t>
        </is>
      </c>
      <c r="G234" s="107" t="n">
        <v>46235</v>
      </c>
      <c r="H234" s="108">
        <f>IF($B234="","",SUM($K234:$AG234)+SUM($AS234:$BB234))</f>
        <v/>
      </c>
      <c r="I234" s="108">
        <f>IF($B234="","",SUM($AH234:$AL234))</f>
        <v/>
      </c>
      <c r="J234" s="109">
        <f>IF($B234="","",SUMPRODUCT($K234:$BB234,$K$2:$BB$2))</f>
        <v/>
      </c>
      <c r="K234" s="110" t="n">
        <v>8</v>
      </c>
      <c r="L234" s="110" t="n"/>
      <c r="M234" s="110" t="n"/>
      <c r="N234" s="110" t="n">
        <v>7</v>
      </c>
      <c r="O234" s="110" t="n"/>
      <c r="P234" s="110" t="n"/>
      <c r="Q234" s="110" t="n"/>
      <c r="R234" s="110" t="n"/>
      <c r="S234" s="110" t="n"/>
      <c r="T234" s="110" t="n"/>
      <c r="U234" s="110" t="n"/>
      <c r="V234" s="110" t="n"/>
      <c r="W234" s="110" t="n"/>
      <c r="X234" s="110" t="n"/>
      <c r="Y234" s="110" t="n"/>
      <c r="Z234" s="110" t="n">
        <v>3</v>
      </c>
      <c r="AA234" s="110" t="n">
        <v>9</v>
      </c>
      <c r="AB234" s="110" t="n"/>
      <c r="AC234" s="110" t="n"/>
      <c r="AD234" s="110" t="n"/>
      <c r="AE234" s="110" t="n"/>
      <c r="AF234" s="110" t="n"/>
      <c r="AG234" s="110" t="n"/>
      <c r="AH234" s="110" t="n">
        <v>10</v>
      </c>
      <c r="AI234" s="110" t="n"/>
      <c r="AJ234" s="110" t="n"/>
      <c r="AK234" s="110" t="n"/>
      <c r="AL234" s="110" t="n"/>
      <c r="AM234" s="110" t="n"/>
      <c r="AN234" s="110" t="n"/>
      <c r="AO234" s="110" t="n"/>
      <c r="AP234" s="110" t="n"/>
      <c r="AQ234" s="110" t="n"/>
      <c r="AR234" s="110" t="n"/>
      <c r="AS234" s="110" t="n"/>
      <c r="AT234" s="110" t="n"/>
      <c r="AU234" s="110" t="n"/>
      <c r="AV234" s="110" t="n"/>
      <c r="AW234" s="110" t="n"/>
      <c r="AX234" s="110" t="n"/>
      <c r="AY234" s="110" t="n"/>
      <c r="AZ234" s="110" t="n"/>
      <c r="BA234" s="110" t="n"/>
      <c r="BB234" s="110" t="n"/>
      <c r="BC234" t="inlineStr">
        <is>
          <t>ORIGINAL</t>
        </is>
      </c>
      <c r="BD234" t="n">
        <v>225</v>
      </c>
      <c r="BF234" s="109">
        <f>IF($BD234="","",SUMIF($BD$6:$BD$2000,$BD234,$J$6:$J$2000))</f>
        <v/>
      </c>
    </row>
    <row r="235" ht="19.5" customHeight="1">
      <c r="A235" s="96" t="inlineStr">
        <is>
          <t>PENDENTE</t>
        </is>
      </c>
      <c r="B235" s="26" t="inlineStr">
        <is>
          <t>RIACHUELO</t>
        </is>
      </c>
      <c r="C235" s="27" t="n">
        <v>238</v>
      </c>
      <c r="D235" s="26" t="inlineStr">
        <is>
          <t>SHOPPING RIO POTY</t>
        </is>
      </c>
      <c r="E235" s="26" t="inlineStr">
        <is>
          <t>TERESINA</t>
        </is>
      </c>
      <c r="F235" s="27" t="inlineStr">
        <is>
          <t>PI</t>
        </is>
      </c>
      <c r="G235" s="107" t="n">
        <v>46142</v>
      </c>
      <c r="H235" s="108">
        <f>IF($B235="","",SUM($K235:$AG235)+SUM($AS235:$BB235))</f>
        <v/>
      </c>
      <c r="I235" s="108">
        <f>IF($B235="","",SUM($AH235:$AL235))</f>
        <v/>
      </c>
      <c r="J235" s="109">
        <f>IF($B235="","",SUMPRODUCT($K235:$BB235,$K$2:$BB$2))</f>
        <v/>
      </c>
      <c r="K235" s="110" t="n">
        <v>5</v>
      </c>
      <c r="L235" s="110" t="n"/>
      <c r="M235" s="110" t="n"/>
      <c r="N235" s="110" t="n"/>
      <c r="O235" s="110" t="n"/>
      <c r="P235" s="110" t="n">
        <v>2</v>
      </c>
      <c r="Q235" s="110" t="n"/>
      <c r="R235" s="110" t="n"/>
      <c r="S235" s="110" t="n"/>
      <c r="T235" s="110" t="n"/>
      <c r="U235" s="110" t="n">
        <v>8</v>
      </c>
      <c r="V235" s="110" t="n"/>
      <c r="W235" s="110" t="n"/>
      <c r="X235" s="110" t="n"/>
      <c r="Y235" s="110" t="n"/>
      <c r="Z235" s="110" t="n"/>
      <c r="AA235" s="110" t="n">
        <v>12</v>
      </c>
      <c r="AB235" s="110" t="n"/>
      <c r="AC235" s="110" t="n"/>
      <c r="AD235" s="110" t="n"/>
      <c r="AE235" s="110" t="n"/>
      <c r="AF235" s="110" t="n"/>
      <c r="AG235" s="110" t="n"/>
      <c r="AH235" s="110" t="n">
        <v>28</v>
      </c>
      <c r="AI235" s="110" t="n"/>
      <c r="AJ235" s="110" t="n"/>
      <c r="AK235" s="110" t="n"/>
      <c r="AL235" s="110" t="n"/>
      <c r="AM235" s="110" t="n"/>
      <c r="AN235" s="110" t="n"/>
      <c r="AO235" s="110" t="n"/>
      <c r="AP235" s="110" t="n"/>
      <c r="AQ235" s="110" t="n"/>
      <c r="AR235" s="110" t="n"/>
      <c r="AS235" s="110" t="n"/>
      <c r="AT235" s="110" t="n"/>
      <c r="AU235" s="110" t="n"/>
      <c r="AV235" s="110" t="n"/>
      <c r="AW235" s="110" t="n"/>
      <c r="AX235" s="110" t="n"/>
      <c r="AY235" s="110" t="n"/>
      <c r="AZ235" s="110" t="n"/>
      <c r="BA235" s="110" t="n"/>
      <c r="BB235" s="110" t="n"/>
      <c r="BC235" t="inlineStr">
        <is>
          <t>ORIGINAL</t>
        </is>
      </c>
      <c r="BD235" t="n">
        <v>226</v>
      </c>
      <c r="BF235" s="109">
        <f>IF($BD235="","",SUMIF($BD$6:$BD$2000,$BD235,$J$6:$J$2000))</f>
        <v/>
      </c>
    </row>
    <row r="236" ht="19.5" customHeight="1">
      <c r="A236" s="96" t="inlineStr">
        <is>
          <t>PENDENTE</t>
        </is>
      </c>
      <c r="B236" s="26" t="inlineStr">
        <is>
          <t>RIACHUELO</t>
        </is>
      </c>
      <c r="C236" s="27" t="n">
        <v>239</v>
      </c>
      <c r="D236" s="26" t="inlineStr">
        <is>
          <t>SHOPPING CENTER IGUATEMI</t>
        </is>
      </c>
      <c r="E236" s="26" t="inlineStr">
        <is>
          <t>SÃO JOSÉ DO RIO PRETO</t>
        </is>
      </c>
      <c r="F236" s="27" t="inlineStr">
        <is>
          <t>SP</t>
        </is>
      </c>
      <c r="G236" s="107" t="n">
        <v>46388</v>
      </c>
      <c r="H236" s="108">
        <f>IF($B236="","",SUM($K236:$AG236)+SUM($AS236:$BB236))</f>
        <v/>
      </c>
      <c r="I236" s="108">
        <f>IF($B236="","",SUM($AH236:$AL236))</f>
        <v/>
      </c>
      <c r="J236" s="109">
        <f>IF($B236="","",SUMPRODUCT($K236:$BB236,$K$2:$BB$2))</f>
        <v/>
      </c>
      <c r="K236" s="110" t="n">
        <v>7</v>
      </c>
      <c r="L236" s="110" t="n"/>
      <c r="M236" s="110" t="n">
        <v>2</v>
      </c>
      <c r="N236" s="110" t="n"/>
      <c r="O236" s="110" t="n"/>
      <c r="P236" s="110" t="n"/>
      <c r="Q236" s="110" t="n"/>
      <c r="R236" s="110" t="n"/>
      <c r="S236" s="110" t="n"/>
      <c r="T236" s="110" t="n"/>
      <c r="U236" s="110" t="n"/>
      <c r="V236" s="110" t="n"/>
      <c r="W236" s="110" t="n"/>
      <c r="X236" s="110" t="n"/>
      <c r="Y236" s="110" t="n"/>
      <c r="Z236" s="110" t="n"/>
      <c r="AA236" s="110" t="n">
        <v>7</v>
      </c>
      <c r="AB236" s="110" t="n"/>
      <c r="AC236" s="110" t="n"/>
      <c r="AD236" s="110" t="n"/>
      <c r="AE236" s="110" t="n"/>
      <c r="AF236" s="110" t="n"/>
      <c r="AG236" s="110" t="n"/>
      <c r="AH236" s="110" t="n">
        <v>8</v>
      </c>
      <c r="AI236" s="110" t="n"/>
      <c r="AJ236" s="110" t="n"/>
      <c r="AK236" s="110" t="n"/>
      <c r="AL236" s="110" t="n"/>
      <c r="AM236" s="110" t="n"/>
      <c r="AN236" s="110" t="n"/>
      <c r="AO236" s="110" t="n"/>
      <c r="AP236" s="110" t="n"/>
      <c r="AQ236" s="110" t="n"/>
      <c r="AR236" s="110" t="n"/>
      <c r="AS236" s="110" t="n"/>
      <c r="AT236" s="110" t="n"/>
      <c r="AU236" s="110" t="n"/>
      <c r="AV236" s="110" t="n"/>
      <c r="AW236" s="110" t="n"/>
      <c r="AX236" s="110" t="n"/>
      <c r="AY236" s="110" t="n"/>
      <c r="AZ236" s="110" t="n"/>
      <c r="BA236" s="110" t="n"/>
      <c r="BB236" s="110" t="n"/>
      <c r="BC236" t="inlineStr">
        <is>
          <t>ORIGINAL</t>
        </is>
      </c>
      <c r="BD236" t="n">
        <v>227</v>
      </c>
      <c r="BF236" s="109">
        <f>IF($BD236="","",SUMIF($BD$6:$BD$2000,$BD236,$J$6:$J$2000))</f>
        <v/>
      </c>
    </row>
    <row r="237" ht="19.5" customHeight="1">
      <c r="A237" s="96" t="inlineStr">
        <is>
          <t>PENDENTE</t>
        </is>
      </c>
      <c r="B237" s="26" t="inlineStr">
        <is>
          <t>RIACHUELO</t>
        </is>
      </c>
      <c r="C237" s="27" t="n">
        <v>244</v>
      </c>
      <c r="D237" s="26" t="inlineStr">
        <is>
          <t>TEIXEIRA DE FREITAS PÁTIO MIX</t>
        </is>
      </c>
      <c r="E237" s="26" t="inlineStr">
        <is>
          <t>TEIXEIRA DE FREITAS</t>
        </is>
      </c>
      <c r="F237" s="27" t="inlineStr">
        <is>
          <t>BA</t>
        </is>
      </c>
      <c r="G237" s="107" t="n">
        <v>46023</v>
      </c>
      <c r="H237" s="108">
        <f>IF($B237="","",SUM($K237:$AG237)+SUM($AS237:$BB237))</f>
        <v/>
      </c>
      <c r="I237" s="108">
        <f>IF($B237="","",SUM($AH237:$AL237))</f>
        <v/>
      </c>
      <c r="J237" s="109">
        <f>IF($B237="","",SUMPRODUCT($K237:$BB237,$K$2:$BB$2))</f>
        <v/>
      </c>
      <c r="K237" s="110" t="n">
        <v>10</v>
      </c>
      <c r="L237" s="110" t="n"/>
      <c r="M237" s="110" t="n"/>
      <c r="N237" s="110" t="n"/>
      <c r="O237" s="110" t="n"/>
      <c r="P237" s="110" t="n"/>
      <c r="Q237" s="110" t="n"/>
      <c r="R237" s="110" t="n"/>
      <c r="S237" s="110" t="n"/>
      <c r="T237" s="110" t="n"/>
      <c r="U237" s="110" t="n"/>
      <c r="V237" s="110" t="n"/>
      <c r="W237" s="110" t="n"/>
      <c r="X237" s="110" t="n"/>
      <c r="Y237" s="110" t="n"/>
      <c r="Z237" s="110" t="n"/>
      <c r="AA237" s="110" t="n">
        <v>7</v>
      </c>
      <c r="AB237" s="110" t="n"/>
      <c r="AC237" s="110" t="n"/>
      <c r="AD237" s="110" t="n"/>
      <c r="AE237" s="110" t="n"/>
      <c r="AF237" s="110" t="n"/>
      <c r="AG237" s="110" t="n"/>
      <c r="AH237" s="110" t="n">
        <v>14</v>
      </c>
      <c r="AI237" s="110" t="n"/>
      <c r="AJ237" s="110" t="n"/>
      <c r="AK237" s="110" t="n"/>
      <c r="AL237" s="110" t="n"/>
      <c r="AM237" s="110" t="n"/>
      <c r="AN237" s="110" t="n"/>
      <c r="AO237" s="110" t="n"/>
      <c r="AP237" s="110" t="n"/>
      <c r="AQ237" s="110" t="n"/>
      <c r="AR237" s="110" t="n"/>
      <c r="AS237" s="110" t="n"/>
      <c r="AT237" s="110" t="n"/>
      <c r="AU237" s="110" t="n"/>
      <c r="AV237" s="110" t="n"/>
      <c r="AW237" s="110" t="n"/>
      <c r="AX237" s="110" t="n"/>
      <c r="AY237" s="110" t="n"/>
      <c r="AZ237" s="110" t="n"/>
      <c r="BA237" s="110" t="n"/>
      <c r="BB237" s="110" t="n"/>
      <c r="BC237" t="inlineStr">
        <is>
          <t>ORIGINAL</t>
        </is>
      </c>
      <c r="BD237" t="n">
        <v>228</v>
      </c>
      <c r="BF237" s="109">
        <f>IF($BD237="","",SUMIF($BD$6:$BD$2000,$BD237,$J$6:$J$2000))</f>
        <v/>
      </c>
    </row>
    <row r="238" ht="19.5" customHeight="1">
      <c r="A238" s="96" t="inlineStr">
        <is>
          <t>PENDENTE</t>
        </is>
      </c>
      <c r="B238" s="26" t="inlineStr">
        <is>
          <t>RIACHUELO</t>
        </is>
      </c>
      <c r="C238" s="27" t="n">
        <v>245</v>
      </c>
      <c r="D238" s="26" t="inlineStr">
        <is>
          <t>MOXUARA SH</t>
        </is>
      </c>
      <c r="E238" s="26" t="inlineStr">
        <is>
          <t>CARIACICA</t>
        </is>
      </c>
      <c r="F238" s="27" t="inlineStr">
        <is>
          <t>ES</t>
        </is>
      </c>
      <c r="G238" s="107" t="n">
        <v>46142</v>
      </c>
      <c r="H238" s="108">
        <f>IF($B238="","",SUM($K238:$AG238)+SUM($AS238:$BB238))</f>
        <v/>
      </c>
      <c r="I238" s="108">
        <f>IF($B238="","",SUM($AH238:$AL238))</f>
        <v/>
      </c>
      <c r="J238" s="109">
        <f>IF($B238="","",SUMPRODUCT($K238:$BB238,$K$2:$BB$2))</f>
        <v/>
      </c>
      <c r="K238" s="110" t="n">
        <v>8</v>
      </c>
      <c r="L238" s="110" t="n"/>
      <c r="M238" s="110" t="n"/>
      <c r="N238" s="110" t="n"/>
      <c r="O238" s="110" t="n"/>
      <c r="P238" s="110" t="n"/>
      <c r="Q238" s="110" t="n"/>
      <c r="R238" s="110" t="n"/>
      <c r="S238" s="110" t="n"/>
      <c r="T238" s="110" t="n"/>
      <c r="U238" s="110" t="n">
        <v>9</v>
      </c>
      <c r="V238" s="110" t="n"/>
      <c r="W238" s="110" t="n"/>
      <c r="X238" s="110" t="n"/>
      <c r="Y238" s="110" t="n"/>
      <c r="Z238" s="110" t="n"/>
      <c r="AA238" s="110" t="n">
        <v>8</v>
      </c>
      <c r="AB238" s="110" t="n"/>
      <c r="AC238" s="110" t="n"/>
      <c r="AD238" s="110" t="n"/>
      <c r="AE238" s="110" t="n"/>
      <c r="AF238" s="110" t="n"/>
      <c r="AG238" s="110" t="n"/>
      <c r="AH238" s="110" t="n">
        <v>24</v>
      </c>
      <c r="AI238" s="110" t="n"/>
      <c r="AJ238" s="110" t="n"/>
      <c r="AK238" s="110" t="n"/>
      <c r="AL238" s="110" t="n"/>
      <c r="AM238" s="110" t="n"/>
      <c r="AN238" s="110" t="n"/>
      <c r="AO238" s="110" t="n"/>
      <c r="AP238" s="110" t="n"/>
      <c r="AQ238" s="110" t="n"/>
      <c r="AR238" s="110" t="n"/>
      <c r="AS238" s="110" t="n"/>
      <c r="AT238" s="110" t="n"/>
      <c r="AU238" s="110" t="n"/>
      <c r="AV238" s="110" t="n"/>
      <c r="AW238" s="110" t="n"/>
      <c r="AX238" s="110" t="n"/>
      <c r="AY238" s="110" t="n"/>
      <c r="AZ238" s="110" t="n"/>
      <c r="BA238" s="110" t="n"/>
      <c r="BB238" s="110" t="n"/>
      <c r="BC238" t="inlineStr">
        <is>
          <t>ORIGINAL</t>
        </is>
      </c>
      <c r="BD238" t="n">
        <v>229</v>
      </c>
      <c r="BF238" s="109">
        <f>IF($BD238="","",SUMIF($BD$6:$BD$2000,$BD238,$J$6:$J$2000))</f>
        <v/>
      </c>
    </row>
    <row r="239" ht="19.5" customHeight="1">
      <c r="A239" s="96" t="inlineStr">
        <is>
          <t>PENDENTE</t>
        </is>
      </c>
      <c r="B239" s="26" t="inlineStr">
        <is>
          <t>RIACHUELO</t>
        </is>
      </c>
      <c r="C239" s="27" t="n">
        <v>246</v>
      </c>
      <c r="D239" s="26" t="inlineStr">
        <is>
          <t>CASCAVEL CATUAÍ SH</t>
        </is>
      </c>
      <c r="E239" s="26" t="inlineStr">
        <is>
          <t>CASCAVEL</t>
        </is>
      </c>
      <c r="F239" s="27" t="inlineStr">
        <is>
          <t>PR</t>
        </is>
      </c>
      <c r="G239" s="107" t="n">
        <v>46235</v>
      </c>
      <c r="H239" s="108">
        <f>IF($B239="","",SUM($K239:$AG239)+SUM($AS239:$BB239))</f>
        <v/>
      </c>
      <c r="I239" s="108">
        <f>IF($B239="","",SUM($AH239:$AL239))</f>
        <v/>
      </c>
      <c r="J239" s="109">
        <f>IF($B239="","",SUMPRODUCT($K239:$BB239,$K$2:$BB$2))</f>
        <v/>
      </c>
      <c r="K239" s="110" t="n">
        <v>8</v>
      </c>
      <c r="L239" s="110" t="n"/>
      <c r="M239" s="110" t="n"/>
      <c r="N239" s="110" t="n"/>
      <c r="O239" s="110" t="n"/>
      <c r="P239" s="110" t="n"/>
      <c r="Q239" s="110" t="n"/>
      <c r="R239" s="110" t="n"/>
      <c r="S239" s="110" t="n"/>
      <c r="T239" s="110" t="n"/>
      <c r="U239" s="110" t="n"/>
      <c r="V239" s="110" t="n"/>
      <c r="W239" s="110" t="n"/>
      <c r="X239" s="110" t="n"/>
      <c r="Y239" s="110" t="n"/>
      <c r="Z239" s="110" t="n"/>
      <c r="AA239" s="110" t="n">
        <v>3</v>
      </c>
      <c r="AB239" s="110" t="n"/>
      <c r="AC239" s="110" t="n"/>
      <c r="AD239" s="110" t="n"/>
      <c r="AE239" s="110" t="n"/>
      <c r="AF239" s="110" t="n"/>
      <c r="AG239" s="110" t="n"/>
      <c r="AH239" s="110" t="n">
        <v>6</v>
      </c>
      <c r="AI239" s="110" t="n"/>
      <c r="AJ239" s="110" t="n"/>
      <c r="AK239" s="110" t="n"/>
      <c r="AL239" s="110" t="n"/>
      <c r="AM239" s="110" t="n"/>
      <c r="AN239" s="110" t="n"/>
      <c r="AO239" s="110" t="n"/>
      <c r="AP239" s="110" t="n"/>
      <c r="AQ239" s="110" t="n"/>
      <c r="AR239" s="110" t="n"/>
      <c r="AS239" s="110" t="n"/>
      <c r="AT239" s="110" t="n"/>
      <c r="AU239" s="110" t="n"/>
      <c r="AV239" s="110" t="n"/>
      <c r="AW239" s="110" t="n"/>
      <c r="AX239" s="110" t="n"/>
      <c r="AY239" s="110" t="n"/>
      <c r="AZ239" s="110" t="n"/>
      <c r="BA239" s="110" t="n"/>
      <c r="BB239" s="110" t="n"/>
      <c r="BC239" t="inlineStr">
        <is>
          <t>ORIGINAL</t>
        </is>
      </c>
      <c r="BD239" t="n">
        <v>230</v>
      </c>
      <c r="BF239" s="109">
        <f>IF($BD239="","",SUMIF($BD$6:$BD$2000,$BD239,$J$6:$J$2000))</f>
        <v/>
      </c>
    </row>
    <row r="240" ht="19.5" customHeight="1">
      <c r="A240" s="96" t="inlineStr">
        <is>
          <t>PENDENTE</t>
        </is>
      </c>
      <c r="B240" s="26" t="inlineStr">
        <is>
          <t>RIACHUELO</t>
        </is>
      </c>
      <c r="C240" s="27" t="n">
        <v>247</v>
      </c>
      <c r="D240" s="26" t="inlineStr">
        <is>
          <t>SÃO LUIS SHOPPING</t>
        </is>
      </c>
      <c r="E240" s="26" t="inlineStr">
        <is>
          <t>SÃO LUÍS</t>
        </is>
      </c>
      <c r="F240" s="27" t="inlineStr">
        <is>
          <t>MA</t>
        </is>
      </c>
      <c r="G240" s="107" t="n">
        <v>46174</v>
      </c>
      <c r="H240" s="108">
        <f>IF($B240="","",SUM($K240:$AG240)+SUM($AS240:$BB240))</f>
        <v/>
      </c>
      <c r="I240" s="108">
        <f>IF($B240="","",SUM($AH240:$AL240))</f>
        <v/>
      </c>
      <c r="J240" s="109">
        <f>IF($B240="","",SUMPRODUCT($K240:$BB240,$K$2:$BB$2))</f>
        <v/>
      </c>
      <c r="K240" s="110" t="n">
        <v>17</v>
      </c>
      <c r="L240" s="110" t="n"/>
      <c r="M240" s="110" t="n"/>
      <c r="N240" s="110" t="n">
        <v>2</v>
      </c>
      <c r="O240" s="110" t="n"/>
      <c r="P240" s="110" t="n"/>
      <c r="Q240" s="110" t="n"/>
      <c r="R240" s="110" t="n"/>
      <c r="S240" s="110" t="n"/>
      <c r="T240" s="110" t="n"/>
      <c r="U240" s="110" t="n"/>
      <c r="V240" s="110" t="n"/>
      <c r="W240" s="110" t="n"/>
      <c r="X240" s="110" t="n"/>
      <c r="Y240" s="110" t="n"/>
      <c r="Z240" s="110" t="n"/>
      <c r="AA240" s="110" t="n">
        <v>9</v>
      </c>
      <c r="AB240" s="110" t="n"/>
      <c r="AC240" s="110" t="n"/>
      <c r="AD240" s="110" t="n"/>
      <c r="AE240" s="110" t="n"/>
      <c r="AF240" s="110" t="n"/>
      <c r="AG240" s="110" t="n"/>
      <c r="AH240" s="110" t="n">
        <v>32</v>
      </c>
      <c r="AI240" s="110" t="n"/>
      <c r="AJ240" s="110" t="n"/>
      <c r="AK240" s="110" t="n"/>
      <c r="AL240" s="110" t="n"/>
      <c r="AM240" s="110" t="n"/>
      <c r="AN240" s="110" t="n"/>
      <c r="AO240" s="110" t="n"/>
      <c r="AP240" s="110" t="n"/>
      <c r="AQ240" s="110" t="n"/>
      <c r="AR240" s="110" t="n"/>
      <c r="AS240" s="110" t="n"/>
      <c r="AT240" s="110" t="n"/>
      <c r="AU240" s="110" t="n"/>
      <c r="AV240" s="110" t="n"/>
      <c r="AW240" s="110" t="n"/>
      <c r="AX240" s="110" t="n"/>
      <c r="AY240" s="110" t="n"/>
      <c r="AZ240" s="110" t="n"/>
      <c r="BA240" s="110" t="n"/>
      <c r="BB240" s="110" t="n"/>
      <c r="BC240" t="inlineStr">
        <is>
          <t>ORIGINAL</t>
        </is>
      </c>
      <c r="BD240" t="n">
        <v>231</v>
      </c>
      <c r="BF240" s="109">
        <f>IF($BD240="","",SUMIF($BD$6:$BD$2000,$BD240,$J$6:$J$2000))</f>
        <v/>
      </c>
    </row>
    <row r="241" ht="19.5" customHeight="1">
      <c r="A241" s="96" t="inlineStr">
        <is>
          <t>PENDENTE</t>
        </is>
      </c>
      <c r="B241" s="26" t="inlineStr">
        <is>
          <t>RIACHUELO</t>
        </is>
      </c>
      <c r="C241" s="27" t="n">
        <v>248</v>
      </c>
      <c r="D241" s="26" t="inlineStr">
        <is>
          <t>SANTANA PARQUE SHOPPING</t>
        </is>
      </c>
      <c r="E241" s="26" t="inlineStr">
        <is>
          <t>SÃO PAULO</t>
        </is>
      </c>
      <c r="F241" s="27" t="inlineStr">
        <is>
          <t>SP</t>
        </is>
      </c>
      <c r="G241" s="107" t="n">
        <v>46296</v>
      </c>
      <c r="H241" s="108">
        <f>IF($B241="","",SUM($K241:$AG241)+SUM($AS241:$BB241))</f>
        <v/>
      </c>
      <c r="I241" s="108">
        <f>IF($B241="","",SUM($AH241:$AL241))</f>
        <v/>
      </c>
      <c r="J241" s="109">
        <f>IF($B241="","",SUMPRODUCT($K241:$BB241,$K$2:$BB$2))</f>
        <v/>
      </c>
      <c r="K241" s="110" t="n">
        <v>10</v>
      </c>
      <c r="L241" s="110" t="n"/>
      <c r="M241" s="110" t="n"/>
      <c r="N241" s="110" t="n">
        <v>2</v>
      </c>
      <c r="O241" s="110" t="n"/>
      <c r="P241" s="110" t="n"/>
      <c r="Q241" s="110" t="n"/>
      <c r="R241" s="110" t="n"/>
      <c r="S241" s="110" t="n"/>
      <c r="T241" s="110" t="n"/>
      <c r="U241" s="110" t="n">
        <v>1</v>
      </c>
      <c r="V241" s="110" t="n"/>
      <c r="W241" s="110" t="n"/>
      <c r="X241" s="110" t="n"/>
      <c r="Y241" s="110" t="n"/>
      <c r="Z241" s="110" t="n"/>
      <c r="AA241" s="110" t="n">
        <v>6</v>
      </c>
      <c r="AB241" s="110" t="n"/>
      <c r="AC241" s="110" t="n"/>
      <c r="AD241" s="110" t="n"/>
      <c r="AE241" s="110" t="n"/>
      <c r="AF241" s="110" t="n"/>
      <c r="AG241" s="110" t="n"/>
      <c r="AH241" s="110" t="n">
        <v>8</v>
      </c>
      <c r="AI241" s="110" t="n"/>
      <c r="AJ241" s="110" t="n"/>
      <c r="AK241" s="110" t="n"/>
      <c r="AL241" s="110" t="n"/>
      <c r="AM241" s="110" t="n"/>
      <c r="AN241" s="110" t="n"/>
      <c r="AO241" s="110" t="n"/>
      <c r="AP241" s="110" t="n"/>
      <c r="AQ241" s="110" t="n"/>
      <c r="AR241" s="110" t="n"/>
      <c r="AS241" s="110" t="n"/>
      <c r="AT241" s="110" t="n"/>
      <c r="AU241" s="110" t="n"/>
      <c r="AV241" s="110" t="n"/>
      <c r="AW241" s="110" t="n"/>
      <c r="AX241" s="110" t="n"/>
      <c r="AY241" s="110" t="n"/>
      <c r="AZ241" s="110" t="n"/>
      <c r="BA241" s="110" t="n"/>
      <c r="BB241" s="110" t="n"/>
      <c r="BC241" t="inlineStr">
        <is>
          <t>ORIGINAL</t>
        </is>
      </c>
      <c r="BD241" t="n">
        <v>232</v>
      </c>
      <c r="BF241" s="109">
        <f>IF($BD241="","",SUMIF($BD$6:$BD$2000,$BD241,$J$6:$J$2000))</f>
        <v/>
      </c>
    </row>
    <row r="242" ht="19.5" customHeight="1">
      <c r="A242" s="96" t="inlineStr">
        <is>
          <t>PENDENTE</t>
        </is>
      </c>
      <c r="B242" s="26" t="inlineStr">
        <is>
          <t>RIACHUELO</t>
        </is>
      </c>
      <c r="C242" s="27" t="n">
        <v>250</v>
      </c>
      <c r="D242" s="26" t="inlineStr">
        <is>
          <t>SHOPPING PÁTIO PINDA</t>
        </is>
      </c>
      <c r="E242" s="26" t="inlineStr">
        <is>
          <t>PINDAMONHANGABA</t>
        </is>
      </c>
      <c r="F242" s="27" t="inlineStr">
        <is>
          <t>SP</t>
        </is>
      </c>
      <c r="G242" s="107" t="n">
        <v>46235</v>
      </c>
      <c r="H242" s="108">
        <f>IF($B242="","",SUM($K242:$AG242)+SUM($AS242:$BB242))</f>
        <v/>
      </c>
      <c r="I242" s="108">
        <f>IF($B242="","",SUM($AH242:$AL242))</f>
        <v/>
      </c>
      <c r="J242" s="109">
        <f>IF($B242="","",SUMPRODUCT($K242:$BB242,$K$2:$BB$2))</f>
        <v/>
      </c>
      <c r="K242" s="110" t="n">
        <v>4</v>
      </c>
      <c r="L242" s="110" t="n"/>
      <c r="M242" s="110" t="n"/>
      <c r="N242" s="110" t="n">
        <v>6</v>
      </c>
      <c r="O242" s="110" t="n"/>
      <c r="P242" s="110" t="n">
        <v>2</v>
      </c>
      <c r="Q242" s="110" t="n"/>
      <c r="R242" s="110" t="n"/>
      <c r="S242" s="110" t="n"/>
      <c r="T242" s="110" t="n"/>
      <c r="U242" s="110" t="n"/>
      <c r="V242" s="110" t="n"/>
      <c r="W242" s="110" t="n"/>
      <c r="X242" s="110" t="n"/>
      <c r="Y242" s="110" t="n"/>
      <c r="Z242" s="110" t="n"/>
      <c r="AA242" s="110" t="n">
        <v>7</v>
      </c>
      <c r="AB242" s="110" t="n"/>
      <c r="AC242" s="110" t="n"/>
      <c r="AD242" s="110" t="n"/>
      <c r="AE242" s="110" t="n"/>
      <c r="AF242" s="110" t="n"/>
      <c r="AG242" s="110" t="n"/>
      <c r="AH242" s="110" t="n">
        <v>16</v>
      </c>
      <c r="AI242" s="110" t="n"/>
      <c r="AJ242" s="110" t="n"/>
      <c r="AK242" s="110" t="n"/>
      <c r="AL242" s="110" t="n"/>
      <c r="AM242" s="110" t="n"/>
      <c r="AN242" s="110" t="n"/>
      <c r="AO242" s="110" t="n"/>
      <c r="AP242" s="110" t="n"/>
      <c r="AQ242" s="110" t="n"/>
      <c r="AR242" s="110" t="n"/>
      <c r="AS242" s="110" t="n"/>
      <c r="AT242" s="110" t="n"/>
      <c r="AU242" s="110" t="n"/>
      <c r="AV242" s="110" t="n"/>
      <c r="AW242" s="110" t="n"/>
      <c r="AX242" s="110" t="n"/>
      <c r="AY242" s="110" t="n"/>
      <c r="AZ242" s="110" t="n"/>
      <c r="BA242" s="110" t="n"/>
      <c r="BB242" s="110" t="n"/>
      <c r="BC242" t="inlineStr">
        <is>
          <t>ORIGINAL</t>
        </is>
      </c>
      <c r="BD242" t="n">
        <v>233</v>
      </c>
      <c r="BF242" s="109">
        <f>IF($BD242="","",SUMIF($BD$6:$BD$2000,$BD242,$J$6:$J$2000))</f>
        <v/>
      </c>
    </row>
    <row r="243" ht="19.5" customHeight="1">
      <c r="A243" s="96" t="inlineStr">
        <is>
          <t>PENDENTE</t>
        </is>
      </c>
      <c r="B243" s="26" t="inlineStr">
        <is>
          <t>RIACHUELO</t>
        </is>
      </c>
      <c r="C243" s="27" t="n">
        <v>251</v>
      </c>
      <c r="D243" s="26" t="inlineStr">
        <is>
          <t>ITAJAÍ SH</t>
        </is>
      </c>
      <c r="E243" s="26" t="inlineStr">
        <is>
          <t>ITAJAÍ</t>
        </is>
      </c>
      <c r="F243" s="27" t="inlineStr">
        <is>
          <t>SC</t>
        </is>
      </c>
      <c r="G243" s="107" t="n">
        <v>46266</v>
      </c>
      <c r="H243" s="108">
        <f>IF($B243="","",SUM($K243:$AG243)+SUM($AS243:$BB243))</f>
        <v/>
      </c>
      <c r="I243" s="108">
        <f>IF($B243="","",SUM($AH243:$AL243))</f>
        <v/>
      </c>
      <c r="J243" s="109">
        <f>IF($B243="","",SUMPRODUCT($K243:$BB243,$K$2:$BB$2))</f>
        <v/>
      </c>
      <c r="K243" s="110" t="n">
        <v>4</v>
      </c>
      <c r="L243" s="110" t="n"/>
      <c r="M243" s="110" t="n"/>
      <c r="N243" s="110" t="n">
        <v>4</v>
      </c>
      <c r="O243" s="110" t="n"/>
      <c r="P243" s="110" t="n"/>
      <c r="Q243" s="110" t="n"/>
      <c r="R243" s="110" t="n"/>
      <c r="S243" s="110" t="n"/>
      <c r="T243" s="110" t="n"/>
      <c r="U243" s="110" t="n"/>
      <c r="V243" s="110" t="n"/>
      <c r="W243" s="110" t="n">
        <v>2</v>
      </c>
      <c r="X243" s="110" t="n"/>
      <c r="Y243" s="110" t="n"/>
      <c r="Z243" s="110" t="n"/>
      <c r="AA243" s="110" t="n">
        <v>7</v>
      </c>
      <c r="AB243" s="110" t="n"/>
      <c r="AC243" s="110" t="n"/>
      <c r="AD243" s="110" t="n"/>
      <c r="AE243" s="110" t="n"/>
      <c r="AF243" s="110" t="n"/>
      <c r="AG243" s="110" t="n"/>
      <c r="AH243" s="110" t="n">
        <v>10</v>
      </c>
      <c r="AI243" s="110" t="n"/>
      <c r="AJ243" s="110" t="n"/>
      <c r="AK243" s="110" t="n"/>
      <c r="AL243" s="110" t="n"/>
      <c r="AM243" s="110" t="n"/>
      <c r="AN243" s="110" t="n"/>
      <c r="AO243" s="110" t="n"/>
      <c r="AP243" s="110" t="n"/>
      <c r="AQ243" s="110" t="n"/>
      <c r="AR243" s="110" t="n"/>
      <c r="AS243" s="110" t="n"/>
      <c r="AT243" s="110" t="n"/>
      <c r="AU243" s="110" t="n"/>
      <c r="AV243" s="110" t="n"/>
      <c r="AW243" s="110" t="n"/>
      <c r="AX243" s="110" t="n"/>
      <c r="AY243" s="110" t="n"/>
      <c r="AZ243" s="110" t="n"/>
      <c r="BA243" s="110" t="n"/>
      <c r="BB243" s="110" t="n"/>
      <c r="BC243" t="inlineStr">
        <is>
          <t>ORIGINAL</t>
        </is>
      </c>
      <c r="BD243" t="n">
        <v>234</v>
      </c>
      <c r="BF243" s="109">
        <f>IF($BD243="","",SUMIF($BD$6:$BD$2000,$BD243,$J$6:$J$2000))</f>
        <v/>
      </c>
    </row>
    <row r="244" ht="19.5" customHeight="1">
      <c r="A244" s="96" t="inlineStr">
        <is>
          <t>PENDENTE</t>
        </is>
      </c>
      <c r="B244" s="26" t="inlineStr">
        <is>
          <t>RIACHUELO</t>
        </is>
      </c>
      <c r="C244" s="27" t="n">
        <v>252</v>
      </c>
      <c r="D244" s="26" t="inlineStr">
        <is>
          <t>MACAPÁ SH</t>
        </is>
      </c>
      <c r="E244" s="26" t="inlineStr">
        <is>
          <t>MACAPA</t>
        </is>
      </c>
      <c r="F244" s="27" t="inlineStr">
        <is>
          <t>AP</t>
        </is>
      </c>
      <c r="G244" s="107" t="n">
        <v>46266</v>
      </c>
      <c r="H244" s="108">
        <f>IF($B244="","",SUM($K244:$AG244)+SUM($AS244:$BB244))</f>
        <v/>
      </c>
      <c r="I244" s="108">
        <f>IF($B244="","",SUM($AH244:$AL244))</f>
        <v/>
      </c>
      <c r="J244" s="109">
        <f>IF($B244="","",SUMPRODUCT($K244:$BB244,$K$2:$BB$2))</f>
        <v/>
      </c>
      <c r="K244" s="110" t="n">
        <v>4</v>
      </c>
      <c r="L244" s="110" t="n"/>
      <c r="M244" s="110" t="n"/>
      <c r="N244" s="110" t="n"/>
      <c r="O244" s="110" t="n"/>
      <c r="P244" s="110" t="n"/>
      <c r="Q244" s="110" t="n"/>
      <c r="R244" s="110" t="n"/>
      <c r="S244" s="110" t="n"/>
      <c r="T244" s="110" t="n"/>
      <c r="U244" s="110" t="n">
        <v>6</v>
      </c>
      <c r="V244" s="110" t="n"/>
      <c r="W244" s="110" t="n">
        <v>1</v>
      </c>
      <c r="X244" s="110" t="n"/>
      <c r="Y244" s="110" t="n"/>
      <c r="Z244" s="110" t="n"/>
      <c r="AA244" s="110" t="n">
        <v>9</v>
      </c>
      <c r="AB244" s="110" t="n"/>
      <c r="AC244" s="110" t="n"/>
      <c r="AD244" s="110" t="n"/>
      <c r="AE244" s="110" t="n"/>
      <c r="AF244" s="110" t="n"/>
      <c r="AG244" s="110" t="n"/>
      <c r="AH244" s="110" t="n">
        <v>15</v>
      </c>
      <c r="AI244" s="110" t="n"/>
      <c r="AJ244" s="110" t="n"/>
      <c r="AK244" s="110" t="n"/>
      <c r="AL244" s="110" t="n"/>
      <c r="AM244" s="110" t="n"/>
      <c r="AN244" s="110" t="n"/>
      <c r="AO244" s="110" t="n"/>
      <c r="AP244" s="110" t="n"/>
      <c r="AQ244" s="110" t="n"/>
      <c r="AR244" s="110" t="n"/>
      <c r="AS244" s="110" t="n"/>
      <c r="AT244" s="110" t="n"/>
      <c r="AU244" s="110" t="n"/>
      <c r="AV244" s="110" t="n"/>
      <c r="AW244" s="110" t="n"/>
      <c r="AX244" s="110" t="n"/>
      <c r="AY244" s="110" t="n"/>
      <c r="AZ244" s="110" t="n"/>
      <c r="BA244" s="110" t="n"/>
      <c r="BB244" s="110" t="n"/>
      <c r="BC244" t="inlineStr">
        <is>
          <t>ORIGINAL</t>
        </is>
      </c>
      <c r="BD244" t="n">
        <v>235</v>
      </c>
      <c r="BF244" s="109">
        <f>IF($BD244="","",SUMIF($BD$6:$BD$2000,$BD244,$J$6:$J$2000))</f>
        <v/>
      </c>
    </row>
    <row r="245" ht="19.5" customHeight="1">
      <c r="A245" s="96" t="inlineStr">
        <is>
          <t>PENDENTE</t>
        </is>
      </c>
      <c r="B245" s="26" t="inlineStr">
        <is>
          <t>RIACHUELO</t>
        </is>
      </c>
      <c r="C245" s="27" t="n">
        <v>253</v>
      </c>
      <c r="D245" s="26" t="inlineStr">
        <is>
          <t>VALE SUL SHOPPING</t>
        </is>
      </c>
      <c r="E245" s="26" t="inlineStr">
        <is>
          <t>SÃO JOSÉ DOS CAMPOS</t>
        </is>
      </c>
      <c r="F245" s="27" t="inlineStr">
        <is>
          <t>SP</t>
        </is>
      </c>
      <c r="G245" s="107" t="n">
        <v>46174</v>
      </c>
      <c r="H245" s="108">
        <f>IF($B245="","",SUM($K245:$AG245)+SUM($AS245:$BB245))</f>
        <v/>
      </c>
      <c r="I245" s="108">
        <f>IF($B245="","",SUM($AH245:$AL245))</f>
        <v/>
      </c>
      <c r="J245" s="109">
        <f>IF($B245="","",SUMPRODUCT($K245:$BB245,$K$2:$BB$2))</f>
        <v/>
      </c>
      <c r="K245" s="110" t="n">
        <v>5</v>
      </c>
      <c r="L245" s="110" t="n"/>
      <c r="M245" s="110" t="n"/>
      <c r="N245" s="110" t="n">
        <v>5</v>
      </c>
      <c r="O245" s="110" t="n"/>
      <c r="P245" s="110" t="n"/>
      <c r="Q245" s="110" t="n"/>
      <c r="R245" s="110" t="n"/>
      <c r="S245" s="110" t="n"/>
      <c r="T245" s="110" t="n"/>
      <c r="U245" s="110" t="n"/>
      <c r="V245" s="110" t="n"/>
      <c r="W245" s="110" t="n"/>
      <c r="X245" s="110" t="n"/>
      <c r="Y245" s="110" t="n"/>
      <c r="Z245" s="110" t="n"/>
      <c r="AA245" s="110" t="n">
        <v>10</v>
      </c>
      <c r="AB245" s="110" t="n"/>
      <c r="AC245" s="110" t="n"/>
      <c r="AD245" s="110" t="n"/>
      <c r="AE245" s="110" t="n"/>
      <c r="AF245" s="110" t="n"/>
      <c r="AG245" s="110" t="n"/>
      <c r="AH245" s="110" t="n">
        <v>8</v>
      </c>
      <c r="AI245" s="110" t="n"/>
      <c r="AJ245" s="110" t="n"/>
      <c r="AK245" s="110" t="n"/>
      <c r="AL245" s="110" t="n"/>
      <c r="AM245" s="110" t="n"/>
      <c r="AN245" s="110" t="n"/>
      <c r="AO245" s="110" t="n"/>
      <c r="AP245" s="110" t="n"/>
      <c r="AQ245" s="110" t="n"/>
      <c r="AR245" s="110" t="n"/>
      <c r="AS245" s="110" t="n"/>
      <c r="AT245" s="110" t="n"/>
      <c r="AU245" s="110" t="n"/>
      <c r="AV245" s="110" t="n"/>
      <c r="AW245" s="110" t="n"/>
      <c r="AX245" s="110" t="n"/>
      <c r="AY245" s="110" t="n"/>
      <c r="AZ245" s="110" t="n"/>
      <c r="BA245" s="110" t="n"/>
      <c r="BB245" s="110" t="n"/>
      <c r="BC245" t="inlineStr">
        <is>
          <t>ORIGINAL</t>
        </is>
      </c>
      <c r="BD245" t="n">
        <v>236</v>
      </c>
      <c r="BF245" s="109">
        <f>IF($BD245="","",SUMIF($BD$6:$BD$2000,$BD245,$J$6:$J$2000))</f>
        <v/>
      </c>
    </row>
    <row r="246" ht="19.5" customHeight="1">
      <c r="A246" s="96" t="inlineStr">
        <is>
          <t>PENDENTE</t>
        </is>
      </c>
      <c r="B246" s="26" t="inlineStr">
        <is>
          <t>RIACHUELO</t>
        </is>
      </c>
      <c r="C246" s="27" t="n">
        <v>254</v>
      </c>
      <c r="D246" s="26" t="inlineStr">
        <is>
          <t>RIO TAPAJOS SHOPPING</t>
        </is>
      </c>
      <c r="E246" s="26" t="inlineStr">
        <is>
          <t>SANTAREM</t>
        </is>
      </c>
      <c r="F246" s="27" t="inlineStr">
        <is>
          <t>PA</t>
        </is>
      </c>
      <c r="G246" s="107" t="n">
        <v>46296</v>
      </c>
      <c r="H246" s="108">
        <f>IF($B246="","",SUM($K246:$AG246)+SUM($AS246:$BB246))</f>
        <v/>
      </c>
      <c r="I246" s="108">
        <f>IF($B246="","",SUM($AH246:$AL246))</f>
        <v/>
      </c>
      <c r="J246" s="109">
        <f>IF($B246="","",SUMPRODUCT($K246:$BB246,$K$2:$BB$2))</f>
        <v/>
      </c>
      <c r="K246" s="110" t="n"/>
      <c r="L246" s="110" t="n"/>
      <c r="M246" s="110" t="n"/>
      <c r="N246" s="110" t="n">
        <v>2</v>
      </c>
      <c r="O246" s="110" t="n"/>
      <c r="P246" s="110" t="n"/>
      <c r="Q246" s="110" t="n"/>
      <c r="R246" s="110" t="n"/>
      <c r="S246" s="110" t="n"/>
      <c r="T246" s="110" t="n"/>
      <c r="U246" s="110" t="n">
        <v>19</v>
      </c>
      <c r="V246" s="110" t="n"/>
      <c r="W246" s="110" t="n"/>
      <c r="X246" s="110" t="n"/>
      <c r="Y246" s="110" t="n"/>
      <c r="Z246" s="110" t="n"/>
      <c r="AA246" s="110" t="n">
        <v>2</v>
      </c>
      <c r="AB246" s="110" t="n"/>
      <c r="AC246" s="110" t="n"/>
      <c r="AD246" s="110" t="n"/>
      <c r="AE246" s="110" t="n"/>
      <c r="AF246" s="110" t="n"/>
      <c r="AG246" s="110" t="n"/>
      <c r="AH246" s="110" t="n">
        <v>12</v>
      </c>
      <c r="AI246" s="110" t="n"/>
      <c r="AJ246" s="110" t="n"/>
      <c r="AK246" s="110" t="n"/>
      <c r="AL246" s="110" t="n"/>
      <c r="AM246" s="110" t="n"/>
      <c r="AN246" s="110" t="n"/>
      <c r="AO246" s="110" t="n"/>
      <c r="AP246" s="110" t="n"/>
      <c r="AQ246" s="110" t="n"/>
      <c r="AR246" s="110" t="n"/>
      <c r="AS246" s="110" t="n"/>
      <c r="AT246" s="110" t="n"/>
      <c r="AU246" s="110" t="n"/>
      <c r="AV246" s="110" t="n"/>
      <c r="AW246" s="110" t="n"/>
      <c r="AX246" s="110" t="n"/>
      <c r="AY246" s="110" t="n"/>
      <c r="AZ246" s="110" t="n"/>
      <c r="BA246" s="110" t="n"/>
      <c r="BB246" s="110" t="n"/>
      <c r="BC246" t="inlineStr">
        <is>
          <t>ORIGINAL</t>
        </is>
      </c>
      <c r="BD246" t="n">
        <v>237</v>
      </c>
      <c r="BF246" s="109">
        <f>IF($BD246="","",SUMIF($BD$6:$BD$2000,$BD246,$J$6:$J$2000))</f>
        <v/>
      </c>
    </row>
    <row r="247" ht="19.5" customHeight="1">
      <c r="A247" s="96" t="inlineStr">
        <is>
          <t>PENDENTE</t>
        </is>
      </c>
      <c r="B247" s="26" t="inlineStr">
        <is>
          <t>RIACHUELO</t>
        </is>
      </c>
      <c r="C247" s="27" t="n">
        <v>255</v>
      </c>
      <c r="D247" s="26" t="inlineStr">
        <is>
          <t>SHOPPING JARAGUA ARARAQUARA</t>
        </is>
      </c>
      <c r="E247" s="26" t="inlineStr">
        <is>
          <t>ARARAQUARA</t>
        </is>
      </c>
      <c r="F247" s="27" t="inlineStr">
        <is>
          <t>SP</t>
        </is>
      </c>
      <c r="G247" s="107" t="n">
        <v>46266</v>
      </c>
      <c r="H247" s="108">
        <f>IF($B247="","",SUM($K247:$AG247)+SUM($AS247:$BB247))</f>
        <v/>
      </c>
      <c r="I247" s="108">
        <f>IF($B247="","",SUM($AH247:$AL247))</f>
        <v/>
      </c>
      <c r="J247" s="109">
        <f>IF($B247="","",SUMPRODUCT($K247:$BB247,$K$2:$BB$2))</f>
        <v/>
      </c>
      <c r="K247" s="110" t="n">
        <v>11</v>
      </c>
      <c r="L247" s="110" t="n"/>
      <c r="M247" s="110" t="n"/>
      <c r="N247" s="110" t="n">
        <v>3</v>
      </c>
      <c r="O247" s="110" t="n"/>
      <c r="P247" s="110" t="n"/>
      <c r="Q247" s="110" t="n"/>
      <c r="R247" s="110" t="n"/>
      <c r="S247" s="110" t="n"/>
      <c r="T247" s="110" t="n"/>
      <c r="U247" s="110" t="n"/>
      <c r="V247" s="110" t="n"/>
      <c r="W247" s="110" t="n"/>
      <c r="X247" s="110" t="n"/>
      <c r="Y247" s="110" t="n"/>
      <c r="Z247" s="110" t="n"/>
      <c r="AA247" s="110" t="n">
        <v>10</v>
      </c>
      <c r="AB247" s="110" t="n"/>
      <c r="AC247" s="110" t="n"/>
      <c r="AD247" s="110" t="n"/>
      <c r="AE247" s="110" t="n"/>
      <c r="AF247" s="110" t="n"/>
      <c r="AG247" s="110" t="n"/>
      <c r="AH247" s="110" t="n">
        <v>24</v>
      </c>
      <c r="AI247" s="110" t="n"/>
      <c r="AJ247" s="110" t="n"/>
      <c r="AK247" s="110" t="n"/>
      <c r="AL247" s="110" t="n"/>
      <c r="AM247" s="110" t="n"/>
      <c r="AN247" s="110" t="n"/>
      <c r="AO247" s="110" t="n"/>
      <c r="AP247" s="110" t="n"/>
      <c r="AQ247" s="110" t="n"/>
      <c r="AR247" s="110" t="n"/>
      <c r="AS247" s="110" t="n"/>
      <c r="AT247" s="110" t="n"/>
      <c r="AU247" s="110" t="n"/>
      <c r="AV247" s="110" t="n"/>
      <c r="AW247" s="110" t="n"/>
      <c r="AX247" s="110" t="n"/>
      <c r="AY247" s="110" t="n"/>
      <c r="AZ247" s="110" t="n"/>
      <c r="BA247" s="110" t="n"/>
      <c r="BB247" s="110" t="n"/>
      <c r="BC247" t="inlineStr">
        <is>
          <t>ORIGINAL</t>
        </is>
      </c>
      <c r="BD247" t="n">
        <v>238</v>
      </c>
      <c r="BF247" s="109">
        <f>IF($BD247="","",SUMIF($BD$6:$BD$2000,$BD247,$J$6:$J$2000))</f>
        <v/>
      </c>
    </row>
    <row r="248" ht="19.5" customHeight="1">
      <c r="A248" s="96" t="inlineStr">
        <is>
          <t>PENDENTE</t>
        </is>
      </c>
      <c r="B248" s="26" t="inlineStr">
        <is>
          <t>RIACHUELO</t>
        </is>
      </c>
      <c r="C248" s="27" t="n">
        <v>256</v>
      </c>
      <c r="D248" s="26" t="inlineStr">
        <is>
          <t>ITU PLAZA SHOPPING</t>
        </is>
      </c>
      <c r="E248" s="26" t="inlineStr">
        <is>
          <t>ITU</t>
        </is>
      </c>
      <c r="F248" s="27" t="inlineStr">
        <is>
          <t>SP</t>
        </is>
      </c>
      <c r="G248" s="107" t="n">
        <v>46054</v>
      </c>
      <c r="H248" s="108">
        <f>IF($B248="","",SUM($K248:$AG248)+SUM($AS248:$BB248))</f>
        <v/>
      </c>
      <c r="I248" s="108">
        <f>IF($B248="","",SUM($AH248:$AL248))</f>
        <v/>
      </c>
      <c r="J248" s="109">
        <f>IF($B248="","",SUMPRODUCT($K248:$BB248,$K$2:$BB$2))</f>
        <v/>
      </c>
      <c r="K248" s="110" t="n">
        <v>8</v>
      </c>
      <c r="L248" s="110" t="n"/>
      <c r="M248" s="110" t="n">
        <v>4</v>
      </c>
      <c r="N248" s="110" t="n"/>
      <c r="O248" s="110" t="n"/>
      <c r="P248" s="110" t="n"/>
      <c r="Q248" s="110" t="n"/>
      <c r="R248" s="110" t="n"/>
      <c r="S248" s="110" t="n"/>
      <c r="T248" s="110" t="n"/>
      <c r="U248" s="110" t="n"/>
      <c r="V248" s="110" t="n"/>
      <c r="W248" s="110" t="n"/>
      <c r="X248" s="110" t="n"/>
      <c r="Y248" s="110" t="n"/>
      <c r="Z248" s="110" t="n"/>
      <c r="AA248" s="110" t="n">
        <v>8</v>
      </c>
      <c r="AB248" s="110" t="n"/>
      <c r="AC248" s="110" t="n"/>
      <c r="AD248" s="110" t="n"/>
      <c r="AE248" s="110" t="n"/>
      <c r="AF248" s="110" t="n"/>
      <c r="AG248" s="110" t="n"/>
      <c r="AH248" s="110" t="n">
        <v>12</v>
      </c>
      <c r="AI248" s="110" t="n"/>
      <c r="AJ248" s="110" t="n"/>
      <c r="AK248" s="110" t="n"/>
      <c r="AL248" s="110" t="n"/>
      <c r="AM248" s="110" t="n"/>
      <c r="AN248" s="110" t="n"/>
      <c r="AO248" s="110" t="n"/>
      <c r="AP248" s="110" t="n"/>
      <c r="AQ248" s="110" t="n"/>
      <c r="AR248" s="110" t="n"/>
      <c r="AS248" s="110" t="n"/>
      <c r="AT248" s="110" t="n"/>
      <c r="AU248" s="110" t="n"/>
      <c r="AV248" s="110" t="n"/>
      <c r="AW248" s="110" t="n"/>
      <c r="AX248" s="110" t="n"/>
      <c r="AY248" s="110" t="n"/>
      <c r="AZ248" s="110" t="n"/>
      <c r="BA248" s="110" t="n"/>
      <c r="BB248" s="110" t="n"/>
      <c r="BC248" t="inlineStr">
        <is>
          <t>ORIGINAL</t>
        </is>
      </c>
      <c r="BD248" t="n">
        <v>239</v>
      </c>
      <c r="BF248" s="109">
        <f>IF($BD248="","",SUMIF($BD$6:$BD$2000,$BD248,$J$6:$J$2000))</f>
        <v/>
      </c>
    </row>
    <row r="249" ht="19.5" customHeight="1">
      <c r="A249" s="96" t="inlineStr">
        <is>
          <t>PENDENTE</t>
        </is>
      </c>
      <c r="B249" s="26" t="inlineStr">
        <is>
          <t>RIACHUELO</t>
        </is>
      </c>
      <c r="C249" s="27" t="n">
        <v>257</v>
      </c>
      <c r="D249" s="26" t="inlineStr">
        <is>
          <t>BALNEARIO CAMBORIU SH</t>
        </is>
      </c>
      <c r="E249" s="26" t="inlineStr">
        <is>
          <t>BALNEARIO CAMBORIU</t>
        </is>
      </c>
      <c r="F249" s="27" t="inlineStr">
        <is>
          <t>SC</t>
        </is>
      </c>
      <c r="G249" s="107" t="n">
        <v>46235</v>
      </c>
      <c r="H249" s="108">
        <f>IF($B249="","",SUM($K249:$AG249)+SUM($AS249:$BB249))</f>
        <v/>
      </c>
      <c r="I249" s="108">
        <f>IF($B249="","",SUM($AH249:$AL249))</f>
        <v/>
      </c>
      <c r="J249" s="109">
        <f>IF($B249="","",SUMPRODUCT($K249:$BB249,$K$2:$BB$2))</f>
        <v/>
      </c>
      <c r="K249" s="110" t="n">
        <v>3</v>
      </c>
      <c r="L249" s="110" t="n"/>
      <c r="M249" s="110" t="n"/>
      <c r="N249" s="110" t="n">
        <v>5</v>
      </c>
      <c r="O249" s="110" t="n"/>
      <c r="P249" s="110" t="n"/>
      <c r="Q249" s="110" t="n"/>
      <c r="R249" s="110" t="n"/>
      <c r="S249" s="110" t="n"/>
      <c r="T249" s="110" t="n"/>
      <c r="U249" s="110" t="n"/>
      <c r="V249" s="110" t="n"/>
      <c r="W249" s="110" t="n">
        <v>1</v>
      </c>
      <c r="X249" s="110" t="n"/>
      <c r="Y249" s="110" t="n"/>
      <c r="Z249" s="110" t="n"/>
      <c r="AA249" s="110" t="n">
        <v>11</v>
      </c>
      <c r="AB249" s="110" t="n"/>
      <c r="AC249" s="110" t="n"/>
      <c r="AD249" s="110" t="n"/>
      <c r="AE249" s="110" t="n"/>
      <c r="AF249" s="110" t="n"/>
      <c r="AG249" s="110" t="n"/>
      <c r="AH249" s="110" t="n"/>
      <c r="AI249" s="110" t="n"/>
      <c r="AJ249" s="110" t="n">
        <v>20</v>
      </c>
      <c r="AK249" s="110" t="n"/>
      <c r="AL249" s="110" t="n"/>
      <c r="AM249" s="110" t="n"/>
      <c r="AN249" s="110" t="n"/>
      <c r="AO249" s="110" t="n"/>
      <c r="AP249" s="110" t="n"/>
      <c r="AQ249" s="110" t="n"/>
      <c r="AR249" s="110" t="n"/>
      <c r="AS249" s="110" t="n"/>
      <c r="AT249" s="110" t="n"/>
      <c r="AU249" s="110" t="n"/>
      <c r="AV249" s="110" t="n"/>
      <c r="AW249" s="110" t="n"/>
      <c r="AX249" s="110" t="n"/>
      <c r="AY249" s="110" t="n"/>
      <c r="AZ249" s="110" t="n"/>
      <c r="BA249" s="110" t="n"/>
      <c r="BB249" s="110" t="n"/>
      <c r="BC249" t="inlineStr">
        <is>
          <t>ORIGINAL</t>
        </is>
      </c>
      <c r="BD249" t="n">
        <v>240</v>
      </c>
      <c r="BF249" s="109">
        <f>IF($BD249="","",SUMIF($BD$6:$BD$2000,$BD249,$J$6:$J$2000))</f>
        <v/>
      </c>
    </row>
    <row r="250" ht="19.5" customHeight="1">
      <c r="A250" s="96" t="inlineStr">
        <is>
          <t>PENDENTE</t>
        </is>
      </c>
      <c r="B250" s="26" t="inlineStr">
        <is>
          <t>RIACHUELO</t>
        </is>
      </c>
      <c r="C250" s="27" t="n">
        <v>258</v>
      </c>
      <c r="D250" s="26" t="inlineStr">
        <is>
          <t>MARACANAU NORTH SH</t>
        </is>
      </c>
      <c r="E250" s="26" t="inlineStr">
        <is>
          <t>MARACANAU</t>
        </is>
      </c>
      <c r="F250" s="27" t="inlineStr">
        <is>
          <t>CE</t>
        </is>
      </c>
      <c r="G250" s="107" t="n">
        <v>46143</v>
      </c>
      <c r="H250" s="108">
        <f>IF($B250="","",SUM($K250:$AG250)+SUM($AS250:$BB250))</f>
        <v/>
      </c>
      <c r="I250" s="108">
        <f>IF($B250="","",SUM($AH250:$AL250))</f>
        <v/>
      </c>
      <c r="J250" s="109">
        <f>IF($B250="","",SUMPRODUCT($K250:$BB250,$K$2:$BB$2))</f>
        <v/>
      </c>
      <c r="K250" s="110" t="n">
        <v>9</v>
      </c>
      <c r="L250" s="110" t="n"/>
      <c r="M250" s="110" t="n"/>
      <c r="N250" s="110" t="n"/>
      <c r="O250" s="110" t="n"/>
      <c r="P250" s="110" t="n"/>
      <c r="Q250" s="110" t="n"/>
      <c r="R250" s="110" t="n"/>
      <c r="S250" s="110" t="n"/>
      <c r="T250" s="110" t="n"/>
      <c r="U250" s="110" t="n">
        <v>2</v>
      </c>
      <c r="V250" s="110" t="n"/>
      <c r="W250" s="110" t="n"/>
      <c r="X250" s="110" t="n"/>
      <c r="Y250" s="110" t="n"/>
      <c r="Z250" s="110" t="n"/>
      <c r="AA250" s="110" t="n">
        <v>8</v>
      </c>
      <c r="AB250" s="110" t="n"/>
      <c r="AC250" s="110" t="n"/>
      <c r="AD250" s="110" t="n"/>
      <c r="AE250" s="110" t="n"/>
      <c r="AF250" s="110" t="n"/>
      <c r="AG250" s="110" t="n"/>
      <c r="AH250" s="110" t="n">
        <v>10</v>
      </c>
      <c r="AI250" s="110" t="n"/>
      <c r="AJ250" s="110" t="n"/>
      <c r="AK250" s="110" t="n"/>
      <c r="AL250" s="110" t="n"/>
      <c r="AM250" s="110" t="n"/>
      <c r="AN250" s="110" t="n"/>
      <c r="AO250" s="110" t="n"/>
      <c r="AP250" s="110" t="n"/>
      <c r="AQ250" s="110" t="n"/>
      <c r="AR250" s="110" t="n"/>
      <c r="AS250" s="110" t="n"/>
      <c r="AT250" s="110" t="n"/>
      <c r="AU250" s="110" t="n"/>
      <c r="AV250" s="110" t="n"/>
      <c r="AW250" s="110" t="n"/>
      <c r="AX250" s="110" t="n"/>
      <c r="AY250" s="110" t="n"/>
      <c r="AZ250" s="110" t="n"/>
      <c r="BA250" s="110" t="n"/>
      <c r="BB250" s="110" t="n"/>
      <c r="BC250" t="inlineStr">
        <is>
          <t>ORIGINAL</t>
        </is>
      </c>
      <c r="BD250" t="n">
        <v>241</v>
      </c>
      <c r="BF250" s="109">
        <f>IF($BD250="","",SUMIF($BD$6:$BD$2000,$BD250,$J$6:$J$2000))</f>
        <v/>
      </c>
    </row>
    <row r="251" ht="19.5" customHeight="1">
      <c r="A251" s="96" t="inlineStr">
        <is>
          <t>PENDENTE</t>
        </is>
      </c>
      <c r="B251" s="26" t="inlineStr">
        <is>
          <t>RIACHUELO</t>
        </is>
      </c>
      <c r="C251" s="27" t="n">
        <v>259</v>
      </c>
      <c r="D251" s="26" t="inlineStr">
        <is>
          <t>SHOPPING MANAUS VIA NORTE</t>
        </is>
      </c>
      <c r="E251" s="26" t="inlineStr">
        <is>
          <t>MANAUS</t>
        </is>
      </c>
      <c r="F251" s="27" t="inlineStr">
        <is>
          <t>AM</t>
        </is>
      </c>
      <c r="G251" s="107" t="n">
        <v>46142</v>
      </c>
      <c r="H251" s="108">
        <f>IF($B251="","",SUM($K251:$AG251)+SUM($AS251:$BB251))</f>
        <v/>
      </c>
      <c r="I251" s="108">
        <f>IF($B251="","",SUM($AH251:$AL251))</f>
        <v/>
      </c>
      <c r="J251" s="109">
        <f>IF($B251="","",SUMPRODUCT($K251:$BB251,$K$2:$BB$2))</f>
        <v/>
      </c>
      <c r="K251" s="110" t="n">
        <v>12</v>
      </c>
      <c r="L251" s="110" t="n"/>
      <c r="M251" s="110" t="n"/>
      <c r="N251" s="110" t="n"/>
      <c r="O251" s="110" t="n"/>
      <c r="P251" s="110" t="n"/>
      <c r="Q251" s="110" t="n"/>
      <c r="R251" s="110" t="n"/>
      <c r="S251" s="110" t="n"/>
      <c r="T251" s="110" t="n">
        <v>5</v>
      </c>
      <c r="U251" s="110" t="n">
        <v>3</v>
      </c>
      <c r="V251" s="110" t="n"/>
      <c r="W251" s="110" t="n"/>
      <c r="X251" s="110" t="n"/>
      <c r="Y251" s="110" t="n"/>
      <c r="Z251" s="110" t="n"/>
      <c r="AA251" s="110" t="n">
        <v>9</v>
      </c>
      <c r="AB251" s="110" t="n"/>
      <c r="AC251" s="110" t="n"/>
      <c r="AD251" s="110" t="n"/>
      <c r="AE251" s="110" t="n"/>
      <c r="AF251" s="110" t="n"/>
      <c r="AG251" s="110" t="n"/>
      <c r="AH251" s="110" t="n">
        <v>24</v>
      </c>
      <c r="AI251" s="110" t="n"/>
      <c r="AJ251" s="110" t="n"/>
      <c r="AK251" s="110" t="n"/>
      <c r="AL251" s="110" t="n"/>
      <c r="AM251" s="110" t="n"/>
      <c r="AN251" s="110" t="n"/>
      <c r="AO251" s="110" t="n"/>
      <c r="AP251" s="110" t="n"/>
      <c r="AQ251" s="110" t="n"/>
      <c r="AR251" s="110" t="n"/>
      <c r="AS251" s="110" t="n"/>
      <c r="AT251" s="110" t="n"/>
      <c r="AU251" s="110" t="n"/>
      <c r="AV251" s="110" t="n"/>
      <c r="AW251" s="110" t="n"/>
      <c r="AX251" s="110" t="n"/>
      <c r="AY251" s="110" t="n"/>
      <c r="AZ251" s="110" t="n"/>
      <c r="BA251" s="110" t="n"/>
      <c r="BB251" s="110" t="n"/>
      <c r="BC251" t="inlineStr">
        <is>
          <t>ORIGINAL</t>
        </is>
      </c>
      <c r="BD251" t="n">
        <v>242</v>
      </c>
      <c r="BF251" s="109">
        <f>IF($BD251="","",SUMIF($BD$6:$BD$2000,$BD251,$J$6:$J$2000))</f>
        <v/>
      </c>
    </row>
    <row r="252" ht="19.5" customHeight="1">
      <c r="A252" s="96" t="inlineStr">
        <is>
          <t>PENDENTE</t>
        </is>
      </c>
      <c r="B252" s="26" t="inlineStr">
        <is>
          <t>RIACHUELO</t>
        </is>
      </c>
      <c r="C252" s="27" t="n">
        <v>260</v>
      </c>
      <c r="D252" s="26" t="inlineStr">
        <is>
          <t>BURITI RIO VERDE SH</t>
        </is>
      </c>
      <c r="E252" s="26" t="inlineStr">
        <is>
          <t>RIO VERDE</t>
        </is>
      </c>
      <c r="F252" s="27" t="inlineStr">
        <is>
          <t>GO</t>
        </is>
      </c>
      <c r="G252" s="107" t="n">
        <v>46419</v>
      </c>
      <c r="H252" s="108">
        <f>IF($B252="","",SUM($K252:$AG252)+SUM($AS252:$BB252))</f>
        <v/>
      </c>
      <c r="I252" s="108">
        <f>IF($B252="","",SUM($AH252:$AL252))</f>
        <v/>
      </c>
      <c r="J252" s="109">
        <f>IF($B252="","",SUMPRODUCT($K252:$BB252,$K$2:$BB$2))</f>
        <v/>
      </c>
      <c r="K252" s="110" t="n">
        <v>10</v>
      </c>
      <c r="L252" s="110" t="n"/>
      <c r="M252" s="110" t="n"/>
      <c r="N252" s="110" t="n">
        <v>2</v>
      </c>
      <c r="O252" s="110" t="n"/>
      <c r="P252" s="110" t="n"/>
      <c r="Q252" s="110" t="n"/>
      <c r="R252" s="110" t="n"/>
      <c r="S252" s="110" t="n"/>
      <c r="T252" s="110" t="n"/>
      <c r="U252" s="110" t="n">
        <v>1</v>
      </c>
      <c r="V252" s="110" t="n"/>
      <c r="W252" s="110" t="n"/>
      <c r="X252" s="110" t="n"/>
      <c r="Y252" s="110" t="n"/>
      <c r="Z252" s="110" t="n"/>
      <c r="AA252" s="110" t="n">
        <v>11</v>
      </c>
      <c r="AB252" s="110" t="n"/>
      <c r="AC252" s="110" t="n"/>
      <c r="AD252" s="110" t="n"/>
      <c r="AE252" s="110" t="n"/>
      <c r="AF252" s="110" t="n"/>
      <c r="AG252" s="110" t="n"/>
      <c r="AH252" s="110" t="n">
        <v>12</v>
      </c>
      <c r="AI252" s="110" t="n"/>
      <c r="AJ252" s="110" t="n"/>
      <c r="AK252" s="110" t="n"/>
      <c r="AL252" s="110" t="n"/>
      <c r="AM252" s="110" t="n"/>
      <c r="AN252" s="110" t="n"/>
      <c r="AO252" s="110" t="n"/>
      <c r="AP252" s="110" t="n"/>
      <c r="AQ252" s="110" t="n"/>
      <c r="AR252" s="110" t="n"/>
      <c r="AS252" s="110" t="n"/>
      <c r="AT252" s="110" t="n"/>
      <c r="AU252" s="110" t="n"/>
      <c r="AV252" s="110" t="n"/>
      <c r="AW252" s="110" t="n"/>
      <c r="AX252" s="110" t="n"/>
      <c r="AY252" s="110" t="n"/>
      <c r="AZ252" s="110" t="n"/>
      <c r="BA252" s="110" t="n"/>
      <c r="BB252" s="110" t="n"/>
      <c r="BC252" t="inlineStr">
        <is>
          <t>ORIGINAL</t>
        </is>
      </c>
      <c r="BD252" t="n">
        <v>243</v>
      </c>
      <c r="BF252" s="109">
        <f>IF($BD252="","",SUMIF($BD$6:$BD$2000,$BD252,$J$6:$J$2000))</f>
        <v/>
      </c>
    </row>
    <row r="253" ht="19.5" customHeight="1">
      <c r="A253" s="96" t="inlineStr">
        <is>
          <t>PENDENTE</t>
        </is>
      </c>
      <c r="B253" s="26" t="inlineStr">
        <is>
          <t>RIACHUELO</t>
        </is>
      </c>
      <c r="C253" s="27" t="n">
        <v>261</v>
      </c>
      <c r="D253" s="26" t="inlineStr">
        <is>
          <t>BOA VISTA GARDEN SH</t>
        </is>
      </c>
      <c r="E253" s="26" t="inlineStr">
        <is>
          <t>BOA VISTA</t>
        </is>
      </c>
      <c r="F253" s="27" t="inlineStr">
        <is>
          <t>RR</t>
        </is>
      </c>
      <c r="G253" s="107" t="n">
        <v>46388</v>
      </c>
      <c r="H253" s="108">
        <f>IF($B253="","",SUM($K253:$AG253)+SUM($AS253:$BB253))</f>
        <v/>
      </c>
      <c r="I253" s="108">
        <f>IF($B253="","",SUM($AH253:$AL253))</f>
        <v/>
      </c>
      <c r="J253" s="109">
        <f>IF($B253="","",SUMPRODUCT($K253:$BB253,$K$2:$BB$2))</f>
        <v/>
      </c>
      <c r="K253" s="110" t="n">
        <v>5</v>
      </c>
      <c r="L253" s="110" t="n"/>
      <c r="M253" s="110" t="n"/>
      <c r="N253" s="110" t="n"/>
      <c r="O253" s="110" t="n"/>
      <c r="P253" s="110" t="n"/>
      <c r="Q253" s="110" t="n"/>
      <c r="R253" s="110" t="n"/>
      <c r="S253" s="110" t="n"/>
      <c r="T253" s="110" t="n"/>
      <c r="U253" s="110" t="n">
        <v>10</v>
      </c>
      <c r="V253" s="110" t="n"/>
      <c r="W253" s="110" t="n">
        <v>1</v>
      </c>
      <c r="X253" s="110" t="n"/>
      <c r="Y253" s="110" t="n"/>
      <c r="Z253" s="110" t="n"/>
      <c r="AA253" s="110" t="n">
        <v>6</v>
      </c>
      <c r="AB253" s="110" t="n"/>
      <c r="AC253" s="110" t="n"/>
      <c r="AD253" s="110" t="n"/>
      <c r="AE253" s="110" t="n"/>
      <c r="AF253" s="110" t="n"/>
      <c r="AG253" s="110" t="n"/>
      <c r="AH253" s="110" t="n">
        <v>1</v>
      </c>
      <c r="AI253" s="110" t="n">
        <v>10</v>
      </c>
      <c r="AJ253" s="110" t="n"/>
      <c r="AK253" s="110" t="n"/>
      <c r="AL253" s="110" t="n"/>
      <c r="AM253" s="110" t="n"/>
      <c r="AN253" s="110" t="n"/>
      <c r="AO253" s="110" t="n"/>
      <c r="AP253" s="110" t="n"/>
      <c r="AQ253" s="110" t="n"/>
      <c r="AR253" s="110" t="n"/>
      <c r="AS253" s="110" t="n"/>
      <c r="AT253" s="110" t="n"/>
      <c r="AU253" s="110" t="n"/>
      <c r="AV253" s="110" t="n"/>
      <c r="AW253" s="110" t="n"/>
      <c r="AX253" s="110" t="n"/>
      <c r="AY253" s="110" t="n"/>
      <c r="AZ253" s="110" t="n"/>
      <c r="BA253" s="110" t="n"/>
      <c r="BB253" s="110" t="n"/>
      <c r="BC253" t="inlineStr">
        <is>
          <t>ORIGINAL</t>
        </is>
      </c>
      <c r="BD253" t="n">
        <v>244</v>
      </c>
      <c r="BF253" s="109">
        <f>IF($BD253="","",SUMIF($BD$6:$BD$2000,$BD253,$J$6:$J$2000))</f>
        <v/>
      </c>
    </row>
    <row r="254" ht="19.5" customHeight="1">
      <c r="A254" s="96" t="inlineStr">
        <is>
          <t>PENDENTE</t>
        </is>
      </c>
      <c r="B254" s="26" t="inlineStr">
        <is>
          <t>RIACHUELO</t>
        </is>
      </c>
      <c r="C254" s="27" t="n">
        <v>262</v>
      </c>
      <c r="D254" s="26" t="inlineStr">
        <is>
          <t>FORTALEZA RIO MAR SH</t>
        </is>
      </c>
      <c r="E254" s="26" t="inlineStr">
        <is>
          <t>FORTALEZA</t>
        </is>
      </c>
      <c r="F254" s="27" t="inlineStr">
        <is>
          <t>CE</t>
        </is>
      </c>
      <c r="G254" s="107" t="n">
        <v>46054</v>
      </c>
      <c r="H254" s="108">
        <f>IF($B254="","",SUM($K254:$AG254)+SUM($AS254:$BB254))</f>
        <v/>
      </c>
      <c r="I254" s="108">
        <f>IF($B254="","",SUM($AH254:$AL254))</f>
        <v/>
      </c>
      <c r="J254" s="109">
        <f>IF($B254="","",SUMPRODUCT($K254:$BB254,$K$2:$BB$2))</f>
        <v/>
      </c>
      <c r="K254" s="110" t="n"/>
      <c r="L254" s="110" t="n"/>
      <c r="M254" s="110" t="n"/>
      <c r="N254" s="110" t="n"/>
      <c r="O254" s="110" t="n"/>
      <c r="P254" s="110" t="n"/>
      <c r="Q254" s="110" t="n"/>
      <c r="R254" s="110" t="n"/>
      <c r="S254" s="110" t="n"/>
      <c r="T254" s="110" t="n"/>
      <c r="U254" s="110" t="n">
        <v>22</v>
      </c>
      <c r="V254" s="110" t="n"/>
      <c r="W254" s="110" t="n"/>
      <c r="X254" s="110" t="n"/>
      <c r="Y254" s="110" t="n"/>
      <c r="Z254" s="110" t="n"/>
      <c r="AA254" s="110" t="n">
        <v>4</v>
      </c>
      <c r="AB254" s="110" t="n"/>
      <c r="AC254" s="110" t="n"/>
      <c r="AD254" s="110" t="n"/>
      <c r="AE254" s="110" t="n"/>
      <c r="AF254" s="110" t="n"/>
      <c r="AG254" s="110" t="n"/>
      <c r="AH254" s="110" t="n">
        <v>16</v>
      </c>
      <c r="AI254" s="110" t="n"/>
      <c r="AJ254" s="110" t="n"/>
      <c r="AK254" s="110" t="n"/>
      <c r="AL254" s="110" t="n"/>
      <c r="AM254" s="110" t="n"/>
      <c r="AN254" s="110" t="n"/>
      <c r="AO254" s="110" t="n"/>
      <c r="AP254" s="110" t="n"/>
      <c r="AQ254" s="110" t="n"/>
      <c r="AR254" s="110" t="n"/>
      <c r="AS254" s="110" t="n"/>
      <c r="AT254" s="110" t="n"/>
      <c r="AU254" s="110" t="n"/>
      <c r="AV254" s="110" t="n"/>
      <c r="AW254" s="110" t="n"/>
      <c r="AX254" s="110" t="n"/>
      <c r="AY254" s="110" t="n"/>
      <c r="AZ254" s="110" t="n"/>
      <c r="BA254" s="110" t="n"/>
      <c r="BB254" s="110" t="n"/>
      <c r="BC254" t="inlineStr">
        <is>
          <t>ORIGINAL</t>
        </is>
      </c>
      <c r="BD254" t="n">
        <v>245</v>
      </c>
      <c r="BF254" s="109">
        <f>IF($BD254="","",SUMIF($BD$6:$BD$2000,$BD254,$J$6:$J$2000))</f>
        <v/>
      </c>
    </row>
    <row r="255" ht="19.5" customHeight="1">
      <c r="A255" s="96" t="inlineStr">
        <is>
          <t>PENDENTE</t>
        </is>
      </c>
      <c r="B255" s="26" t="inlineStr">
        <is>
          <t>RIACHUELO</t>
        </is>
      </c>
      <c r="C255" s="27" t="n">
        <v>263</v>
      </c>
      <c r="D255" s="26" t="inlineStr">
        <is>
          <t>SÃO JOSÉ RIO PRETO AVENIDA</t>
        </is>
      </c>
      <c r="E255" s="26" t="inlineStr">
        <is>
          <t>SÃO JOSÉ DO RIO PRETO</t>
        </is>
      </c>
      <c r="F255" s="27" t="inlineStr">
        <is>
          <t>SP</t>
        </is>
      </c>
      <c r="G255" s="107" t="n">
        <v>46388</v>
      </c>
      <c r="H255" s="108">
        <f>IF($B255="","",SUM($K255:$AG255)+SUM($AS255:$BB255))</f>
        <v/>
      </c>
      <c r="I255" s="108">
        <f>IF($B255="","",SUM($AH255:$AL255))</f>
        <v/>
      </c>
      <c r="J255" s="109">
        <f>IF($B255="","",SUMPRODUCT($K255:$BB255,$K$2:$BB$2))</f>
        <v/>
      </c>
      <c r="K255" s="110" t="n">
        <v>9</v>
      </c>
      <c r="L255" s="110" t="n"/>
      <c r="M255" s="110" t="n">
        <v>6</v>
      </c>
      <c r="N255" s="110" t="n"/>
      <c r="O255" s="110" t="n"/>
      <c r="P255" s="110" t="n"/>
      <c r="Q255" s="110" t="n"/>
      <c r="R255" s="110" t="n"/>
      <c r="S255" s="110" t="n"/>
      <c r="T255" s="110" t="n">
        <v>4</v>
      </c>
      <c r="U255" s="110" t="n">
        <v>1</v>
      </c>
      <c r="V255" s="110" t="n"/>
      <c r="W255" s="110" t="n"/>
      <c r="X255" s="110" t="n"/>
      <c r="Y255" s="110" t="n"/>
      <c r="Z255" s="110" t="n"/>
      <c r="AA255" s="110" t="n">
        <v>4</v>
      </c>
      <c r="AB255" s="110" t="n"/>
      <c r="AC255" s="110" t="n"/>
      <c r="AD255" s="110" t="n"/>
      <c r="AE255" s="110" t="n"/>
      <c r="AF255" s="110" t="n"/>
      <c r="AG255" s="110" t="n"/>
      <c r="AH255" s="110" t="n">
        <v>16</v>
      </c>
      <c r="AI255" s="110" t="n"/>
      <c r="AJ255" s="110" t="n"/>
      <c r="AK255" s="110" t="n"/>
      <c r="AL255" s="110" t="n"/>
      <c r="AM255" s="110" t="n"/>
      <c r="AN255" s="110" t="n"/>
      <c r="AO255" s="110" t="n"/>
      <c r="AP255" s="110" t="n"/>
      <c r="AQ255" s="110" t="n"/>
      <c r="AR255" s="110" t="n"/>
      <c r="AS255" s="110" t="n"/>
      <c r="AT255" s="110" t="n"/>
      <c r="AU255" s="110" t="n"/>
      <c r="AV255" s="110" t="n"/>
      <c r="AW255" s="110" t="n"/>
      <c r="AX255" s="110" t="n"/>
      <c r="AY255" s="110" t="n"/>
      <c r="AZ255" s="110" t="n"/>
      <c r="BA255" s="110" t="n"/>
      <c r="BB255" s="110" t="n"/>
      <c r="BC255" t="inlineStr">
        <is>
          <t>ORIGINAL</t>
        </is>
      </c>
      <c r="BD255" t="n">
        <v>246</v>
      </c>
      <c r="BF255" s="109">
        <f>IF($BD255="","",SUMIF($BD$6:$BD$2000,$BD255,$J$6:$J$2000))</f>
        <v/>
      </c>
    </row>
    <row r="256" ht="19.5" customHeight="1">
      <c r="A256" s="96" t="inlineStr">
        <is>
          <t>PENDENTE</t>
        </is>
      </c>
      <c r="B256" s="26" t="inlineStr">
        <is>
          <t>RIACHUELO</t>
        </is>
      </c>
      <c r="C256" s="27" t="n">
        <v>264</v>
      </c>
      <c r="D256" s="26" t="inlineStr">
        <is>
          <t>IGUATEMI SÃO CARLOS</t>
        </is>
      </c>
      <c r="E256" s="26" t="inlineStr">
        <is>
          <t>SAO CARLOS</t>
        </is>
      </c>
      <c r="F256" s="27" t="inlineStr">
        <is>
          <t>SP</t>
        </is>
      </c>
      <c r="G256" s="107" t="n">
        <v>46204</v>
      </c>
      <c r="H256" s="108">
        <f>IF($B256="","",SUM($K256:$AG256)+SUM($AS256:$BB256))</f>
        <v/>
      </c>
      <c r="I256" s="108">
        <f>IF($B256="","",SUM($AH256:$AL256))</f>
        <v/>
      </c>
      <c r="J256" s="109">
        <f>IF($B256="","",SUMPRODUCT($K256:$BB256,$K$2:$BB$2))</f>
        <v/>
      </c>
      <c r="K256" s="110" t="n">
        <v>7</v>
      </c>
      <c r="L256" s="110" t="n"/>
      <c r="M256" s="110" t="n">
        <v>4</v>
      </c>
      <c r="N256" s="110" t="n"/>
      <c r="O256" s="110" t="n"/>
      <c r="P256" s="110" t="n"/>
      <c r="Q256" s="110" t="n"/>
      <c r="R256" s="110" t="n"/>
      <c r="S256" s="110" t="n"/>
      <c r="T256" s="110" t="n"/>
      <c r="U256" s="110" t="n"/>
      <c r="V256" s="110" t="n"/>
      <c r="W256" s="110" t="n"/>
      <c r="X256" s="110" t="n"/>
      <c r="Y256" s="110" t="n"/>
      <c r="Z256" s="110" t="n"/>
      <c r="AA256" s="110" t="n">
        <v>7</v>
      </c>
      <c r="AB256" s="110" t="n"/>
      <c r="AC256" s="110" t="n"/>
      <c r="AD256" s="110" t="n"/>
      <c r="AE256" s="110" t="n"/>
      <c r="AF256" s="110" t="n"/>
      <c r="AG256" s="110" t="n"/>
      <c r="AH256" s="110" t="n">
        <v>5</v>
      </c>
      <c r="AI256" s="110" t="n"/>
      <c r="AJ256" s="110" t="n"/>
      <c r="AK256" s="110" t="n"/>
      <c r="AL256" s="110" t="n"/>
      <c r="AM256" s="110" t="n"/>
      <c r="AN256" s="110" t="n"/>
      <c r="AO256" s="110" t="n"/>
      <c r="AP256" s="110" t="n"/>
      <c r="AQ256" s="110" t="n"/>
      <c r="AR256" s="110" t="n"/>
      <c r="AS256" s="110" t="n"/>
      <c r="AT256" s="110" t="n"/>
      <c r="AU256" s="110" t="n"/>
      <c r="AV256" s="110" t="n"/>
      <c r="AW256" s="110" t="n"/>
      <c r="AX256" s="110" t="n"/>
      <c r="AY256" s="110" t="n"/>
      <c r="AZ256" s="110" t="n"/>
      <c r="BA256" s="110" t="n"/>
      <c r="BB256" s="110" t="n"/>
      <c r="BC256" t="inlineStr">
        <is>
          <t>ORIGINAL</t>
        </is>
      </c>
      <c r="BD256" t="n">
        <v>247</v>
      </c>
      <c r="BF256" s="109">
        <f>IF($BD256="","",SUMIF($BD$6:$BD$2000,$BD256,$J$6:$J$2000))</f>
        <v/>
      </c>
    </row>
    <row r="257" ht="19.5" customHeight="1">
      <c r="A257" s="96" t="inlineStr">
        <is>
          <t>PENDENTE</t>
        </is>
      </c>
      <c r="B257" s="26" t="inlineStr">
        <is>
          <t>RIACHUELO</t>
        </is>
      </c>
      <c r="C257" s="27" t="n">
        <v>265</v>
      </c>
      <c r="D257" s="26" t="inlineStr">
        <is>
          <t>BOULEVARD SH</t>
        </is>
      </c>
      <c r="E257" s="26" t="inlineStr">
        <is>
          <t>BRASILIA</t>
        </is>
      </c>
      <c r="F257" s="27" t="inlineStr">
        <is>
          <t>DF</t>
        </is>
      </c>
      <c r="G257" s="107" t="n">
        <v>46266</v>
      </c>
      <c r="H257" s="108">
        <f>IF($B257="","",SUM($K257:$AG257)+SUM($AS257:$BB257))</f>
        <v/>
      </c>
      <c r="I257" s="108">
        <f>IF($B257="","",SUM($AH257:$AL257))</f>
        <v/>
      </c>
      <c r="J257" s="109">
        <f>IF($B257="","",SUMPRODUCT($K257:$BB257,$K$2:$BB$2))</f>
        <v/>
      </c>
      <c r="K257" s="110" t="n">
        <v>6</v>
      </c>
      <c r="L257" s="110" t="n"/>
      <c r="M257" s="110" t="n"/>
      <c r="N257" s="110" t="n"/>
      <c r="O257" s="110" t="n"/>
      <c r="P257" s="110" t="n"/>
      <c r="Q257" s="110" t="n"/>
      <c r="R257" s="110" t="n"/>
      <c r="S257" s="110" t="n"/>
      <c r="T257" s="110" t="n"/>
      <c r="U257" s="110" t="n">
        <v>2</v>
      </c>
      <c r="V257" s="110" t="n"/>
      <c r="W257" s="110" t="n"/>
      <c r="X257" s="110" t="n"/>
      <c r="Y257" s="110" t="n"/>
      <c r="Z257" s="110" t="n"/>
      <c r="AA257" s="110" t="n">
        <v>6</v>
      </c>
      <c r="AB257" s="110" t="n"/>
      <c r="AC257" s="110" t="n"/>
      <c r="AD257" s="110" t="n"/>
      <c r="AE257" s="110" t="n"/>
      <c r="AF257" s="110" t="n"/>
      <c r="AG257" s="110" t="n"/>
      <c r="AH257" s="110" t="n">
        <v>6</v>
      </c>
      <c r="AI257" s="110" t="n"/>
      <c r="AJ257" s="110" t="n"/>
      <c r="AK257" s="110" t="n"/>
      <c r="AL257" s="110" t="n"/>
      <c r="AM257" s="110" t="n"/>
      <c r="AN257" s="110" t="n"/>
      <c r="AO257" s="110" t="n"/>
      <c r="AP257" s="110" t="n"/>
      <c r="AQ257" s="110" t="n"/>
      <c r="AR257" s="110" t="n"/>
      <c r="AS257" s="110" t="n"/>
      <c r="AT257" s="110" t="n"/>
      <c r="AU257" s="110" t="n"/>
      <c r="AV257" s="110" t="n"/>
      <c r="AW257" s="110" t="n"/>
      <c r="AX257" s="110" t="n"/>
      <c r="AY257" s="110" t="n"/>
      <c r="AZ257" s="110" t="n"/>
      <c r="BA257" s="110" t="n"/>
      <c r="BB257" s="110" t="n"/>
      <c r="BC257" t="inlineStr">
        <is>
          <t>ORIGINAL</t>
        </is>
      </c>
      <c r="BD257" t="n">
        <v>248</v>
      </c>
      <c r="BF257" s="109">
        <f>IF($BD257="","",SUMIF($BD$6:$BD$2000,$BD257,$J$6:$J$2000))</f>
        <v/>
      </c>
    </row>
    <row r="258" ht="19.5" customHeight="1">
      <c r="A258" s="96" t="inlineStr">
        <is>
          <t>PENDENTE</t>
        </is>
      </c>
      <c r="B258" s="26" t="inlineStr">
        <is>
          <t>RIACHUELO</t>
        </is>
      </c>
      <c r="C258" s="27" t="n">
        <v>267</v>
      </c>
      <c r="D258" s="26" t="inlineStr">
        <is>
          <t>NORTE SHOPPING BARRETOS</t>
        </is>
      </c>
      <c r="E258" s="26" t="inlineStr">
        <is>
          <t>BARRETOS</t>
        </is>
      </c>
      <c r="F258" s="27" t="inlineStr">
        <is>
          <t>SP</t>
        </is>
      </c>
      <c r="G258" s="107" t="n">
        <v>46296</v>
      </c>
      <c r="H258" s="108">
        <f>IF($B258="","",SUM($K258:$AG258)+SUM($AS258:$BB258))</f>
        <v/>
      </c>
      <c r="I258" s="108">
        <f>IF($B258="","",SUM($AH258:$AL258))</f>
        <v/>
      </c>
      <c r="J258" s="109">
        <f>IF($B258="","",SUMPRODUCT($K258:$BB258,$K$2:$BB$2))</f>
        <v/>
      </c>
      <c r="K258" s="110" t="n"/>
      <c r="L258" s="110" t="n"/>
      <c r="M258" s="110" t="n"/>
      <c r="N258" s="110" t="n"/>
      <c r="O258" s="110" t="n"/>
      <c r="P258" s="110" t="n"/>
      <c r="Q258" s="110" t="n"/>
      <c r="R258" s="110" t="n"/>
      <c r="S258" s="110" t="n"/>
      <c r="T258" s="110" t="n"/>
      <c r="U258" s="110" t="n">
        <v>24</v>
      </c>
      <c r="V258" s="110" t="n"/>
      <c r="W258" s="110" t="n"/>
      <c r="X258" s="110" t="n"/>
      <c r="Y258" s="110" t="n"/>
      <c r="Z258" s="110" t="n"/>
      <c r="AA258" s="110" t="n"/>
      <c r="AB258" s="110" t="n"/>
      <c r="AC258" s="110" t="n"/>
      <c r="AD258" s="110" t="n"/>
      <c r="AE258" s="110" t="n"/>
      <c r="AF258" s="110" t="n"/>
      <c r="AG258" s="110" t="n"/>
      <c r="AH258" s="110" t="n">
        <v>6</v>
      </c>
      <c r="AI258" s="110" t="n"/>
      <c r="AJ258" s="110" t="n"/>
      <c r="AK258" s="110" t="n"/>
      <c r="AL258" s="110" t="n"/>
      <c r="AM258" s="110" t="n"/>
      <c r="AN258" s="110" t="n"/>
      <c r="AO258" s="110" t="n"/>
      <c r="AP258" s="110" t="n"/>
      <c r="AQ258" s="110" t="n"/>
      <c r="AR258" s="110" t="n"/>
      <c r="AS258" s="110" t="n"/>
      <c r="AT258" s="110" t="n"/>
      <c r="AU258" s="110" t="n"/>
      <c r="AV258" s="110" t="n"/>
      <c r="AW258" s="110" t="n"/>
      <c r="AX258" s="110" t="n"/>
      <c r="AY258" s="110" t="n"/>
      <c r="AZ258" s="110" t="n"/>
      <c r="BA258" s="110" t="n"/>
      <c r="BB258" s="110" t="n"/>
      <c r="BC258" t="inlineStr">
        <is>
          <t>ORIGINAL</t>
        </is>
      </c>
      <c r="BD258" t="n">
        <v>249</v>
      </c>
      <c r="BF258" s="109">
        <f>IF($BD258="","",SUMIF($BD$6:$BD$2000,$BD258,$J$6:$J$2000))</f>
        <v/>
      </c>
    </row>
    <row r="259" ht="19.5" customHeight="1">
      <c r="A259" s="96" t="inlineStr">
        <is>
          <t>PENDENTE</t>
        </is>
      </c>
      <c r="B259" s="26" t="inlineStr">
        <is>
          <t>RIACHUELO</t>
        </is>
      </c>
      <c r="C259" s="27" t="n">
        <v>268</v>
      </c>
      <c r="D259" s="26" t="inlineStr">
        <is>
          <t>SP PRAIA GRANDE PLAZA</t>
        </is>
      </c>
      <c r="E259" s="26" t="inlineStr">
        <is>
          <t>PRAIA GRANDE</t>
        </is>
      </c>
      <c r="F259" s="27" t="inlineStr">
        <is>
          <t>SP</t>
        </is>
      </c>
      <c r="G259" s="107" t="n">
        <v>46235</v>
      </c>
      <c r="H259" s="108">
        <f>IF($B259="","",SUM($K259:$AG259)+SUM($AS259:$BB259))</f>
        <v/>
      </c>
      <c r="I259" s="108">
        <f>IF($B259="","",SUM($AH259:$AL259))</f>
        <v/>
      </c>
      <c r="J259" s="109">
        <f>IF($B259="","",SUMPRODUCT($K259:$BB259,$K$2:$BB$2))</f>
        <v/>
      </c>
      <c r="K259" s="110" t="n">
        <v>6</v>
      </c>
      <c r="L259" s="110" t="n"/>
      <c r="M259" s="110" t="n">
        <v>4</v>
      </c>
      <c r="N259" s="110" t="n">
        <v>1</v>
      </c>
      <c r="O259" s="110" t="n"/>
      <c r="P259" s="110" t="n"/>
      <c r="Q259" s="110" t="n"/>
      <c r="R259" s="110" t="n"/>
      <c r="S259" s="110" t="n"/>
      <c r="T259" s="110" t="n"/>
      <c r="U259" s="110" t="n"/>
      <c r="V259" s="110" t="n"/>
      <c r="W259" s="110" t="n"/>
      <c r="X259" s="110" t="n"/>
      <c r="Y259" s="110" t="n"/>
      <c r="Z259" s="110" t="n"/>
      <c r="AA259" s="110" t="n">
        <v>5</v>
      </c>
      <c r="AB259" s="110" t="n"/>
      <c r="AC259" s="110" t="n"/>
      <c r="AD259" s="110" t="n"/>
      <c r="AE259" s="110" t="n"/>
      <c r="AF259" s="110" t="n"/>
      <c r="AG259" s="110" t="n"/>
      <c r="AH259" s="110" t="n">
        <v>16</v>
      </c>
      <c r="AI259" s="110" t="n"/>
      <c r="AJ259" s="110" t="n"/>
      <c r="AK259" s="110" t="n"/>
      <c r="AL259" s="110" t="n"/>
      <c r="AM259" s="110" t="n"/>
      <c r="AN259" s="110" t="n"/>
      <c r="AO259" s="110" t="n"/>
      <c r="AP259" s="110" t="n"/>
      <c r="AQ259" s="110" t="n"/>
      <c r="AR259" s="110" t="n"/>
      <c r="AS259" s="110" t="n"/>
      <c r="AT259" s="110" t="n"/>
      <c r="AU259" s="110" t="n"/>
      <c r="AV259" s="110" t="n"/>
      <c r="AW259" s="110" t="n"/>
      <c r="AX259" s="110" t="n"/>
      <c r="AY259" s="110" t="n"/>
      <c r="AZ259" s="110" t="n"/>
      <c r="BA259" s="110" t="n"/>
      <c r="BB259" s="110" t="n"/>
      <c r="BC259" t="inlineStr">
        <is>
          <t>ORIGINAL</t>
        </is>
      </c>
      <c r="BD259" t="n">
        <v>250</v>
      </c>
      <c r="BF259" s="109">
        <f>IF($BD259="","",SUMIF($BD$6:$BD$2000,$BD259,$J$6:$J$2000))</f>
        <v/>
      </c>
    </row>
    <row r="260" ht="19.5" customHeight="1">
      <c r="A260" s="96" t="inlineStr">
        <is>
          <t>PENDENTE</t>
        </is>
      </c>
      <c r="B260" s="26" t="inlineStr">
        <is>
          <t>RIACHUELO</t>
        </is>
      </c>
      <c r="C260" s="27" t="n">
        <v>269</v>
      </c>
      <c r="D260" s="26" t="inlineStr">
        <is>
          <t>IPANEMA CT</t>
        </is>
      </c>
      <c r="E260" s="26" t="inlineStr">
        <is>
          <t>RIO DE JANEIRO</t>
        </is>
      </c>
      <c r="F260" s="27" t="inlineStr">
        <is>
          <t>RJ</t>
        </is>
      </c>
      <c r="G260" s="107" t="n">
        <v>46235</v>
      </c>
      <c r="H260" s="108">
        <f>IF($B260="","",SUM($K260:$AG260)+SUM($AS260:$BB260))</f>
        <v/>
      </c>
      <c r="I260" s="108">
        <f>IF($B260="","",SUM($AH260:$AL260))</f>
        <v/>
      </c>
      <c r="J260" s="109">
        <f>IF($B260="","",SUMPRODUCT($K260:$BB260,$K$2:$BB$2))</f>
        <v/>
      </c>
      <c r="K260" s="110" t="n">
        <v>3</v>
      </c>
      <c r="L260" s="110" t="n"/>
      <c r="M260" s="110" t="n"/>
      <c r="N260" s="110" t="n">
        <v>4</v>
      </c>
      <c r="O260" s="110" t="n"/>
      <c r="P260" s="110" t="n">
        <v>1</v>
      </c>
      <c r="Q260" s="110" t="n"/>
      <c r="R260" s="110" t="n"/>
      <c r="S260" s="110" t="n"/>
      <c r="T260" s="110" t="n"/>
      <c r="U260" s="110" t="n"/>
      <c r="V260" s="110" t="n"/>
      <c r="W260" s="110" t="n"/>
      <c r="X260" s="110" t="n"/>
      <c r="Y260" s="110" t="n"/>
      <c r="Z260" s="110" t="n"/>
      <c r="AA260" s="110" t="n">
        <v>13</v>
      </c>
      <c r="AB260" s="110" t="n"/>
      <c r="AC260" s="110" t="n"/>
      <c r="AD260" s="110" t="n"/>
      <c r="AE260" s="110" t="n"/>
      <c r="AF260" s="110" t="n"/>
      <c r="AG260" s="110" t="n"/>
      <c r="AH260" s="110" t="n">
        <v>18</v>
      </c>
      <c r="AI260" s="110" t="n"/>
      <c r="AJ260" s="110" t="n"/>
      <c r="AK260" s="110" t="n"/>
      <c r="AL260" s="110" t="n"/>
      <c r="AM260" s="110" t="n"/>
      <c r="AN260" s="110" t="n"/>
      <c r="AO260" s="110" t="n"/>
      <c r="AP260" s="110" t="n"/>
      <c r="AQ260" s="110" t="n"/>
      <c r="AR260" s="110" t="n"/>
      <c r="AS260" s="110" t="n"/>
      <c r="AT260" s="110" t="n"/>
      <c r="AU260" s="110" t="n"/>
      <c r="AV260" s="110" t="n"/>
      <c r="AW260" s="110" t="n"/>
      <c r="AX260" s="110" t="n"/>
      <c r="AY260" s="110" t="n"/>
      <c r="AZ260" s="110" t="n"/>
      <c r="BA260" s="110" t="n"/>
      <c r="BB260" s="110" t="n"/>
      <c r="BC260" t="inlineStr">
        <is>
          <t>ORIGINAL</t>
        </is>
      </c>
      <c r="BD260" t="n">
        <v>251</v>
      </c>
      <c r="BF260" s="109">
        <f>IF($BD260="","",SUMIF($BD$6:$BD$2000,$BD260,$J$6:$J$2000))</f>
        <v/>
      </c>
    </row>
    <row r="261" ht="19.5" customHeight="1">
      <c r="A261" s="96" t="inlineStr">
        <is>
          <t>PENDENTE</t>
        </is>
      </c>
      <c r="B261" s="26" t="inlineStr">
        <is>
          <t>RIACHUELO</t>
        </is>
      </c>
      <c r="C261" s="27" t="n">
        <v>270</v>
      </c>
      <c r="D261" s="26" t="inlineStr">
        <is>
          <t>CD GUARULHOS</t>
        </is>
      </c>
      <c r="E261" s="26" t="inlineStr">
        <is>
          <t>GUARULHOS</t>
        </is>
      </c>
      <c r="F261" s="27" t="inlineStr">
        <is>
          <t>SP</t>
        </is>
      </c>
      <c r="G261" s="107" t="n">
        <v>46142</v>
      </c>
      <c r="H261" s="108">
        <f>IF($B261="","",SUM($K261:$AG261)+SUM($AS261:$BB261))</f>
        <v/>
      </c>
      <c r="I261" s="108">
        <f>IF($B261="","",SUM($AH261:$AL261))</f>
        <v/>
      </c>
      <c r="J261" s="109">
        <f>IF($B261="","",SUMPRODUCT($K261:$BB261,$K$2:$BB$2))</f>
        <v/>
      </c>
      <c r="K261" s="110" t="n">
        <v>967</v>
      </c>
      <c r="L261" s="110" t="n"/>
      <c r="M261" s="110" t="n">
        <v>256</v>
      </c>
      <c r="N261" s="110" t="n">
        <v>258</v>
      </c>
      <c r="O261" s="110" t="n"/>
      <c r="P261" s="110" t="n"/>
      <c r="Q261" s="110" t="n"/>
      <c r="R261" s="110" t="n"/>
      <c r="S261" s="110" t="n"/>
      <c r="T261" s="110" t="n">
        <v>7</v>
      </c>
      <c r="U261" s="110" t="n">
        <v>21</v>
      </c>
      <c r="V261" s="110" t="n"/>
      <c r="W261" s="110" t="n"/>
      <c r="X261" s="110" t="n"/>
      <c r="Y261" s="110" t="n"/>
      <c r="Z261" s="110" t="n"/>
      <c r="AA261" s="110" t="n">
        <v>54</v>
      </c>
      <c r="AB261" s="110" t="n"/>
      <c r="AC261" s="110" t="n"/>
      <c r="AD261" s="110" t="n"/>
      <c r="AE261" s="110" t="n"/>
      <c r="AF261" s="110" t="n"/>
      <c r="AG261" s="110" t="n">
        <v>1</v>
      </c>
      <c r="AH261" s="110" t="n">
        <v>17</v>
      </c>
      <c r="AI261" s="110" t="n"/>
      <c r="AJ261" s="110" t="n">
        <v>262</v>
      </c>
      <c r="AK261" s="110" t="n"/>
      <c r="AL261" s="110" t="n"/>
      <c r="AM261" s="110" t="n"/>
      <c r="AN261" s="110" t="n"/>
      <c r="AO261" s="110" t="n"/>
      <c r="AP261" s="110" t="n"/>
      <c r="AQ261" s="110" t="n"/>
      <c r="AR261" s="110" t="n"/>
      <c r="AS261" s="110" t="n"/>
      <c r="AT261" s="110" t="n"/>
      <c r="AU261" s="110" t="n"/>
      <c r="AV261" s="110" t="n"/>
      <c r="AW261" s="110" t="n"/>
      <c r="AX261" s="110" t="n"/>
      <c r="AY261" s="110" t="n"/>
      <c r="AZ261" s="110" t="n"/>
      <c r="BA261" s="110" t="n"/>
      <c r="BB261" s="110" t="n"/>
      <c r="BC261" t="inlineStr">
        <is>
          <t>ORIGINAL</t>
        </is>
      </c>
      <c r="BD261" t="n">
        <v>252</v>
      </c>
      <c r="BF261" s="109">
        <f>IF($BD261="","",SUMIF($BD$6:$BD$2000,$BD261,$J$6:$J$2000))</f>
        <v/>
      </c>
    </row>
    <row r="262" ht="19.5" customHeight="1">
      <c r="A262" s="96" t="inlineStr">
        <is>
          <t>PENDENTE</t>
        </is>
      </c>
      <c r="B262" s="26" t="inlineStr">
        <is>
          <t>RIACHUELO</t>
        </is>
      </c>
      <c r="C262" s="27" t="n">
        <v>271</v>
      </c>
      <c r="D262" s="26" t="inlineStr">
        <is>
          <t>JARAGUA DO SUL PARK SH</t>
        </is>
      </c>
      <c r="E262" s="26" t="inlineStr">
        <is>
          <t>JARAGUA DO SUL</t>
        </is>
      </c>
      <c r="F262" s="27" t="inlineStr">
        <is>
          <t>SC</t>
        </is>
      </c>
      <c r="G262" s="107" t="n">
        <v>46054</v>
      </c>
      <c r="H262" s="108">
        <f>IF($B262="","",SUM($K262:$AG262)+SUM($AS262:$BB262))</f>
        <v/>
      </c>
      <c r="I262" s="108">
        <f>IF($B262="","",SUM($AH262:$AL262))</f>
        <v/>
      </c>
      <c r="J262" s="109">
        <f>IF($B262="","",SUMPRODUCT($K262:$BB262,$K$2:$BB$2))</f>
        <v/>
      </c>
      <c r="K262" s="110" t="n">
        <v>10</v>
      </c>
      <c r="L262" s="110" t="n"/>
      <c r="M262" s="110" t="n"/>
      <c r="N262" s="110" t="n">
        <v>10</v>
      </c>
      <c r="O262" s="110" t="n"/>
      <c r="P262" s="110" t="n"/>
      <c r="Q262" s="110" t="n"/>
      <c r="R262" s="110" t="n"/>
      <c r="S262" s="110" t="n"/>
      <c r="T262" s="110" t="n"/>
      <c r="U262" s="110" t="n"/>
      <c r="V262" s="110" t="n"/>
      <c r="W262" s="110" t="n"/>
      <c r="X262" s="110" t="n"/>
      <c r="Y262" s="110" t="n"/>
      <c r="Z262" s="110" t="n"/>
      <c r="AA262" s="110" t="n">
        <v>4</v>
      </c>
      <c r="AB262" s="110" t="n"/>
      <c r="AC262" s="110" t="n"/>
      <c r="AD262" s="110" t="n"/>
      <c r="AE262" s="110" t="n"/>
      <c r="AF262" s="110" t="n"/>
      <c r="AG262" s="110" t="n"/>
      <c r="AH262" s="110" t="n">
        <v>10</v>
      </c>
      <c r="AI262" s="110" t="n"/>
      <c r="AJ262" s="110" t="n"/>
      <c r="AK262" s="110" t="n"/>
      <c r="AL262" s="110" t="n"/>
      <c r="AM262" s="110" t="n"/>
      <c r="AN262" s="110" t="n"/>
      <c r="AO262" s="110" t="n"/>
      <c r="AP262" s="110" t="n"/>
      <c r="AQ262" s="110" t="n"/>
      <c r="AR262" s="110" t="n"/>
      <c r="AS262" s="110" t="n"/>
      <c r="AT262" s="110" t="n"/>
      <c r="AU262" s="110" t="n"/>
      <c r="AV262" s="110" t="n"/>
      <c r="AW262" s="110" t="n"/>
      <c r="AX262" s="110" t="n"/>
      <c r="AY262" s="110" t="n"/>
      <c r="AZ262" s="110" t="n"/>
      <c r="BA262" s="110" t="n"/>
      <c r="BB262" s="110" t="n"/>
      <c r="BC262" t="inlineStr">
        <is>
          <t>ORIGINAL</t>
        </is>
      </c>
      <c r="BD262" t="n">
        <v>253</v>
      </c>
      <c r="BF262" s="109">
        <f>IF($BD262="","",SUMIF($BD$6:$BD$2000,$BD262,$J$6:$J$2000))</f>
        <v/>
      </c>
    </row>
    <row r="263" ht="19.5" customHeight="1">
      <c r="A263" s="96" t="inlineStr">
        <is>
          <t>PENDENTE</t>
        </is>
      </c>
      <c r="B263" s="26" t="inlineStr">
        <is>
          <t>RIACHUELO</t>
        </is>
      </c>
      <c r="C263" s="27" t="n">
        <v>272</v>
      </c>
      <c r="D263" s="26" t="inlineStr">
        <is>
          <t>SHOPPING VALE DO AÇO</t>
        </is>
      </c>
      <c r="E263" s="26" t="inlineStr">
        <is>
          <t>IPATINGA</t>
        </is>
      </c>
      <c r="F263" s="27" t="inlineStr">
        <is>
          <t>MG</t>
        </is>
      </c>
      <c r="G263" s="107" t="n">
        <v>46296</v>
      </c>
      <c r="H263" s="108">
        <f>IF($B263="","",SUM($K263:$AG263)+SUM($AS263:$BB263))</f>
        <v/>
      </c>
      <c r="I263" s="108">
        <f>IF($B263="","",SUM($AH263:$AL263))</f>
        <v/>
      </c>
      <c r="J263" s="109">
        <f>IF($B263="","",SUMPRODUCT($K263:$BB263,$K$2:$BB$2))</f>
        <v/>
      </c>
      <c r="K263" s="110" t="n"/>
      <c r="L263" s="110" t="n"/>
      <c r="M263" s="110" t="n"/>
      <c r="N263" s="110" t="n"/>
      <c r="O263" s="110" t="n"/>
      <c r="P263" s="110" t="n"/>
      <c r="Q263" s="110" t="n"/>
      <c r="R263" s="110" t="n"/>
      <c r="S263" s="110" t="n"/>
      <c r="T263" s="110" t="n">
        <v>2</v>
      </c>
      <c r="U263" s="110" t="n">
        <v>23</v>
      </c>
      <c r="V263" s="110" t="n"/>
      <c r="W263" s="110" t="n"/>
      <c r="X263" s="110" t="n"/>
      <c r="Y263" s="110" t="n"/>
      <c r="Z263" s="110" t="n"/>
      <c r="AA263" s="110" t="n"/>
      <c r="AB263" s="110" t="n"/>
      <c r="AC263" s="110" t="n"/>
      <c r="AD263" s="110" t="n"/>
      <c r="AE263" s="110" t="n"/>
      <c r="AF263" s="110" t="n"/>
      <c r="AG263" s="110" t="n"/>
      <c r="AH263" s="110" t="n">
        <v>12</v>
      </c>
      <c r="AI263" s="110" t="n"/>
      <c r="AJ263" s="110" t="n"/>
      <c r="AK263" s="110" t="n"/>
      <c r="AL263" s="110" t="n"/>
      <c r="AM263" s="110" t="n"/>
      <c r="AN263" s="110" t="n"/>
      <c r="AO263" s="110" t="n"/>
      <c r="AP263" s="110" t="n"/>
      <c r="AQ263" s="110" t="n"/>
      <c r="AR263" s="110" t="n"/>
      <c r="AS263" s="110" t="n"/>
      <c r="AT263" s="110" t="n"/>
      <c r="AU263" s="110" t="n"/>
      <c r="AV263" s="110" t="n"/>
      <c r="AW263" s="110" t="n"/>
      <c r="AX263" s="110" t="n"/>
      <c r="AY263" s="110" t="n"/>
      <c r="AZ263" s="110" t="n"/>
      <c r="BA263" s="110" t="n"/>
      <c r="BB263" s="110" t="n"/>
      <c r="BC263" t="inlineStr">
        <is>
          <t>ORIGINAL</t>
        </is>
      </c>
      <c r="BD263" t="n">
        <v>254</v>
      </c>
      <c r="BF263" s="109">
        <f>IF($BD263="","",SUMIF($BD$6:$BD$2000,$BD263,$J$6:$J$2000))</f>
        <v/>
      </c>
    </row>
    <row r="264" ht="19.5" customHeight="1">
      <c r="A264" s="96" t="inlineStr">
        <is>
          <t>PENDENTE</t>
        </is>
      </c>
      <c r="B264" s="26" t="inlineStr">
        <is>
          <t>RIACHUELO</t>
        </is>
      </c>
      <c r="C264" s="27" t="n">
        <v>273</v>
      </c>
      <c r="D264" s="26" t="inlineStr">
        <is>
          <t>JOINVILLE GARDEN SH</t>
        </is>
      </c>
      <c r="E264" s="26" t="inlineStr">
        <is>
          <t>JOINVILLE</t>
        </is>
      </c>
      <c r="F264" s="27" t="inlineStr">
        <is>
          <t>SC</t>
        </is>
      </c>
      <c r="G264" s="107" t="n">
        <v>46235</v>
      </c>
      <c r="H264" s="108">
        <f>IF($B264="","",SUM($K264:$AG264)+SUM($AS264:$BB264))</f>
        <v/>
      </c>
      <c r="I264" s="108">
        <f>IF($B264="","",SUM($AH264:$AL264))</f>
        <v/>
      </c>
      <c r="J264" s="109">
        <f>IF($B264="","",SUMPRODUCT($K264:$BB264,$K$2:$BB$2))</f>
        <v/>
      </c>
      <c r="K264" s="110" t="n">
        <v>7</v>
      </c>
      <c r="L264" s="110" t="n"/>
      <c r="M264" s="110" t="n"/>
      <c r="N264" s="110" t="n"/>
      <c r="O264" s="110" t="n"/>
      <c r="P264" s="110" t="n"/>
      <c r="Q264" s="110" t="n"/>
      <c r="R264" s="110" t="n"/>
      <c r="S264" s="110" t="n"/>
      <c r="T264" s="110" t="n">
        <v>4</v>
      </c>
      <c r="U264" s="110" t="n"/>
      <c r="V264" s="110" t="n"/>
      <c r="W264" s="110" t="n"/>
      <c r="X264" s="110" t="n"/>
      <c r="Y264" s="110" t="n"/>
      <c r="Z264" s="110" t="n">
        <v>4</v>
      </c>
      <c r="AA264" s="110" t="n"/>
      <c r="AB264" s="110" t="n"/>
      <c r="AC264" s="110" t="n"/>
      <c r="AD264" s="110" t="n"/>
      <c r="AE264" s="110" t="n"/>
      <c r="AF264" s="110" t="n"/>
      <c r="AG264" s="110" t="n"/>
      <c r="AH264" s="110" t="n">
        <v>10</v>
      </c>
      <c r="AI264" s="110" t="n"/>
      <c r="AJ264" s="110" t="n"/>
      <c r="AK264" s="110" t="n"/>
      <c r="AL264" s="110" t="n"/>
      <c r="AM264" s="110" t="n"/>
      <c r="AN264" s="110" t="n"/>
      <c r="AO264" s="110" t="n"/>
      <c r="AP264" s="110" t="n"/>
      <c r="AQ264" s="110" t="n"/>
      <c r="AR264" s="110" t="n"/>
      <c r="AS264" s="110" t="n"/>
      <c r="AT264" s="110" t="n"/>
      <c r="AU264" s="110" t="n"/>
      <c r="AV264" s="110" t="n"/>
      <c r="AW264" s="110" t="n"/>
      <c r="AX264" s="110" t="n"/>
      <c r="AY264" s="110" t="n"/>
      <c r="AZ264" s="110" t="n"/>
      <c r="BA264" s="110" t="n"/>
      <c r="BB264" s="110" t="n"/>
      <c r="BC264" t="inlineStr">
        <is>
          <t>ORIGINAL</t>
        </is>
      </c>
      <c r="BD264" t="n">
        <v>255</v>
      </c>
      <c r="BF264" s="109">
        <f>IF($BD264="","",SUMIF($BD$6:$BD$2000,$BD264,$J$6:$J$2000))</f>
        <v/>
      </c>
    </row>
    <row r="265" ht="19.5" customHeight="1">
      <c r="A265" s="96" t="inlineStr">
        <is>
          <t>PENDENTE</t>
        </is>
      </c>
      <c r="B265" s="26" t="inlineStr">
        <is>
          <t>RIACHUELO</t>
        </is>
      </c>
      <c r="C265" s="27" t="n">
        <v>274</v>
      </c>
      <c r="D265" s="26" t="inlineStr">
        <is>
          <t>BLUMENAU NORTE SH</t>
        </is>
      </c>
      <c r="E265" s="26" t="inlineStr">
        <is>
          <t>BLUMENAU</t>
        </is>
      </c>
      <c r="F265" s="27" t="inlineStr">
        <is>
          <t>SC</t>
        </is>
      </c>
      <c r="G265" s="107" t="n">
        <v>46235</v>
      </c>
      <c r="H265" s="108">
        <f>IF($B265="","",SUM($K265:$AG265)+SUM($AS265:$BB265))</f>
        <v/>
      </c>
      <c r="I265" s="108">
        <f>IF($B265="","",SUM($AH265:$AL265))</f>
        <v/>
      </c>
      <c r="J265" s="109">
        <f>IF($B265="","",SUMPRODUCT($K265:$BB265,$K$2:$BB$2))</f>
        <v/>
      </c>
      <c r="K265" s="110" t="n">
        <v>6</v>
      </c>
      <c r="L265" s="110" t="n"/>
      <c r="M265" s="110" t="n"/>
      <c r="N265" s="110" t="n">
        <v>3</v>
      </c>
      <c r="O265" s="110" t="n"/>
      <c r="P265" s="110" t="n"/>
      <c r="Q265" s="110" t="n"/>
      <c r="R265" s="110" t="n"/>
      <c r="S265" s="110" t="n"/>
      <c r="T265" s="110" t="n"/>
      <c r="U265" s="110" t="n"/>
      <c r="V265" s="110" t="n"/>
      <c r="W265" s="110" t="n"/>
      <c r="X265" s="110" t="n"/>
      <c r="Y265" s="110" t="n"/>
      <c r="Z265" s="110" t="n"/>
      <c r="AA265" s="110" t="n">
        <v>7</v>
      </c>
      <c r="AB265" s="110" t="n"/>
      <c r="AC265" s="110" t="n"/>
      <c r="AD265" s="110" t="n"/>
      <c r="AE265" s="110" t="n"/>
      <c r="AF265" s="110" t="n"/>
      <c r="AG265" s="110" t="n"/>
      <c r="AH265" s="110" t="n">
        <v>6</v>
      </c>
      <c r="AI265" s="110" t="n"/>
      <c r="AJ265" s="110" t="n"/>
      <c r="AK265" s="110" t="n"/>
      <c r="AL265" s="110" t="n"/>
      <c r="AM265" s="110" t="n"/>
      <c r="AN265" s="110" t="n"/>
      <c r="AO265" s="110" t="n"/>
      <c r="AP265" s="110" t="n"/>
      <c r="AQ265" s="110" t="n"/>
      <c r="AR265" s="110" t="n"/>
      <c r="AS265" s="110" t="n"/>
      <c r="AT265" s="110" t="n"/>
      <c r="AU265" s="110" t="n"/>
      <c r="AV265" s="110" t="n"/>
      <c r="AW265" s="110" t="n"/>
      <c r="AX265" s="110" t="n"/>
      <c r="AY265" s="110" t="n"/>
      <c r="AZ265" s="110" t="n"/>
      <c r="BA265" s="110" t="n"/>
      <c r="BB265" s="110" t="n"/>
      <c r="BC265" t="inlineStr">
        <is>
          <t>ORIGINAL</t>
        </is>
      </c>
      <c r="BD265" t="n">
        <v>256</v>
      </c>
      <c r="BF265" s="109">
        <f>IF($BD265="","",SUMIF($BD$6:$BD$2000,$BD265,$J$6:$J$2000))</f>
        <v/>
      </c>
    </row>
    <row r="266" ht="19.5" customHeight="1">
      <c r="A266" s="96" t="inlineStr">
        <is>
          <t>PENDENTE</t>
        </is>
      </c>
      <c r="B266" s="26" t="inlineStr">
        <is>
          <t>RIACHUELO</t>
        </is>
      </c>
      <c r="C266" s="27" t="n">
        <v>275</v>
      </c>
      <c r="D266" s="26" t="inlineStr">
        <is>
          <t>FRANCA SHOPPING</t>
        </is>
      </c>
      <c r="E266" s="26" t="inlineStr">
        <is>
          <t>FRANCA</t>
        </is>
      </c>
      <c r="F266" s="27" t="inlineStr">
        <is>
          <t>SP</t>
        </is>
      </c>
      <c r="G266" s="107" t="n">
        <v>46204</v>
      </c>
      <c r="H266" s="108">
        <f>IF($B266="","",SUM($K266:$AG266)+SUM($AS266:$BB266))</f>
        <v/>
      </c>
      <c r="I266" s="108">
        <f>IF($B266="","",SUM($AH266:$AL266))</f>
        <v/>
      </c>
      <c r="J266" s="109">
        <f>IF($B266="","",SUMPRODUCT($K266:$BB266,$K$2:$BB$2))</f>
        <v/>
      </c>
      <c r="K266" s="110" t="n">
        <v>4</v>
      </c>
      <c r="L266" s="110" t="n"/>
      <c r="M266" s="110" t="n"/>
      <c r="N266" s="110" t="n">
        <v>3</v>
      </c>
      <c r="O266" s="110" t="n"/>
      <c r="P266" s="110" t="n"/>
      <c r="Q266" s="110" t="n"/>
      <c r="R266" s="110" t="n"/>
      <c r="S266" s="110" t="n"/>
      <c r="T266" s="110" t="n">
        <v>7</v>
      </c>
      <c r="U266" s="110" t="n"/>
      <c r="V266" s="110" t="n"/>
      <c r="W266" s="110" t="n"/>
      <c r="X266" s="110" t="n"/>
      <c r="Y266" s="110" t="n"/>
      <c r="Z266" s="110" t="n"/>
      <c r="AA266" s="110" t="n">
        <v>8</v>
      </c>
      <c r="AB266" s="110" t="n"/>
      <c r="AC266" s="110" t="n"/>
      <c r="AD266" s="110" t="n"/>
      <c r="AE266" s="110" t="n"/>
      <c r="AF266" s="110" t="n"/>
      <c r="AG266" s="110" t="n"/>
      <c r="AH266" s="110" t="n"/>
      <c r="AI266" s="110" t="n"/>
      <c r="AJ266" s="110" t="n">
        <v>24</v>
      </c>
      <c r="AK266" s="110" t="n"/>
      <c r="AL266" s="110" t="n"/>
      <c r="AM266" s="110" t="n"/>
      <c r="AN266" s="110" t="n"/>
      <c r="AO266" s="110" t="n"/>
      <c r="AP266" s="110" t="n"/>
      <c r="AQ266" s="110" t="n"/>
      <c r="AR266" s="110" t="n"/>
      <c r="AS266" s="110" t="n"/>
      <c r="AT266" s="110" t="n"/>
      <c r="AU266" s="110" t="n"/>
      <c r="AV266" s="110" t="n"/>
      <c r="AW266" s="110" t="n"/>
      <c r="AX266" s="110" t="n"/>
      <c r="AY266" s="110" t="n"/>
      <c r="AZ266" s="110" t="n"/>
      <c r="BA266" s="110" t="n"/>
      <c r="BB266" s="110" t="n"/>
      <c r="BC266" t="inlineStr">
        <is>
          <t>ORIGINAL</t>
        </is>
      </c>
      <c r="BD266" t="n">
        <v>257</v>
      </c>
      <c r="BF266" s="109">
        <f>IF($BD266="","",SUMIF($BD$6:$BD$2000,$BD266,$J$6:$J$2000))</f>
        <v/>
      </c>
    </row>
    <row r="267" ht="19.5" customHeight="1">
      <c r="A267" s="96" t="inlineStr">
        <is>
          <t>PENDENTE</t>
        </is>
      </c>
      <c r="B267" s="26" t="inlineStr">
        <is>
          <t>RIACHUELO</t>
        </is>
      </c>
      <c r="C267" s="27" t="n">
        <v>276</v>
      </c>
      <c r="D267" s="26" t="inlineStr">
        <is>
          <t>ANANINDEUA METROPOLE SH</t>
        </is>
      </c>
      <c r="E267" s="26" t="inlineStr">
        <is>
          <t>ANANINDEUA</t>
        </is>
      </c>
      <c r="F267" s="27" t="inlineStr">
        <is>
          <t>PA</t>
        </is>
      </c>
      <c r="G267" s="107" t="n">
        <v>46143</v>
      </c>
      <c r="H267" s="108">
        <f>IF($B267="","",SUM($K267:$AG267)+SUM($AS267:$BB267))</f>
        <v/>
      </c>
      <c r="I267" s="108">
        <f>IF($B267="","",SUM($AH267:$AL267))</f>
        <v/>
      </c>
      <c r="J267" s="109">
        <f>IF($B267="","",SUMPRODUCT($K267:$BB267,$K$2:$BB$2))</f>
        <v/>
      </c>
      <c r="K267" s="110" t="n"/>
      <c r="L267" s="110" t="n"/>
      <c r="M267" s="110" t="n"/>
      <c r="N267" s="110" t="n"/>
      <c r="O267" s="110" t="n"/>
      <c r="P267" s="110" t="n">
        <v>1</v>
      </c>
      <c r="Q267" s="110" t="n"/>
      <c r="R267" s="110" t="n"/>
      <c r="S267" s="110" t="n"/>
      <c r="T267" s="110" t="n"/>
      <c r="U267" s="110" t="n">
        <v>17</v>
      </c>
      <c r="V267" s="110" t="n"/>
      <c r="W267" s="110" t="n"/>
      <c r="X267" s="110" t="n"/>
      <c r="Y267" s="110" t="n"/>
      <c r="Z267" s="110" t="n"/>
      <c r="AA267" s="110" t="n">
        <v>2</v>
      </c>
      <c r="AB267" s="110" t="n"/>
      <c r="AC267" s="110" t="n"/>
      <c r="AD267" s="110" t="n"/>
      <c r="AE267" s="110" t="n"/>
      <c r="AF267" s="110" t="n"/>
      <c r="AG267" s="110" t="n"/>
      <c r="AH267" s="110" t="n">
        <v>24</v>
      </c>
      <c r="AI267" s="110" t="n"/>
      <c r="AJ267" s="110" t="n"/>
      <c r="AK267" s="110" t="n"/>
      <c r="AL267" s="110" t="n"/>
      <c r="AM267" s="110" t="n"/>
      <c r="AN267" s="110" t="n"/>
      <c r="AO267" s="110" t="n"/>
      <c r="AP267" s="110" t="n"/>
      <c r="AQ267" s="110" t="n"/>
      <c r="AR267" s="110" t="n"/>
      <c r="AS267" s="110" t="n"/>
      <c r="AT267" s="110" t="n"/>
      <c r="AU267" s="110" t="n"/>
      <c r="AV267" s="110" t="n"/>
      <c r="AW267" s="110" t="n"/>
      <c r="AX267" s="110" t="n"/>
      <c r="AY267" s="110" t="n"/>
      <c r="AZ267" s="110" t="n"/>
      <c r="BA267" s="110" t="n"/>
      <c r="BB267" s="110" t="n"/>
      <c r="BC267" t="inlineStr">
        <is>
          <t>ORIGINAL</t>
        </is>
      </c>
      <c r="BD267" t="n">
        <v>258</v>
      </c>
      <c r="BF267" s="109">
        <f>IF($BD267="","",SUMIF($BD$6:$BD$2000,$BD267,$J$6:$J$2000))</f>
        <v/>
      </c>
    </row>
    <row r="268" ht="19.5" customHeight="1">
      <c r="A268" s="96" t="inlineStr">
        <is>
          <t>PENDENTE</t>
        </is>
      </c>
      <c r="B268" s="26" t="inlineStr">
        <is>
          <t>RIACHUELO</t>
        </is>
      </c>
      <c r="C268" s="27" t="n">
        <v>277</v>
      </c>
      <c r="D268" s="26" t="inlineStr">
        <is>
          <t>SHOPPING BOSQUE GRÃO-PARÁ</t>
        </is>
      </c>
      <c r="E268" s="26" t="inlineStr">
        <is>
          <t>BELÉM</t>
        </is>
      </c>
      <c r="F268" s="27" t="inlineStr">
        <is>
          <t>PA</t>
        </is>
      </c>
      <c r="G268" s="107" t="n">
        <v>46143</v>
      </c>
      <c r="H268" s="108">
        <f>IF($B268="","",SUM($K268:$AG268)+SUM($AS268:$BB268))</f>
        <v/>
      </c>
      <c r="I268" s="108">
        <f>IF($B268="","",SUM($AH268:$AL268))</f>
        <v/>
      </c>
      <c r="J268" s="109">
        <f>IF($B268="","",SUMPRODUCT($K268:$BB268,$K$2:$BB$2))</f>
        <v/>
      </c>
      <c r="K268" s="110" t="n">
        <v>7</v>
      </c>
      <c r="L268" s="110" t="n"/>
      <c r="M268" s="110" t="n"/>
      <c r="N268" s="110" t="n">
        <v>1</v>
      </c>
      <c r="O268" s="110" t="n"/>
      <c r="P268" s="110" t="n"/>
      <c r="Q268" s="110" t="n"/>
      <c r="R268" s="110" t="n"/>
      <c r="S268" s="110" t="n"/>
      <c r="T268" s="110" t="n"/>
      <c r="U268" s="110" t="n">
        <v>2</v>
      </c>
      <c r="V268" s="110" t="n"/>
      <c r="W268" s="110" t="n"/>
      <c r="X268" s="110" t="n"/>
      <c r="Y268" s="110" t="n"/>
      <c r="Z268" s="110" t="n"/>
      <c r="AA268" s="110" t="n">
        <v>10</v>
      </c>
      <c r="AB268" s="110" t="n"/>
      <c r="AC268" s="110" t="n"/>
      <c r="AD268" s="110" t="n"/>
      <c r="AE268" s="110" t="n"/>
      <c r="AF268" s="110" t="n"/>
      <c r="AG268" s="110" t="n"/>
      <c r="AH268" s="110" t="n"/>
      <c r="AI268" s="110" t="n"/>
      <c r="AJ268" s="110" t="n">
        <v>28</v>
      </c>
      <c r="AK268" s="110" t="n"/>
      <c r="AL268" s="110" t="n"/>
      <c r="AM268" s="110" t="n"/>
      <c r="AN268" s="110" t="n"/>
      <c r="AO268" s="110" t="n"/>
      <c r="AP268" s="110" t="n"/>
      <c r="AQ268" s="110" t="n"/>
      <c r="AR268" s="110" t="n"/>
      <c r="AS268" s="110" t="n"/>
      <c r="AT268" s="110" t="n"/>
      <c r="AU268" s="110" t="n"/>
      <c r="AV268" s="110" t="n"/>
      <c r="AW268" s="110" t="n"/>
      <c r="AX268" s="110" t="n"/>
      <c r="AY268" s="110" t="n"/>
      <c r="AZ268" s="110" t="n"/>
      <c r="BA268" s="110" t="n"/>
      <c r="BB268" s="110" t="n"/>
      <c r="BC268" t="inlineStr">
        <is>
          <t>ORIGINAL</t>
        </is>
      </c>
      <c r="BD268" t="n">
        <v>259</v>
      </c>
      <c r="BF268" s="109">
        <f>IF($BD268="","",SUMIF($BD$6:$BD$2000,$BD268,$J$6:$J$2000))</f>
        <v/>
      </c>
    </row>
    <row r="269" ht="19.5" customHeight="1">
      <c r="A269" s="96" t="inlineStr">
        <is>
          <t>PENDENTE</t>
        </is>
      </c>
      <c r="B269" s="26" t="inlineStr">
        <is>
          <t>RIACHUELO</t>
        </is>
      </c>
      <c r="C269" s="27" t="n">
        <v>278</v>
      </c>
      <c r="D269" s="26" t="inlineStr">
        <is>
          <t>LAGES GARDEN SH</t>
        </is>
      </c>
      <c r="E269" s="26" t="inlineStr">
        <is>
          <t>LAGES</t>
        </is>
      </c>
      <c r="F269" s="27" t="inlineStr">
        <is>
          <t>SC</t>
        </is>
      </c>
      <c r="G269" s="107" t="n">
        <v>46266</v>
      </c>
      <c r="H269" s="108">
        <f>IF($B269="","",SUM($K269:$AG269)+SUM($AS269:$BB269))</f>
        <v/>
      </c>
      <c r="I269" s="108">
        <f>IF($B269="","",SUM($AH269:$AL269))</f>
        <v/>
      </c>
      <c r="J269" s="109">
        <f>IF($B269="","",SUMPRODUCT($K269:$BB269,$K$2:$BB$2))</f>
        <v/>
      </c>
      <c r="K269" s="110" t="n">
        <v>4</v>
      </c>
      <c r="L269" s="110" t="n"/>
      <c r="M269" s="110" t="n"/>
      <c r="N269" s="110" t="n">
        <v>4</v>
      </c>
      <c r="O269" s="110" t="n">
        <v>2</v>
      </c>
      <c r="P269" s="110" t="n"/>
      <c r="Q269" s="110" t="n"/>
      <c r="R269" s="110" t="n"/>
      <c r="S269" s="110" t="n"/>
      <c r="T269" s="110" t="n"/>
      <c r="U269" s="110" t="n"/>
      <c r="V269" s="110" t="n"/>
      <c r="W269" s="110" t="n"/>
      <c r="X269" s="110" t="n"/>
      <c r="Y269" s="110" t="n"/>
      <c r="Z269" s="110" t="n"/>
      <c r="AA269" s="110" t="n">
        <v>7</v>
      </c>
      <c r="AB269" s="110" t="n"/>
      <c r="AC269" s="110" t="n"/>
      <c r="AD269" s="110" t="n"/>
      <c r="AE269" s="110" t="n"/>
      <c r="AF269" s="110" t="n"/>
      <c r="AG269" s="110" t="n"/>
      <c r="AH269" s="110" t="n">
        <v>20</v>
      </c>
      <c r="AI269" s="110" t="n"/>
      <c r="AJ269" s="110" t="n"/>
      <c r="AK269" s="110" t="n"/>
      <c r="AL269" s="110" t="n"/>
      <c r="AM269" s="110" t="n"/>
      <c r="AN269" s="110" t="n"/>
      <c r="AO269" s="110" t="n"/>
      <c r="AP269" s="110" t="n"/>
      <c r="AQ269" s="110" t="n"/>
      <c r="AR269" s="110" t="n"/>
      <c r="AS269" s="110" t="n"/>
      <c r="AT269" s="110" t="n"/>
      <c r="AU269" s="110" t="n"/>
      <c r="AV269" s="110" t="n"/>
      <c r="AW269" s="110" t="n"/>
      <c r="AX269" s="110" t="n"/>
      <c r="AY269" s="110" t="n"/>
      <c r="AZ269" s="110" t="n"/>
      <c r="BA269" s="110" t="n"/>
      <c r="BB269" s="110" t="n"/>
      <c r="BC269" t="inlineStr">
        <is>
          <t>ORIGINAL</t>
        </is>
      </c>
      <c r="BD269" t="n">
        <v>260</v>
      </c>
      <c r="BF269" s="109">
        <f>IF($BD269="","",SUMIF($BD$6:$BD$2000,$BD269,$J$6:$J$2000))</f>
        <v/>
      </c>
    </row>
    <row r="270" ht="19.5" customHeight="1">
      <c r="A270" s="96" t="inlineStr">
        <is>
          <t>PENDENTE</t>
        </is>
      </c>
      <c r="B270" s="26" t="inlineStr">
        <is>
          <t>RIACHUELO</t>
        </is>
      </c>
      <c r="C270" s="27" t="n">
        <v>279</v>
      </c>
      <c r="D270" s="26" t="inlineStr">
        <is>
          <t>RORAIMA PATIO SH</t>
        </is>
      </c>
      <c r="E270" s="26" t="inlineStr">
        <is>
          <t>BOA VISTA</t>
        </is>
      </c>
      <c r="F270" s="27" t="inlineStr">
        <is>
          <t>RR</t>
        </is>
      </c>
      <c r="G270" s="107" t="n">
        <v>46174</v>
      </c>
      <c r="H270" s="108">
        <f>IF($B270="","",SUM($K270:$AG270)+SUM($AS270:$BB270))</f>
        <v/>
      </c>
      <c r="I270" s="108">
        <f>IF($B270="","",SUM($AH270:$AL270))</f>
        <v/>
      </c>
      <c r="J270" s="109">
        <f>IF($B270="","",SUMPRODUCT($K270:$BB270,$K$2:$BB$2))</f>
        <v/>
      </c>
      <c r="K270" s="110" t="n">
        <v>8</v>
      </c>
      <c r="L270" s="110" t="n"/>
      <c r="M270" s="110" t="n"/>
      <c r="N270" s="110" t="n"/>
      <c r="O270" s="110" t="n"/>
      <c r="P270" s="110" t="n"/>
      <c r="Q270" s="110" t="n"/>
      <c r="R270" s="110" t="n"/>
      <c r="S270" s="110" t="n"/>
      <c r="T270" s="110" t="n"/>
      <c r="U270" s="110" t="n">
        <v>2</v>
      </c>
      <c r="V270" s="110" t="n"/>
      <c r="W270" s="110" t="n"/>
      <c r="X270" s="110" t="n"/>
      <c r="Y270" s="110" t="n"/>
      <c r="Z270" s="110" t="n"/>
      <c r="AA270" s="110" t="n">
        <v>6</v>
      </c>
      <c r="AB270" s="110" t="n"/>
      <c r="AC270" s="110" t="n"/>
      <c r="AD270" s="110" t="n"/>
      <c r="AE270" s="110" t="n"/>
      <c r="AF270" s="110" t="n"/>
      <c r="AG270" s="110" t="n"/>
      <c r="AH270" s="110" t="n">
        <v>9</v>
      </c>
      <c r="AI270" s="110" t="n"/>
      <c r="AJ270" s="110" t="n"/>
      <c r="AK270" s="110" t="n"/>
      <c r="AL270" s="110" t="n"/>
      <c r="AM270" s="110" t="n"/>
      <c r="AN270" s="110" t="n"/>
      <c r="AO270" s="110" t="n"/>
      <c r="AP270" s="110" t="n"/>
      <c r="AQ270" s="110" t="n"/>
      <c r="AR270" s="110" t="n"/>
      <c r="AS270" s="110" t="n"/>
      <c r="AT270" s="110" t="n"/>
      <c r="AU270" s="110" t="n"/>
      <c r="AV270" s="110" t="n"/>
      <c r="AW270" s="110" t="n"/>
      <c r="AX270" s="110" t="n"/>
      <c r="AY270" s="110" t="n"/>
      <c r="AZ270" s="110" t="n"/>
      <c r="BA270" s="110" t="n"/>
      <c r="BB270" s="110" t="n"/>
      <c r="BC270" t="inlineStr">
        <is>
          <t>ORIGINAL</t>
        </is>
      </c>
      <c r="BD270" t="n">
        <v>261</v>
      </c>
      <c r="BF270" s="109">
        <f>IF($BD270="","",SUMIF($BD$6:$BD$2000,$BD270,$J$6:$J$2000))</f>
        <v/>
      </c>
    </row>
    <row r="271" ht="19.5" customHeight="1">
      <c r="A271" s="96" t="inlineStr">
        <is>
          <t>PENDENTE</t>
        </is>
      </c>
      <c r="B271" s="26" t="inlineStr">
        <is>
          <t>RIACHUELO</t>
        </is>
      </c>
      <c r="C271" s="27" t="n">
        <v>280</v>
      </c>
      <c r="D271" s="26" t="inlineStr">
        <is>
          <t>SHOPPING DIFUSORA</t>
        </is>
      </c>
      <c r="E271" s="26" t="inlineStr">
        <is>
          <t>CARUARU</t>
        </is>
      </c>
      <c r="F271" s="27" t="inlineStr">
        <is>
          <t>PE</t>
        </is>
      </c>
      <c r="G271" s="107" t="n">
        <v>46388</v>
      </c>
      <c r="H271" s="108">
        <f>IF($B271="","",SUM($K271:$AG271)+SUM($AS271:$BB271))</f>
        <v/>
      </c>
      <c r="I271" s="108">
        <f>IF($B271="","",SUM($AH271:$AL271))</f>
        <v/>
      </c>
      <c r="J271" s="109">
        <f>IF($B271="","",SUMPRODUCT($K271:$BB271,$K$2:$BB$2))</f>
        <v/>
      </c>
      <c r="K271" s="110" t="n">
        <v>6</v>
      </c>
      <c r="L271" s="110" t="n"/>
      <c r="M271" s="110" t="n"/>
      <c r="N271" s="110" t="n">
        <v>4</v>
      </c>
      <c r="O271" s="110" t="n"/>
      <c r="P271" s="110" t="n"/>
      <c r="Q271" s="110" t="n"/>
      <c r="R271" s="110" t="n"/>
      <c r="S271" s="110" t="n"/>
      <c r="T271" s="110" t="n"/>
      <c r="U271" s="110" t="n"/>
      <c r="V271" s="110" t="n"/>
      <c r="W271" s="110" t="n"/>
      <c r="X271" s="110" t="n"/>
      <c r="Y271" s="110" t="n"/>
      <c r="Z271" s="110" t="n"/>
      <c r="AA271" s="110" t="n">
        <v>10</v>
      </c>
      <c r="AB271" s="110" t="n"/>
      <c r="AC271" s="110" t="n"/>
      <c r="AD271" s="110" t="n"/>
      <c r="AE271" s="110" t="n"/>
      <c r="AF271" s="110" t="n"/>
      <c r="AG271" s="110" t="n"/>
      <c r="AH271" s="110" t="n">
        <v>16</v>
      </c>
      <c r="AI271" s="110" t="n"/>
      <c r="AJ271" s="110" t="n"/>
      <c r="AK271" s="110" t="n"/>
      <c r="AL271" s="110" t="n"/>
      <c r="AM271" s="110" t="n"/>
      <c r="AN271" s="110" t="n"/>
      <c r="AO271" s="110" t="n"/>
      <c r="AP271" s="110" t="n"/>
      <c r="AQ271" s="110" t="n"/>
      <c r="AR271" s="110" t="n"/>
      <c r="AS271" s="110" t="n"/>
      <c r="AT271" s="110" t="n"/>
      <c r="AU271" s="110" t="n"/>
      <c r="AV271" s="110" t="n"/>
      <c r="AW271" s="110" t="n"/>
      <c r="AX271" s="110" t="n"/>
      <c r="AY271" s="110" t="n"/>
      <c r="AZ271" s="110" t="n"/>
      <c r="BA271" s="110" t="n"/>
      <c r="BB271" s="110" t="n"/>
      <c r="BC271" t="inlineStr">
        <is>
          <t>ORIGINAL</t>
        </is>
      </c>
      <c r="BD271" t="n">
        <v>262</v>
      </c>
      <c r="BF271" s="109">
        <f>IF($BD271="","",SUMIF($BD$6:$BD$2000,$BD271,$J$6:$J$2000))</f>
        <v/>
      </c>
    </row>
    <row r="272" ht="19.5" customHeight="1">
      <c r="A272" s="96" t="inlineStr">
        <is>
          <t>PENDENTE</t>
        </is>
      </c>
      <c r="B272" s="26" t="inlineStr">
        <is>
          <t>RIACHUELO</t>
        </is>
      </c>
      <c r="C272" s="27" t="n">
        <v>281</v>
      </c>
      <c r="D272" s="26" t="inlineStr">
        <is>
          <t>ITAGUAI COSTA VERDE SH</t>
        </is>
      </c>
      <c r="E272" s="26" t="inlineStr">
        <is>
          <t>ITAGUAÍ</t>
        </is>
      </c>
      <c r="F272" s="27" t="inlineStr">
        <is>
          <t>RJ</t>
        </is>
      </c>
      <c r="G272" s="107" t="n">
        <v>46235</v>
      </c>
      <c r="H272" s="108">
        <f>IF($B272="","",SUM($K272:$AG272)+SUM($AS272:$BB272))</f>
        <v/>
      </c>
      <c r="I272" s="108">
        <f>IF($B272="","",SUM($AH272:$AL272))</f>
        <v/>
      </c>
      <c r="J272" s="109">
        <f>IF($B272="","",SUMPRODUCT($K272:$BB272,$K$2:$BB$2))</f>
        <v/>
      </c>
      <c r="K272" s="110" t="n">
        <v>9</v>
      </c>
      <c r="L272" s="110" t="n"/>
      <c r="M272" s="110" t="n"/>
      <c r="N272" s="110" t="n">
        <v>2</v>
      </c>
      <c r="O272" s="110" t="n"/>
      <c r="P272" s="110" t="n"/>
      <c r="Q272" s="110" t="n"/>
      <c r="R272" s="110" t="n"/>
      <c r="S272" s="110" t="n"/>
      <c r="T272" s="110" t="n"/>
      <c r="U272" s="110" t="n"/>
      <c r="V272" s="110" t="n"/>
      <c r="W272" s="110" t="n"/>
      <c r="X272" s="110" t="n"/>
      <c r="Y272" s="110" t="n"/>
      <c r="Z272" s="110" t="n"/>
      <c r="AA272" s="110" t="n">
        <v>8</v>
      </c>
      <c r="AB272" s="110" t="n"/>
      <c r="AC272" s="110" t="n"/>
      <c r="AD272" s="110" t="n"/>
      <c r="AE272" s="110" t="n"/>
      <c r="AF272" s="110" t="n"/>
      <c r="AG272" s="110" t="n"/>
      <c r="AH272" s="110" t="n">
        <v>10</v>
      </c>
      <c r="AI272" s="110" t="n"/>
      <c r="AJ272" s="110" t="n"/>
      <c r="AK272" s="110" t="n"/>
      <c r="AL272" s="110" t="n"/>
      <c r="AM272" s="110" t="n"/>
      <c r="AN272" s="110" t="n"/>
      <c r="AO272" s="110" t="n"/>
      <c r="AP272" s="110" t="n"/>
      <c r="AQ272" s="110" t="n"/>
      <c r="AR272" s="110" t="n"/>
      <c r="AS272" s="110" t="n"/>
      <c r="AT272" s="110" t="n"/>
      <c r="AU272" s="110" t="n"/>
      <c r="AV272" s="110" t="n"/>
      <c r="AW272" s="110" t="n"/>
      <c r="AX272" s="110" t="n"/>
      <c r="AY272" s="110" t="n"/>
      <c r="AZ272" s="110" t="n"/>
      <c r="BA272" s="110" t="n"/>
      <c r="BB272" s="110" t="n"/>
      <c r="BC272" t="inlineStr">
        <is>
          <t>ORIGINAL</t>
        </is>
      </c>
      <c r="BD272" t="n">
        <v>263</v>
      </c>
      <c r="BF272" s="109">
        <f>IF($BD272="","",SUMIF($BD$6:$BD$2000,$BD272,$J$6:$J$2000))</f>
        <v/>
      </c>
    </row>
    <row r="273" ht="19.5" customHeight="1">
      <c r="A273" s="96" t="inlineStr">
        <is>
          <t>PENDENTE</t>
        </is>
      </c>
      <c r="B273" s="26" t="inlineStr">
        <is>
          <t>RIACHUELO</t>
        </is>
      </c>
      <c r="C273" s="27" t="n">
        <v>283</v>
      </c>
      <c r="D273" s="26" t="inlineStr">
        <is>
          <t>SHOPPING BOTUCATU</t>
        </is>
      </c>
      <c r="E273" s="26" t="inlineStr">
        <is>
          <t>BOTUCATU</t>
        </is>
      </c>
      <c r="F273" s="27" t="inlineStr">
        <is>
          <t>SP</t>
        </is>
      </c>
      <c r="G273" s="107" t="n">
        <v>46142</v>
      </c>
      <c r="H273" s="108">
        <f>IF($B273="","",SUM($K273:$AG273)+SUM($AS273:$BB273))</f>
        <v/>
      </c>
      <c r="I273" s="108">
        <f>IF($B273="","",SUM($AH273:$AL273))</f>
        <v/>
      </c>
      <c r="J273" s="109">
        <f>IF($B273="","",SUMPRODUCT($K273:$BB273,$K$2:$BB$2))</f>
        <v/>
      </c>
      <c r="K273" s="110" t="n">
        <v>7</v>
      </c>
      <c r="L273" s="110" t="n"/>
      <c r="M273" s="110" t="n"/>
      <c r="N273" s="110" t="n"/>
      <c r="O273" s="110" t="n"/>
      <c r="P273" s="110" t="n">
        <v>1</v>
      </c>
      <c r="Q273" s="110" t="n"/>
      <c r="R273" s="110" t="n"/>
      <c r="S273" s="110" t="n"/>
      <c r="T273" s="110" t="n"/>
      <c r="U273" s="110" t="n"/>
      <c r="V273" s="110" t="n"/>
      <c r="W273" s="110" t="n"/>
      <c r="X273" s="110" t="n"/>
      <c r="Y273" s="110" t="n"/>
      <c r="Z273" s="110" t="n"/>
      <c r="AA273" s="110" t="n">
        <v>7</v>
      </c>
      <c r="AB273" s="110" t="n"/>
      <c r="AC273" s="110" t="n"/>
      <c r="AD273" s="110" t="n"/>
      <c r="AE273" s="110" t="n"/>
      <c r="AF273" s="110" t="n"/>
      <c r="AG273" s="110" t="n"/>
      <c r="AH273" s="110" t="n">
        <v>8</v>
      </c>
      <c r="AI273" s="110" t="n"/>
      <c r="AJ273" s="110" t="n"/>
      <c r="AK273" s="110" t="n"/>
      <c r="AL273" s="110" t="n"/>
      <c r="AM273" s="110" t="n"/>
      <c r="AN273" s="110" t="n"/>
      <c r="AO273" s="110" t="n"/>
      <c r="AP273" s="110" t="n"/>
      <c r="AQ273" s="110" t="n"/>
      <c r="AR273" s="110" t="n"/>
      <c r="AS273" s="110" t="n"/>
      <c r="AT273" s="110" t="n"/>
      <c r="AU273" s="110" t="n"/>
      <c r="AV273" s="110" t="n"/>
      <c r="AW273" s="110" t="n"/>
      <c r="AX273" s="110" t="n"/>
      <c r="AY273" s="110" t="n"/>
      <c r="AZ273" s="110" t="n"/>
      <c r="BA273" s="110" t="n"/>
      <c r="BB273" s="110" t="n"/>
      <c r="BC273" t="inlineStr">
        <is>
          <t>ORIGINAL</t>
        </is>
      </c>
      <c r="BD273" t="n">
        <v>264</v>
      </c>
      <c r="BF273" s="109">
        <f>IF($BD273="","",SUMIF($BD$6:$BD$2000,$BD273,$J$6:$J$2000))</f>
        <v/>
      </c>
    </row>
    <row r="274" ht="19.5" customHeight="1">
      <c r="A274" s="96" t="inlineStr">
        <is>
          <t>PENDENTE</t>
        </is>
      </c>
      <c r="B274" s="26" t="inlineStr">
        <is>
          <t>RIACHUELO</t>
        </is>
      </c>
      <c r="C274" s="27" t="n">
        <v>284</v>
      </c>
      <c r="D274" s="26" t="inlineStr">
        <is>
          <t>NOSSA SENHORA DO SOCORRO PREMIO SH</t>
        </is>
      </c>
      <c r="E274" s="26" t="inlineStr">
        <is>
          <t>NOSSA SENHORA DO SOCORRO</t>
        </is>
      </c>
      <c r="F274" s="27" t="inlineStr">
        <is>
          <t>SE</t>
        </is>
      </c>
      <c r="G274" s="107" t="n">
        <v>46204</v>
      </c>
      <c r="H274" s="108">
        <f>IF($B274="","",SUM($K274:$AG274)+SUM($AS274:$BB274))</f>
        <v/>
      </c>
      <c r="I274" s="108">
        <f>IF($B274="","",SUM($AH274:$AL274))</f>
        <v/>
      </c>
      <c r="J274" s="109">
        <f>IF($B274="","",SUMPRODUCT($K274:$BB274,$K$2:$BB$2))</f>
        <v/>
      </c>
      <c r="K274" s="110" t="n">
        <v>1</v>
      </c>
      <c r="L274" s="110" t="n"/>
      <c r="M274" s="110" t="n"/>
      <c r="N274" s="110" t="n">
        <v>2</v>
      </c>
      <c r="O274" s="110" t="n">
        <v>3</v>
      </c>
      <c r="P274" s="110" t="n"/>
      <c r="Q274" s="110" t="n"/>
      <c r="R274" s="110" t="n"/>
      <c r="S274" s="110" t="n"/>
      <c r="T274" s="110" t="n"/>
      <c r="U274" s="110" t="n">
        <v>8</v>
      </c>
      <c r="V274" s="110" t="n"/>
      <c r="W274" s="110" t="n"/>
      <c r="X274" s="110" t="n"/>
      <c r="Y274" s="110" t="n"/>
      <c r="Z274" s="110" t="n"/>
      <c r="AA274" s="110" t="n">
        <v>10</v>
      </c>
      <c r="AB274" s="110" t="n"/>
      <c r="AC274" s="110" t="n"/>
      <c r="AD274" s="110" t="n"/>
      <c r="AE274" s="110" t="n"/>
      <c r="AF274" s="110" t="n"/>
      <c r="AG274" s="110" t="n"/>
      <c r="AH274" s="110" t="n">
        <v>20</v>
      </c>
      <c r="AI274" s="110" t="n"/>
      <c r="AJ274" s="110" t="n"/>
      <c r="AK274" s="110" t="n"/>
      <c r="AL274" s="110" t="n"/>
      <c r="AM274" s="110" t="n"/>
      <c r="AN274" s="110" t="n"/>
      <c r="AO274" s="110" t="n"/>
      <c r="AP274" s="110" t="n"/>
      <c r="AQ274" s="110" t="n"/>
      <c r="AR274" s="110" t="n"/>
      <c r="AS274" s="110" t="n"/>
      <c r="AT274" s="110" t="n"/>
      <c r="AU274" s="110" t="n"/>
      <c r="AV274" s="110" t="n"/>
      <c r="AW274" s="110" t="n"/>
      <c r="AX274" s="110" t="n"/>
      <c r="AY274" s="110" t="n"/>
      <c r="AZ274" s="110" t="n"/>
      <c r="BA274" s="110" t="n"/>
      <c r="BB274" s="110" t="n"/>
      <c r="BC274" t="inlineStr">
        <is>
          <t>ORIGINAL</t>
        </is>
      </c>
      <c r="BD274" t="n">
        <v>265</v>
      </c>
      <c r="BF274" s="109">
        <f>IF($BD274="","",SUMIF($BD$6:$BD$2000,$BD274,$J$6:$J$2000))</f>
        <v/>
      </c>
    </row>
    <row r="275" ht="19.5" customHeight="1">
      <c r="A275" s="96" t="inlineStr">
        <is>
          <t>PENDENTE</t>
        </is>
      </c>
      <c r="B275" s="26" t="inlineStr">
        <is>
          <t>RIACHUELO</t>
        </is>
      </c>
      <c r="C275" s="27" t="n">
        <v>285</v>
      </c>
      <c r="D275" s="26" t="inlineStr">
        <is>
          <t>SHOPPING PRAÇA NOVA ARAÇATUBA</t>
        </is>
      </c>
      <c r="E275" s="26" t="inlineStr">
        <is>
          <t>ARAÇATUBA</t>
        </is>
      </c>
      <c r="F275" s="27" t="inlineStr">
        <is>
          <t>SP</t>
        </is>
      </c>
      <c r="G275" s="107" t="n">
        <v>46142</v>
      </c>
      <c r="H275" s="108">
        <f>IF($B275="","",SUM($K275:$AG275)+SUM($AS275:$BB275))</f>
        <v/>
      </c>
      <c r="I275" s="108">
        <f>IF($B275="","",SUM($AH275:$AL275))</f>
        <v/>
      </c>
      <c r="J275" s="109">
        <f>IF($B275="","",SUMPRODUCT($K275:$BB275,$K$2:$BB$2))</f>
        <v/>
      </c>
      <c r="K275" s="110" t="n">
        <v>9</v>
      </c>
      <c r="L275" s="110" t="n"/>
      <c r="M275" s="110" t="n"/>
      <c r="N275" s="110" t="n">
        <v>1</v>
      </c>
      <c r="O275" s="110" t="n"/>
      <c r="P275" s="110" t="n"/>
      <c r="Q275" s="110" t="n"/>
      <c r="R275" s="110" t="n"/>
      <c r="S275" s="110" t="n"/>
      <c r="T275" s="110" t="n"/>
      <c r="U275" s="110" t="n"/>
      <c r="V275" s="110" t="n"/>
      <c r="W275" s="110" t="n"/>
      <c r="X275" s="110" t="n"/>
      <c r="Y275" s="110" t="n"/>
      <c r="Z275" s="110" t="n"/>
      <c r="AA275" s="110" t="n">
        <v>9</v>
      </c>
      <c r="AB275" s="110" t="n"/>
      <c r="AC275" s="110" t="n"/>
      <c r="AD275" s="110" t="n"/>
      <c r="AE275" s="110" t="n"/>
      <c r="AF275" s="110" t="n"/>
      <c r="AG275" s="110" t="n"/>
      <c r="AH275" s="110" t="n">
        <v>4</v>
      </c>
      <c r="AI275" s="110" t="n"/>
      <c r="AJ275" s="110" t="n"/>
      <c r="AK275" s="110" t="n"/>
      <c r="AL275" s="110" t="n"/>
      <c r="AM275" s="110" t="n"/>
      <c r="AN275" s="110" t="n"/>
      <c r="AO275" s="110" t="n"/>
      <c r="AP275" s="110" t="n"/>
      <c r="AQ275" s="110" t="n"/>
      <c r="AR275" s="110" t="n"/>
      <c r="AS275" s="110" t="n"/>
      <c r="AT275" s="110" t="n"/>
      <c r="AU275" s="110" t="n"/>
      <c r="AV275" s="110" t="n"/>
      <c r="AW275" s="110" t="n"/>
      <c r="AX275" s="110" t="n"/>
      <c r="AY275" s="110" t="n"/>
      <c r="AZ275" s="110" t="n"/>
      <c r="BA275" s="110" t="n"/>
      <c r="BB275" s="110" t="n"/>
      <c r="BC275" t="inlineStr">
        <is>
          <t>ORIGINAL</t>
        </is>
      </c>
      <c r="BD275" t="n">
        <v>266</v>
      </c>
      <c r="BF275" s="109">
        <f>IF($BD275="","",SUMIF($BD$6:$BD$2000,$BD275,$J$6:$J$2000))</f>
        <v/>
      </c>
    </row>
    <row r="276" ht="19.5" customHeight="1">
      <c r="A276" s="96" t="inlineStr">
        <is>
          <t>PENDENTE</t>
        </is>
      </c>
      <c r="B276" s="26" t="inlineStr">
        <is>
          <t>RIACHUELO</t>
        </is>
      </c>
      <c r="C276" s="27" t="n">
        <v>287</v>
      </c>
      <c r="D276" s="26" t="inlineStr">
        <is>
          <t>MARINGÁ PARK SH</t>
        </is>
      </c>
      <c r="E276" s="26" t="inlineStr">
        <is>
          <t>MARINGÁ</t>
        </is>
      </c>
      <c r="F276" s="27" t="inlineStr">
        <is>
          <t>PR</t>
        </is>
      </c>
      <c r="G276" s="107" t="n">
        <v>46235</v>
      </c>
      <c r="H276" s="108">
        <f>IF($B276="","",SUM($K276:$AG276)+SUM($AS276:$BB276))</f>
        <v/>
      </c>
      <c r="I276" s="108">
        <f>IF($B276="","",SUM($AH276:$AL276))</f>
        <v/>
      </c>
      <c r="J276" s="109">
        <f>IF($B276="","",SUMPRODUCT($K276:$BB276,$K$2:$BB$2))</f>
        <v/>
      </c>
      <c r="K276" s="110" t="n"/>
      <c r="L276" s="110" t="n"/>
      <c r="M276" s="110" t="n"/>
      <c r="N276" s="110" t="n"/>
      <c r="O276" s="110" t="n"/>
      <c r="P276" s="110" t="n"/>
      <c r="Q276" s="110" t="n"/>
      <c r="R276" s="110" t="n"/>
      <c r="S276" s="110" t="n"/>
      <c r="T276" s="110" t="n"/>
      <c r="U276" s="110" t="n">
        <v>7</v>
      </c>
      <c r="V276" s="110" t="n"/>
      <c r="W276" s="110" t="n"/>
      <c r="X276" s="110" t="n"/>
      <c r="Y276" s="110" t="n"/>
      <c r="Z276" s="110" t="n"/>
      <c r="AA276" s="110" t="n"/>
      <c r="AB276" s="110" t="n"/>
      <c r="AC276" s="110" t="n"/>
      <c r="AD276" s="110" t="n"/>
      <c r="AE276" s="110" t="n"/>
      <c r="AF276" s="110" t="n"/>
      <c r="AG276" s="110" t="n"/>
      <c r="AH276" s="110" t="n">
        <v>8</v>
      </c>
      <c r="AI276" s="110" t="n"/>
      <c r="AJ276" s="110" t="n"/>
      <c r="AK276" s="110" t="n"/>
      <c r="AL276" s="110" t="n"/>
      <c r="AM276" s="110" t="n"/>
      <c r="AN276" s="110" t="n"/>
      <c r="AO276" s="110" t="n"/>
      <c r="AP276" s="110" t="n"/>
      <c r="AQ276" s="110" t="n"/>
      <c r="AR276" s="110" t="n"/>
      <c r="AS276" s="110" t="n"/>
      <c r="AT276" s="110" t="n"/>
      <c r="AU276" s="110" t="n"/>
      <c r="AV276" s="110" t="n"/>
      <c r="AW276" s="110" t="n"/>
      <c r="AX276" s="110" t="n"/>
      <c r="AY276" s="110" t="n"/>
      <c r="AZ276" s="110" t="n"/>
      <c r="BA276" s="110" t="n"/>
      <c r="BB276" s="110" t="n"/>
      <c r="BC276" t="inlineStr">
        <is>
          <t>ORIGINAL</t>
        </is>
      </c>
      <c r="BD276" t="n">
        <v>267</v>
      </c>
      <c r="BF276" s="109">
        <f>IF($BD276="","",SUMIF($BD$6:$BD$2000,$BD276,$J$6:$J$2000))</f>
        <v/>
      </c>
    </row>
    <row r="277" ht="19.5" customHeight="1">
      <c r="A277" s="96" t="inlineStr">
        <is>
          <t>PENDENTE</t>
        </is>
      </c>
      <c r="B277" s="26" t="inlineStr">
        <is>
          <t>RIACHUELO</t>
        </is>
      </c>
      <c r="C277" s="27" t="n">
        <v>288</v>
      </c>
      <c r="D277" s="26" t="inlineStr">
        <is>
          <t>ADOLFO PINHEIRO CT</t>
        </is>
      </c>
      <c r="E277" s="26" t="inlineStr">
        <is>
          <t>SÃO PAULO</t>
        </is>
      </c>
      <c r="F277" s="27" t="inlineStr">
        <is>
          <t>SP</t>
        </is>
      </c>
      <c r="G277" s="107" t="n">
        <v>46203</v>
      </c>
      <c r="H277" s="108">
        <f>IF($B277="","",SUM($K277:$AG277)+SUM($AS277:$BB277))</f>
        <v/>
      </c>
      <c r="I277" s="108">
        <f>IF($B277="","",SUM($AH277:$AL277))</f>
        <v/>
      </c>
      <c r="J277" s="109">
        <f>IF($B277="","",SUMPRODUCT($K277:$BB277,$K$2:$BB$2))</f>
        <v/>
      </c>
      <c r="K277" s="110" t="n">
        <v>10</v>
      </c>
      <c r="L277" s="110" t="n"/>
      <c r="M277" s="110" t="n"/>
      <c r="N277" s="110" t="n">
        <v>4</v>
      </c>
      <c r="O277" s="110" t="n"/>
      <c r="P277" s="110" t="n"/>
      <c r="Q277" s="110" t="n"/>
      <c r="R277" s="110" t="n"/>
      <c r="S277" s="110" t="n"/>
      <c r="T277" s="110" t="n"/>
      <c r="U277" s="110" t="n"/>
      <c r="V277" s="110" t="n"/>
      <c r="W277" s="110" t="n"/>
      <c r="X277" s="110" t="n"/>
      <c r="Y277" s="110" t="n"/>
      <c r="Z277" s="110" t="n"/>
      <c r="AA277" s="110" t="n">
        <v>15</v>
      </c>
      <c r="AB277" s="110" t="n"/>
      <c r="AC277" s="110" t="n"/>
      <c r="AD277" s="110" t="n"/>
      <c r="AE277" s="110" t="n"/>
      <c r="AF277" s="110" t="n"/>
      <c r="AG277" s="110" t="n"/>
      <c r="AH277" s="110" t="n">
        <v>12</v>
      </c>
      <c r="AI277" s="110" t="n"/>
      <c r="AJ277" s="110" t="n"/>
      <c r="AK277" s="110" t="n"/>
      <c r="AL277" s="110" t="n"/>
      <c r="AM277" s="110" t="n"/>
      <c r="AN277" s="110" t="n"/>
      <c r="AO277" s="110" t="n"/>
      <c r="AP277" s="110" t="n"/>
      <c r="AQ277" s="110" t="n"/>
      <c r="AR277" s="110" t="n"/>
      <c r="AS277" s="110" t="n"/>
      <c r="AT277" s="110" t="n"/>
      <c r="AU277" s="110" t="n"/>
      <c r="AV277" s="110" t="n"/>
      <c r="AW277" s="110" t="n"/>
      <c r="AX277" s="110" t="n"/>
      <c r="AY277" s="110" t="n"/>
      <c r="AZ277" s="110" t="n"/>
      <c r="BA277" s="110" t="n"/>
      <c r="BB277" s="110" t="n"/>
      <c r="BC277" t="inlineStr">
        <is>
          <t>ORIGINAL</t>
        </is>
      </c>
      <c r="BD277" t="n">
        <v>268</v>
      </c>
      <c r="BF277" s="109">
        <f>IF($BD277="","",SUMIF($BD$6:$BD$2000,$BD277,$J$6:$J$2000))</f>
        <v/>
      </c>
    </row>
    <row r="278" ht="19.5" customHeight="1">
      <c r="A278" s="96" t="inlineStr">
        <is>
          <t>PENDENTE</t>
        </is>
      </c>
      <c r="B278" s="26" t="inlineStr">
        <is>
          <t>RIACHUELO</t>
        </is>
      </c>
      <c r="C278" s="27" t="n">
        <v>289</v>
      </c>
      <c r="D278" s="26" t="inlineStr">
        <is>
          <t xml:space="preserve">SP LIMEIRA PATIO SH </t>
        </is>
      </c>
      <c r="E278" s="26" t="inlineStr">
        <is>
          <t>LIMEIRA</t>
        </is>
      </c>
      <c r="F278" s="27" t="inlineStr">
        <is>
          <t>SP</t>
        </is>
      </c>
      <c r="G278" s="107" t="n">
        <v>46204</v>
      </c>
      <c r="H278" s="108">
        <f>IF($B278="","",SUM($K278:$AG278)+SUM($AS278:$BB278))</f>
        <v/>
      </c>
      <c r="I278" s="108">
        <f>IF($B278="","",SUM($AH278:$AL278))</f>
        <v/>
      </c>
      <c r="J278" s="109">
        <f>IF($B278="","",SUMPRODUCT($K278:$BB278,$K$2:$BB$2))</f>
        <v/>
      </c>
      <c r="K278" s="110" t="n">
        <v>8</v>
      </c>
      <c r="L278" s="110" t="n"/>
      <c r="M278" s="110" t="n"/>
      <c r="N278" s="110" t="n">
        <v>4</v>
      </c>
      <c r="O278" s="110" t="n"/>
      <c r="P278" s="110" t="n"/>
      <c r="Q278" s="110" t="n"/>
      <c r="R278" s="110" t="n"/>
      <c r="S278" s="110" t="n"/>
      <c r="T278" s="110" t="n"/>
      <c r="U278" s="110" t="n"/>
      <c r="V278" s="110" t="n"/>
      <c r="W278" s="110" t="n"/>
      <c r="X278" s="110" t="n"/>
      <c r="Y278" s="110" t="n"/>
      <c r="Z278" s="110" t="n"/>
      <c r="AA278" s="110" t="n">
        <v>4</v>
      </c>
      <c r="AB278" s="110" t="n"/>
      <c r="AC278" s="110" t="n"/>
      <c r="AD278" s="110" t="n"/>
      <c r="AE278" s="110" t="n"/>
      <c r="AF278" s="110" t="n"/>
      <c r="AG278" s="110" t="n"/>
      <c r="AH278" s="110" t="n">
        <v>8</v>
      </c>
      <c r="AI278" s="110" t="n"/>
      <c r="AJ278" s="110" t="n"/>
      <c r="AK278" s="110" t="n"/>
      <c r="AL278" s="110" t="n"/>
      <c r="AM278" s="110" t="n"/>
      <c r="AN278" s="110" t="n"/>
      <c r="AO278" s="110" t="n"/>
      <c r="AP278" s="110" t="n"/>
      <c r="AQ278" s="110" t="n"/>
      <c r="AR278" s="110" t="n"/>
      <c r="AS278" s="110" t="n"/>
      <c r="AT278" s="110" t="n"/>
      <c r="AU278" s="110" t="n"/>
      <c r="AV278" s="110" t="n"/>
      <c r="AW278" s="110" t="n"/>
      <c r="AX278" s="110" t="n"/>
      <c r="AY278" s="110" t="n"/>
      <c r="AZ278" s="110" t="n"/>
      <c r="BA278" s="110" t="n"/>
      <c r="BB278" s="110" t="n"/>
      <c r="BC278" t="inlineStr">
        <is>
          <t>ORIGINAL</t>
        </is>
      </c>
      <c r="BD278" t="n">
        <v>269</v>
      </c>
      <c r="BF278" s="109">
        <f>IF($BD278="","",SUMIF($BD$6:$BD$2000,$BD278,$J$6:$J$2000))</f>
        <v/>
      </c>
    </row>
    <row r="279" ht="19.5" customHeight="1">
      <c r="A279" s="96" t="inlineStr">
        <is>
          <t>PENDENTE</t>
        </is>
      </c>
      <c r="B279" s="26" t="inlineStr">
        <is>
          <t>RIACHUELO</t>
        </is>
      </c>
      <c r="C279" s="27" t="n">
        <v>290</v>
      </c>
      <c r="D279" s="26" t="inlineStr">
        <is>
          <t>SHOPPING VARZEA GRANDE</t>
        </is>
      </c>
      <c r="E279" s="26" t="inlineStr">
        <is>
          <t xml:space="preserve">VARZEA GRANDE </t>
        </is>
      </c>
      <c r="F279" s="27" t="inlineStr">
        <is>
          <t>MT</t>
        </is>
      </c>
      <c r="G279" s="107" t="n">
        <v>46388</v>
      </c>
      <c r="H279" s="108">
        <f>IF($B279="","",SUM($K279:$AG279)+SUM($AS279:$BB279))</f>
        <v/>
      </c>
      <c r="I279" s="108">
        <f>IF($B279="","",SUM($AH279:$AL279))</f>
        <v/>
      </c>
      <c r="J279" s="109">
        <f>IF($B279="","",SUMPRODUCT($K279:$BB279,$K$2:$BB$2))</f>
        <v/>
      </c>
      <c r="K279" s="110" t="n">
        <v>9</v>
      </c>
      <c r="L279" s="110" t="n"/>
      <c r="M279" s="110" t="n">
        <v>3</v>
      </c>
      <c r="N279" s="110" t="n">
        <v>1</v>
      </c>
      <c r="O279" s="110" t="n"/>
      <c r="P279" s="110" t="n">
        <v>1</v>
      </c>
      <c r="Q279" s="110" t="n"/>
      <c r="R279" s="110" t="n"/>
      <c r="S279" s="110" t="n"/>
      <c r="T279" s="110" t="n"/>
      <c r="U279" s="110" t="n">
        <v>1</v>
      </c>
      <c r="V279" s="110" t="n"/>
      <c r="W279" s="110" t="n"/>
      <c r="X279" s="110" t="n"/>
      <c r="Y279" s="110" t="n"/>
      <c r="Z279" s="110" t="n"/>
      <c r="AA279" s="110" t="n">
        <v>8</v>
      </c>
      <c r="AB279" s="110" t="n"/>
      <c r="AC279" s="110" t="n"/>
      <c r="AD279" s="110" t="n"/>
      <c r="AE279" s="110" t="n"/>
      <c r="AF279" s="110" t="n"/>
      <c r="AG279" s="110" t="n"/>
      <c r="AH279" s="110" t="n">
        <v>12</v>
      </c>
      <c r="AI279" s="110" t="n"/>
      <c r="AJ279" s="110" t="n"/>
      <c r="AK279" s="110" t="n"/>
      <c r="AL279" s="110" t="n"/>
      <c r="AM279" s="110" t="n"/>
      <c r="AN279" s="110" t="n"/>
      <c r="AO279" s="110" t="n"/>
      <c r="AP279" s="110" t="n"/>
      <c r="AQ279" s="110" t="n"/>
      <c r="AR279" s="110" t="n"/>
      <c r="AS279" s="110" t="n"/>
      <c r="AT279" s="110" t="n"/>
      <c r="AU279" s="110" t="n"/>
      <c r="AV279" s="110" t="n"/>
      <c r="AW279" s="110" t="n"/>
      <c r="AX279" s="110" t="n"/>
      <c r="AY279" s="110" t="n"/>
      <c r="AZ279" s="110" t="n"/>
      <c r="BA279" s="110" t="n"/>
      <c r="BB279" s="110" t="n"/>
      <c r="BC279" t="inlineStr">
        <is>
          <t>ORIGINAL</t>
        </is>
      </c>
      <c r="BD279" t="n">
        <v>270</v>
      </c>
      <c r="BF279" s="109">
        <f>IF($BD279="","",SUMIF($BD$6:$BD$2000,$BD279,$J$6:$J$2000))</f>
        <v/>
      </c>
    </row>
    <row r="280" ht="19.5" customHeight="1">
      <c r="A280" s="96" t="inlineStr">
        <is>
          <t>PENDENTE</t>
        </is>
      </c>
      <c r="B280" s="26" t="inlineStr">
        <is>
          <t>RIACHUELO</t>
        </is>
      </c>
      <c r="C280" s="27" t="n">
        <v>291</v>
      </c>
      <c r="D280" s="26" t="inlineStr">
        <is>
          <t>PÁTIO NORTE SHOPPING</t>
        </is>
      </c>
      <c r="E280" s="26" t="inlineStr">
        <is>
          <t>SÃO JOSE DE RIBAMAR</t>
        </is>
      </c>
      <c r="F280" s="27" t="inlineStr">
        <is>
          <t>MA</t>
        </is>
      </c>
      <c r="G280" s="107" t="n">
        <v>46204</v>
      </c>
      <c r="H280" s="108">
        <f>IF($B280="","",SUM($K280:$AG280)+SUM($AS280:$BB280))</f>
        <v/>
      </c>
      <c r="I280" s="108">
        <f>IF($B280="","",SUM($AH280:$AL280))</f>
        <v/>
      </c>
      <c r="J280" s="109">
        <f>IF($B280="","",SUMPRODUCT($K280:$BB280,$K$2:$BB$2))</f>
        <v/>
      </c>
      <c r="K280" s="110" t="n">
        <v>8</v>
      </c>
      <c r="L280" s="110" t="n"/>
      <c r="M280" s="110" t="n"/>
      <c r="N280" s="110" t="n">
        <v>4</v>
      </c>
      <c r="O280" s="110" t="n"/>
      <c r="P280" s="110" t="n"/>
      <c r="Q280" s="110" t="n"/>
      <c r="R280" s="110" t="n"/>
      <c r="S280" s="110" t="n"/>
      <c r="T280" s="110" t="n"/>
      <c r="U280" s="110" t="n"/>
      <c r="V280" s="110" t="n"/>
      <c r="W280" s="110" t="n"/>
      <c r="X280" s="110" t="n"/>
      <c r="Y280" s="110" t="n"/>
      <c r="Z280" s="110" t="n"/>
      <c r="AA280" s="110" t="n">
        <v>7</v>
      </c>
      <c r="AB280" s="110" t="n"/>
      <c r="AC280" s="110" t="n"/>
      <c r="AD280" s="110" t="n"/>
      <c r="AE280" s="110" t="n"/>
      <c r="AF280" s="110" t="n"/>
      <c r="AG280" s="110" t="n"/>
      <c r="AH280" s="110" t="n"/>
      <c r="AI280" s="110" t="n"/>
      <c r="AJ280" s="110" t="n">
        <v>20</v>
      </c>
      <c r="AK280" s="110" t="n"/>
      <c r="AL280" s="110" t="n"/>
      <c r="AM280" s="110" t="n"/>
      <c r="AN280" s="110" t="n"/>
      <c r="AO280" s="110" t="n"/>
      <c r="AP280" s="110" t="n"/>
      <c r="AQ280" s="110" t="n"/>
      <c r="AR280" s="110" t="n"/>
      <c r="AS280" s="110" t="n"/>
      <c r="AT280" s="110" t="n"/>
      <c r="AU280" s="110" t="n"/>
      <c r="AV280" s="110" t="n"/>
      <c r="AW280" s="110" t="n"/>
      <c r="AX280" s="110" t="n"/>
      <c r="AY280" s="110" t="n"/>
      <c r="AZ280" s="110" t="n"/>
      <c r="BA280" s="110" t="n"/>
      <c r="BB280" s="110" t="n"/>
      <c r="BC280" t="inlineStr">
        <is>
          <t>ORIGINAL</t>
        </is>
      </c>
      <c r="BD280" t="n">
        <v>271</v>
      </c>
      <c r="BF280" s="109">
        <f>IF($BD280="","",SUMIF($BD$6:$BD$2000,$BD280,$J$6:$J$2000))</f>
        <v/>
      </c>
    </row>
    <row r="281" ht="19.5" customHeight="1">
      <c r="A281" s="96" t="inlineStr">
        <is>
          <t>PENDENTE</t>
        </is>
      </c>
      <c r="B281" s="26" t="inlineStr">
        <is>
          <t>RIACHUELO</t>
        </is>
      </c>
      <c r="C281" s="27" t="n">
        <v>292</v>
      </c>
      <c r="D281" s="26" t="inlineStr">
        <is>
          <t>ARACAJU PARQUE SH</t>
        </is>
      </c>
      <c r="E281" s="26" t="inlineStr">
        <is>
          <t>ARACAJU</t>
        </is>
      </c>
      <c r="F281" s="27" t="inlineStr">
        <is>
          <t>SE</t>
        </is>
      </c>
      <c r="G281" s="107" t="n">
        <v>46266</v>
      </c>
      <c r="H281" s="108">
        <f>IF($B281="","",SUM($K281:$AG281)+SUM($AS281:$BB281))</f>
        <v/>
      </c>
      <c r="I281" s="108">
        <f>IF($B281="","",SUM($AH281:$AL281))</f>
        <v/>
      </c>
      <c r="J281" s="109">
        <f>IF($B281="","",SUMPRODUCT($K281:$BB281,$K$2:$BB$2))</f>
        <v/>
      </c>
      <c r="K281" s="110" t="n"/>
      <c r="L281" s="110" t="n"/>
      <c r="M281" s="110" t="n"/>
      <c r="N281" s="110" t="n">
        <v>3</v>
      </c>
      <c r="O281" s="110" t="n"/>
      <c r="P281" s="110" t="n"/>
      <c r="Q281" s="110" t="n"/>
      <c r="R281" s="110" t="n"/>
      <c r="S281" s="110" t="n"/>
      <c r="T281" s="110" t="n"/>
      <c r="U281" s="110" t="n">
        <v>7</v>
      </c>
      <c r="V281" s="110" t="n"/>
      <c r="W281" s="110" t="n"/>
      <c r="X281" s="110" t="n"/>
      <c r="Y281" s="110" t="n"/>
      <c r="Z281" s="110" t="n"/>
      <c r="AA281" s="110" t="n">
        <v>3</v>
      </c>
      <c r="AB281" s="110" t="n"/>
      <c r="AC281" s="110" t="n"/>
      <c r="AD281" s="110" t="n"/>
      <c r="AE281" s="110" t="n"/>
      <c r="AF281" s="110" t="n"/>
      <c r="AG281" s="110" t="n"/>
      <c r="AH281" s="110" t="n">
        <v>12</v>
      </c>
      <c r="AI281" s="110" t="n"/>
      <c r="AJ281" s="110" t="n"/>
      <c r="AK281" s="110" t="n"/>
      <c r="AL281" s="110" t="n"/>
      <c r="AM281" s="110" t="n"/>
      <c r="AN281" s="110" t="n"/>
      <c r="AO281" s="110" t="n"/>
      <c r="AP281" s="110" t="n"/>
      <c r="AQ281" s="110" t="n"/>
      <c r="AR281" s="110" t="n"/>
      <c r="AS281" s="110" t="n"/>
      <c r="AT281" s="110" t="n"/>
      <c r="AU281" s="110" t="n"/>
      <c r="AV281" s="110" t="n"/>
      <c r="AW281" s="110" t="n"/>
      <c r="AX281" s="110" t="n"/>
      <c r="AY281" s="110" t="n"/>
      <c r="AZ281" s="110" t="n"/>
      <c r="BA281" s="110" t="n"/>
      <c r="BB281" s="110" t="n"/>
      <c r="BC281" t="inlineStr">
        <is>
          <t>ORIGINAL</t>
        </is>
      </c>
      <c r="BD281" t="n">
        <v>272</v>
      </c>
      <c r="BF281" s="109">
        <f>IF($BD281="","",SUMIF($BD$6:$BD$2000,$BD281,$J$6:$J$2000))</f>
        <v/>
      </c>
    </row>
    <row r="282" ht="19.5" customHeight="1">
      <c r="A282" s="96" t="inlineStr">
        <is>
          <t>PENDENTE</t>
        </is>
      </c>
      <c r="B282" s="26" t="inlineStr">
        <is>
          <t>RIACHUELO</t>
        </is>
      </c>
      <c r="C282" s="27" t="n">
        <v>293</v>
      </c>
      <c r="D282" s="26" t="inlineStr">
        <is>
          <t>TIVOLI SHOPPING</t>
        </is>
      </c>
      <c r="E282" s="26" t="inlineStr">
        <is>
          <t>SANTA BARBRA D'OESTE</t>
        </is>
      </c>
      <c r="F282" s="27" t="inlineStr">
        <is>
          <t>SP</t>
        </is>
      </c>
      <c r="G282" s="107" t="n">
        <v>46054</v>
      </c>
      <c r="H282" s="108">
        <f>IF($B282="","",SUM($K282:$AG282)+SUM($AS282:$BB282))</f>
        <v/>
      </c>
      <c r="I282" s="108">
        <f>IF($B282="","",SUM($AH282:$AL282))</f>
        <v/>
      </c>
      <c r="J282" s="109">
        <f>IF($B282="","",SUMPRODUCT($K282:$BB282,$K$2:$BB$2))</f>
        <v/>
      </c>
      <c r="K282" s="110" t="n">
        <v>10</v>
      </c>
      <c r="L282" s="110" t="n"/>
      <c r="M282" s="110" t="n"/>
      <c r="N282" s="110" t="n">
        <v>2</v>
      </c>
      <c r="O282" s="110" t="n"/>
      <c r="P282" s="110" t="n"/>
      <c r="Q282" s="110" t="n"/>
      <c r="R282" s="110" t="n"/>
      <c r="S282" s="110" t="n"/>
      <c r="T282" s="110" t="n"/>
      <c r="U282" s="110" t="n"/>
      <c r="V282" s="110" t="n"/>
      <c r="W282" s="110" t="n"/>
      <c r="X282" s="110" t="n"/>
      <c r="Y282" s="110" t="n"/>
      <c r="Z282" s="110" t="n"/>
      <c r="AA282" s="110" t="n">
        <v>10</v>
      </c>
      <c r="AB282" s="110" t="n"/>
      <c r="AC282" s="110" t="n"/>
      <c r="AD282" s="110" t="n"/>
      <c r="AE282" s="110" t="n"/>
      <c r="AF282" s="110" t="n"/>
      <c r="AG282" s="110" t="n"/>
      <c r="AH282" s="110" t="n">
        <v>10</v>
      </c>
      <c r="AI282" s="110" t="n"/>
      <c r="AJ282" s="110" t="n"/>
      <c r="AK282" s="110" t="n"/>
      <c r="AL282" s="110" t="n"/>
      <c r="AM282" s="110" t="n"/>
      <c r="AN282" s="110" t="n"/>
      <c r="AO282" s="110" t="n"/>
      <c r="AP282" s="110" t="n"/>
      <c r="AQ282" s="110" t="n"/>
      <c r="AR282" s="110" t="n"/>
      <c r="AS282" s="110" t="n"/>
      <c r="AT282" s="110" t="n"/>
      <c r="AU282" s="110" t="n"/>
      <c r="AV282" s="110" t="n"/>
      <c r="AW282" s="110" t="n"/>
      <c r="AX282" s="110" t="n"/>
      <c r="AY282" s="110" t="n"/>
      <c r="AZ282" s="110" t="n"/>
      <c r="BA282" s="110" t="n"/>
      <c r="BB282" s="110" t="n"/>
      <c r="BC282" t="inlineStr">
        <is>
          <t>ORIGINAL</t>
        </is>
      </c>
      <c r="BD282" t="n">
        <v>273</v>
      </c>
      <c r="BF282" s="109">
        <f>IF($BD282="","",SUMIF($BD$6:$BD$2000,$BD282,$J$6:$J$2000))</f>
        <v/>
      </c>
    </row>
    <row r="283" ht="19.5" customHeight="1">
      <c r="A283" s="96" t="inlineStr">
        <is>
          <t>PENDENTE</t>
        </is>
      </c>
      <c r="B283" s="26" t="inlineStr">
        <is>
          <t>RIACHUELO</t>
        </is>
      </c>
      <c r="C283" s="27" t="n">
        <v>294</v>
      </c>
      <c r="D283" s="26" t="inlineStr">
        <is>
          <t>CAMARÁ SH</t>
        </is>
      </c>
      <c r="E283" s="26" t="inlineStr">
        <is>
          <t>CAMARAGIBE</t>
        </is>
      </c>
      <c r="F283" s="27" t="inlineStr">
        <is>
          <t>PE</t>
        </is>
      </c>
      <c r="G283" s="107" t="n">
        <v>46023</v>
      </c>
      <c r="H283" s="108">
        <f>IF($B283="","",SUM($K283:$AG283)+SUM($AS283:$BB283))</f>
        <v/>
      </c>
      <c r="I283" s="108">
        <f>IF($B283="","",SUM($AH283:$AL283))</f>
        <v/>
      </c>
      <c r="J283" s="109">
        <f>IF($B283="","",SUMPRODUCT($K283:$BB283,$K$2:$BB$2))</f>
        <v/>
      </c>
      <c r="K283" s="110" t="n">
        <v>8</v>
      </c>
      <c r="L283" s="110" t="n"/>
      <c r="M283" s="110" t="n"/>
      <c r="N283" s="110" t="n">
        <v>8</v>
      </c>
      <c r="O283" s="110" t="n"/>
      <c r="P283" s="110" t="n">
        <v>2</v>
      </c>
      <c r="Q283" s="110" t="n"/>
      <c r="R283" s="110" t="n"/>
      <c r="S283" s="110" t="n"/>
      <c r="T283" s="110" t="n"/>
      <c r="U283" s="110" t="n"/>
      <c r="V283" s="110" t="n"/>
      <c r="W283" s="110" t="n"/>
      <c r="X283" s="110" t="n"/>
      <c r="Y283" s="110" t="n"/>
      <c r="Z283" s="110" t="n"/>
      <c r="AA283" s="110" t="n">
        <v>6</v>
      </c>
      <c r="AB283" s="110" t="n"/>
      <c r="AC283" s="110" t="n"/>
      <c r="AD283" s="110" t="n"/>
      <c r="AE283" s="110" t="n"/>
      <c r="AF283" s="110" t="n"/>
      <c r="AG283" s="110" t="n"/>
      <c r="AH283" s="110" t="n"/>
      <c r="AI283" s="110" t="n"/>
      <c r="AJ283" s="110" t="n">
        <v>12</v>
      </c>
      <c r="AK283" s="110" t="n"/>
      <c r="AL283" s="110" t="n"/>
      <c r="AM283" s="110" t="n"/>
      <c r="AN283" s="110" t="n"/>
      <c r="AO283" s="110" t="n"/>
      <c r="AP283" s="110" t="n"/>
      <c r="AQ283" s="110" t="n"/>
      <c r="AR283" s="110" t="n"/>
      <c r="AS283" s="110" t="n"/>
      <c r="AT283" s="110" t="n"/>
      <c r="AU283" s="110" t="n"/>
      <c r="AV283" s="110" t="n"/>
      <c r="AW283" s="110" t="n"/>
      <c r="AX283" s="110" t="n"/>
      <c r="AY283" s="110" t="n"/>
      <c r="AZ283" s="110" t="n"/>
      <c r="BA283" s="110" t="n"/>
      <c r="BB283" s="110" t="n"/>
      <c r="BC283" t="inlineStr">
        <is>
          <t>ORIGINAL</t>
        </is>
      </c>
      <c r="BD283" t="n">
        <v>274</v>
      </c>
      <c r="BF283" s="109">
        <f>IF($BD283="","",SUMIF($BD$6:$BD$2000,$BD283,$J$6:$J$2000))</f>
        <v/>
      </c>
    </row>
    <row r="284" ht="19.5" customHeight="1">
      <c r="A284" s="96" t="inlineStr">
        <is>
          <t>PENDENTE</t>
        </is>
      </c>
      <c r="B284" s="26" t="inlineStr">
        <is>
          <t>RIACHUELO</t>
        </is>
      </c>
      <c r="C284" s="27" t="n">
        <v>295</v>
      </c>
      <c r="D284" s="26" t="inlineStr">
        <is>
          <t>BRAGANÇA PAULISTA GARDEN SH</t>
        </is>
      </c>
      <c r="E284" s="26" t="inlineStr">
        <is>
          <t xml:space="preserve">BRAGANÇA PAULISTA </t>
        </is>
      </c>
      <c r="F284" s="27" t="inlineStr">
        <is>
          <t>SP</t>
        </is>
      </c>
      <c r="G284" s="107" t="n">
        <v>46388</v>
      </c>
      <c r="H284" s="108">
        <f>IF($B284="","",SUM($K284:$AG284)+SUM($AS284:$BB284))</f>
        <v/>
      </c>
      <c r="I284" s="108">
        <f>IF($B284="","",SUM($AH284:$AL284))</f>
        <v/>
      </c>
      <c r="J284" s="109">
        <f>IF($B284="","",SUMPRODUCT($K284:$BB284,$K$2:$BB$2))</f>
        <v/>
      </c>
      <c r="K284" s="110" t="n">
        <v>6</v>
      </c>
      <c r="L284" s="110" t="n"/>
      <c r="M284" s="110" t="n"/>
      <c r="N284" s="110" t="n">
        <v>2</v>
      </c>
      <c r="O284" s="110" t="n"/>
      <c r="P284" s="110" t="n"/>
      <c r="Q284" s="110" t="n"/>
      <c r="R284" s="110" t="n"/>
      <c r="S284" s="110" t="n"/>
      <c r="T284" s="110" t="n"/>
      <c r="U284" s="110" t="n"/>
      <c r="V284" s="110" t="n"/>
      <c r="W284" s="110" t="n"/>
      <c r="X284" s="110" t="n"/>
      <c r="Y284" s="110" t="n"/>
      <c r="Z284" s="110" t="n"/>
      <c r="AA284" s="110" t="n">
        <v>5</v>
      </c>
      <c r="AB284" s="110" t="n"/>
      <c r="AC284" s="110" t="n"/>
      <c r="AD284" s="110" t="n"/>
      <c r="AE284" s="110" t="n"/>
      <c r="AF284" s="110" t="n"/>
      <c r="AG284" s="110" t="n"/>
      <c r="AH284" s="110" t="n">
        <v>6</v>
      </c>
      <c r="AI284" s="110" t="n"/>
      <c r="AJ284" s="110" t="n"/>
      <c r="AK284" s="110" t="n"/>
      <c r="AL284" s="110" t="n"/>
      <c r="AM284" s="110" t="n"/>
      <c r="AN284" s="110" t="n"/>
      <c r="AO284" s="110" t="n"/>
      <c r="AP284" s="110" t="n"/>
      <c r="AQ284" s="110" t="n"/>
      <c r="AR284" s="110" t="n"/>
      <c r="AS284" s="110" t="n"/>
      <c r="AT284" s="110" t="n"/>
      <c r="AU284" s="110" t="n"/>
      <c r="AV284" s="110" t="n"/>
      <c r="AW284" s="110" t="n"/>
      <c r="AX284" s="110" t="n"/>
      <c r="AY284" s="110" t="n"/>
      <c r="AZ284" s="110" t="n"/>
      <c r="BA284" s="110" t="n"/>
      <c r="BB284" s="110" t="n"/>
      <c r="BC284" t="inlineStr">
        <is>
          <t>ORIGINAL</t>
        </is>
      </c>
      <c r="BD284" t="n">
        <v>275</v>
      </c>
      <c r="BF284" s="109">
        <f>IF($BD284="","",SUMIF($BD$6:$BD$2000,$BD284,$J$6:$J$2000))</f>
        <v/>
      </c>
    </row>
    <row r="285" ht="19.5" customHeight="1">
      <c r="A285" s="96" t="inlineStr">
        <is>
          <t>PENDENTE</t>
        </is>
      </c>
      <c r="B285" s="26" t="inlineStr">
        <is>
          <t>RIACHUELO</t>
        </is>
      </c>
      <c r="C285" s="27" t="n">
        <v>58</v>
      </c>
      <c r="D285" s="26" t="inlineStr">
        <is>
          <t>POA BOURBON COUNTRY SH</t>
        </is>
      </c>
      <c r="E285" s="26" t="inlineStr">
        <is>
          <t>PORTO ALEGRE</t>
        </is>
      </c>
      <c r="F285" s="27" t="inlineStr">
        <is>
          <t>RS</t>
        </is>
      </c>
      <c r="G285" s="107" t="n">
        <v>46235</v>
      </c>
      <c r="H285" s="108">
        <f>IF($B285="","",SUM($K285:$AG285)+SUM($AS285:$BB285))</f>
        <v/>
      </c>
      <c r="I285" s="108">
        <f>IF($B285="","",SUM($AH285:$AL285))</f>
        <v/>
      </c>
      <c r="J285" s="109">
        <f>IF($B285="","",SUMPRODUCT($K285:$BB285,$K$2:$BB$2))</f>
        <v/>
      </c>
      <c r="K285" s="110" t="n">
        <v>13</v>
      </c>
      <c r="L285" s="110" t="n"/>
      <c r="M285" s="110" t="n"/>
      <c r="N285" s="110" t="n">
        <v>3</v>
      </c>
      <c r="O285" s="110" t="n"/>
      <c r="P285" s="110" t="n"/>
      <c r="Q285" s="110" t="n"/>
      <c r="R285" s="110" t="n"/>
      <c r="S285" s="110" t="n"/>
      <c r="T285" s="110" t="n"/>
      <c r="U285" s="110" t="n"/>
      <c r="V285" s="110" t="n"/>
      <c r="W285" s="110" t="n"/>
      <c r="X285" s="110" t="n"/>
      <c r="Y285" s="110" t="n"/>
      <c r="Z285" s="110" t="n"/>
      <c r="AA285" s="110" t="n">
        <v>12</v>
      </c>
      <c r="AB285" s="110" t="n"/>
      <c r="AC285" s="110" t="n"/>
      <c r="AD285" s="110" t="n"/>
      <c r="AE285" s="110" t="n"/>
      <c r="AF285" s="110" t="n"/>
      <c r="AG285" s="110" t="n"/>
      <c r="AH285" s="110" t="n">
        <v>28</v>
      </c>
      <c r="AI285" s="110" t="n"/>
      <c r="AJ285" s="110" t="n"/>
      <c r="AK285" s="110" t="n"/>
      <c r="AL285" s="110" t="n"/>
      <c r="AM285" s="110" t="n"/>
      <c r="AN285" s="110" t="n"/>
      <c r="AO285" s="110" t="n"/>
      <c r="AP285" s="110" t="n"/>
      <c r="AQ285" s="110" t="n"/>
      <c r="AR285" s="110" t="n"/>
      <c r="AS285" s="110" t="n"/>
      <c r="AT285" s="110" t="n"/>
      <c r="AU285" s="110" t="n"/>
      <c r="AV285" s="110" t="n"/>
      <c r="AW285" s="110" t="n"/>
      <c r="AX285" s="110" t="n"/>
      <c r="AY285" s="110" t="n"/>
      <c r="AZ285" s="110" t="n"/>
      <c r="BA285" s="110" t="n"/>
      <c r="BB285" s="110" t="n"/>
      <c r="BC285" t="inlineStr">
        <is>
          <t>ORIGINAL</t>
        </is>
      </c>
      <c r="BD285" t="n">
        <v>276</v>
      </c>
      <c r="BF285" s="109">
        <f>IF($BD285="","",SUMIF($BD$6:$BD$2000,$BD285,$J$6:$J$2000))</f>
        <v/>
      </c>
    </row>
    <row r="286" ht="19.5" customHeight="1">
      <c r="A286" s="96" t="inlineStr">
        <is>
          <t>PENDENTE</t>
        </is>
      </c>
      <c r="B286" s="26" t="inlineStr">
        <is>
          <t>RIACHUELO</t>
        </is>
      </c>
      <c r="C286" s="27" t="n">
        <v>298</v>
      </c>
      <c r="D286" s="26" t="inlineStr">
        <is>
          <t>PAULISTA NORTH WAY SHOPPING</t>
        </is>
      </c>
      <c r="E286" s="26" t="inlineStr">
        <is>
          <t>PAULISTA</t>
        </is>
      </c>
      <c r="F286" s="27" t="inlineStr">
        <is>
          <t>PE</t>
        </is>
      </c>
      <c r="G286" s="107" t="n">
        <v>46266</v>
      </c>
      <c r="H286" s="108">
        <f>IF($B286="","",SUM($K286:$AG286)+SUM($AS286:$BB286))</f>
        <v/>
      </c>
      <c r="I286" s="108">
        <f>IF($B286="","",SUM($AH286:$AL286))</f>
        <v/>
      </c>
      <c r="J286" s="109">
        <f>IF($B286="","",SUMPRODUCT($K286:$BB286,$K$2:$BB$2))</f>
        <v/>
      </c>
      <c r="K286" s="110" t="n">
        <v>10</v>
      </c>
      <c r="L286" s="110" t="n"/>
      <c r="M286" s="110" t="n"/>
      <c r="N286" s="110" t="n">
        <v>12</v>
      </c>
      <c r="O286" s="110" t="n"/>
      <c r="P286" s="110" t="n"/>
      <c r="Q286" s="110" t="n"/>
      <c r="R286" s="110" t="n"/>
      <c r="S286" s="110" t="n"/>
      <c r="T286" s="110" t="n"/>
      <c r="U286" s="110" t="n"/>
      <c r="V286" s="110" t="n"/>
      <c r="W286" s="110" t="n"/>
      <c r="X286" s="110" t="n"/>
      <c r="Y286" s="110" t="n"/>
      <c r="Z286" s="110" t="n"/>
      <c r="AA286" s="110" t="n">
        <v>3</v>
      </c>
      <c r="AB286" s="110" t="n"/>
      <c r="AC286" s="110" t="n"/>
      <c r="AD286" s="110" t="n"/>
      <c r="AE286" s="110" t="n"/>
      <c r="AF286" s="110" t="n"/>
      <c r="AG286" s="110" t="n"/>
      <c r="AH286" s="110" t="n">
        <v>8</v>
      </c>
      <c r="AI286" s="110" t="n"/>
      <c r="AJ286" s="110" t="n"/>
      <c r="AK286" s="110" t="n"/>
      <c r="AL286" s="110" t="n"/>
      <c r="AM286" s="110" t="n"/>
      <c r="AN286" s="110" t="n"/>
      <c r="AO286" s="110" t="n"/>
      <c r="AP286" s="110" t="n"/>
      <c r="AQ286" s="110" t="n"/>
      <c r="AR286" s="110" t="n"/>
      <c r="AS286" s="110" t="n"/>
      <c r="AT286" s="110" t="n"/>
      <c r="AU286" s="110" t="n"/>
      <c r="AV286" s="110" t="n"/>
      <c r="AW286" s="110" t="n"/>
      <c r="AX286" s="110" t="n"/>
      <c r="AY286" s="110" t="n"/>
      <c r="AZ286" s="110" t="n"/>
      <c r="BA286" s="110" t="n"/>
      <c r="BB286" s="110" t="n"/>
      <c r="BC286" t="inlineStr">
        <is>
          <t>ORIGINAL</t>
        </is>
      </c>
      <c r="BD286" t="n">
        <v>277</v>
      </c>
      <c r="BF286" s="109">
        <f>IF($BD286="","",SUMIF($BD$6:$BD$2000,$BD286,$J$6:$J$2000))</f>
        <v/>
      </c>
    </row>
    <row r="287" ht="19.5" customHeight="1">
      <c r="A287" s="96" t="inlineStr">
        <is>
          <t>PENDENTE</t>
        </is>
      </c>
      <c r="B287" s="26" t="inlineStr">
        <is>
          <t>RIACHUELO</t>
        </is>
      </c>
      <c r="C287" s="27" t="n">
        <v>300</v>
      </c>
      <c r="D287" s="26" t="inlineStr">
        <is>
          <t>CERRADO SH</t>
        </is>
      </c>
      <c r="E287" s="26" t="inlineStr">
        <is>
          <t>GOIANIA</t>
        </is>
      </c>
      <c r="F287" s="27" t="inlineStr">
        <is>
          <t>GO</t>
        </is>
      </c>
      <c r="G287" s="107" t="n">
        <v>46204</v>
      </c>
      <c r="H287" s="108">
        <f>IF($B287="","",SUM($K287:$AG287)+SUM($AS287:$BB287))</f>
        <v/>
      </c>
      <c r="I287" s="108">
        <f>IF($B287="","",SUM($AH287:$AL287))</f>
        <v/>
      </c>
      <c r="J287" s="109">
        <f>IF($B287="","",SUMPRODUCT($K287:$BB287,$K$2:$BB$2))</f>
        <v/>
      </c>
      <c r="K287" s="110" t="n">
        <v>10</v>
      </c>
      <c r="L287" s="110" t="n"/>
      <c r="M287" s="110" t="n"/>
      <c r="N287" s="110" t="n">
        <v>1</v>
      </c>
      <c r="O287" s="110" t="n"/>
      <c r="P287" s="110" t="n"/>
      <c r="Q287" s="110" t="n"/>
      <c r="R287" s="110" t="n"/>
      <c r="S287" s="110" t="n"/>
      <c r="T287" s="110" t="n"/>
      <c r="U287" s="110" t="n"/>
      <c r="V287" s="110" t="n"/>
      <c r="W287" s="110" t="n"/>
      <c r="X287" s="110" t="n"/>
      <c r="Y287" s="110" t="n"/>
      <c r="Z287" s="110" t="n"/>
      <c r="AA287" s="110" t="n">
        <v>11</v>
      </c>
      <c r="AB287" s="110" t="n"/>
      <c r="AC287" s="110" t="n"/>
      <c r="AD287" s="110" t="n"/>
      <c r="AE287" s="110" t="n"/>
      <c r="AF287" s="110" t="n"/>
      <c r="AG287" s="110" t="n"/>
      <c r="AH287" s="110" t="n">
        <v>6</v>
      </c>
      <c r="AI287" s="110" t="n"/>
      <c r="AJ287" s="110" t="n"/>
      <c r="AK287" s="110" t="n"/>
      <c r="AL287" s="110" t="n"/>
      <c r="AM287" s="110" t="n"/>
      <c r="AN287" s="110" t="n"/>
      <c r="AO287" s="110" t="n"/>
      <c r="AP287" s="110" t="n"/>
      <c r="AQ287" s="110" t="n"/>
      <c r="AR287" s="110" t="n"/>
      <c r="AS287" s="110" t="n"/>
      <c r="AT287" s="110" t="n"/>
      <c r="AU287" s="110" t="n"/>
      <c r="AV287" s="110" t="n"/>
      <c r="AW287" s="110" t="n"/>
      <c r="AX287" s="110" t="n"/>
      <c r="AY287" s="110" t="n"/>
      <c r="AZ287" s="110" t="n"/>
      <c r="BA287" s="110" t="n"/>
      <c r="BB287" s="110" t="n"/>
      <c r="BC287" t="inlineStr">
        <is>
          <t>ORIGINAL</t>
        </is>
      </c>
      <c r="BD287" t="n">
        <v>278</v>
      </c>
      <c r="BF287" s="109">
        <f>IF($BD287="","",SUMIF($BD$6:$BD$2000,$BD287,$J$6:$J$2000))</f>
        <v/>
      </c>
    </row>
    <row r="288" ht="19.5" customHeight="1">
      <c r="A288" s="96" t="inlineStr">
        <is>
          <t>PENDENTE</t>
        </is>
      </c>
      <c r="B288" s="26" t="inlineStr">
        <is>
          <t>RIACHUELO</t>
        </is>
      </c>
      <c r="C288" s="27" t="n">
        <v>352</v>
      </c>
      <c r="D288" s="26" t="inlineStr">
        <is>
          <t>CANOAS PARK SH</t>
        </is>
      </c>
      <c r="E288" s="26" t="inlineStr">
        <is>
          <t>CANOAS</t>
        </is>
      </c>
      <c r="F288" s="27" t="inlineStr">
        <is>
          <t>RS</t>
        </is>
      </c>
      <c r="G288" s="107" t="n">
        <v>46235</v>
      </c>
      <c r="H288" s="108">
        <f>IF($B288="","",SUM($K288:$AG288)+SUM($AS288:$BB288))</f>
        <v/>
      </c>
      <c r="I288" s="108">
        <f>IF($B288="","",SUM($AH288:$AL288))</f>
        <v/>
      </c>
      <c r="J288" s="109">
        <f>IF($B288="","",SUMPRODUCT($K288:$BB288,$K$2:$BB$2))</f>
        <v/>
      </c>
      <c r="K288" s="110" t="n">
        <v>11</v>
      </c>
      <c r="L288" s="110" t="n"/>
      <c r="M288" s="110" t="n">
        <v>4</v>
      </c>
      <c r="N288" s="110" t="n"/>
      <c r="O288" s="110" t="n"/>
      <c r="P288" s="110" t="n"/>
      <c r="Q288" s="110" t="n"/>
      <c r="R288" s="110" t="n"/>
      <c r="S288" s="110" t="n"/>
      <c r="T288" s="110" t="n"/>
      <c r="U288" s="110" t="n"/>
      <c r="V288" s="110" t="n"/>
      <c r="W288" s="110" t="n"/>
      <c r="X288" s="110" t="n"/>
      <c r="Y288" s="110" t="n"/>
      <c r="Z288" s="110" t="n"/>
      <c r="AA288" s="110" t="n">
        <v>5</v>
      </c>
      <c r="AB288" s="110" t="n"/>
      <c r="AC288" s="110" t="n"/>
      <c r="AD288" s="110" t="n"/>
      <c r="AE288" s="110" t="n"/>
      <c r="AF288" s="110" t="n"/>
      <c r="AG288" s="110" t="n"/>
      <c r="AH288" s="110" t="n"/>
      <c r="AI288" s="110" t="n"/>
      <c r="AJ288" s="110" t="n">
        <v>24</v>
      </c>
      <c r="AK288" s="110" t="n"/>
      <c r="AL288" s="110" t="n"/>
      <c r="AM288" s="110" t="n"/>
      <c r="AN288" s="110" t="n"/>
      <c r="AO288" s="110" t="n"/>
      <c r="AP288" s="110" t="n"/>
      <c r="AQ288" s="110" t="n"/>
      <c r="AR288" s="110" t="n"/>
      <c r="AS288" s="110" t="n"/>
      <c r="AT288" s="110" t="n"/>
      <c r="AU288" s="110" t="n"/>
      <c r="AV288" s="110" t="n"/>
      <c r="AW288" s="110" t="n"/>
      <c r="AX288" s="110" t="n"/>
      <c r="AY288" s="110" t="n"/>
      <c r="AZ288" s="110" t="n"/>
      <c r="BA288" s="110" t="n"/>
      <c r="BB288" s="110" t="n"/>
      <c r="BC288" t="inlineStr">
        <is>
          <t>ORIGINAL</t>
        </is>
      </c>
      <c r="BD288" t="n">
        <v>279</v>
      </c>
      <c r="BF288" s="109">
        <f>IF($BD288="","",SUMIF($BD$6:$BD$2000,$BD288,$J$6:$J$2000))</f>
        <v/>
      </c>
    </row>
    <row r="289" ht="19.5" customHeight="1">
      <c r="A289" s="96" t="inlineStr">
        <is>
          <t>PENDENTE</t>
        </is>
      </c>
      <c r="B289" s="26" t="inlineStr">
        <is>
          <t>RIACHUELO</t>
        </is>
      </c>
      <c r="C289" s="27" t="n">
        <v>302</v>
      </c>
      <c r="D289" s="26" t="inlineStr">
        <is>
          <t>FOZ DO IGUAÇU PALLADIUM SH</t>
        </is>
      </c>
      <c r="E289" s="26" t="inlineStr">
        <is>
          <t>FOZ DO IGUAÇU</t>
        </is>
      </c>
      <c r="F289" s="27" t="inlineStr">
        <is>
          <t>PR</t>
        </is>
      </c>
      <c r="G289" s="107" t="n">
        <v>46235</v>
      </c>
      <c r="H289" s="108">
        <f>IF($B289="","",SUM($K289:$AG289)+SUM($AS289:$BB289))</f>
        <v/>
      </c>
      <c r="I289" s="108">
        <f>IF($B289="","",SUM($AH289:$AL289))</f>
        <v/>
      </c>
      <c r="J289" s="109">
        <f>IF($B289="","",SUMPRODUCT($K289:$BB289,$K$2:$BB$2))</f>
        <v/>
      </c>
      <c r="K289" s="110" t="n">
        <v>8</v>
      </c>
      <c r="L289" s="110" t="n"/>
      <c r="M289" s="110" t="n">
        <v>1</v>
      </c>
      <c r="N289" s="110" t="n"/>
      <c r="O289" s="110" t="n"/>
      <c r="P289" s="110" t="n"/>
      <c r="Q289" s="110" t="n"/>
      <c r="R289" s="110" t="n"/>
      <c r="S289" s="110" t="n"/>
      <c r="T289" s="110" t="n">
        <v>2</v>
      </c>
      <c r="U289" s="110" t="n"/>
      <c r="V289" s="110" t="n"/>
      <c r="W289" s="110" t="n"/>
      <c r="X289" s="110" t="n"/>
      <c r="Y289" s="110" t="n"/>
      <c r="Z289" s="110" t="n"/>
      <c r="AA289" s="110" t="n">
        <v>9</v>
      </c>
      <c r="AB289" s="110" t="n"/>
      <c r="AC289" s="110" t="n"/>
      <c r="AD289" s="110" t="n"/>
      <c r="AE289" s="110" t="n"/>
      <c r="AF289" s="110" t="n"/>
      <c r="AG289" s="110" t="n"/>
      <c r="AH289" s="110" t="n"/>
      <c r="AI289" s="110" t="n">
        <v>6</v>
      </c>
      <c r="AJ289" s="110" t="n"/>
      <c r="AK289" s="110" t="n"/>
      <c r="AL289" s="110" t="n"/>
      <c r="AM289" s="110" t="n"/>
      <c r="AN289" s="110" t="n"/>
      <c r="AO289" s="110" t="n"/>
      <c r="AP289" s="110" t="n"/>
      <c r="AQ289" s="110" t="n"/>
      <c r="AR289" s="110" t="n"/>
      <c r="AS289" s="110" t="n"/>
      <c r="AT289" s="110" t="n"/>
      <c r="AU289" s="110" t="n"/>
      <c r="AV289" s="110" t="n"/>
      <c r="AW289" s="110" t="n"/>
      <c r="AX289" s="110" t="n"/>
      <c r="AY289" s="110" t="n"/>
      <c r="AZ289" s="110" t="n"/>
      <c r="BA289" s="110" t="n"/>
      <c r="BB289" s="110" t="n"/>
      <c r="BC289" t="inlineStr">
        <is>
          <t>ORIGINAL</t>
        </is>
      </c>
      <c r="BD289" t="n">
        <v>280</v>
      </c>
      <c r="BF289" s="109">
        <f>IF($BD289="","",SUMIF($BD$6:$BD$2000,$BD289,$J$6:$J$2000))</f>
        <v/>
      </c>
    </row>
    <row r="290" ht="19.5" customHeight="1">
      <c r="A290" s="96" t="inlineStr">
        <is>
          <t>PENDENTE</t>
        </is>
      </c>
      <c r="B290" s="26" t="inlineStr">
        <is>
          <t>RIACHUELO</t>
        </is>
      </c>
      <c r="C290" s="27" t="n">
        <v>303</v>
      </c>
      <c r="D290" s="26" t="inlineStr">
        <is>
          <t>CAMAÇARI BOULEVARD SH</t>
        </is>
      </c>
      <c r="E290" s="26" t="inlineStr">
        <is>
          <t>CAMACARI</t>
        </is>
      </c>
      <c r="F290" s="27" t="inlineStr">
        <is>
          <t>BA</t>
        </is>
      </c>
      <c r="G290" s="107" t="n">
        <v>46204</v>
      </c>
      <c r="H290" s="108">
        <f>IF($B290="","",SUM($K290:$AG290)+SUM($AS290:$BB290))</f>
        <v/>
      </c>
      <c r="I290" s="108">
        <f>IF($B290="","",SUM($AH290:$AL290))</f>
        <v/>
      </c>
      <c r="J290" s="109">
        <f>IF($B290="","",SUMPRODUCT($K290:$BB290,$K$2:$BB$2))</f>
        <v/>
      </c>
      <c r="K290" s="110" t="n">
        <v>12</v>
      </c>
      <c r="L290" s="110" t="n"/>
      <c r="M290" s="110" t="n"/>
      <c r="N290" s="110" t="n">
        <v>1</v>
      </c>
      <c r="O290" s="110" t="n"/>
      <c r="P290" s="110" t="n"/>
      <c r="Q290" s="110" t="n"/>
      <c r="R290" s="110" t="n"/>
      <c r="S290" s="110" t="n"/>
      <c r="T290" s="110" t="n"/>
      <c r="U290" s="110" t="n">
        <v>1</v>
      </c>
      <c r="V290" s="110" t="n"/>
      <c r="W290" s="110" t="n"/>
      <c r="X290" s="110" t="n"/>
      <c r="Y290" s="110" t="n"/>
      <c r="Z290" s="110" t="n"/>
      <c r="AA290" s="110" t="n">
        <v>8</v>
      </c>
      <c r="AB290" s="110" t="n"/>
      <c r="AC290" s="110" t="n"/>
      <c r="AD290" s="110" t="n"/>
      <c r="AE290" s="110" t="n"/>
      <c r="AF290" s="110" t="n"/>
      <c r="AG290" s="110" t="n"/>
      <c r="AH290" s="110" t="n">
        <v>16</v>
      </c>
      <c r="AI290" s="110" t="n"/>
      <c r="AJ290" s="110" t="n"/>
      <c r="AK290" s="110" t="n"/>
      <c r="AL290" s="110" t="n"/>
      <c r="AM290" s="110" t="n"/>
      <c r="AN290" s="110" t="n"/>
      <c r="AO290" s="110" t="n"/>
      <c r="AP290" s="110" t="n"/>
      <c r="AQ290" s="110" t="n"/>
      <c r="AR290" s="110" t="n"/>
      <c r="AS290" s="110" t="n"/>
      <c r="AT290" s="110" t="n"/>
      <c r="AU290" s="110" t="n"/>
      <c r="AV290" s="110" t="n"/>
      <c r="AW290" s="110" t="n"/>
      <c r="AX290" s="110" t="n"/>
      <c r="AY290" s="110" t="n"/>
      <c r="AZ290" s="110" t="n"/>
      <c r="BA290" s="110" t="n"/>
      <c r="BB290" s="110" t="n"/>
      <c r="BC290" t="inlineStr">
        <is>
          <t>ORIGINAL</t>
        </is>
      </c>
      <c r="BD290" t="n">
        <v>281</v>
      </c>
      <c r="BF290" s="109">
        <f>IF($BD290="","",SUMIF($BD$6:$BD$2000,$BD290,$J$6:$J$2000))</f>
        <v/>
      </c>
    </row>
    <row r="291" ht="19.5" customHeight="1">
      <c r="A291" s="96" t="inlineStr">
        <is>
          <t>PENDENTE</t>
        </is>
      </c>
      <c r="B291" s="26" t="inlineStr">
        <is>
          <t>RIACHUELO</t>
        </is>
      </c>
      <c r="C291" s="27" t="n">
        <v>304</v>
      </c>
      <c r="D291" s="26" t="inlineStr">
        <is>
          <t>JARDIM NORTE SH</t>
        </is>
      </c>
      <c r="E291" s="26" t="inlineStr">
        <is>
          <t>JUIZ DE FORA</t>
        </is>
      </c>
      <c r="F291" s="27" t="inlineStr">
        <is>
          <t>MG</t>
        </is>
      </c>
      <c r="G291" s="107" t="n">
        <v>46204</v>
      </c>
      <c r="H291" s="108">
        <f>IF($B291="","",SUM($K291:$AG291)+SUM($AS291:$BB291))</f>
        <v/>
      </c>
      <c r="I291" s="108">
        <f>IF($B291="","",SUM($AH291:$AL291))</f>
        <v/>
      </c>
      <c r="J291" s="109">
        <f>IF($B291="","",SUMPRODUCT($K291:$BB291,$K$2:$BB$2))</f>
        <v/>
      </c>
      <c r="K291" s="110" t="n"/>
      <c r="L291" s="110" t="n"/>
      <c r="M291" s="110" t="n"/>
      <c r="N291" s="110" t="n"/>
      <c r="O291" s="110" t="n"/>
      <c r="P291" s="110" t="n"/>
      <c r="Q291" s="110" t="n"/>
      <c r="R291" s="110" t="n"/>
      <c r="S291" s="110" t="n">
        <v>1</v>
      </c>
      <c r="T291" s="110" t="n"/>
      <c r="U291" s="110" t="n">
        <v>15</v>
      </c>
      <c r="V291" s="110" t="n"/>
      <c r="W291" s="110" t="n"/>
      <c r="X291" s="110" t="n"/>
      <c r="Y291" s="110" t="n"/>
      <c r="Z291" s="110" t="n"/>
      <c r="AA291" s="110" t="n"/>
      <c r="AB291" s="110" t="n"/>
      <c r="AC291" s="110" t="n"/>
      <c r="AD291" s="110" t="n"/>
      <c r="AE291" s="110" t="n"/>
      <c r="AF291" s="110" t="n"/>
      <c r="AG291" s="110" t="n"/>
      <c r="AH291" s="110" t="n">
        <v>8</v>
      </c>
      <c r="AI291" s="110" t="n"/>
      <c r="AJ291" s="110" t="n"/>
      <c r="AK291" s="110" t="n"/>
      <c r="AL291" s="110" t="n"/>
      <c r="AM291" s="110" t="n"/>
      <c r="AN291" s="110" t="n"/>
      <c r="AO291" s="110" t="n"/>
      <c r="AP291" s="110" t="n"/>
      <c r="AQ291" s="110" t="n"/>
      <c r="AR291" s="110" t="n"/>
      <c r="AS291" s="110" t="n"/>
      <c r="AT291" s="110" t="n"/>
      <c r="AU291" s="110" t="n"/>
      <c r="AV291" s="110" t="n"/>
      <c r="AW291" s="110" t="n"/>
      <c r="AX291" s="110" t="n"/>
      <c r="AY291" s="110" t="n"/>
      <c r="AZ291" s="110" t="n"/>
      <c r="BA291" s="110" t="n"/>
      <c r="BB291" s="110" t="n"/>
      <c r="BC291" t="inlineStr">
        <is>
          <t>ORIGINAL</t>
        </is>
      </c>
      <c r="BD291" t="n">
        <v>282</v>
      </c>
      <c r="BF291" s="109">
        <f>IF($BD291="","",SUMIF($BD$6:$BD$2000,$BD291,$J$6:$J$2000))</f>
        <v/>
      </c>
    </row>
    <row r="292" ht="19.5" customHeight="1">
      <c r="A292" s="96" t="inlineStr">
        <is>
          <t>PENDENTE</t>
        </is>
      </c>
      <c r="B292" s="26" t="inlineStr">
        <is>
          <t>RIACHUELO</t>
        </is>
      </c>
      <c r="C292" s="27" t="n">
        <v>306</v>
      </c>
      <c r="D292" s="26" t="inlineStr">
        <is>
          <t>CURITIBA JOCKEY PLAZA SH</t>
        </is>
      </c>
      <c r="E292" s="26" t="inlineStr">
        <is>
          <t>CURITIBA</t>
        </is>
      </c>
      <c r="F292" s="27" t="inlineStr">
        <is>
          <t>PR</t>
        </is>
      </c>
      <c r="G292" s="107" t="n">
        <v>46082</v>
      </c>
      <c r="H292" s="108">
        <f>IF($B292="","",SUM($K292:$AG292)+SUM($AS292:$BB292))</f>
        <v/>
      </c>
      <c r="I292" s="108">
        <f>IF($B292="","",SUM($AH292:$AL292))</f>
        <v/>
      </c>
      <c r="J292" s="109">
        <f>IF($B292="","",SUMPRODUCT($K292:$BB292,$K$2:$BB$2))</f>
        <v/>
      </c>
      <c r="K292" s="110" t="n">
        <v>9</v>
      </c>
      <c r="L292" s="110" t="n"/>
      <c r="M292" s="110" t="n">
        <v>4</v>
      </c>
      <c r="N292" s="110" t="n"/>
      <c r="O292" s="110" t="n"/>
      <c r="P292" s="110" t="n"/>
      <c r="Q292" s="110" t="n"/>
      <c r="R292" s="110" t="n"/>
      <c r="S292" s="110" t="n"/>
      <c r="T292" s="110" t="n"/>
      <c r="U292" s="110" t="n"/>
      <c r="V292" s="110" t="n"/>
      <c r="W292" s="110" t="n"/>
      <c r="X292" s="110" t="n"/>
      <c r="Y292" s="110" t="n"/>
      <c r="Z292" s="110" t="n"/>
      <c r="AA292" s="110" t="n">
        <v>5</v>
      </c>
      <c r="AB292" s="110" t="n"/>
      <c r="AC292" s="110" t="n"/>
      <c r="AD292" s="110" t="n"/>
      <c r="AE292" s="110" t="n"/>
      <c r="AF292" s="110" t="n"/>
      <c r="AG292" s="110" t="n"/>
      <c r="AH292" s="110" t="n">
        <v>8</v>
      </c>
      <c r="AI292" s="110" t="n"/>
      <c r="AJ292" s="110" t="n"/>
      <c r="AK292" s="110" t="n"/>
      <c r="AL292" s="110" t="n"/>
      <c r="AM292" s="110" t="n"/>
      <c r="AN292" s="110" t="n"/>
      <c r="AO292" s="110" t="n"/>
      <c r="AP292" s="110" t="n"/>
      <c r="AQ292" s="110" t="n"/>
      <c r="AR292" s="110" t="n"/>
      <c r="AS292" s="110" t="n"/>
      <c r="AT292" s="110" t="n"/>
      <c r="AU292" s="110" t="n"/>
      <c r="AV292" s="110" t="n"/>
      <c r="AW292" s="110" t="n"/>
      <c r="AX292" s="110" t="n"/>
      <c r="AY292" s="110" t="n"/>
      <c r="AZ292" s="110" t="n"/>
      <c r="BA292" s="110" t="n"/>
      <c r="BB292" s="110" t="n"/>
      <c r="BC292" t="inlineStr">
        <is>
          <t>ORIGINAL</t>
        </is>
      </c>
      <c r="BD292" t="n">
        <v>283</v>
      </c>
      <c r="BF292" s="109">
        <f>IF($BD292="","",SUMIF($BD$6:$BD$2000,$BD292,$J$6:$J$2000))</f>
        <v/>
      </c>
    </row>
    <row r="293" ht="19.5" customHeight="1">
      <c r="A293" s="96" t="inlineStr">
        <is>
          <t>PENDENTE</t>
        </is>
      </c>
      <c r="B293" s="26" t="inlineStr">
        <is>
          <t>RIACHUELO</t>
        </is>
      </c>
      <c r="C293" s="27" t="n">
        <v>307</v>
      </c>
      <c r="D293" s="26" t="inlineStr">
        <is>
          <t>TUBARÃO FAROL SH</t>
        </is>
      </c>
      <c r="E293" s="26" t="inlineStr">
        <is>
          <t>TUBARÃO</t>
        </is>
      </c>
      <c r="F293" s="27" t="inlineStr">
        <is>
          <t>SC</t>
        </is>
      </c>
      <c r="G293" s="107" t="n">
        <v>46235</v>
      </c>
      <c r="H293" s="108">
        <f>IF($B293="","",SUM($K293:$AG293)+SUM($AS293:$BB293))</f>
        <v/>
      </c>
      <c r="I293" s="108">
        <f>IF($B293="","",SUM($AH293:$AL293))</f>
        <v/>
      </c>
      <c r="J293" s="109">
        <f>IF($B293="","",SUMPRODUCT($K293:$BB293,$K$2:$BB$2))</f>
        <v/>
      </c>
      <c r="K293" s="110" t="n"/>
      <c r="L293" s="110" t="n"/>
      <c r="M293" s="110" t="n"/>
      <c r="N293" s="110" t="n"/>
      <c r="O293" s="110" t="n"/>
      <c r="P293" s="110" t="n"/>
      <c r="Q293" s="110" t="n"/>
      <c r="R293" s="110" t="n"/>
      <c r="S293" s="110" t="n"/>
      <c r="T293" s="110" t="n">
        <v>11</v>
      </c>
      <c r="U293" s="110" t="n"/>
      <c r="V293" s="110" t="n"/>
      <c r="W293" s="110" t="n"/>
      <c r="X293" s="110" t="n"/>
      <c r="Y293" s="110" t="n"/>
      <c r="Z293" s="110" t="n"/>
      <c r="AA293" s="110" t="n">
        <v>7</v>
      </c>
      <c r="AB293" s="110" t="n"/>
      <c r="AC293" s="110" t="n"/>
      <c r="AD293" s="110" t="n"/>
      <c r="AE293" s="110" t="n"/>
      <c r="AF293" s="110" t="n"/>
      <c r="AG293" s="110" t="n"/>
      <c r="AH293" s="110" t="n">
        <v>10</v>
      </c>
      <c r="AI293" s="110" t="n"/>
      <c r="AJ293" s="110" t="n"/>
      <c r="AK293" s="110" t="n"/>
      <c r="AL293" s="110" t="n"/>
      <c r="AM293" s="110" t="n"/>
      <c r="AN293" s="110" t="n"/>
      <c r="AO293" s="110" t="n"/>
      <c r="AP293" s="110" t="n"/>
      <c r="AQ293" s="110" t="n"/>
      <c r="AR293" s="110" t="n"/>
      <c r="AS293" s="110" t="n"/>
      <c r="AT293" s="110" t="n"/>
      <c r="AU293" s="110" t="n"/>
      <c r="AV293" s="110" t="n"/>
      <c r="AW293" s="110" t="n"/>
      <c r="AX293" s="110" t="n"/>
      <c r="AY293" s="110" t="n"/>
      <c r="AZ293" s="110" t="n"/>
      <c r="BA293" s="110" t="n"/>
      <c r="BB293" s="110" t="n"/>
      <c r="BC293" t="inlineStr">
        <is>
          <t>ORIGINAL</t>
        </is>
      </c>
      <c r="BD293" t="n">
        <v>284</v>
      </c>
      <c r="BF293" s="109">
        <f>IF($BD293="","",SUMIF($BD$6:$BD$2000,$BD293,$J$6:$J$2000))</f>
        <v/>
      </c>
    </row>
    <row r="294" ht="19.5" customHeight="1">
      <c r="A294" s="96" t="inlineStr">
        <is>
          <t>PENDENTE</t>
        </is>
      </c>
      <c r="B294" s="26" t="inlineStr">
        <is>
          <t>RIACHUELO</t>
        </is>
      </c>
      <c r="C294" s="27" t="n">
        <v>309</v>
      </c>
      <c r="D294" s="26" t="inlineStr">
        <is>
          <t>POLO SHOPPING INDAIATUBA</t>
        </is>
      </c>
      <c r="E294" s="26" t="inlineStr">
        <is>
          <t>INDAIATUBA</t>
        </is>
      </c>
      <c r="F294" s="27" t="inlineStr">
        <is>
          <t>SP</t>
        </is>
      </c>
      <c r="G294" s="107" t="n">
        <v>46054</v>
      </c>
      <c r="H294" s="108">
        <f>IF($B294="","",SUM($K294:$AG294)+SUM($AS294:$BB294))</f>
        <v/>
      </c>
      <c r="I294" s="108">
        <f>IF($B294="","",SUM($AH294:$AL294))</f>
        <v/>
      </c>
      <c r="J294" s="109">
        <f>IF($B294="","",SUMPRODUCT($K294:$BB294,$K$2:$BB$2))</f>
        <v/>
      </c>
      <c r="K294" s="110" t="n">
        <v>7</v>
      </c>
      <c r="L294" s="110" t="n"/>
      <c r="M294" s="110" t="n"/>
      <c r="N294" s="110" t="n"/>
      <c r="O294" s="110" t="n"/>
      <c r="P294" s="110" t="n"/>
      <c r="Q294" s="110" t="n"/>
      <c r="R294" s="110" t="n"/>
      <c r="S294" s="110" t="n"/>
      <c r="T294" s="110" t="n"/>
      <c r="U294" s="110" t="n"/>
      <c r="V294" s="110" t="n"/>
      <c r="W294" s="110" t="n"/>
      <c r="X294" s="110" t="n"/>
      <c r="Y294" s="110" t="n"/>
      <c r="Z294" s="110" t="n"/>
      <c r="AA294" s="110" t="n">
        <v>6</v>
      </c>
      <c r="AB294" s="110" t="n"/>
      <c r="AC294" s="110" t="n"/>
      <c r="AD294" s="110" t="n"/>
      <c r="AE294" s="110" t="n"/>
      <c r="AF294" s="110" t="n"/>
      <c r="AG294" s="110" t="n"/>
      <c r="AH294" s="110" t="n">
        <v>8</v>
      </c>
      <c r="AI294" s="110" t="n"/>
      <c r="AJ294" s="110" t="n"/>
      <c r="AK294" s="110" t="n"/>
      <c r="AL294" s="110" t="n"/>
      <c r="AM294" s="110" t="n"/>
      <c r="AN294" s="110" t="n"/>
      <c r="AO294" s="110" t="n"/>
      <c r="AP294" s="110" t="n"/>
      <c r="AQ294" s="110" t="n"/>
      <c r="AR294" s="110" t="n"/>
      <c r="AS294" s="110" t="n"/>
      <c r="AT294" s="110" t="n"/>
      <c r="AU294" s="110" t="n"/>
      <c r="AV294" s="110" t="n"/>
      <c r="AW294" s="110" t="n"/>
      <c r="AX294" s="110" t="n"/>
      <c r="AY294" s="110" t="n"/>
      <c r="AZ294" s="110" t="n"/>
      <c r="BA294" s="110" t="n"/>
      <c r="BB294" s="110" t="n"/>
      <c r="BC294" t="inlineStr">
        <is>
          <t>ORIGINAL</t>
        </is>
      </c>
      <c r="BD294" t="n">
        <v>285</v>
      </c>
      <c r="BF294" s="109">
        <f>IF($BD294="","",SUMIF($BD$6:$BD$2000,$BD294,$J$6:$J$2000))</f>
        <v/>
      </c>
    </row>
    <row r="295" ht="19.5" customHeight="1">
      <c r="A295" s="96" t="inlineStr">
        <is>
          <t>PENDENTE</t>
        </is>
      </c>
      <c r="B295" s="26" t="inlineStr">
        <is>
          <t>RIACHUELO</t>
        </is>
      </c>
      <c r="C295" s="27" t="n">
        <v>460</v>
      </c>
      <c r="D295" s="26" t="inlineStr">
        <is>
          <t xml:space="preserve">POA BARRA SH SUL [CARTER'S] </t>
        </is>
      </c>
      <c r="E295" s="26" t="inlineStr">
        <is>
          <t>PORTO ALEGRE</t>
        </is>
      </c>
      <c r="F295" s="27" t="inlineStr">
        <is>
          <t>RS</t>
        </is>
      </c>
      <c r="G295" s="107" t="n">
        <v>46235</v>
      </c>
      <c r="H295" s="108">
        <f>IF($B295="","",SUM($K295:$AG295)+SUM($AS295:$BB295))</f>
        <v/>
      </c>
      <c r="I295" s="108">
        <f>IF($B295="","",SUM($AH295:$AL295))</f>
        <v/>
      </c>
      <c r="J295" s="109">
        <f>IF($B295="","",SUMPRODUCT($K295:$BB295,$K$2:$BB$2))</f>
        <v/>
      </c>
      <c r="K295" s="110" t="n"/>
      <c r="L295" s="110" t="n"/>
      <c r="M295" s="110" t="n"/>
      <c r="N295" s="110" t="n">
        <v>2</v>
      </c>
      <c r="O295" s="110" t="n"/>
      <c r="P295" s="110" t="n"/>
      <c r="Q295" s="110" t="n"/>
      <c r="R295" s="110" t="n"/>
      <c r="S295" s="110" t="n"/>
      <c r="T295" s="110" t="n"/>
      <c r="U295" s="110" t="n"/>
      <c r="V295" s="110" t="n"/>
      <c r="W295" s="110" t="n"/>
      <c r="X295" s="110" t="n"/>
      <c r="Y295" s="110" t="n"/>
      <c r="Z295" s="110" t="n"/>
      <c r="AA295" s="110" t="n">
        <v>1</v>
      </c>
      <c r="AB295" s="110" t="n"/>
      <c r="AC295" s="110" t="n"/>
      <c r="AD295" s="110" t="n"/>
      <c r="AE295" s="110" t="n"/>
      <c r="AF295" s="110" t="n"/>
      <c r="AG295" s="110" t="n"/>
      <c r="AH295" s="110" t="n"/>
      <c r="AI295" s="110" t="n"/>
      <c r="AJ295" s="110" t="n"/>
      <c r="AK295" s="110" t="n"/>
      <c r="AL295" s="110" t="n"/>
      <c r="AM295" s="110" t="n"/>
      <c r="AN295" s="110" t="n"/>
      <c r="AO295" s="110" t="n"/>
      <c r="AP295" s="110" t="n"/>
      <c r="AQ295" s="110" t="n"/>
      <c r="AR295" s="110" t="n"/>
      <c r="AS295" s="110" t="n"/>
      <c r="AT295" s="110" t="n"/>
      <c r="AU295" s="110" t="n"/>
      <c r="AV295" s="110" t="n"/>
      <c r="AW295" s="110" t="n"/>
      <c r="AX295" s="110" t="n"/>
      <c r="AY295" s="110" t="n"/>
      <c r="AZ295" s="110" t="n"/>
      <c r="BA295" s="110" t="n"/>
      <c r="BB295" s="110" t="n"/>
      <c r="BC295" t="inlineStr">
        <is>
          <t>ORIGINAL</t>
        </is>
      </c>
      <c r="BD295" t="n">
        <v>286</v>
      </c>
      <c r="BF295" s="109">
        <f>IF($BD295="","",SUMIF($BD$6:$BD$2000,$BD295,$J$6:$J$2000))</f>
        <v/>
      </c>
    </row>
    <row r="296" ht="19.5" customHeight="1">
      <c r="A296" s="96" t="inlineStr">
        <is>
          <t>PENDENTE</t>
        </is>
      </c>
      <c r="B296" s="26" t="inlineStr">
        <is>
          <t>RIACHUELO</t>
        </is>
      </c>
      <c r="C296" s="27" t="n">
        <v>312</v>
      </c>
      <c r="D296" s="26" t="inlineStr">
        <is>
          <t>PANTANAL SHOPPING</t>
        </is>
      </c>
      <c r="E296" s="26" t="inlineStr">
        <is>
          <t>CUIABÁ</t>
        </is>
      </c>
      <c r="F296" s="27" t="inlineStr">
        <is>
          <t>MT</t>
        </is>
      </c>
      <c r="G296" s="107" t="n">
        <v>46388</v>
      </c>
      <c r="H296" s="108">
        <f>IF($B296="","",SUM($K296:$AG296)+SUM($AS296:$BB296))</f>
        <v/>
      </c>
      <c r="I296" s="108">
        <f>IF($B296="","",SUM($AH296:$AL296))</f>
        <v/>
      </c>
      <c r="J296" s="109">
        <f>IF($B296="","",SUMPRODUCT($K296:$BB296,$K$2:$BB$2))</f>
        <v/>
      </c>
      <c r="K296" s="110" t="n">
        <v>9</v>
      </c>
      <c r="L296" s="110" t="n"/>
      <c r="M296" s="110" t="n">
        <v>7</v>
      </c>
      <c r="N296" s="110" t="n"/>
      <c r="O296" s="110" t="n"/>
      <c r="P296" s="110" t="n"/>
      <c r="Q296" s="110" t="n"/>
      <c r="R296" s="110" t="n"/>
      <c r="S296" s="110" t="n"/>
      <c r="T296" s="110" t="n"/>
      <c r="U296" s="110" t="n">
        <v>1</v>
      </c>
      <c r="V296" s="110" t="n"/>
      <c r="W296" s="110" t="n"/>
      <c r="X296" s="110" t="n"/>
      <c r="Y296" s="110" t="n"/>
      <c r="Z296" s="110" t="n"/>
      <c r="AA296" s="110" t="n">
        <v>5</v>
      </c>
      <c r="AB296" s="110" t="n"/>
      <c r="AC296" s="110" t="n"/>
      <c r="AD296" s="110" t="n"/>
      <c r="AE296" s="110" t="n"/>
      <c r="AF296" s="110" t="n"/>
      <c r="AG296" s="110" t="n"/>
      <c r="AH296" s="110" t="n">
        <v>24</v>
      </c>
      <c r="AI296" s="110" t="n"/>
      <c r="AJ296" s="110" t="n"/>
      <c r="AK296" s="110" t="n"/>
      <c r="AL296" s="110" t="n"/>
      <c r="AM296" s="110" t="n"/>
      <c r="AN296" s="110" t="n"/>
      <c r="AO296" s="110" t="n"/>
      <c r="AP296" s="110" t="n"/>
      <c r="AQ296" s="110" t="n"/>
      <c r="AR296" s="110" t="n"/>
      <c r="AS296" s="110" t="n"/>
      <c r="AT296" s="110" t="n"/>
      <c r="AU296" s="110" t="n"/>
      <c r="AV296" s="110" t="n"/>
      <c r="AW296" s="110" t="n"/>
      <c r="AX296" s="110" t="n"/>
      <c r="AY296" s="110" t="n"/>
      <c r="AZ296" s="110" t="n"/>
      <c r="BA296" s="110" t="n"/>
      <c r="BB296" s="110" t="n"/>
      <c r="BC296" t="inlineStr">
        <is>
          <t>ORIGINAL</t>
        </is>
      </c>
      <c r="BD296" t="n">
        <v>287</v>
      </c>
      <c r="BF296" s="109">
        <f>IF($BD296="","",SUMIF($BD$6:$BD$2000,$BD296,$J$6:$J$2000))</f>
        <v/>
      </c>
    </row>
    <row r="297" ht="19.5" customHeight="1">
      <c r="A297" s="96" t="inlineStr">
        <is>
          <t>PENDENTE</t>
        </is>
      </c>
      <c r="B297" s="26" t="inlineStr">
        <is>
          <t>RIACHUELO</t>
        </is>
      </c>
      <c r="C297" s="27" t="n">
        <v>313</v>
      </c>
      <c r="D297" s="26" t="inlineStr">
        <is>
          <t>CURITIBA SHOPPING</t>
        </is>
      </c>
      <c r="E297" s="26" t="inlineStr">
        <is>
          <t>CURITIBA</t>
        </is>
      </c>
      <c r="F297" s="27" t="inlineStr">
        <is>
          <t>PR</t>
        </is>
      </c>
      <c r="G297" s="107" t="n">
        <v>46054</v>
      </c>
      <c r="H297" s="108">
        <f>IF($B297="","",SUM($K297:$AG297)+SUM($AS297:$BB297))</f>
        <v/>
      </c>
      <c r="I297" s="108">
        <f>IF($B297="","",SUM($AH297:$AL297))</f>
        <v/>
      </c>
      <c r="J297" s="109">
        <f>IF($B297="","",SUMPRODUCT($K297:$BB297,$K$2:$BB$2))</f>
        <v/>
      </c>
      <c r="K297" s="110" t="n">
        <v>12</v>
      </c>
      <c r="L297" s="110" t="n"/>
      <c r="M297" s="110" t="n">
        <v>11</v>
      </c>
      <c r="N297" s="110" t="n"/>
      <c r="O297" s="110" t="n"/>
      <c r="P297" s="110" t="n"/>
      <c r="Q297" s="110" t="n"/>
      <c r="R297" s="110" t="n"/>
      <c r="S297" s="110" t="n"/>
      <c r="T297" s="110" t="n"/>
      <c r="U297" s="110" t="n"/>
      <c r="V297" s="110" t="n"/>
      <c r="W297" s="110" t="n"/>
      <c r="X297" s="110" t="n"/>
      <c r="Y297" s="110" t="n"/>
      <c r="Z297" s="110" t="n"/>
      <c r="AA297" s="110" t="n">
        <v>8</v>
      </c>
      <c r="AB297" s="110" t="n"/>
      <c r="AC297" s="110" t="n"/>
      <c r="AD297" s="110" t="n"/>
      <c r="AE297" s="110" t="n"/>
      <c r="AF297" s="110" t="n"/>
      <c r="AG297" s="110" t="n"/>
      <c r="AH297" s="110" t="n"/>
      <c r="AI297" s="110" t="n"/>
      <c r="AJ297" s="110" t="n">
        <v>24</v>
      </c>
      <c r="AK297" s="110" t="n"/>
      <c r="AL297" s="110" t="n"/>
      <c r="AM297" s="110" t="n"/>
      <c r="AN297" s="110" t="n"/>
      <c r="AO297" s="110" t="n"/>
      <c r="AP297" s="110" t="n"/>
      <c r="AQ297" s="110" t="n"/>
      <c r="AR297" s="110" t="n"/>
      <c r="AS297" s="110" t="n"/>
      <c r="AT297" s="110" t="n"/>
      <c r="AU297" s="110" t="n"/>
      <c r="AV297" s="110" t="n"/>
      <c r="AW297" s="110" t="n"/>
      <c r="AX297" s="110" t="n"/>
      <c r="AY297" s="110" t="n"/>
      <c r="AZ297" s="110" t="n"/>
      <c r="BA297" s="110" t="n"/>
      <c r="BB297" s="110" t="n"/>
      <c r="BC297" t="inlineStr">
        <is>
          <t>ORIGINAL</t>
        </is>
      </c>
      <c r="BD297" t="n">
        <v>288</v>
      </c>
      <c r="BF297" s="109">
        <f>IF($BD297="","",SUMIF($BD$6:$BD$2000,$BD297,$J$6:$J$2000))</f>
        <v/>
      </c>
    </row>
    <row r="298" ht="19.5" customHeight="1">
      <c r="A298" s="96" t="inlineStr">
        <is>
          <t>PENDENTE</t>
        </is>
      </c>
      <c r="B298" s="26" t="inlineStr">
        <is>
          <t>RIACHUELO</t>
        </is>
      </c>
      <c r="C298" s="27" t="n">
        <v>314</v>
      </c>
      <c r="D298" s="26" t="inlineStr">
        <is>
          <t>FORTALEZA BENFICA SH</t>
        </is>
      </c>
      <c r="E298" s="26" t="inlineStr">
        <is>
          <t>FORTALEZA</t>
        </is>
      </c>
      <c r="F298" s="27" t="inlineStr">
        <is>
          <t>CE</t>
        </is>
      </c>
      <c r="G298" s="107" t="n">
        <v>46266</v>
      </c>
      <c r="H298" s="108">
        <f>IF($B298="","",SUM($K298:$AG298)+SUM($AS298:$BB298))</f>
        <v/>
      </c>
      <c r="I298" s="108">
        <f>IF($B298="","",SUM($AH298:$AL298))</f>
        <v/>
      </c>
      <c r="J298" s="109">
        <f>IF($B298="","",SUMPRODUCT($K298:$BB298,$K$2:$BB$2))</f>
        <v/>
      </c>
      <c r="K298" s="110" t="n">
        <v>6</v>
      </c>
      <c r="L298" s="110" t="n"/>
      <c r="M298" s="110" t="n"/>
      <c r="N298" s="110" t="n">
        <v>8</v>
      </c>
      <c r="O298" s="110" t="n"/>
      <c r="P298" s="110" t="n">
        <v>1</v>
      </c>
      <c r="Q298" s="110" t="n"/>
      <c r="R298" s="110" t="n"/>
      <c r="S298" s="110" t="n"/>
      <c r="T298" s="110" t="n"/>
      <c r="U298" s="110" t="n">
        <v>3</v>
      </c>
      <c r="V298" s="110" t="n"/>
      <c r="W298" s="110" t="n"/>
      <c r="X298" s="110" t="n"/>
      <c r="Y298" s="110" t="n"/>
      <c r="Z298" s="110" t="n"/>
      <c r="AA298" s="110" t="n">
        <v>11</v>
      </c>
      <c r="AB298" s="110" t="n"/>
      <c r="AC298" s="110" t="n"/>
      <c r="AD298" s="110" t="n"/>
      <c r="AE298" s="110" t="n"/>
      <c r="AF298" s="110" t="n"/>
      <c r="AG298" s="110" t="n"/>
      <c r="AH298" s="110" t="n">
        <v>12</v>
      </c>
      <c r="AI298" s="110" t="n"/>
      <c r="AJ298" s="110" t="n"/>
      <c r="AK298" s="110" t="n"/>
      <c r="AL298" s="110" t="n"/>
      <c r="AM298" s="110" t="n"/>
      <c r="AN298" s="110" t="n"/>
      <c r="AO298" s="110" t="n"/>
      <c r="AP298" s="110" t="n"/>
      <c r="AQ298" s="110" t="n"/>
      <c r="AR298" s="110" t="n"/>
      <c r="AS298" s="110" t="n"/>
      <c r="AT298" s="110" t="n"/>
      <c r="AU298" s="110" t="n"/>
      <c r="AV298" s="110" t="n"/>
      <c r="AW298" s="110" t="n"/>
      <c r="AX298" s="110" t="n"/>
      <c r="AY298" s="110" t="n"/>
      <c r="AZ298" s="110" t="n"/>
      <c r="BA298" s="110" t="n"/>
      <c r="BB298" s="110" t="n"/>
      <c r="BC298" t="inlineStr">
        <is>
          <t>ORIGINAL</t>
        </is>
      </c>
      <c r="BD298" t="n">
        <v>289</v>
      </c>
      <c r="BF298" s="109">
        <f>IF($BD298="","",SUMIF($BD$6:$BD$2000,$BD298,$J$6:$J$2000))</f>
        <v/>
      </c>
    </row>
    <row r="299" ht="19.5" customHeight="1">
      <c r="A299" s="96" t="inlineStr">
        <is>
          <t>PENDENTE</t>
        </is>
      </c>
      <c r="B299" s="26" t="inlineStr">
        <is>
          <t>RIACHUELO</t>
        </is>
      </c>
      <c r="C299" s="27" t="n">
        <v>315</v>
      </c>
      <c r="D299" s="26" t="inlineStr">
        <is>
          <t>BARRA SH</t>
        </is>
      </c>
      <c r="E299" s="26" t="inlineStr">
        <is>
          <t>RIO DE JANEIRO</t>
        </is>
      </c>
      <c r="F299" s="27" t="inlineStr">
        <is>
          <t>RJ</t>
        </is>
      </c>
      <c r="G299" s="107" t="n">
        <v>46082</v>
      </c>
      <c r="H299" s="108">
        <f>IF($B299="","",SUM($K299:$AG299)+SUM($AS299:$BB299))</f>
        <v/>
      </c>
      <c r="I299" s="108">
        <f>IF($B299="","",SUM($AH299:$AL299))</f>
        <v/>
      </c>
      <c r="J299" s="109">
        <f>IF($B299="","",SUMPRODUCT($K299:$BB299,$K$2:$BB$2))</f>
        <v/>
      </c>
      <c r="K299" s="110" t="n">
        <v>11</v>
      </c>
      <c r="L299" s="110" t="n"/>
      <c r="M299" s="110" t="n"/>
      <c r="N299" s="110" t="n">
        <v>3</v>
      </c>
      <c r="O299" s="110" t="n"/>
      <c r="P299" s="110" t="n"/>
      <c r="Q299" s="110" t="n"/>
      <c r="R299" s="110" t="n"/>
      <c r="S299" s="110" t="n"/>
      <c r="T299" s="110" t="n"/>
      <c r="U299" s="110" t="n"/>
      <c r="V299" s="110" t="n"/>
      <c r="W299" s="110" t="n"/>
      <c r="X299" s="110" t="n"/>
      <c r="Y299" s="110" t="n"/>
      <c r="Z299" s="110" t="n"/>
      <c r="AA299" s="110" t="n">
        <v>10</v>
      </c>
      <c r="AB299" s="110" t="n"/>
      <c r="AC299" s="110" t="n"/>
      <c r="AD299" s="110" t="n"/>
      <c r="AE299" s="110" t="n"/>
      <c r="AF299" s="110" t="n"/>
      <c r="AG299" s="110" t="n"/>
      <c r="AH299" s="110" t="n">
        <v>12</v>
      </c>
      <c r="AI299" s="110" t="n"/>
      <c r="AJ299" s="110" t="n"/>
      <c r="AK299" s="110" t="n"/>
      <c r="AL299" s="110" t="n"/>
      <c r="AM299" s="110" t="n"/>
      <c r="AN299" s="110" t="n"/>
      <c r="AO299" s="110" t="n"/>
      <c r="AP299" s="110" t="n"/>
      <c r="AQ299" s="110" t="n"/>
      <c r="AR299" s="110" t="n"/>
      <c r="AS299" s="110" t="n"/>
      <c r="AT299" s="110" t="n"/>
      <c r="AU299" s="110" t="n"/>
      <c r="AV299" s="110" t="n"/>
      <c r="AW299" s="110" t="n"/>
      <c r="AX299" s="110" t="n"/>
      <c r="AY299" s="110" t="n"/>
      <c r="AZ299" s="110" t="n"/>
      <c r="BA299" s="110" t="n"/>
      <c r="BB299" s="110" t="n"/>
      <c r="BC299" t="inlineStr">
        <is>
          <t>ORIGINAL</t>
        </is>
      </c>
      <c r="BD299" t="n">
        <v>290</v>
      </c>
      <c r="BF299" s="109">
        <f>IF($BD299="","",SUMIF($BD$6:$BD$2000,$BD299,$J$6:$J$2000))</f>
        <v/>
      </c>
    </row>
    <row r="300" ht="19.5" customHeight="1">
      <c r="A300" s="96" t="inlineStr">
        <is>
          <t>PENDENTE</t>
        </is>
      </c>
      <c r="B300" s="26" t="inlineStr">
        <is>
          <t>RIACHUELO</t>
        </is>
      </c>
      <c r="C300" s="27" t="n">
        <v>316</v>
      </c>
      <c r="D300" s="26" t="inlineStr">
        <is>
          <t xml:space="preserve">PR GUARAPUAVA CIDADE DOS LAGOS SH </t>
        </is>
      </c>
      <c r="E300" s="26" t="inlineStr">
        <is>
          <t>GUARAPUAVA</t>
        </is>
      </c>
      <c r="F300" s="27" t="inlineStr">
        <is>
          <t>PR</t>
        </is>
      </c>
      <c r="G300" s="107" t="n">
        <v>46082</v>
      </c>
      <c r="H300" s="108">
        <f>IF($B300="","",SUM($K300:$AG300)+SUM($AS300:$BB300))</f>
        <v/>
      </c>
      <c r="I300" s="108">
        <f>IF($B300="","",SUM($AH300:$AL300))</f>
        <v/>
      </c>
      <c r="J300" s="109">
        <f>IF($B300="","",SUMPRODUCT($K300:$BB300,$K$2:$BB$2))</f>
        <v/>
      </c>
      <c r="K300" s="110" t="n">
        <v>6</v>
      </c>
      <c r="L300" s="110" t="n"/>
      <c r="M300" s="110" t="n">
        <v>1</v>
      </c>
      <c r="N300" s="110" t="n">
        <v>4</v>
      </c>
      <c r="O300" s="110" t="n"/>
      <c r="P300" s="110" t="n"/>
      <c r="Q300" s="110" t="n"/>
      <c r="R300" s="110" t="n"/>
      <c r="S300" s="110" t="n"/>
      <c r="T300" s="110" t="n">
        <v>1</v>
      </c>
      <c r="U300" s="110" t="n"/>
      <c r="V300" s="110" t="n"/>
      <c r="W300" s="110" t="n"/>
      <c r="X300" s="110" t="n"/>
      <c r="Y300" s="110" t="n"/>
      <c r="Z300" s="110" t="n"/>
      <c r="AA300" s="110" t="n">
        <v>3</v>
      </c>
      <c r="AB300" s="110" t="n"/>
      <c r="AC300" s="110" t="n"/>
      <c r="AD300" s="110" t="n"/>
      <c r="AE300" s="110" t="n"/>
      <c r="AF300" s="110" t="n"/>
      <c r="AG300" s="110" t="n"/>
      <c r="AH300" s="110" t="n"/>
      <c r="AI300" s="110" t="n"/>
      <c r="AJ300" s="110" t="n">
        <v>12</v>
      </c>
      <c r="AK300" s="110" t="n"/>
      <c r="AL300" s="110" t="n"/>
      <c r="AM300" s="110" t="n"/>
      <c r="AN300" s="110" t="n"/>
      <c r="AO300" s="110" t="n"/>
      <c r="AP300" s="110" t="n"/>
      <c r="AQ300" s="110" t="n"/>
      <c r="AR300" s="110" t="n"/>
      <c r="AS300" s="110" t="n"/>
      <c r="AT300" s="110" t="n"/>
      <c r="AU300" s="110" t="n"/>
      <c r="AV300" s="110" t="n"/>
      <c r="AW300" s="110" t="n"/>
      <c r="AX300" s="110" t="n"/>
      <c r="AY300" s="110" t="n"/>
      <c r="AZ300" s="110" t="n"/>
      <c r="BA300" s="110" t="n"/>
      <c r="BB300" s="110" t="n"/>
      <c r="BC300" t="inlineStr">
        <is>
          <t>ORIGINAL</t>
        </is>
      </c>
      <c r="BD300" t="n">
        <v>291</v>
      </c>
      <c r="BF300" s="109">
        <f>IF($BD300="","",SUMIF($BD$6:$BD$2000,$BD300,$J$6:$J$2000))</f>
        <v/>
      </c>
    </row>
    <row r="301" ht="19.5" customHeight="1">
      <c r="A301" s="96" t="inlineStr">
        <is>
          <t>PENDENTE</t>
        </is>
      </c>
      <c r="B301" s="26" t="inlineStr">
        <is>
          <t>RIACHUELO</t>
        </is>
      </c>
      <c r="C301" s="27" t="n">
        <v>317</v>
      </c>
      <c r="D301" s="26" t="inlineStr">
        <is>
          <t>PATIO ALCANTARA SH</t>
        </is>
      </c>
      <c r="E301" s="26" t="inlineStr">
        <is>
          <t>SAO GONCALO</t>
        </is>
      </c>
      <c r="F301" s="27" t="inlineStr">
        <is>
          <t>RJ</t>
        </is>
      </c>
      <c r="G301" s="107" t="n">
        <v>46082</v>
      </c>
      <c r="H301" s="108">
        <f>IF($B301="","",SUM($K301:$AG301)+SUM($AS301:$BB301))</f>
        <v/>
      </c>
      <c r="I301" s="108">
        <f>IF($B301="","",SUM($AH301:$AL301))</f>
        <v/>
      </c>
      <c r="J301" s="109">
        <f>IF($B301="","",SUMPRODUCT($K301:$BB301,$K$2:$BB$2))</f>
        <v/>
      </c>
      <c r="K301" s="110" t="n">
        <v>8</v>
      </c>
      <c r="L301" s="110" t="n"/>
      <c r="M301" s="110" t="n">
        <v>7</v>
      </c>
      <c r="N301" s="110" t="n"/>
      <c r="O301" s="110" t="n"/>
      <c r="P301" s="110" t="n"/>
      <c r="Q301" s="110" t="n"/>
      <c r="R301" s="110" t="n"/>
      <c r="S301" s="110" t="n"/>
      <c r="T301" s="110" t="n"/>
      <c r="U301" s="110" t="n"/>
      <c r="V301" s="110" t="n"/>
      <c r="W301" s="110" t="n"/>
      <c r="X301" s="110" t="n"/>
      <c r="Y301" s="110" t="n"/>
      <c r="Z301" s="110" t="n"/>
      <c r="AA301" s="110" t="n">
        <v>5</v>
      </c>
      <c r="AB301" s="110" t="n"/>
      <c r="AC301" s="110" t="n"/>
      <c r="AD301" s="110" t="n"/>
      <c r="AE301" s="110" t="n"/>
      <c r="AF301" s="110" t="n"/>
      <c r="AG301" s="110" t="n"/>
      <c r="AH301" s="110" t="n">
        <v>8</v>
      </c>
      <c r="AI301" s="110" t="n"/>
      <c r="AJ301" s="110" t="n"/>
      <c r="AK301" s="110" t="n"/>
      <c r="AL301" s="110" t="n"/>
      <c r="AM301" s="110" t="n"/>
      <c r="AN301" s="110" t="n"/>
      <c r="AO301" s="110" t="n"/>
      <c r="AP301" s="110" t="n"/>
      <c r="AQ301" s="110" t="n"/>
      <c r="AR301" s="110" t="n"/>
      <c r="AS301" s="110" t="n"/>
      <c r="AT301" s="110" t="n"/>
      <c r="AU301" s="110" t="n"/>
      <c r="AV301" s="110" t="n"/>
      <c r="AW301" s="110" t="n"/>
      <c r="AX301" s="110" t="n"/>
      <c r="AY301" s="110" t="n"/>
      <c r="AZ301" s="110" t="n"/>
      <c r="BA301" s="110" t="n"/>
      <c r="BB301" s="110" t="n"/>
      <c r="BC301" t="inlineStr">
        <is>
          <t>ORIGINAL</t>
        </is>
      </c>
      <c r="BD301" t="n">
        <v>292</v>
      </c>
      <c r="BF301" s="109">
        <f>IF($BD301="","",SUMIF($BD$6:$BD$2000,$BD301,$J$6:$J$2000))</f>
        <v/>
      </c>
    </row>
    <row r="302" ht="19.5" customHeight="1">
      <c r="A302" s="96" t="inlineStr">
        <is>
          <t>PENDENTE</t>
        </is>
      </c>
      <c r="B302" s="26" t="inlineStr">
        <is>
          <t>RIACHUELO</t>
        </is>
      </c>
      <c r="C302" s="27" t="n">
        <v>318</v>
      </c>
      <c r="D302" s="26" t="inlineStr">
        <is>
          <t>PARNAIBA SHOPPING</t>
        </is>
      </c>
      <c r="E302" s="26" t="inlineStr">
        <is>
          <t>PARNAIBA</t>
        </is>
      </c>
      <c r="F302" s="27" t="inlineStr">
        <is>
          <t>PI</t>
        </is>
      </c>
      <c r="G302" s="107" t="n">
        <v>46296</v>
      </c>
      <c r="H302" s="108">
        <f>IF($B302="","",SUM($K302:$AG302)+SUM($AS302:$BB302))</f>
        <v/>
      </c>
      <c r="I302" s="108">
        <f>IF($B302="","",SUM($AH302:$AL302))</f>
        <v/>
      </c>
      <c r="J302" s="109">
        <f>IF($B302="","",SUMPRODUCT($K302:$BB302,$K$2:$BB$2))</f>
        <v/>
      </c>
      <c r="K302" s="110" t="n">
        <v>3</v>
      </c>
      <c r="L302" s="110" t="n"/>
      <c r="M302" s="110" t="n"/>
      <c r="N302" s="110" t="n">
        <v>6</v>
      </c>
      <c r="O302" s="110" t="n"/>
      <c r="P302" s="110" t="n"/>
      <c r="Q302" s="110" t="n"/>
      <c r="R302" s="110" t="n"/>
      <c r="S302" s="110" t="n"/>
      <c r="T302" s="110" t="n"/>
      <c r="U302" s="110" t="n"/>
      <c r="V302" s="110" t="n"/>
      <c r="W302" s="110" t="n"/>
      <c r="X302" s="110" t="n"/>
      <c r="Y302" s="110" t="n"/>
      <c r="Z302" s="110" t="n"/>
      <c r="AA302" s="110" t="n">
        <v>7</v>
      </c>
      <c r="AB302" s="110" t="n"/>
      <c r="AC302" s="110" t="n"/>
      <c r="AD302" s="110" t="n"/>
      <c r="AE302" s="110" t="n"/>
      <c r="AF302" s="110" t="n"/>
      <c r="AG302" s="110" t="n"/>
      <c r="AH302" s="110" t="n">
        <v>8</v>
      </c>
      <c r="AI302" s="110" t="n"/>
      <c r="AJ302" s="110" t="n"/>
      <c r="AK302" s="110" t="n"/>
      <c r="AL302" s="110" t="n"/>
      <c r="AM302" s="110" t="n"/>
      <c r="AN302" s="110" t="n"/>
      <c r="AO302" s="110" t="n"/>
      <c r="AP302" s="110" t="n"/>
      <c r="AQ302" s="110" t="n"/>
      <c r="AR302" s="110" t="n"/>
      <c r="AS302" s="110" t="n"/>
      <c r="AT302" s="110" t="n"/>
      <c r="AU302" s="110" t="n"/>
      <c r="AV302" s="110" t="n"/>
      <c r="AW302" s="110" t="n"/>
      <c r="AX302" s="110" t="n"/>
      <c r="AY302" s="110" t="n"/>
      <c r="AZ302" s="110" t="n"/>
      <c r="BA302" s="110" t="n"/>
      <c r="BB302" s="110" t="n"/>
      <c r="BC302" t="inlineStr">
        <is>
          <t>ORIGINAL</t>
        </is>
      </c>
      <c r="BD302" t="n">
        <v>293</v>
      </c>
      <c r="BF302" s="109">
        <f>IF($BD302="","",SUMIF($BD$6:$BD$2000,$BD302,$J$6:$J$2000))</f>
        <v/>
      </c>
    </row>
    <row r="303" ht="19.5" customHeight="1">
      <c r="A303" s="96" t="inlineStr">
        <is>
          <t>PENDENTE</t>
        </is>
      </c>
      <c r="B303" s="26" t="inlineStr">
        <is>
          <t>RIACHUELO</t>
        </is>
      </c>
      <c r="C303" s="27" t="n">
        <v>319</v>
      </c>
      <c r="D303" s="26" t="inlineStr">
        <is>
          <t>PARQUE SHOPPING MAIA</t>
        </is>
      </c>
      <c r="E303" s="26" t="inlineStr">
        <is>
          <t>GUARULHOS</t>
        </is>
      </c>
      <c r="F303" s="27" t="inlineStr">
        <is>
          <t>SP</t>
        </is>
      </c>
      <c r="G303" s="107" t="n">
        <v>46203</v>
      </c>
      <c r="H303" s="108">
        <f>IF($B303="","",SUM($K303:$AG303)+SUM($AS303:$BB303))</f>
        <v/>
      </c>
      <c r="I303" s="108">
        <f>IF($B303="","",SUM($AH303:$AL303))</f>
        <v/>
      </c>
      <c r="J303" s="109">
        <f>IF($B303="","",SUMPRODUCT($K303:$BB303,$K$2:$BB$2))</f>
        <v/>
      </c>
      <c r="K303" s="110" t="n">
        <v>6</v>
      </c>
      <c r="L303" s="110" t="n"/>
      <c r="M303" s="110" t="n">
        <v>2</v>
      </c>
      <c r="N303" s="110" t="n"/>
      <c r="O303" s="110" t="n"/>
      <c r="P303" s="110" t="n"/>
      <c r="Q303" s="110" t="n"/>
      <c r="R303" s="110" t="n"/>
      <c r="S303" s="110" t="n"/>
      <c r="T303" s="110" t="n"/>
      <c r="U303" s="110" t="n"/>
      <c r="V303" s="110" t="n"/>
      <c r="W303" s="110" t="n"/>
      <c r="X303" s="110" t="n"/>
      <c r="Y303" s="110" t="n"/>
      <c r="Z303" s="110" t="n"/>
      <c r="AA303" s="110" t="n">
        <v>4</v>
      </c>
      <c r="AB303" s="110" t="n"/>
      <c r="AC303" s="110" t="n"/>
      <c r="AD303" s="110" t="n"/>
      <c r="AE303" s="110" t="n"/>
      <c r="AF303" s="110" t="n"/>
      <c r="AG303" s="110" t="n"/>
      <c r="AH303" s="110" t="n">
        <v>6</v>
      </c>
      <c r="AI303" s="110" t="n"/>
      <c r="AJ303" s="110" t="n"/>
      <c r="AK303" s="110" t="n"/>
      <c r="AL303" s="110" t="n"/>
      <c r="AM303" s="110" t="n"/>
      <c r="AN303" s="110" t="n"/>
      <c r="AO303" s="110" t="n"/>
      <c r="AP303" s="110" t="n"/>
      <c r="AQ303" s="110" t="n"/>
      <c r="AR303" s="110" t="n"/>
      <c r="AS303" s="110" t="n"/>
      <c r="AT303" s="110" t="n"/>
      <c r="AU303" s="110" t="n"/>
      <c r="AV303" s="110" t="n"/>
      <c r="AW303" s="110" t="n"/>
      <c r="AX303" s="110" t="n"/>
      <c r="AY303" s="110" t="n"/>
      <c r="AZ303" s="110" t="n"/>
      <c r="BA303" s="110" t="n"/>
      <c r="BB303" s="110" t="n"/>
      <c r="BC303" t="inlineStr">
        <is>
          <t>ORIGINAL</t>
        </is>
      </c>
      <c r="BD303" t="n">
        <v>294</v>
      </c>
      <c r="BF303" s="109">
        <f>IF($BD303="","",SUMIF($BD$6:$BD$2000,$BD303,$J$6:$J$2000))</f>
        <v/>
      </c>
    </row>
    <row r="304" ht="19.5" customHeight="1">
      <c r="A304" s="96" t="inlineStr">
        <is>
          <t>PENDENTE</t>
        </is>
      </c>
      <c r="B304" s="26" t="inlineStr">
        <is>
          <t>RIACHUELO</t>
        </is>
      </c>
      <c r="C304" s="27" t="n">
        <v>321</v>
      </c>
      <c r="D304" s="26" t="inlineStr">
        <is>
          <t>SUMARÉ PARK CITY SH</t>
        </is>
      </c>
      <c r="E304" s="26" t="inlineStr">
        <is>
          <t xml:space="preserve">SUMARÉ </t>
        </is>
      </c>
      <c r="F304" s="27" t="inlineStr">
        <is>
          <t>SP</t>
        </is>
      </c>
      <c r="G304" s="107" t="n">
        <v>46204</v>
      </c>
      <c r="H304" s="108">
        <f>IF($B304="","",SUM($K304:$AG304)+SUM($AS304:$BB304))</f>
        <v/>
      </c>
      <c r="I304" s="108">
        <f>IF($B304="","",SUM($AH304:$AL304))</f>
        <v/>
      </c>
      <c r="J304" s="109">
        <f>IF($B304="","",SUMPRODUCT($K304:$BB304,$K$2:$BB$2))</f>
        <v/>
      </c>
      <c r="K304" s="110" t="n"/>
      <c r="L304" s="110" t="n"/>
      <c r="M304" s="110" t="n">
        <v>12</v>
      </c>
      <c r="N304" s="110" t="n">
        <v>1</v>
      </c>
      <c r="O304" s="110" t="n"/>
      <c r="P304" s="110" t="n"/>
      <c r="Q304" s="110" t="n"/>
      <c r="R304" s="110" t="n"/>
      <c r="S304" s="110" t="n"/>
      <c r="T304" s="110" t="n"/>
      <c r="U304" s="110" t="n"/>
      <c r="V304" s="110" t="n"/>
      <c r="W304" s="110" t="n"/>
      <c r="X304" s="110" t="n"/>
      <c r="Y304" s="110" t="n"/>
      <c r="Z304" s="110" t="n"/>
      <c r="AA304" s="110" t="n">
        <v>2</v>
      </c>
      <c r="AB304" s="110" t="n"/>
      <c r="AC304" s="110" t="n"/>
      <c r="AD304" s="110" t="n"/>
      <c r="AE304" s="110" t="n"/>
      <c r="AF304" s="110" t="n"/>
      <c r="AG304" s="110" t="n"/>
      <c r="AH304" s="110" t="n">
        <v>4</v>
      </c>
      <c r="AI304" s="110" t="n"/>
      <c r="AJ304" s="110" t="n">
        <v>4</v>
      </c>
      <c r="AK304" s="110" t="n"/>
      <c r="AL304" s="110" t="n"/>
      <c r="AM304" s="110" t="n"/>
      <c r="AN304" s="110" t="n"/>
      <c r="AO304" s="110" t="n"/>
      <c r="AP304" s="110" t="n"/>
      <c r="AQ304" s="110" t="n"/>
      <c r="AR304" s="110" t="n"/>
      <c r="AS304" s="110" t="n"/>
      <c r="AT304" s="110" t="n"/>
      <c r="AU304" s="110" t="n"/>
      <c r="AV304" s="110" t="n"/>
      <c r="AW304" s="110" t="n"/>
      <c r="AX304" s="110" t="n"/>
      <c r="AY304" s="110" t="n"/>
      <c r="AZ304" s="110" t="n"/>
      <c r="BA304" s="110" t="n"/>
      <c r="BB304" s="110" t="n"/>
      <c r="BC304" t="inlineStr">
        <is>
          <t>ORIGINAL</t>
        </is>
      </c>
      <c r="BD304" t="n">
        <v>295</v>
      </c>
      <c r="BF304" s="109">
        <f>IF($BD304="","",SUMIF($BD$6:$BD$2000,$BD304,$J$6:$J$2000))</f>
        <v/>
      </c>
    </row>
    <row r="305" ht="19.5" customHeight="1">
      <c r="A305" s="96" t="inlineStr">
        <is>
          <t>PENDENTE</t>
        </is>
      </c>
      <c r="B305" s="26" t="inlineStr">
        <is>
          <t>RIACHUELO</t>
        </is>
      </c>
      <c r="C305" s="27" t="n">
        <v>323</v>
      </c>
      <c r="D305" s="26" t="inlineStr">
        <is>
          <t>UBERLÂNDIA SHOPPING</t>
        </is>
      </c>
      <c r="E305" s="26" t="inlineStr">
        <is>
          <t>UBERLANDIA</t>
        </is>
      </c>
      <c r="F305" s="27" t="inlineStr">
        <is>
          <t>MG</t>
        </is>
      </c>
      <c r="G305" s="107" t="n">
        <v>46203</v>
      </c>
      <c r="H305" s="108">
        <f>IF($B305="","",SUM($K305:$AG305)+SUM($AS305:$BB305))</f>
        <v/>
      </c>
      <c r="I305" s="108">
        <f>IF($B305="","",SUM($AH305:$AL305))</f>
        <v/>
      </c>
      <c r="J305" s="109">
        <f>IF($B305="","",SUMPRODUCT($K305:$BB305,$K$2:$BB$2))</f>
        <v/>
      </c>
      <c r="K305" s="110" t="n">
        <v>1</v>
      </c>
      <c r="L305" s="110" t="n"/>
      <c r="M305" s="110" t="n"/>
      <c r="N305" s="110" t="n"/>
      <c r="O305" s="110" t="n"/>
      <c r="P305" s="110" t="n"/>
      <c r="Q305" s="110" t="n"/>
      <c r="R305" s="110" t="n"/>
      <c r="S305" s="110" t="n">
        <v>1</v>
      </c>
      <c r="T305" s="110" t="n"/>
      <c r="U305" s="110" t="n">
        <v>13</v>
      </c>
      <c r="V305" s="110" t="n"/>
      <c r="W305" s="110" t="n"/>
      <c r="X305" s="110" t="n"/>
      <c r="Y305" s="110" t="n"/>
      <c r="Z305" s="110" t="n"/>
      <c r="AA305" s="110" t="n">
        <v>8</v>
      </c>
      <c r="AB305" s="110" t="n"/>
      <c r="AC305" s="110" t="n"/>
      <c r="AD305" s="110" t="n"/>
      <c r="AE305" s="110" t="n"/>
      <c r="AF305" s="110" t="n"/>
      <c r="AG305" s="110" t="n"/>
      <c r="AH305" s="110" t="n">
        <v>16</v>
      </c>
      <c r="AI305" s="110" t="n"/>
      <c r="AJ305" s="110" t="n"/>
      <c r="AK305" s="110" t="n"/>
      <c r="AL305" s="110" t="n"/>
      <c r="AM305" s="110" t="n"/>
      <c r="AN305" s="110" t="n"/>
      <c r="AO305" s="110" t="n"/>
      <c r="AP305" s="110" t="n"/>
      <c r="AQ305" s="110" t="n"/>
      <c r="AR305" s="110" t="n"/>
      <c r="AS305" s="110" t="n"/>
      <c r="AT305" s="110" t="n"/>
      <c r="AU305" s="110" t="n"/>
      <c r="AV305" s="110" t="n"/>
      <c r="AW305" s="110" t="n"/>
      <c r="AX305" s="110" t="n"/>
      <c r="AY305" s="110" t="n"/>
      <c r="AZ305" s="110" t="n"/>
      <c r="BA305" s="110" t="n"/>
      <c r="BB305" s="110" t="n"/>
      <c r="BC305" t="inlineStr">
        <is>
          <t>ORIGINAL</t>
        </is>
      </c>
      <c r="BD305" t="n">
        <v>296</v>
      </c>
      <c r="BF305" s="109">
        <f>IF($BD305="","",SUMIF($BD$6:$BD$2000,$BD305,$J$6:$J$2000))</f>
        <v/>
      </c>
    </row>
    <row r="306" ht="19.5" customHeight="1">
      <c r="A306" s="96" t="inlineStr">
        <is>
          <t>PENDENTE</t>
        </is>
      </c>
      <c r="B306" s="26" t="inlineStr">
        <is>
          <t>RIACHUELO</t>
        </is>
      </c>
      <c r="C306" s="27" t="n">
        <v>330</v>
      </c>
      <c r="D306" s="26" t="inlineStr">
        <is>
          <t>RIO BOULEVARD SH</t>
        </is>
      </c>
      <c r="E306" s="26" t="inlineStr">
        <is>
          <t>RIO DE JANEIRO</t>
        </is>
      </c>
      <c r="F306" s="27" t="inlineStr">
        <is>
          <t>RJ</t>
        </is>
      </c>
      <c r="G306" s="107" t="n">
        <v>46388</v>
      </c>
      <c r="H306" s="108">
        <f>IF($B306="","",SUM($K306:$AG306)+SUM($AS306:$BB306))</f>
        <v/>
      </c>
      <c r="I306" s="108">
        <f>IF($B306="","",SUM($AH306:$AL306))</f>
        <v/>
      </c>
      <c r="J306" s="109">
        <f>IF($B306="","",SUMPRODUCT($K306:$BB306,$K$2:$BB$2))</f>
        <v/>
      </c>
      <c r="K306" s="110" t="n">
        <v>6</v>
      </c>
      <c r="L306" s="110" t="n"/>
      <c r="M306" s="110" t="n">
        <v>4</v>
      </c>
      <c r="N306" s="110" t="n"/>
      <c r="O306" s="110" t="n"/>
      <c r="P306" s="110" t="n"/>
      <c r="Q306" s="110" t="n"/>
      <c r="R306" s="110" t="n"/>
      <c r="S306" s="110" t="n"/>
      <c r="T306" s="110" t="n"/>
      <c r="U306" s="110" t="n"/>
      <c r="V306" s="110" t="n"/>
      <c r="W306" s="110" t="n"/>
      <c r="X306" s="110" t="n"/>
      <c r="Y306" s="110" t="n"/>
      <c r="Z306" s="110" t="n"/>
      <c r="AA306" s="110" t="n">
        <v>8</v>
      </c>
      <c r="AB306" s="110" t="n"/>
      <c r="AC306" s="110" t="n"/>
      <c r="AD306" s="110" t="n"/>
      <c r="AE306" s="110" t="n"/>
      <c r="AF306" s="110" t="n"/>
      <c r="AG306" s="110" t="n"/>
      <c r="AH306" s="110" t="n">
        <v>20</v>
      </c>
      <c r="AI306" s="110" t="n"/>
      <c r="AJ306" s="110" t="n"/>
      <c r="AK306" s="110" t="n"/>
      <c r="AL306" s="110" t="n"/>
      <c r="AM306" s="110" t="n"/>
      <c r="AN306" s="110" t="n"/>
      <c r="AO306" s="110" t="n"/>
      <c r="AP306" s="110" t="n"/>
      <c r="AQ306" s="110" t="n"/>
      <c r="AR306" s="110" t="n"/>
      <c r="AS306" s="110" t="n"/>
      <c r="AT306" s="110" t="n"/>
      <c r="AU306" s="110" t="n"/>
      <c r="AV306" s="110" t="n"/>
      <c r="AW306" s="110" t="n"/>
      <c r="AX306" s="110" t="n"/>
      <c r="AY306" s="110" t="n"/>
      <c r="AZ306" s="110" t="n"/>
      <c r="BA306" s="110" t="n"/>
      <c r="BB306" s="110" t="n"/>
      <c r="BC306" t="inlineStr">
        <is>
          <t>ORIGINAL</t>
        </is>
      </c>
      <c r="BD306" t="n">
        <v>297</v>
      </c>
      <c r="BF306" s="109">
        <f>IF($BD306="","",SUMIF($BD$6:$BD$2000,$BD306,$J$6:$J$2000))</f>
        <v/>
      </c>
    </row>
    <row r="307" ht="19.5" customHeight="1">
      <c r="A307" s="96" t="inlineStr">
        <is>
          <t>PENDENTE</t>
        </is>
      </c>
      <c r="B307" s="26" t="inlineStr">
        <is>
          <t>RIACHUELO</t>
        </is>
      </c>
      <c r="C307" s="27" t="n">
        <v>333</v>
      </c>
      <c r="D307" s="26" t="inlineStr">
        <is>
          <t xml:space="preserve">VITORIA DA CONQUISTA BOULEVARD </t>
        </is>
      </c>
      <c r="E307" s="26" t="inlineStr">
        <is>
          <t>VITORIA DA CONQUISTA</t>
        </is>
      </c>
      <c r="F307" s="27" t="inlineStr">
        <is>
          <t>BA</t>
        </is>
      </c>
      <c r="G307" s="107" t="n">
        <v>46204</v>
      </c>
      <c r="H307" s="108">
        <f>IF($B307="","",SUM($K307:$AG307)+SUM($AS307:$BB307))</f>
        <v/>
      </c>
      <c r="I307" s="108">
        <f>IF($B307="","",SUM($AH307:$AL307))</f>
        <v/>
      </c>
      <c r="J307" s="109">
        <f>IF($B307="","",SUMPRODUCT($K307:$BB307,$K$2:$BB$2))</f>
        <v/>
      </c>
      <c r="K307" s="110" t="n"/>
      <c r="L307" s="110" t="n"/>
      <c r="M307" s="110" t="n"/>
      <c r="N307" s="110" t="n"/>
      <c r="O307" s="110" t="n"/>
      <c r="P307" s="110" t="n"/>
      <c r="Q307" s="110" t="n"/>
      <c r="R307" s="110" t="n"/>
      <c r="S307" s="110" t="n"/>
      <c r="T307" s="110" t="n"/>
      <c r="U307" s="110" t="n">
        <v>22</v>
      </c>
      <c r="V307" s="110" t="n"/>
      <c r="W307" s="110" t="n"/>
      <c r="X307" s="110" t="n"/>
      <c r="Y307" s="110" t="n"/>
      <c r="Z307" s="110" t="n"/>
      <c r="AA307" s="110" t="n">
        <v>1</v>
      </c>
      <c r="AB307" s="110" t="n"/>
      <c r="AC307" s="110" t="n"/>
      <c r="AD307" s="110" t="n"/>
      <c r="AE307" s="110" t="n"/>
      <c r="AF307" s="110" t="n"/>
      <c r="AG307" s="110" t="n"/>
      <c r="AH307" s="110" t="n">
        <v>20</v>
      </c>
      <c r="AI307" s="110" t="n"/>
      <c r="AJ307" s="110" t="n"/>
      <c r="AK307" s="110" t="n"/>
      <c r="AL307" s="110" t="n"/>
      <c r="AM307" s="110" t="n"/>
      <c r="AN307" s="110" t="n"/>
      <c r="AO307" s="110" t="n"/>
      <c r="AP307" s="110" t="n"/>
      <c r="AQ307" s="110" t="n"/>
      <c r="AR307" s="110" t="n"/>
      <c r="AS307" s="110" t="n"/>
      <c r="AT307" s="110" t="n"/>
      <c r="AU307" s="110" t="n"/>
      <c r="AV307" s="110" t="n"/>
      <c r="AW307" s="110" t="n"/>
      <c r="AX307" s="110" t="n"/>
      <c r="AY307" s="110" t="n"/>
      <c r="AZ307" s="110" t="n"/>
      <c r="BA307" s="110" t="n"/>
      <c r="BB307" s="110" t="n"/>
      <c r="BC307" t="inlineStr">
        <is>
          <t>ORIGINAL</t>
        </is>
      </c>
      <c r="BD307" t="n">
        <v>298</v>
      </c>
      <c r="BF307" s="109">
        <f>IF($BD307="","",SUMIF($BD$6:$BD$2000,$BD307,$J$6:$J$2000))</f>
        <v/>
      </c>
    </row>
    <row r="308" ht="19.5" customHeight="1">
      <c r="A308" s="96" t="inlineStr">
        <is>
          <t>PENDENTE</t>
        </is>
      </c>
      <c r="B308" s="26" t="inlineStr">
        <is>
          <t>RIACHUELO</t>
        </is>
      </c>
      <c r="C308" s="27" t="n">
        <v>27</v>
      </c>
      <c r="D308" s="26" t="inlineStr">
        <is>
          <t>PELOTAS SH</t>
        </is>
      </c>
      <c r="E308" s="26" t="inlineStr">
        <is>
          <t>PELOTAS</t>
        </is>
      </c>
      <c r="F308" s="27" t="inlineStr">
        <is>
          <t>RS</t>
        </is>
      </c>
      <c r="G308" s="107" t="n">
        <v>46266</v>
      </c>
      <c r="H308" s="108">
        <f>IF($B308="","",SUM($K308:$AG308)+SUM($AS308:$BB308))</f>
        <v/>
      </c>
      <c r="I308" s="108">
        <f>IF($B308="","",SUM($AH308:$AL308))</f>
        <v/>
      </c>
      <c r="J308" s="109">
        <f>IF($B308="","",SUMPRODUCT($K308:$BB308,$K$2:$BB$2))</f>
        <v/>
      </c>
      <c r="K308" s="110" t="n">
        <v>17</v>
      </c>
      <c r="L308" s="110" t="n"/>
      <c r="M308" s="110" t="n"/>
      <c r="N308" s="110" t="n"/>
      <c r="O308" s="110" t="n"/>
      <c r="P308" s="110" t="n"/>
      <c r="Q308" s="110" t="n"/>
      <c r="R308" s="110" t="n"/>
      <c r="S308" s="110" t="n"/>
      <c r="T308" s="110" t="n">
        <v>6</v>
      </c>
      <c r="U308" s="110" t="n"/>
      <c r="V308" s="110" t="n"/>
      <c r="W308" s="110" t="n">
        <v>5</v>
      </c>
      <c r="X308" s="110" t="n"/>
      <c r="Y308" s="110" t="n"/>
      <c r="Z308" s="110" t="n"/>
      <c r="AA308" s="110" t="n">
        <v>9</v>
      </c>
      <c r="AB308" s="110" t="n"/>
      <c r="AC308" s="110" t="n"/>
      <c r="AD308" s="110" t="n"/>
      <c r="AE308" s="110" t="n"/>
      <c r="AF308" s="110" t="n"/>
      <c r="AG308" s="110" t="n"/>
      <c r="AH308" s="110" t="n">
        <v>18</v>
      </c>
      <c r="AI308" s="110" t="n"/>
      <c r="AJ308" s="110" t="n"/>
      <c r="AK308" s="110" t="n"/>
      <c r="AL308" s="110" t="n"/>
      <c r="AM308" s="110" t="n"/>
      <c r="AN308" s="110" t="n"/>
      <c r="AO308" s="110" t="n"/>
      <c r="AP308" s="110" t="n"/>
      <c r="AQ308" s="110" t="n"/>
      <c r="AR308" s="110" t="n"/>
      <c r="AS308" s="110" t="n"/>
      <c r="AT308" s="110" t="n"/>
      <c r="AU308" s="110" t="n"/>
      <c r="AV308" s="110" t="n"/>
      <c r="AW308" s="110" t="n"/>
      <c r="AX308" s="110" t="n"/>
      <c r="AY308" s="110" t="n"/>
      <c r="AZ308" s="110" t="n"/>
      <c r="BA308" s="110" t="n"/>
      <c r="BB308" s="110" t="n"/>
      <c r="BC308" t="inlineStr">
        <is>
          <t>ORIGINAL</t>
        </is>
      </c>
      <c r="BD308" t="n">
        <v>299</v>
      </c>
      <c r="BF308" s="109">
        <f>IF($BD308="","",SUMIF($BD$6:$BD$2000,$BD308,$J$6:$J$2000))</f>
        <v/>
      </c>
    </row>
    <row r="309" ht="19.5" customHeight="1">
      <c r="A309" s="96" t="inlineStr">
        <is>
          <t>PENDENTE</t>
        </is>
      </c>
      <c r="B309" s="26" t="inlineStr">
        <is>
          <t>RIACHUELO</t>
        </is>
      </c>
      <c r="C309" s="27" t="n">
        <v>335</v>
      </c>
      <c r="D309" s="26" t="inlineStr">
        <is>
          <t>SHOPPING PARK SUL VOLTA REDONDA</t>
        </is>
      </c>
      <c r="E309" s="26" t="inlineStr">
        <is>
          <t>VOLTA REDONDA</t>
        </is>
      </c>
      <c r="F309" s="27" t="inlineStr">
        <is>
          <t>RJ</t>
        </is>
      </c>
      <c r="G309" s="107" t="n">
        <v>46388</v>
      </c>
      <c r="H309" s="108">
        <f>IF($B309="","",SUM($K309:$AG309)+SUM($AS309:$BB309))</f>
        <v/>
      </c>
      <c r="I309" s="108">
        <f>IF($B309="","",SUM($AH309:$AL309))</f>
        <v/>
      </c>
      <c r="J309" s="109">
        <f>IF($B309="","",SUMPRODUCT($K309:$BB309,$K$2:$BB$2))</f>
        <v/>
      </c>
      <c r="K309" s="110" t="n"/>
      <c r="L309" s="110" t="n"/>
      <c r="M309" s="110" t="n"/>
      <c r="N309" s="110" t="n"/>
      <c r="O309" s="110" t="n"/>
      <c r="P309" s="110" t="n"/>
      <c r="Q309" s="110" t="n"/>
      <c r="R309" s="110" t="n"/>
      <c r="S309" s="110" t="n"/>
      <c r="T309" s="110" t="n"/>
      <c r="U309" s="110" t="n">
        <v>12</v>
      </c>
      <c r="V309" s="110" t="n"/>
      <c r="W309" s="110" t="n"/>
      <c r="X309" s="110" t="n"/>
      <c r="Y309" s="110" t="n"/>
      <c r="Z309" s="110" t="n"/>
      <c r="AA309" s="110" t="n">
        <v>1</v>
      </c>
      <c r="AB309" s="110" t="n"/>
      <c r="AC309" s="110" t="n"/>
      <c r="AD309" s="110" t="n"/>
      <c r="AE309" s="110" t="n"/>
      <c r="AF309" s="110" t="n"/>
      <c r="AG309" s="110" t="n"/>
      <c r="AH309" s="110" t="n">
        <v>8</v>
      </c>
      <c r="AI309" s="110" t="n"/>
      <c r="AJ309" s="110" t="n"/>
      <c r="AK309" s="110" t="n"/>
      <c r="AL309" s="110" t="n"/>
      <c r="AM309" s="110" t="n"/>
      <c r="AN309" s="110" t="n"/>
      <c r="AO309" s="110" t="n"/>
      <c r="AP309" s="110" t="n"/>
      <c r="AQ309" s="110" t="n"/>
      <c r="AR309" s="110" t="n"/>
      <c r="AS309" s="110" t="n"/>
      <c r="AT309" s="110" t="n"/>
      <c r="AU309" s="110" t="n"/>
      <c r="AV309" s="110" t="n"/>
      <c r="AW309" s="110" t="n"/>
      <c r="AX309" s="110" t="n"/>
      <c r="AY309" s="110" t="n"/>
      <c r="AZ309" s="110" t="n"/>
      <c r="BA309" s="110" t="n"/>
      <c r="BB309" s="110" t="n"/>
      <c r="BC309" t="inlineStr">
        <is>
          <t>ORIGINAL</t>
        </is>
      </c>
      <c r="BD309" t="n">
        <v>300</v>
      </c>
      <c r="BF309" s="109">
        <f>IF($BD309="","",SUMIF($BD$6:$BD$2000,$BD309,$J$6:$J$2000))</f>
        <v/>
      </c>
    </row>
    <row r="310" ht="19.5" customHeight="1">
      <c r="A310" s="96" t="inlineStr">
        <is>
          <t>PENDENTE</t>
        </is>
      </c>
      <c r="B310" s="26" t="inlineStr">
        <is>
          <t>RIACHUELO</t>
        </is>
      </c>
      <c r="C310" s="27" t="n">
        <v>336</v>
      </c>
      <c r="D310" s="26" t="inlineStr">
        <is>
          <t>NOVA IGUAÇÚ SH</t>
        </is>
      </c>
      <c r="E310" s="26" t="inlineStr">
        <is>
          <t>NOVA IGUACU</t>
        </is>
      </c>
      <c r="F310" s="27" t="inlineStr">
        <is>
          <t>RJ</t>
        </is>
      </c>
      <c r="G310" s="107" t="n">
        <v>46143</v>
      </c>
      <c r="H310" s="108">
        <f>IF($B310="","",SUM($K310:$AG310)+SUM($AS310:$BB310))</f>
        <v/>
      </c>
      <c r="I310" s="108">
        <f>IF($B310="","",SUM($AH310:$AL310))</f>
        <v/>
      </c>
      <c r="J310" s="109">
        <f>IF($B310="","",SUMPRODUCT($K310:$BB310,$K$2:$BB$2))</f>
        <v/>
      </c>
      <c r="K310" s="110" t="n">
        <v>6</v>
      </c>
      <c r="L310" s="110" t="n"/>
      <c r="M310" s="110" t="n"/>
      <c r="N310" s="110" t="n">
        <v>11</v>
      </c>
      <c r="O310" s="110" t="n"/>
      <c r="P310" s="110" t="n"/>
      <c r="Q310" s="110" t="n"/>
      <c r="R310" s="110" t="n"/>
      <c r="S310" s="110" t="n"/>
      <c r="T310" s="110" t="n"/>
      <c r="U310" s="110" t="n"/>
      <c r="V310" s="110" t="n"/>
      <c r="W310" s="110" t="n"/>
      <c r="X310" s="110" t="n"/>
      <c r="Y310" s="110" t="n"/>
      <c r="Z310" s="110" t="n"/>
      <c r="AA310" s="110" t="n">
        <v>4</v>
      </c>
      <c r="AB310" s="110" t="n"/>
      <c r="AC310" s="110" t="n"/>
      <c r="AD310" s="110" t="n"/>
      <c r="AE310" s="110" t="n"/>
      <c r="AF310" s="110" t="n"/>
      <c r="AG310" s="110" t="n"/>
      <c r="AH310" s="110" t="n">
        <v>20</v>
      </c>
      <c r="AI310" s="110" t="n"/>
      <c r="AJ310" s="110" t="n"/>
      <c r="AK310" s="110" t="n"/>
      <c r="AL310" s="110" t="n"/>
      <c r="AM310" s="110" t="n"/>
      <c r="AN310" s="110" t="n"/>
      <c r="AO310" s="110" t="n"/>
      <c r="AP310" s="110" t="n"/>
      <c r="AQ310" s="110" t="n"/>
      <c r="AR310" s="110" t="n"/>
      <c r="AS310" s="110" t="n"/>
      <c r="AT310" s="110" t="n"/>
      <c r="AU310" s="110" t="n"/>
      <c r="AV310" s="110" t="n"/>
      <c r="AW310" s="110" t="n"/>
      <c r="AX310" s="110" t="n"/>
      <c r="AY310" s="110" t="n"/>
      <c r="AZ310" s="110" t="n"/>
      <c r="BA310" s="110" t="n"/>
      <c r="BB310" s="110" t="n"/>
      <c r="BC310" t="inlineStr">
        <is>
          <t>ORIGINAL</t>
        </is>
      </c>
      <c r="BD310" t="n">
        <v>301</v>
      </c>
      <c r="BF310" s="109">
        <f>IF($BD310="","",SUMIF($BD$6:$BD$2000,$BD310,$J$6:$J$2000))</f>
        <v/>
      </c>
    </row>
    <row r="311" ht="19.5" customHeight="1">
      <c r="A311" s="96" t="inlineStr">
        <is>
          <t>PENDENTE</t>
        </is>
      </c>
      <c r="B311" s="26" t="inlineStr">
        <is>
          <t>RIACHUELO</t>
        </is>
      </c>
      <c r="C311" s="27" t="n">
        <v>68</v>
      </c>
      <c r="D311" s="26" t="inlineStr">
        <is>
          <t>SANTA MARIA CT</t>
        </is>
      </c>
      <c r="E311" s="26" t="inlineStr">
        <is>
          <t>SANTA MARIA</t>
        </is>
      </c>
      <c r="F311" s="27" t="inlineStr">
        <is>
          <t>RS</t>
        </is>
      </c>
      <c r="G311" s="107" t="n">
        <v>46266</v>
      </c>
      <c r="H311" s="108">
        <f>IF($B311="","",SUM($K311:$AG311)+SUM($AS311:$BB311))</f>
        <v/>
      </c>
      <c r="I311" s="108">
        <f>IF($B311="","",SUM($AH311:$AL311))</f>
        <v/>
      </c>
      <c r="J311" s="109">
        <f>IF($B311="","",SUMPRODUCT($K311:$BB311,$K$2:$BB$2))</f>
        <v/>
      </c>
      <c r="K311" s="110" t="n">
        <v>8</v>
      </c>
      <c r="L311" s="110" t="n"/>
      <c r="M311" s="110" t="n">
        <v>3</v>
      </c>
      <c r="N311" s="110" t="n"/>
      <c r="O311" s="110" t="n"/>
      <c r="P311" s="110" t="n"/>
      <c r="Q311" s="110" t="n"/>
      <c r="R311" s="110" t="n"/>
      <c r="S311" s="110" t="n"/>
      <c r="T311" s="110" t="n"/>
      <c r="U311" s="110" t="n">
        <v>12</v>
      </c>
      <c r="V311" s="110" t="n"/>
      <c r="W311" s="110" t="n"/>
      <c r="X311" s="110" t="n"/>
      <c r="Y311" s="110" t="n"/>
      <c r="Z311" s="110" t="n"/>
      <c r="AA311" s="110" t="n">
        <v>5</v>
      </c>
      <c r="AB311" s="110" t="n"/>
      <c r="AC311" s="110" t="n"/>
      <c r="AD311" s="110" t="n"/>
      <c r="AE311" s="110" t="n"/>
      <c r="AF311" s="110" t="n"/>
      <c r="AG311" s="110" t="n"/>
      <c r="AH311" s="110" t="n">
        <v>18</v>
      </c>
      <c r="AI311" s="110" t="n"/>
      <c r="AJ311" s="110" t="n"/>
      <c r="AK311" s="110" t="n"/>
      <c r="AL311" s="110" t="n"/>
      <c r="AM311" s="110" t="n"/>
      <c r="AN311" s="110" t="n"/>
      <c r="AO311" s="110" t="n"/>
      <c r="AP311" s="110" t="n"/>
      <c r="AQ311" s="110" t="n"/>
      <c r="AR311" s="110" t="n"/>
      <c r="AS311" s="110" t="n"/>
      <c r="AT311" s="110" t="n"/>
      <c r="AU311" s="110" t="n"/>
      <c r="AV311" s="110" t="n"/>
      <c r="AW311" s="110" t="n"/>
      <c r="AX311" s="110" t="n"/>
      <c r="AY311" s="110" t="n"/>
      <c r="AZ311" s="110" t="n"/>
      <c r="BA311" s="110" t="n"/>
      <c r="BB311" s="110" t="n"/>
      <c r="BC311" t="inlineStr">
        <is>
          <t>ORIGINAL</t>
        </is>
      </c>
      <c r="BD311" t="n">
        <v>302</v>
      </c>
      <c r="BF311" s="109">
        <f>IF($BD311="","",SUMIF($BD$6:$BD$2000,$BD311,$J$6:$J$2000))</f>
        <v/>
      </c>
    </row>
    <row r="312" ht="19.5" customHeight="1">
      <c r="A312" s="96" t="inlineStr">
        <is>
          <t>PENDENTE</t>
        </is>
      </c>
      <c r="B312" s="26" t="inlineStr">
        <is>
          <t>RIACHUELO</t>
        </is>
      </c>
      <c r="C312" s="27" t="n">
        <v>339</v>
      </c>
      <c r="D312" s="26" t="inlineStr">
        <is>
          <t>CRICIÚMA NAÇÕES SH</t>
        </is>
      </c>
      <c r="E312" s="26" t="inlineStr">
        <is>
          <t>CRICIUMA</t>
        </is>
      </c>
      <c r="F312" s="27" t="inlineStr">
        <is>
          <t>SC</t>
        </is>
      </c>
      <c r="G312" s="107" t="n">
        <v>46054</v>
      </c>
      <c r="H312" s="108">
        <f>IF($B312="","",SUM($K312:$AG312)+SUM($AS312:$BB312))</f>
        <v/>
      </c>
      <c r="I312" s="108">
        <f>IF($B312="","",SUM($AH312:$AL312))</f>
        <v/>
      </c>
      <c r="J312" s="109">
        <f>IF($B312="","",SUMPRODUCT($K312:$BB312,$K$2:$BB$2))</f>
        <v/>
      </c>
      <c r="K312" s="110" t="n"/>
      <c r="L312" s="110" t="n"/>
      <c r="M312" s="110" t="n"/>
      <c r="N312" s="110" t="n"/>
      <c r="O312" s="110" t="n"/>
      <c r="P312" s="110" t="n"/>
      <c r="Q312" s="110" t="n"/>
      <c r="R312" s="110" t="n"/>
      <c r="S312" s="110" t="n"/>
      <c r="T312" s="110" t="n">
        <v>15</v>
      </c>
      <c r="U312" s="110" t="n"/>
      <c r="V312" s="110" t="n"/>
      <c r="W312" s="110" t="n"/>
      <c r="X312" s="110" t="n"/>
      <c r="Y312" s="110" t="n"/>
      <c r="Z312" s="110" t="n"/>
      <c r="AA312" s="110" t="n">
        <v>4</v>
      </c>
      <c r="AB312" s="110" t="n"/>
      <c r="AC312" s="110" t="n"/>
      <c r="AD312" s="110" t="n"/>
      <c r="AE312" s="110" t="n"/>
      <c r="AF312" s="110" t="n"/>
      <c r="AG312" s="110" t="n"/>
      <c r="AH312" s="110" t="n">
        <v>16</v>
      </c>
      <c r="AI312" s="110" t="n"/>
      <c r="AJ312" s="110" t="n"/>
      <c r="AK312" s="110" t="n"/>
      <c r="AL312" s="110" t="n"/>
      <c r="AM312" s="110" t="n"/>
      <c r="AN312" s="110" t="n"/>
      <c r="AO312" s="110" t="n"/>
      <c r="AP312" s="110" t="n"/>
      <c r="AQ312" s="110" t="n"/>
      <c r="AR312" s="110" t="n"/>
      <c r="AS312" s="110" t="n"/>
      <c r="AT312" s="110" t="n"/>
      <c r="AU312" s="110" t="n"/>
      <c r="AV312" s="110" t="n"/>
      <c r="AW312" s="110" t="n"/>
      <c r="AX312" s="110" t="n"/>
      <c r="AY312" s="110" t="n"/>
      <c r="AZ312" s="110" t="n"/>
      <c r="BA312" s="110" t="n"/>
      <c r="BB312" s="110" t="n"/>
      <c r="BC312" t="inlineStr">
        <is>
          <t>ORIGINAL</t>
        </is>
      </c>
      <c r="BD312" t="n">
        <v>303</v>
      </c>
      <c r="BF312" s="109">
        <f>IF($BD312="","",SUMIF($BD$6:$BD$2000,$BD312,$J$6:$J$2000))</f>
        <v/>
      </c>
    </row>
    <row r="313" ht="19.5" customHeight="1">
      <c r="A313" s="96" t="inlineStr">
        <is>
          <t>PENDENTE</t>
        </is>
      </c>
      <c r="B313" s="26" t="inlineStr">
        <is>
          <t>RIACHUELO</t>
        </is>
      </c>
      <c r="C313" s="27" t="n">
        <v>341</v>
      </c>
      <c r="D313" s="26" t="inlineStr">
        <is>
          <t>CUAIBA ESTAÇÃO SH</t>
        </is>
      </c>
      <c r="E313" s="26" t="inlineStr">
        <is>
          <t>CUIABÁ</t>
        </is>
      </c>
      <c r="F313" s="27" t="inlineStr">
        <is>
          <t>MT</t>
        </is>
      </c>
      <c r="G313" s="107" t="n">
        <v>46388</v>
      </c>
      <c r="H313" s="108">
        <f>IF($B313="","",SUM($K313:$AG313)+SUM($AS313:$BB313))</f>
        <v/>
      </c>
      <c r="I313" s="108">
        <f>IF($B313="","",SUM($AH313:$AL313))</f>
        <v/>
      </c>
      <c r="J313" s="109">
        <f>IF($B313="","",SUMPRODUCT($K313:$BB313,$K$2:$BB$2))</f>
        <v/>
      </c>
      <c r="K313" s="110" t="n">
        <v>11</v>
      </c>
      <c r="L313" s="110" t="n"/>
      <c r="M313" s="110" t="n">
        <v>5</v>
      </c>
      <c r="N313" s="110" t="n">
        <v>4</v>
      </c>
      <c r="O313" s="110" t="n"/>
      <c r="P313" s="110" t="n"/>
      <c r="Q313" s="110" t="n"/>
      <c r="R313" s="110" t="n"/>
      <c r="S313" s="110" t="n"/>
      <c r="T313" s="110" t="n"/>
      <c r="U313" s="110" t="n"/>
      <c r="V313" s="110" t="n"/>
      <c r="W313" s="110" t="n"/>
      <c r="X313" s="110" t="n"/>
      <c r="Y313" s="110" t="n"/>
      <c r="Z313" s="110" t="n"/>
      <c r="AA313" s="110" t="n">
        <v>4</v>
      </c>
      <c r="AB313" s="110" t="n"/>
      <c r="AC313" s="110" t="n"/>
      <c r="AD313" s="110" t="n"/>
      <c r="AE313" s="110" t="n"/>
      <c r="AF313" s="110" t="n"/>
      <c r="AG313" s="110" t="n"/>
      <c r="AH313" s="110" t="n">
        <v>12</v>
      </c>
      <c r="AI313" s="110" t="n"/>
      <c r="AJ313" s="110" t="n"/>
      <c r="AK313" s="110" t="n"/>
      <c r="AL313" s="110" t="n"/>
      <c r="AM313" s="110" t="n"/>
      <c r="AN313" s="110" t="n"/>
      <c r="AO313" s="110" t="n"/>
      <c r="AP313" s="110" t="n"/>
      <c r="AQ313" s="110" t="n"/>
      <c r="AR313" s="110" t="n"/>
      <c r="AS313" s="110" t="n"/>
      <c r="AT313" s="110" t="n"/>
      <c r="AU313" s="110" t="n"/>
      <c r="AV313" s="110" t="n"/>
      <c r="AW313" s="110" t="n"/>
      <c r="AX313" s="110" t="n"/>
      <c r="AY313" s="110" t="n"/>
      <c r="AZ313" s="110" t="n"/>
      <c r="BA313" s="110" t="n"/>
      <c r="BB313" s="110" t="n"/>
      <c r="BC313" t="inlineStr">
        <is>
          <t>ORIGINAL</t>
        </is>
      </c>
      <c r="BD313" t="n">
        <v>304</v>
      </c>
      <c r="BF313" s="109">
        <f>IF($BD313="","",SUMIF($BD$6:$BD$2000,$BD313,$J$6:$J$2000))</f>
        <v/>
      </c>
    </row>
    <row r="314" ht="19.5" customHeight="1">
      <c r="A314" s="96" t="inlineStr">
        <is>
          <t>PENDENTE</t>
        </is>
      </c>
      <c r="B314" s="26" t="inlineStr">
        <is>
          <t>RIACHUELO</t>
        </is>
      </c>
      <c r="C314" s="27" t="n">
        <v>342</v>
      </c>
      <c r="D314" s="26" t="inlineStr">
        <is>
          <t xml:space="preserve">TRÊS LAGOAS </t>
        </is>
      </c>
      <c r="E314" s="26" t="inlineStr">
        <is>
          <t xml:space="preserve">TRÊS LAGOAS </t>
        </is>
      </c>
      <c r="F314" s="27" t="inlineStr">
        <is>
          <t>MS</t>
        </is>
      </c>
      <c r="G314" s="107" t="n">
        <v>46235</v>
      </c>
      <c r="H314" s="108">
        <f>IF($B314="","",SUM($K314:$AG314)+SUM($AS314:$BB314))</f>
        <v/>
      </c>
      <c r="I314" s="108">
        <f>IF($B314="","",SUM($AH314:$AL314))</f>
        <v/>
      </c>
      <c r="J314" s="109">
        <f>IF($B314="","",SUMPRODUCT($K314:$BB314,$K$2:$BB$2))</f>
        <v/>
      </c>
      <c r="K314" s="110" t="n">
        <v>6</v>
      </c>
      <c r="L314" s="110" t="n"/>
      <c r="M314" s="110" t="n">
        <v>7</v>
      </c>
      <c r="N314" s="110" t="n"/>
      <c r="O314" s="110" t="n"/>
      <c r="P314" s="110" t="n"/>
      <c r="Q314" s="110" t="n"/>
      <c r="R314" s="110" t="n"/>
      <c r="S314" s="110" t="n">
        <v>1</v>
      </c>
      <c r="T314" s="110" t="n"/>
      <c r="U314" s="110" t="n"/>
      <c r="V314" s="110" t="n"/>
      <c r="W314" s="110" t="n"/>
      <c r="X314" s="110" t="n"/>
      <c r="Y314" s="110" t="n"/>
      <c r="Z314" s="110" t="n"/>
      <c r="AA314" s="110" t="n">
        <v>6</v>
      </c>
      <c r="AB314" s="110" t="n"/>
      <c r="AC314" s="110" t="n"/>
      <c r="AD314" s="110" t="n"/>
      <c r="AE314" s="110" t="n"/>
      <c r="AF314" s="110" t="n"/>
      <c r="AG314" s="110" t="n"/>
      <c r="AH314" s="110" t="n">
        <v>8</v>
      </c>
      <c r="AI314" s="110" t="n"/>
      <c r="AJ314" s="110" t="n"/>
      <c r="AK314" s="110" t="n"/>
      <c r="AL314" s="110" t="n"/>
      <c r="AM314" s="110" t="n"/>
      <c r="AN314" s="110" t="n"/>
      <c r="AO314" s="110" t="n"/>
      <c r="AP314" s="110" t="n"/>
      <c r="AQ314" s="110" t="n"/>
      <c r="AR314" s="110" t="n"/>
      <c r="AS314" s="110" t="n"/>
      <c r="AT314" s="110" t="n"/>
      <c r="AU314" s="110" t="n"/>
      <c r="AV314" s="110" t="n"/>
      <c r="AW314" s="110" t="n"/>
      <c r="AX314" s="110" t="n"/>
      <c r="AY314" s="110" t="n"/>
      <c r="AZ314" s="110" t="n"/>
      <c r="BA314" s="110" t="n"/>
      <c r="BB314" s="110" t="n"/>
      <c r="BC314" t="inlineStr">
        <is>
          <t>ORIGINAL</t>
        </is>
      </c>
      <c r="BD314" t="n">
        <v>305</v>
      </c>
      <c r="BF314" s="109">
        <f>IF($BD314="","",SUMIF($BD$6:$BD$2000,$BD314,$J$6:$J$2000))</f>
        <v/>
      </c>
    </row>
    <row r="315" ht="19.5" customHeight="1">
      <c r="A315" s="96" t="inlineStr">
        <is>
          <t>PENDENTE</t>
        </is>
      </c>
      <c r="B315" s="26" t="inlineStr">
        <is>
          <t>RIACHUELO</t>
        </is>
      </c>
      <c r="C315" s="27" t="n">
        <v>344</v>
      </c>
      <c r="D315" s="26" t="inlineStr">
        <is>
          <t>CAXIAS CENTER SH</t>
        </is>
      </c>
      <c r="E315" s="26" t="inlineStr">
        <is>
          <t>CAXIAS</t>
        </is>
      </c>
      <c r="F315" s="27" t="inlineStr">
        <is>
          <t>MA</t>
        </is>
      </c>
      <c r="G315" s="107" t="n">
        <v>46296</v>
      </c>
      <c r="H315" s="108">
        <f>IF($B315="","",SUM($K315:$AG315)+SUM($AS315:$BB315))</f>
        <v/>
      </c>
      <c r="I315" s="108">
        <f>IF($B315="","",SUM($AH315:$AL315))</f>
        <v/>
      </c>
      <c r="J315" s="109">
        <f>IF($B315="","",SUMPRODUCT($K315:$BB315,$K$2:$BB$2))</f>
        <v/>
      </c>
      <c r="K315" s="110" t="n"/>
      <c r="L315" s="110" t="n"/>
      <c r="M315" s="110" t="n"/>
      <c r="N315" s="110" t="n"/>
      <c r="O315" s="110" t="n"/>
      <c r="P315" s="110" t="n"/>
      <c r="Q315" s="110" t="n"/>
      <c r="R315" s="110" t="n"/>
      <c r="S315" s="110" t="n"/>
      <c r="T315" s="110" t="n"/>
      <c r="U315" s="110" t="n">
        <v>17</v>
      </c>
      <c r="V315" s="110" t="n"/>
      <c r="W315" s="110" t="n"/>
      <c r="X315" s="110" t="n"/>
      <c r="Y315" s="110" t="n"/>
      <c r="Z315" s="110" t="n"/>
      <c r="AA315" s="110" t="n">
        <v>2</v>
      </c>
      <c r="AB315" s="110" t="n"/>
      <c r="AC315" s="110" t="n"/>
      <c r="AD315" s="110" t="n"/>
      <c r="AE315" s="110" t="n"/>
      <c r="AF315" s="110" t="n"/>
      <c r="AG315" s="110" t="n"/>
      <c r="AH315" s="110" t="n"/>
      <c r="AI315" s="110" t="n"/>
      <c r="AJ315" s="110" t="n">
        <v>16</v>
      </c>
      <c r="AK315" s="110" t="n"/>
      <c r="AL315" s="110" t="n"/>
      <c r="AM315" s="110" t="n"/>
      <c r="AN315" s="110" t="n"/>
      <c r="AO315" s="110" t="n"/>
      <c r="AP315" s="110" t="n"/>
      <c r="AQ315" s="110" t="n"/>
      <c r="AR315" s="110" t="n"/>
      <c r="AS315" s="110" t="n"/>
      <c r="AT315" s="110" t="n"/>
      <c r="AU315" s="110" t="n"/>
      <c r="AV315" s="110" t="n"/>
      <c r="AW315" s="110" t="n"/>
      <c r="AX315" s="110" t="n"/>
      <c r="AY315" s="110" t="n"/>
      <c r="AZ315" s="110" t="n"/>
      <c r="BA315" s="110" t="n"/>
      <c r="BB315" s="110" t="n"/>
      <c r="BC315" t="inlineStr">
        <is>
          <t>ORIGINAL</t>
        </is>
      </c>
      <c r="BD315" t="n">
        <v>306</v>
      </c>
      <c r="BF315" s="109">
        <f>IF($BD315="","",SUMIF($BD$6:$BD$2000,$BD315,$J$6:$J$2000))</f>
        <v/>
      </c>
    </row>
    <row r="316" ht="19.5" customHeight="1">
      <c r="A316" s="96" t="inlineStr">
        <is>
          <t>PENDENTE</t>
        </is>
      </c>
      <c r="B316" s="26" t="inlineStr">
        <is>
          <t>RIACHUELO</t>
        </is>
      </c>
      <c r="C316" s="27" t="n">
        <v>345</v>
      </c>
      <c r="D316" s="26" t="inlineStr">
        <is>
          <t>SÃO LUIZ GARDEN CALHAU SH</t>
        </is>
      </c>
      <c r="E316" s="26" t="inlineStr">
        <is>
          <t>SÃO LUÍS</t>
        </is>
      </c>
      <c r="F316" s="27" t="inlineStr">
        <is>
          <t>MA</t>
        </is>
      </c>
      <c r="G316" s="107" t="n">
        <v>46111</v>
      </c>
      <c r="H316" s="108">
        <f>IF($B316="","",SUM($K316:$AG316)+SUM($AS316:$BB316))</f>
        <v/>
      </c>
      <c r="I316" s="108">
        <f>IF($B316="","",SUM($AH316:$AL316))</f>
        <v/>
      </c>
      <c r="J316" s="109">
        <f>IF($B316="","",SUMPRODUCT($K316:$BB316,$K$2:$BB$2))</f>
        <v/>
      </c>
      <c r="K316" s="110" t="n"/>
      <c r="L316" s="110" t="n"/>
      <c r="M316" s="110" t="n"/>
      <c r="N316" s="110" t="n"/>
      <c r="O316" s="110" t="n"/>
      <c r="P316" s="110" t="n"/>
      <c r="Q316" s="110" t="n"/>
      <c r="R316" s="110" t="n"/>
      <c r="S316" s="110" t="n"/>
      <c r="T316" s="110" t="n"/>
      <c r="U316" s="110" t="n">
        <v>15</v>
      </c>
      <c r="V316" s="110" t="n"/>
      <c r="W316" s="110" t="n"/>
      <c r="X316" s="110" t="n"/>
      <c r="Y316" s="110" t="n"/>
      <c r="Z316" s="110" t="n"/>
      <c r="AA316" s="110" t="n">
        <v>1</v>
      </c>
      <c r="AB316" s="110" t="n"/>
      <c r="AC316" s="110" t="n"/>
      <c r="AD316" s="110" t="n"/>
      <c r="AE316" s="110" t="n"/>
      <c r="AF316" s="110" t="n"/>
      <c r="AG316" s="110" t="n"/>
      <c r="AH316" s="110" t="n">
        <v>20</v>
      </c>
      <c r="AI316" s="110" t="n"/>
      <c r="AJ316" s="110" t="n"/>
      <c r="AK316" s="110" t="n"/>
      <c r="AL316" s="110" t="n"/>
      <c r="AM316" s="110" t="n"/>
      <c r="AN316" s="110" t="n"/>
      <c r="AO316" s="110" t="n"/>
      <c r="AP316" s="110" t="n"/>
      <c r="AQ316" s="110" t="n"/>
      <c r="AR316" s="110" t="n"/>
      <c r="AS316" s="110" t="n"/>
      <c r="AT316" s="110" t="n"/>
      <c r="AU316" s="110" t="n"/>
      <c r="AV316" s="110" t="n"/>
      <c r="AW316" s="110" t="n"/>
      <c r="AX316" s="110" t="n"/>
      <c r="AY316" s="110" t="n"/>
      <c r="AZ316" s="110" t="n"/>
      <c r="BA316" s="110" t="n"/>
      <c r="BB316" s="110" t="n"/>
      <c r="BC316" t="inlineStr">
        <is>
          <t>ORIGINAL</t>
        </is>
      </c>
      <c r="BD316" t="n">
        <v>307</v>
      </c>
      <c r="BF316" s="109">
        <f>IF($BD316="","",SUMIF($BD$6:$BD$2000,$BD316,$J$6:$J$2000))</f>
        <v/>
      </c>
    </row>
    <row r="317" ht="19.5" customHeight="1">
      <c r="A317" s="96" t="inlineStr">
        <is>
          <t>PENDENTE</t>
        </is>
      </c>
      <c r="B317" s="26" t="inlineStr">
        <is>
          <t>RIACHUELO</t>
        </is>
      </c>
      <c r="C317" s="27" t="n">
        <v>348</v>
      </c>
      <c r="D317" s="26" t="inlineStr">
        <is>
          <t>APARECIDA DE GOIANIA SH</t>
        </is>
      </c>
      <c r="E317" s="26" t="inlineStr">
        <is>
          <t>APARECIDA DE GOIANIA</t>
        </is>
      </c>
      <c r="F317" s="27" t="inlineStr">
        <is>
          <t>GO</t>
        </is>
      </c>
      <c r="G317" s="107" t="n">
        <v>46266</v>
      </c>
      <c r="H317" s="108">
        <f>IF($B317="","",SUM($K317:$AG317)+SUM($AS317:$BB317))</f>
        <v/>
      </c>
      <c r="I317" s="108">
        <f>IF($B317="","",SUM($AH317:$AL317))</f>
        <v/>
      </c>
      <c r="J317" s="109">
        <f>IF($B317="","",SUMPRODUCT($K317:$BB317,$K$2:$BB$2))</f>
        <v/>
      </c>
      <c r="K317" s="110" t="n"/>
      <c r="L317" s="110" t="n"/>
      <c r="M317" s="110" t="n"/>
      <c r="N317" s="110" t="n"/>
      <c r="O317" s="110" t="n"/>
      <c r="P317" s="110" t="n"/>
      <c r="Q317" s="110" t="n"/>
      <c r="R317" s="110" t="n"/>
      <c r="S317" s="110" t="n"/>
      <c r="T317" s="110" t="n"/>
      <c r="U317" s="110" t="n">
        <v>11</v>
      </c>
      <c r="V317" s="110" t="n"/>
      <c r="W317" s="110" t="n"/>
      <c r="X317" s="110" t="n"/>
      <c r="Y317" s="110" t="n"/>
      <c r="Z317" s="110" t="n"/>
      <c r="AA317" s="110" t="n">
        <v>1</v>
      </c>
      <c r="AB317" s="110" t="n"/>
      <c r="AC317" s="110" t="n"/>
      <c r="AD317" s="110" t="n"/>
      <c r="AE317" s="110" t="n"/>
      <c r="AF317" s="110" t="n"/>
      <c r="AG317" s="110" t="n"/>
      <c r="AH317" s="110" t="n">
        <v>6</v>
      </c>
      <c r="AI317" s="110" t="n"/>
      <c r="AJ317" s="110" t="n"/>
      <c r="AK317" s="110" t="n"/>
      <c r="AL317" s="110" t="n"/>
      <c r="AM317" s="110" t="n"/>
      <c r="AN317" s="110" t="n"/>
      <c r="AO317" s="110" t="n"/>
      <c r="AP317" s="110" t="n"/>
      <c r="AQ317" s="110" t="n"/>
      <c r="AR317" s="110" t="n"/>
      <c r="AS317" s="110" t="n"/>
      <c r="AT317" s="110" t="n"/>
      <c r="AU317" s="110" t="n"/>
      <c r="AV317" s="110" t="n"/>
      <c r="AW317" s="110" t="n"/>
      <c r="AX317" s="110" t="n"/>
      <c r="AY317" s="110" t="n"/>
      <c r="AZ317" s="110" t="n"/>
      <c r="BA317" s="110" t="n"/>
      <c r="BB317" s="110" t="n"/>
      <c r="BC317" t="inlineStr">
        <is>
          <t>ORIGINAL</t>
        </is>
      </c>
      <c r="BD317" t="n">
        <v>308</v>
      </c>
      <c r="BF317" s="109">
        <f>IF($BD317="","",SUMIF($BD$6:$BD$2000,$BD317,$J$6:$J$2000))</f>
        <v/>
      </c>
    </row>
    <row r="318" ht="19.5" customHeight="1">
      <c r="A318" s="96" t="inlineStr">
        <is>
          <t>PENDENTE</t>
        </is>
      </c>
      <c r="B318" s="26" t="inlineStr">
        <is>
          <t>RIACHUELO</t>
        </is>
      </c>
      <c r="C318" s="27" t="n">
        <v>350</v>
      </c>
      <c r="D318" s="26" t="inlineStr">
        <is>
          <t>FORTALEZA PRESIDENTE KENEDY SH</t>
        </is>
      </c>
      <c r="E318" s="26" t="inlineStr">
        <is>
          <t>FORTALEZA</t>
        </is>
      </c>
      <c r="F318" s="27" t="inlineStr">
        <is>
          <t>CE</t>
        </is>
      </c>
      <c r="G318" s="107" t="n">
        <v>46204</v>
      </c>
      <c r="H318" s="108">
        <f>IF($B318="","",SUM($K318:$AG318)+SUM($AS318:$BB318))</f>
        <v/>
      </c>
      <c r="I318" s="108">
        <f>IF($B318="","",SUM($AH318:$AL318))</f>
        <v/>
      </c>
      <c r="J318" s="109">
        <f>IF($B318="","",SUMPRODUCT($K318:$BB318,$K$2:$BB$2))</f>
        <v/>
      </c>
      <c r="K318" s="110" t="n">
        <v>6</v>
      </c>
      <c r="L318" s="110" t="n"/>
      <c r="M318" s="110" t="n"/>
      <c r="N318" s="110" t="n">
        <v>2</v>
      </c>
      <c r="O318" s="110" t="n"/>
      <c r="P318" s="110" t="n"/>
      <c r="Q318" s="110" t="n"/>
      <c r="R318" s="110" t="n"/>
      <c r="S318" s="110" t="n"/>
      <c r="T318" s="110" t="n"/>
      <c r="U318" s="110" t="n">
        <v>3</v>
      </c>
      <c r="V318" s="110" t="n"/>
      <c r="W318" s="110" t="n"/>
      <c r="X318" s="110" t="n"/>
      <c r="Y318" s="110" t="n"/>
      <c r="Z318" s="110" t="n"/>
      <c r="AA318" s="110" t="n">
        <v>4</v>
      </c>
      <c r="AB318" s="110" t="n"/>
      <c r="AC318" s="110" t="n"/>
      <c r="AD318" s="110" t="n"/>
      <c r="AE318" s="110" t="n"/>
      <c r="AF318" s="110" t="n"/>
      <c r="AG318" s="110" t="n"/>
      <c r="AH318" s="110" t="n">
        <v>16</v>
      </c>
      <c r="AI318" s="110" t="n"/>
      <c r="AJ318" s="110" t="n"/>
      <c r="AK318" s="110" t="n"/>
      <c r="AL318" s="110" t="n"/>
      <c r="AM318" s="110" t="n"/>
      <c r="AN318" s="110" t="n"/>
      <c r="AO318" s="110" t="n"/>
      <c r="AP318" s="110" t="n"/>
      <c r="AQ318" s="110" t="n"/>
      <c r="AR318" s="110" t="n"/>
      <c r="AS318" s="110" t="n"/>
      <c r="AT318" s="110" t="n"/>
      <c r="AU318" s="110" t="n"/>
      <c r="AV318" s="110" t="n"/>
      <c r="AW318" s="110" t="n"/>
      <c r="AX318" s="110" t="n"/>
      <c r="AY318" s="110" t="n"/>
      <c r="AZ318" s="110" t="n"/>
      <c r="BA318" s="110" t="n"/>
      <c r="BB318" s="110" t="n"/>
      <c r="BC318" t="inlineStr">
        <is>
          <t>ORIGINAL</t>
        </is>
      </c>
      <c r="BD318" t="n">
        <v>309</v>
      </c>
      <c r="BF318" s="109">
        <f>IF($BD318="","",SUMIF($BD$6:$BD$2000,$BD318,$J$6:$J$2000))</f>
        <v/>
      </c>
    </row>
    <row r="319" ht="19.5" customHeight="1">
      <c r="A319" s="96" t="inlineStr">
        <is>
          <t>PENDENTE</t>
        </is>
      </c>
      <c r="B319" s="26" t="inlineStr">
        <is>
          <t>RIACHUELO</t>
        </is>
      </c>
      <c r="C319" s="27" t="n">
        <v>297</v>
      </c>
      <c r="D319" s="26" t="inlineStr">
        <is>
          <t xml:space="preserve">RIO GRANDE PARQUE SHOPPING </t>
        </is>
      </c>
      <c r="E319" s="26" t="inlineStr">
        <is>
          <t>RIO GRANDE</t>
        </is>
      </c>
      <c r="F319" s="27" t="inlineStr">
        <is>
          <t>RS</t>
        </is>
      </c>
      <c r="G319" s="107" t="n">
        <v>46266</v>
      </c>
      <c r="H319" s="108">
        <f>IF($B319="","",SUM($K319:$AG319)+SUM($AS319:$BB319))</f>
        <v/>
      </c>
      <c r="I319" s="108">
        <f>IF($B319="","",SUM($AH319:$AL319))</f>
        <v/>
      </c>
      <c r="J319" s="109">
        <f>IF($B319="","",SUMPRODUCT($K319:$BB319,$K$2:$BB$2))</f>
        <v/>
      </c>
      <c r="K319" s="110" t="n">
        <v>7</v>
      </c>
      <c r="L319" s="110" t="n"/>
      <c r="M319" s="110" t="n">
        <v>7</v>
      </c>
      <c r="N319" s="110" t="n"/>
      <c r="O319" s="110" t="n"/>
      <c r="P319" s="110" t="n"/>
      <c r="Q319" s="110" t="n"/>
      <c r="R319" s="110" t="n"/>
      <c r="S319" s="110" t="n"/>
      <c r="T319" s="110" t="n"/>
      <c r="U319" s="110" t="n"/>
      <c r="V319" s="110" t="n"/>
      <c r="W319" s="110" t="n"/>
      <c r="X319" s="110" t="n"/>
      <c r="Y319" s="110" t="n"/>
      <c r="Z319" s="110" t="n"/>
      <c r="AA319" s="110" t="n">
        <v>8</v>
      </c>
      <c r="AB319" s="110" t="n"/>
      <c r="AC319" s="110" t="n"/>
      <c r="AD319" s="110" t="n"/>
      <c r="AE319" s="110" t="n"/>
      <c r="AF319" s="110" t="n"/>
      <c r="AG319" s="110" t="n"/>
      <c r="AH319" s="110" t="n">
        <v>28</v>
      </c>
      <c r="AI319" s="110" t="n"/>
      <c r="AJ319" s="110" t="n"/>
      <c r="AK319" s="110" t="n"/>
      <c r="AL319" s="110" t="n"/>
      <c r="AM319" s="110" t="n"/>
      <c r="AN319" s="110" t="n"/>
      <c r="AO319" s="110" t="n"/>
      <c r="AP319" s="110" t="n"/>
      <c r="AQ319" s="110" t="n"/>
      <c r="AR319" s="110" t="n"/>
      <c r="AS319" s="110" t="n"/>
      <c r="AT319" s="110" t="n"/>
      <c r="AU319" s="110" t="n"/>
      <c r="AV319" s="110" t="n"/>
      <c r="AW319" s="110" t="n"/>
      <c r="AX319" s="110" t="n"/>
      <c r="AY319" s="110" t="n"/>
      <c r="AZ319" s="110" t="n"/>
      <c r="BA319" s="110" t="n"/>
      <c r="BB319" s="110" t="n"/>
      <c r="BC319" t="inlineStr">
        <is>
          <t>ORIGINAL</t>
        </is>
      </c>
      <c r="BD319" t="n">
        <v>310</v>
      </c>
      <c r="BF319" s="109">
        <f>IF($BD319="","",SUMIF($BD$6:$BD$2000,$BD319,$J$6:$J$2000))</f>
        <v/>
      </c>
    </row>
    <row r="320" ht="19.5" customHeight="1">
      <c r="A320" s="96" t="inlineStr">
        <is>
          <t>PENDENTE</t>
        </is>
      </c>
      <c r="B320" s="26" t="inlineStr">
        <is>
          <t>RIACHUELO</t>
        </is>
      </c>
      <c r="C320" s="27" t="n">
        <v>301</v>
      </c>
      <c r="D320" s="26" t="inlineStr">
        <is>
          <t>SANTA MARIA PRAÇA NOVA SH</t>
        </is>
      </c>
      <c r="E320" s="26" t="inlineStr">
        <is>
          <t>SANTA MARIA</t>
        </is>
      </c>
      <c r="F320" s="27" t="inlineStr">
        <is>
          <t>RS</t>
        </is>
      </c>
      <c r="G320" s="107" t="n">
        <v>46266</v>
      </c>
      <c r="H320" s="108">
        <f>IF($B320="","",SUM($K320:$AG320)+SUM($AS320:$BB320))</f>
        <v/>
      </c>
      <c r="I320" s="108">
        <f>IF($B320="","",SUM($AH320:$AL320))</f>
        <v/>
      </c>
      <c r="J320" s="109">
        <f>IF($B320="","",SUMPRODUCT($K320:$BB320,$K$2:$BB$2))</f>
        <v/>
      </c>
      <c r="K320" s="110" t="n"/>
      <c r="L320" s="110" t="n"/>
      <c r="M320" s="110" t="n"/>
      <c r="N320" s="110" t="n">
        <v>1</v>
      </c>
      <c r="O320" s="110" t="n"/>
      <c r="P320" s="110" t="n">
        <v>1</v>
      </c>
      <c r="Q320" s="110" t="n"/>
      <c r="R320" s="110" t="n"/>
      <c r="S320" s="110" t="n"/>
      <c r="T320" s="110" t="n">
        <v>14</v>
      </c>
      <c r="U320" s="110" t="n">
        <v>1</v>
      </c>
      <c r="V320" s="110" t="n"/>
      <c r="W320" s="110" t="n"/>
      <c r="X320" s="110" t="n"/>
      <c r="Y320" s="110" t="n"/>
      <c r="Z320" s="110" t="n"/>
      <c r="AA320" s="110" t="n">
        <v>2</v>
      </c>
      <c r="AB320" s="110" t="n"/>
      <c r="AC320" s="110" t="n"/>
      <c r="AD320" s="110" t="n"/>
      <c r="AE320" s="110" t="n"/>
      <c r="AF320" s="110" t="n"/>
      <c r="AG320" s="110" t="n"/>
      <c r="AH320" s="110" t="n">
        <v>16</v>
      </c>
      <c r="AI320" s="110" t="n"/>
      <c r="AJ320" s="110" t="n"/>
      <c r="AK320" s="110" t="n"/>
      <c r="AL320" s="110" t="n"/>
      <c r="AM320" s="110" t="n"/>
      <c r="AN320" s="110" t="n"/>
      <c r="AO320" s="110" t="n"/>
      <c r="AP320" s="110" t="n"/>
      <c r="AQ320" s="110" t="n"/>
      <c r="AR320" s="110" t="n"/>
      <c r="AS320" s="110" t="n"/>
      <c r="AT320" s="110" t="n"/>
      <c r="AU320" s="110" t="n"/>
      <c r="AV320" s="110" t="n"/>
      <c r="AW320" s="110" t="n"/>
      <c r="AX320" s="110" t="n"/>
      <c r="AY320" s="110" t="n"/>
      <c r="AZ320" s="110" t="n"/>
      <c r="BA320" s="110" t="n"/>
      <c r="BB320" s="110" t="n"/>
      <c r="BC320" t="inlineStr">
        <is>
          <t>ORIGINAL</t>
        </is>
      </c>
      <c r="BD320" t="n">
        <v>311</v>
      </c>
      <c r="BF320" s="109">
        <f>IF($BD320="","",SUMIF($BD$6:$BD$2000,$BD320,$J$6:$J$2000))</f>
        <v/>
      </c>
    </row>
    <row r="321" ht="19.5" customHeight="1">
      <c r="A321" s="96" t="inlineStr">
        <is>
          <t>PENDENTE</t>
        </is>
      </c>
      <c r="B321" s="26" t="inlineStr">
        <is>
          <t>RIACHUELO</t>
        </is>
      </c>
      <c r="C321" s="27" t="n">
        <v>353</v>
      </c>
      <c r="D321" s="26" t="inlineStr">
        <is>
          <t>MANAUS GRANDE CIRCULAR SH</t>
        </is>
      </c>
      <c r="E321" s="26" t="inlineStr">
        <is>
          <t>MANAUS</t>
        </is>
      </c>
      <c r="F321" s="27" t="inlineStr">
        <is>
          <t>AM</t>
        </is>
      </c>
      <c r="G321" s="107" t="n">
        <v>46142</v>
      </c>
      <c r="H321" s="108">
        <f>IF($B321="","",SUM($K321:$AG321)+SUM($AS321:$BB321))</f>
        <v/>
      </c>
      <c r="I321" s="108">
        <f>IF($B321="","",SUM($AH321:$AL321))</f>
        <v/>
      </c>
      <c r="J321" s="109">
        <f>IF($B321="","",SUMPRODUCT($K321:$BB321,$K$2:$BB$2))</f>
        <v/>
      </c>
      <c r="K321" s="110" t="n"/>
      <c r="L321" s="110" t="n"/>
      <c r="M321" s="110" t="n"/>
      <c r="N321" s="110" t="n"/>
      <c r="O321" s="110" t="n"/>
      <c r="P321" s="110" t="n"/>
      <c r="Q321" s="110" t="n"/>
      <c r="R321" s="110" t="n"/>
      <c r="S321" s="110" t="n"/>
      <c r="T321" s="110" t="n"/>
      <c r="U321" s="110" t="n">
        <v>18</v>
      </c>
      <c r="V321" s="110" t="n"/>
      <c r="W321" s="110" t="n"/>
      <c r="X321" s="110" t="n"/>
      <c r="Y321" s="110" t="n"/>
      <c r="Z321" s="110" t="n"/>
      <c r="AA321" s="110" t="n">
        <v>1</v>
      </c>
      <c r="AB321" s="110" t="n"/>
      <c r="AC321" s="110" t="n"/>
      <c r="AD321" s="110" t="n"/>
      <c r="AE321" s="110" t="n"/>
      <c r="AF321" s="110" t="n"/>
      <c r="AG321" s="110" t="n"/>
      <c r="AH321" s="110" t="n">
        <v>14</v>
      </c>
      <c r="AI321" s="110" t="n"/>
      <c r="AJ321" s="110" t="n"/>
      <c r="AK321" s="110" t="n"/>
      <c r="AL321" s="110" t="n"/>
      <c r="AM321" s="110" t="n"/>
      <c r="AN321" s="110" t="n"/>
      <c r="AO321" s="110" t="n"/>
      <c r="AP321" s="110" t="n"/>
      <c r="AQ321" s="110" t="n"/>
      <c r="AR321" s="110" t="n"/>
      <c r="AS321" s="110" t="n"/>
      <c r="AT321" s="110" t="n"/>
      <c r="AU321" s="110" t="n"/>
      <c r="AV321" s="110" t="n"/>
      <c r="AW321" s="110" t="n"/>
      <c r="AX321" s="110" t="n"/>
      <c r="AY321" s="110" t="n"/>
      <c r="AZ321" s="110" t="n"/>
      <c r="BA321" s="110" t="n"/>
      <c r="BB321" s="110" t="n"/>
      <c r="BC321" t="inlineStr">
        <is>
          <t>ORIGINAL</t>
        </is>
      </c>
      <c r="BD321" t="n">
        <v>312</v>
      </c>
      <c r="BF321" s="109">
        <f>IF($BD321="","",SUMIF($BD$6:$BD$2000,$BD321,$J$6:$J$2000))</f>
        <v/>
      </c>
    </row>
    <row r="322" ht="19.5" customHeight="1">
      <c r="A322" s="96" t="inlineStr">
        <is>
          <t>PENDENTE</t>
        </is>
      </c>
      <c r="B322" s="26" t="inlineStr">
        <is>
          <t>RIACHUELO</t>
        </is>
      </c>
      <c r="C322" s="27" t="n">
        <v>354</v>
      </c>
      <c r="D322" s="26" t="inlineStr">
        <is>
          <t>SINOP SHOPPING</t>
        </is>
      </c>
      <c r="E322" s="26" t="inlineStr">
        <is>
          <t>SINOP</t>
        </is>
      </c>
      <c r="F322" s="27" t="inlineStr">
        <is>
          <t>MT</t>
        </is>
      </c>
      <c r="G322" s="107" t="n">
        <v>46054</v>
      </c>
      <c r="H322" s="108">
        <f>IF($B322="","",SUM($K322:$AG322)+SUM($AS322:$BB322))</f>
        <v/>
      </c>
      <c r="I322" s="108">
        <f>IF($B322="","",SUM($AH322:$AL322))</f>
        <v/>
      </c>
      <c r="J322" s="109">
        <f>IF($B322="","",SUMPRODUCT($K322:$BB322,$K$2:$BB$2))</f>
        <v/>
      </c>
      <c r="K322" s="110" t="n">
        <v>9</v>
      </c>
      <c r="L322" s="110" t="n"/>
      <c r="M322" s="110" t="n">
        <v>6</v>
      </c>
      <c r="N322" s="110" t="n"/>
      <c r="O322" s="110" t="n">
        <v>1</v>
      </c>
      <c r="P322" s="110" t="n"/>
      <c r="Q322" s="110" t="n"/>
      <c r="R322" s="110" t="n"/>
      <c r="S322" s="110" t="n">
        <v>1</v>
      </c>
      <c r="T322" s="110" t="n"/>
      <c r="U322" s="110" t="n"/>
      <c r="V322" s="110" t="n"/>
      <c r="W322" s="110" t="n"/>
      <c r="X322" s="110" t="n"/>
      <c r="Y322" s="110" t="n"/>
      <c r="Z322" s="110" t="n"/>
      <c r="AA322" s="110" t="n">
        <v>7</v>
      </c>
      <c r="AB322" s="110" t="n"/>
      <c r="AC322" s="110" t="n"/>
      <c r="AD322" s="110" t="n"/>
      <c r="AE322" s="110" t="n"/>
      <c r="AF322" s="110" t="n"/>
      <c r="AG322" s="110" t="n"/>
      <c r="AH322" s="110" t="n">
        <v>10</v>
      </c>
      <c r="AI322" s="110" t="n"/>
      <c r="AJ322" s="110" t="n"/>
      <c r="AK322" s="110" t="n"/>
      <c r="AL322" s="110" t="n"/>
      <c r="AM322" s="110" t="n"/>
      <c r="AN322" s="110" t="n"/>
      <c r="AO322" s="110" t="n"/>
      <c r="AP322" s="110" t="n"/>
      <c r="AQ322" s="110" t="n"/>
      <c r="AR322" s="110" t="n"/>
      <c r="AS322" s="110" t="n"/>
      <c r="AT322" s="110" t="n"/>
      <c r="AU322" s="110" t="n"/>
      <c r="AV322" s="110" t="n"/>
      <c r="AW322" s="110" t="n"/>
      <c r="AX322" s="110" t="n"/>
      <c r="AY322" s="110" t="n"/>
      <c r="AZ322" s="110" t="n"/>
      <c r="BA322" s="110" t="n"/>
      <c r="BB322" s="110" t="n"/>
      <c r="BC322" t="inlineStr">
        <is>
          <t>ORIGINAL</t>
        </is>
      </c>
      <c r="BD322" t="n">
        <v>313</v>
      </c>
      <c r="BF322" s="109">
        <f>IF($BD322="","",SUMIF($BD$6:$BD$2000,$BD322,$J$6:$J$2000))</f>
        <v/>
      </c>
    </row>
    <row r="323" ht="19.5" customHeight="1">
      <c r="A323" s="96" t="inlineStr">
        <is>
          <t>PENDENTE</t>
        </is>
      </c>
      <c r="B323" s="26" t="inlineStr">
        <is>
          <t>RIACHUELO</t>
        </is>
      </c>
      <c r="C323" s="27" t="n">
        <v>355</v>
      </c>
      <c r="D323" s="26" t="inlineStr">
        <is>
          <t>PATTEO OLINDA SH</t>
        </is>
      </c>
      <c r="E323" s="26" t="inlineStr">
        <is>
          <t>OLINDA</t>
        </is>
      </c>
      <c r="F323" s="27" t="inlineStr">
        <is>
          <t>PE</t>
        </is>
      </c>
      <c r="G323" s="107" t="n">
        <v>46023</v>
      </c>
      <c r="H323" s="108">
        <f>IF($B323="","",SUM($K323:$AG323)+SUM($AS323:$BB323))</f>
        <v/>
      </c>
      <c r="I323" s="108">
        <f>IF($B323="","",SUM($AH323:$AL323))</f>
        <v/>
      </c>
      <c r="J323" s="109">
        <f>IF($B323="","",SUMPRODUCT($K323:$BB323,$K$2:$BB$2))</f>
        <v/>
      </c>
      <c r="K323" s="110" t="n">
        <v>9</v>
      </c>
      <c r="L323" s="110" t="n"/>
      <c r="M323" s="110" t="n"/>
      <c r="N323" s="110" t="n">
        <v>11</v>
      </c>
      <c r="O323" s="110" t="n"/>
      <c r="P323" s="110" t="n"/>
      <c r="Q323" s="110" t="n"/>
      <c r="R323" s="110" t="n"/>
      <c r="S323" s="110" t="n"/>
      <c r="T323" s="110" t="n"/>
      <c r="U323" s="110" t="n"/>
      <c r="V323" s="110" t="n"/>
      <c r="W323" s="110" t="n"/>
      <c r="X323" s="110" t="n"/>
      <c r="Y323" s="110" t="n"/>
      <c r="Z323" s="110" t="n"/>
      <c r="AA323" s="110" t="n">
        <v>7</v>
      </c>
      <c r="AB323" s="110" t="n"/>
      <c r="AC323" s="110" t="n"/>
      <c r="AD323" s="110" t="n"/>
      <c r="AE323" s="110" t="n"/>
      <c r="AF323" s="110" t="n"/>
      <c r="AG323" s="110" t="n"/>
      <c r="AH323" s="110" t="n">
        <v>16</v>
      </c>
      <c r="AI323" s="110" t="n"/>
      <c r="AJ323" s="110" t="n"/>
      <c r="AK323" s="110" t="n"/>
      <c r="AL323" s="110" t="n"/>
      <c r="AM323" s="110" t="n"/>
      <c r="AN323" s="110" t="n"/>
      <c r="AO323" s="110" t="n"/>
      <c r="AP323" s="110" t="n"/>
      <c r="AQ323" s="110" t="n"/>
      <c r="AR323" s="110" t="n"/>
      <c r="AS323" s="110" t="n"/>
      <c r="AT323" s="110" t="n"/>
      <c r="AU323" s="110" t="n"/>
      <c r="AV323" s="110" t="n"/>
      <c r="AW323" s="110" t="n"/>
      <c r="AX323" s="110" t="n"/>
      <c r="AY323" s="110" t="n"/>
      <c r="AZ323" s="110" t="n"/>
      <c r="BA323" s="110" t="n"/>
      <c r="BB323" s="110" t="n"/>
      <c r="BC323" t="inlineStr">
        <is>
          <t>ORIGINAL</t>
        </is>
      </c>
      <c r="BD323" t="n">
        <v>314</v>
      </c>
      <c r="BF323" s="109">
        <f>IF($BD323="","",SUMIF($BD$6:$BD$2000,$BD323,$J$6:$J$2000))</f>
        <v/>
      </c>
    </row>
    <row r="324" ht="19.5" customHeight="1">
      <c r="A324" s="96" t="inlineStr">
        <is>
          <t>PENDENTE</t>
        </is>
      </c>
      <c r="B324" s="26" t="inlineStr">
        <is>
          <t>RIACHUELO</t>
        </is>
      </c>
      <c r="C324" s="27" t="n">
        <v>356</v>
      </c>
      <c r="D324" s="26" t="inlineStr">
        <is>
          <t>NATAL PORTAGE NORTE SH</t>
        </is>
      </c>
      <c r="E324" s="26" t="inlineStr">
        <is>
          <t>NATAL</t>
        </is>
      </c>
      <c r="F324" s="27" t="inlineStr">
        <is>
          <t>RN</t>
        </is>
      </c>
      <c r="G324" s="107" t="n">
        <v>46143</v>
      </c>
      <c r="H324" s="108">
        <f>IF($B324="","",SUM($K324:$AG324)+SUM($AS324:$BB324))</f>
        <v/>
      </c>
      <c r="I324" s="108">
        <f>IF($B324="","",SUM($AH324:$AL324))</f>
        <v/>
      </c>
      <c r="J324" s="109">
        <f>IF($B324="","",SUMPRODUCT($K324:$BB324,$K$2:$BB$2))</f>
        <v/>
      </c>
      <c r="K324" s="110" t="n"/>
      <c r="L324" s="110" t="n"/>
      <c r="M324" s="110" t="n">
        <v>3</v>
      </c>
      <c r="N324" s="110" t="n"/>
      <c r="O324" s="110" t="n"/>
      <c r="P324" s="110" t="n">
        <v>1</v>
      </c>
      <c r="Q324" s="110" t="n"/>
      <c r="R324" s="110" t="n"/>
      <c r="S324" s="110" t="n"/>
      <c r="T324" s="110" t="n"/>
      <c r="U324" s="110" t="n">
        <v>15</v>
      </c>
      <c r="V324" s="110" t="n"/>
      <c r="W324" s="110" t="n"/>
      <c r="X324" s="110" t="n"/>
      <c r="Y324" s="110" t="n"/>
      <c r="Z324" s="110" t="n"/>
      <c r="AA324" s="110" t="n">
        <v>3</v>
      </c>
      <c r="AB324" s="110" t="n"/>
      <c r="AC324" s="110" t="n"/>
      <c r="AD324" s="110" t="n"/>
      <c r="AE324" s="110" t="n"/>
      <c r="AF324" s="110" t="n"/>
      <c r="AG324" s="110" t="n"/>
      <c r="AH324" s="110" t="n">
        <v>16</v>
      </c>
      <c r="AI324" s="110" t="n"/>
      <c r="AJ324" s="110" t="n"/>
      <c r="AK324" s="110" t="n"/>
      <c r="AL324" s="110" t="n"/>
      <c r="AM324" s="110" t="n"/>
      <c r="AN324" s="110" t="n"/>
      <c r="AO324" s="110" t="n"/>
      <c r="AP324" s="110" t="n"/>
      <c r="AQ324" s="110" t="n"/>
      <c r="AR324" s="110" t="n"/>
      <c r="AS324" s="110" t="n"/>
      <c r="AT324" s="110" t="n"/>
      <c r="AU324" s="110" t="n"/>
      <c r="AV324" s="110" t="n"/>
      <c r="AW324" s="110" t="n"/>
      <c r="AX324" s="110" t="n"/>
      <c r="AY324" s="110" t="n"/>
      <c r="AZ324" s="110" t="n"/>
      <c r="BA324" s="110" t="n"/>
      <c r="BB324" s="110" t="n"/>
      <c r="BC324" t="inlineStr">
        <is>
          <t>ORIGINAL</t>
        </is>
      </c>
      <c r="BD324" t="n">
        <v>315</v>
      </c>
      <c r="BF324" s="109">
        <f>IF($BD324="","",SUMIF($BD$6:$BD$2000,$BD324,$J$6:$J$2000))</f>
        <v/>
      </c>
    </row>
    <row r="325" ht="19.5" customHeight="1">
      <c r="A325" s="96" t="inlineStr">
        <is>
          <t>PENDENTE</t>
        </is>
      </c>
      <c r="B325" s="26" t="inlineStr">
        <is>
          <t>RIACHUELO</t>
        </is>
      </c>
      <c r="C325" s="27" t="n">
        <v>357</v>
      </c>
      <c r="D325" s="26" t="inlineStr">
        <is>
          <t>ARACAJU RIO MAR SH</t>
        </is>
      </c>
      <c r="E325" s="26" t="inlineStr">
        <is>
          <t>ARACAJU</t>
        </is>
      </c>
      <c r="F325" s="27" t="inlineStr">
        <is>
          <t>SE</t>
        </is>
      </c>
      <c r="G325" s="107" t="n">
        <v>46266</v>
      </c>
      <c r="H325" s="108">
        <f>IF($B325="","",SUM($K325:$AG325)+SUM($AS325:$BB325))</f>
        <v/>
      </c>
      <c r="I325" s="108">
        <f>IF($B325="","",SUM($AH325:$AL325))</f>
        <v/>
      </c>
      <c r="J325" s="109">
        <f>IF($B325="","",SUMPRODUCT($K325:$BB325,$K$2:$BB$2))</f>
        <v/>
      </c>
      <c r="K325" s="110" t="n"/>
      <c r="L325" s="110" t="n"/>
      <c r="M325" s="110" t="n"/>
      <c r="N325" s="110" t="n">
        <v>3</v>
      </c>
      <c r="O325" s="110" t="n"/>
      <c r="P325" s="110" t="n">
        <v>1</v>
      </c>
      <c r="Q325" s="110" t="n"/>
      <c r="R325" s="110" t="n"/>
      <c r="S325" s="110" t="n"/>
      <c r="T325" s="110" t="n"/>
      <c r="U325" s="110" t="n">
        <v>10</v>
      </c>
      <c r="V325" s="110" t="n"/>
      <c r="W325" s="110" t="n"/>
      <c r="X325" s="110" t="n"/>
      <c r="Y325" s="110" t="n"/>
      <c r="Z325" s="110" t="n"/>
      <c r="AA325" s="110" t="n">
        <v>4</v>
      </c>
      <c r="AB325" s="110" t="n"/>
      <c r="AC325" s="110" t="n"/>
      <c r="AD325" s="110" t="n"/>
      <c r="AE325" s="110" t="n"/>
      <c r="AF325" s="110" t="n"/>
      <c r="AG325" s="110" t="n"/>
      <c r="AH325" s="110" t="n">
        <v>12</v>
      </c>
      <c r="AI325" s="110" t="n"/>
      <c r="AJ325" s="110" t="n"/>
      <c r="AK325" s="110" t="n"/>
      <c r="AL325" s="110" t="n"/>
      <c r="AM325" s="110" t="n"/>
      <c r="AN325" s="110" t="n"/>
      <c r="AO325" s="110" t="n"/>
      <c r="AP325" s="110" t="n"/>
      <c r="AQ325" s="110" t="n"/>
      <c r="AR325" s="110" t="n"/>
      <c r="AS325" s="110" t="n"/>
      <c r="AT325" s="110" t="n"/>
      <c r="AU325" s="110" t="n"/>
      <c r="AV325" s="110" t="n"/>
      <c r="AW325" s="110" t="n"/>
      <c r="AX325" s="110" t="n"/>
      <c r="AY325" s="110" t="n"/>
      <c r="AZ325" s="110" t="n"/>
      <c r="BA325" s="110" t="n"/>
      <c r="BB325" s="110" t="n"/>
      <c r="BC325" t="inlineStr">
        <is>
          <t>ORIGINAL</t>
        </is>
      </c>
      <c r="BD325" t="n">
        <v>316</v>
      </c>
      <c r="BF325" s="109">
        <f>IF($BD325="","",SUMIF($BD$6:$BD$2000,$BD325,$J$6:$J$2000))</f>
        <v/>
      </c>
    </row>
    <row r="326" ht="19.5" customHeight="1">
      <c r="A326" s="96" t="inlineStr">
        <is>
          <t>PENDENTE</t>
        </is>
      </c>
      <c r="B326" s="26" t="inlineStr">
        <is>
          <t>RIACHUELO</t>
        </is>
      </c>
      <c r="C326" s="27" t="n">
        <v>358</v>
      </c>
      <c r="D326" s="26" t="inlineStr">
        <is>
          <t>GALLERIA SH</t>
        </is>
      </c>
      <c r="E326" s="26" t="inlineStr">
        <is>
          <t>CAMPINAS</t>
        </is>
      </c>
      <c r="F326" s="27" t="inlineStr">
        <is>
          <t xml:space="preserve">SP </t>
        </is>
      </c>
      <c r="G326" s="107" t="n">
        <v>46203</v>
      </c>
      <c r="H326" s="108">
        <f>IF($B326="","",SUM($K326:$AG326)+SUM($AS326:$BB326))</f>
        <v/>
      </c>
      <c r="I326" s="108">
        <f>IF($B326="","",SUM($AH326:$AL326))</f>
        <v/>
      </c>
      <c r="J326" s="109">
        <f>IF($B326="","",SUMPRODUCT($K326:$BB326,$K$2:$BB$2))</f>
        <v/>
      </c>
      <c r="K326" s="110" t="n">
        <v>10</v>
      </c>
      <c r="L326" s="110" t="n"/>
      <c r="M326" s="110" t="n">
        <v>2</v>
      </c>
      <c r="N326" s="110" t="n"/>
      <c r="O326" s="110" t="n"/>
      <c r="P326" s="110" t="n"/>
      <c r="Q326" s="110" t="n"/>
      <c r="R326" s="110" t="n"/>
      <c r="S326" s="110" t="n"/>
      <c r="T326" s="110" t="n"/>
      <c r="U326" s="110" t="n"/>
      <c r="V326" s="110" t="n"/>
      <c r="W326" s="110" t="n"/>
      <c r="X326" s="110" t="n"/>
      <c r="Y326" s="110" t="n"/>
      <c r="Z326" s="110" t="n"/>
      <c r="AA326" s="110" t="n">
        <v>6</v>
      </c>
      <c r="AB326" s="110" t="n"/>
      <c r="AC326" s="110" t="n"/>
      <c r="AD326" s="110" t="n"/>
      <c r="AE326" s="110" t="n"/>
      <c r="AF326" s="110" t="n"/>
      <c r="AG326" s="110" t="n"/>
      <c r="AH326" s="110" t="n">
        <v>8</v>
      </c>
      <c r="AI326" s="110" t="n"/>
      <c r="AJ326" s="110" t="n"/>
      <c r="AK326" s="110" t="n"/>
      <c r="AL326" s="110" t="n"/>
      <c r="AM326" s="110" t="n"/>
      <c r="AN326" s="110" t="n"/>
      <c r="AO326" s="110" t="n"/>
      <c r="AP326" s="110" t="n"/>
      <c r="AQ326" s="110" t="n"/>
      <c r="AR326" s="110" t="n"/>
      <c r="AS326" s="110" t="n"/>
      <c r="AT326" s="110" t="n"/>
      <c r="AU326" s="110" t="n"/>
      <c r="AV326" s="110" t="n"/>
      <c r="AW326" s="110" t="n"/>
      <c r="AX326" s="110" t="n"/>
      <c r="AY326" s="110" t="n"/>
      <c r="AZ326" s="110" t="n"/>
      <c r="BA326" s="110" t="n"/>
      <c r="BB326" s="110" t="n"/>
      <c r="BC326" t="inlineStr">
        <is>
          <t>ORIGINAL</t>
        </is>
      </c>
      <c r="BD326" t="n">
        <v>317</v>
      </c>
      <c r="BF326" s="109">
        <f>IF($BD326="","",SUMIF($BD$6:$BD$2000,$BD326,$J$6:$J$2000))</f>
        <v/>
      </c>
    </row>
    <row r="327" ht="19.5" customHeight="1">
      <c r="A327" s="96" t="inlineStr">
        <is>
          <t>PENDENTE</t>
        </is>
      </c>
      <c r="B327" s="26" t="inlineStr">
        <is>
          <t>RIACHUELO</t>
        </is>
      </c>
      <c r="C327" s="27" t="n">
        <v>360</v>
      </c>
      <c r="D327" s="26" t="inlineStr">
        <is>
          <t>SÃO JOSÉ ITAGUAÇU</t>
        </is>
      </c>
      <c r="E327" s="26" t="inlineStr">
        <is>
          <t>SÃO JOSÉ</t>
        </is>
      </c>
      <c r="F327" s="27" t="inlineStr">
        <is>
          <t>SC</t>
        </is>
      </c>
      <c r="G327" s="107" t="n">
        <v>46266</v>
      </c>
      <c r="H327" s="108">
        <f>IF($B327="","",SUM($K327:$AG327)+SUM($AS327:$BB327))</f>
        <v/>
      </c>
      <c r="I327" s="108">
        <f>IF($B327="","",SUM($AH327:$AL327))</f>
        <v/>
      </c>
      <c r="J327" s="109">
        <f>IF($B327="","",SUMPRODUCT($K327:$BB327,$K$2:$BB$2))</f>
        <v/>
      </c>
      <c r="K327" s="110" t="n"/>
      <c r="L327" s="110" t="n"/>
      <c r="M327" s="110" t="n"/>
      <c r="N327" s="110" t="n"/>
      <c r="O327" s="110" t="n"/>
      <c r="P327" s="110" t="n"/>
      <c r="Q327" s="110" t="n"/>
      <c r="R327" s="110" t="n"/>
      <c r="S327" s="110" t="n"/>
      <c r="T327" s="110" t="n">
        <v>15</v>
      </c>
      <c r="U327" s="110" t="n"/>
      <c r="V327" s="110" t="n"/>
      <c r="W327" s="110" t="n"/>
      <c r="X327" s="110" t="n"/>
      <c r="Y327" s="110" t="n"/>
      <c r="Z327" s="110" t="n"/>
      <c r="AA327" s="110" t="n"/>
      <c r="AB327" s="110" t="n"/>
      <c r="AC327" s="110" t="n"/>
      <c r="AD327" s="110" t="n"/>
      <c r="AE327" s="110" t="n"/>
      <c r="AF327" s="110" t="n"/>
      <c r="AG327" s="110" t="n"/>
      <c r="AH327" s="110" t="n"/>
      <c r="AI327" s="110" t="n"/>
      <c r="AJ327" s="110" t="n">
        <v>12</v>
      </c>
      <c r="AK327" s="110" t="n"/>
      <c r="AL327" s="110" t="n"/>
      <c r="AM327" s="110" t="n"/>
      <c r="AN327" s="110" t="n"/>
      <c r="AO327" s="110" t="n"/>
      <c r="AP327" s="110" t="n"/>
      <c r="AQ327" s="110" t="n"/>
      <c r="AR327" s="110" t="n"/>
      <c r="AS327" s="110" t="n"/>
      <c r="AT327" s="110" t="n"/>
      <c r="AU327" s="110" t="n"/>
      <c r="AV327" s="110" t="n"/>
      <c r="AW327" s="110" t="n"/>
      <c r="AX327" s="110" t="n"/>
      <c r="AY327" s="110" t="n"/>
      <c r="AZ327" s="110" t="n"/>
      <c r="BA327" s="110" t="n"/>
      <c r="BB327" s="110" t="n"/>
      <c r="BC327" t="inlineStr">
        <is>
          <t>ORIGINAL</t>
        </is>
      </c>
      <c r="BD327" t="n">
        <v>318</v>
      </c>
      <c r="BF327" s="109">
        <f>IF($BD327="","",SUMIF($BD$6:$BD$2000,$BD327,$J$6:$J$2000))</f>
        <v/>
      </c>
    </row>
    <row r="328" ht="19.5" customHeight="1">
      <c r="A328" s="96" t="inlineStr">
        <is>
          <t>PENDENTE</t>
        </is>
      </c>
      <c r="B328" s="26" t="inlineStr">
        <is>
          <t>RIACHUELO</t>
        </is>
      </c>
      <c r="C328" s="27" t="n">
        <v>361</v>
      </c>
      <c r="D328" s="26" t="inlineStr">
        <is>
          <t>PARAUPEBAS PORTAGE SH</t>
        </is>
      </c>
      <c r="E328" s="26" t="inlineStr">
        <is>
          <t>PARAUPEBAS</t>
        </is>
      </c>
      <c r="F328" s="27" t="inlineStr">
        <is>
          <t>PA</t>
        </is>
      </c>
      <c r="G328" s="107" t="n">
        <v>46204</v>
      </c>
      <c r="H328" s="108">
        <f>IF($B328="","",SUM($K328:$AG328)+SUM($AS328:$BB328))</f>
        <v/>
      </c>
      <c r="I328" s="108">
        <f>IF($B328="","",SUM($AH328:$AL328))</f>
        <v/>
      </c>
      <c r="J328" s="109">
        <f>IF($B328="","",SUMPRODUCT($K328:$BB328,$K$2:$BB$2))</f>
        <v/>
      </c>
      <c r="K328" s="110" t="n">
        <v>6</v>
      </c>
      <c r="L328" s="110" t="n"/>
      <c r="M328" s="110" t="n"/>
      <c r="N328" s="110" t="n"/>
      <c r="O328" s="110" t="n"/>
      <c r="P328" s="110" t="n"/>
      <c r="Q328" s="110" t="n"/>
      <c r="R328" s="110" t="n"/>
      <c r="S328" s="110" t="n"/>
      <c r="T328" s="110" t="n"/>
      <c r="U328" s="110" t="n">
        <v>7</v>
      </c>
      <c r="V328" s="110" t="n"/>
      <c r="W328" s="110" t="n"/>
      <c r="X328" s="110" t="n"/>
      <c r="Y328" s="110" t="n"/>
      <c r="Z328" s="110" t="n"/>
      <c r="AA328" s="110" t="n">
        <v>6</v>
      </c>
      <c r="AB328" s="110" t="n"/>
      <c r="AC328" s="110" t="n"/>
      <c r="AD328" s="110" t="n"/>
      <c r="AE328" s="110" t="n"/>
      <c r="AF328" s="110" t="n"/>
      <c r="AG328" s="110" t="n"/>
      <c r="AH328" s="110" t="n">
        <v>8</v>
      </c>
      <c r="AI328" s="110" t="n"/>
      <c r="AJ328" s="110" t="n"/>
      <c r="AK328" s="110" t="n"/>
      <c r="AL328" s="110" t="n"/>
      <c r="AM328" s="110" t="n"/>
      <c r="AN328" s="110" t="n"/>
      <c r="AO328" s="110" t="n"/>
      <c r="AP328" s="110" t="n"/>
      <c r="AQ328" s="110" t="n"/>
      <c r="AR328" s="110" t="n"/>
      <c r="AS328" s="110" t="n"/>
      <c r="AT328" s="110" t="n"/>
      <c r="AU328" s="110" t="n"/>
      <c r="AV328" s="110" t="n"/>
      <c r="AW328" s="110" t="n"/>
      <c r="AX328" s="110" t="n"/>
      <c r="AY328" s="110" t="n"/>
      <c r="AZ328" s="110" t="n"/>
      <c r="BA328" s="110" t="n"/>
      <c r="BB328" s="110" t="n"/>
      <c r="BC328" t="inlineStr">
        <is>
          <t>ORIGINAL</t>
        </is>
      </c>
      <c r="BD328" t="n">
        <v>319</v>
      </c>
      <c r="BF328" s="109">
        <f>IF($BD328="","",SUMIF($BD$6:$BD$2000,$BD328,$J$6:$J$2000))</f>
        <v/>
      </c>
    </row>
    <row r="329" ht="19.5" customHeight="1">
      <c r="A329" s="96" t="inlineStr">
        <is>
          <t>PENDENTE</t>
        </is>
      </c>
      <c r="B329" s="26" t="inlineStr">
        <is>
          <t>RIACHUELO</t>
        </is>
      </c>
      <c r="C329" s="27" t="n">
        <v>362</v>
      </c>
      <c r="D329" s="26" t="inlineStr">
        <is>
          <t>RCHLO SÃO JOÃO DO MERITI GRANDE RIO SH</t>
        </is>
      </c>
      <c r="E329" s="26" t="inlineStr">
        <is>
          <t>SÃO JÕAO DO MERETI</t>
        </is>
      </c>
      <c r="F329" s="27" t="inlineStr">
        <is>
          <t>RJ</t>
        </is>
      </c>
      <c r="G329" s="107" t="n">
        <v>46235</v>
      </c>
      <c r="H329" s="108">
        <f>IF($B329="","",SUM($K329:$AG329)+SUM($AS329:$BB329))</f>
        <v/>
      </c>
      <c r="I329" s="108">
        <f>IF($B329="","",SUM($AH329:$AL329))</f>
        <v/>
      </c>
      <c r="J329" s="109">
        <f>IF($B329="","",SUMPRODUCT($K329:$BB329,$K$2:$BB$2))</f>
        <v/>
      </c>
      <c r="K329" s="110" t="n"/>
      <c r="L329" s="110" t="n"/>
      <c r="M329" s="110" t="n"/>
      <c r="N329" s="110" t="n"/>
      <c r="O329" s="110" t="n"/>
      <c r="P329" s="110" t="n">
        <v>1</v>
      </c>
      <c r="Q329" s="110" t="n"/>
      <c r="R329" s="110" t="n"/>
      <c r="S329" s="110" t="n"/>
      <c r="T329" s="110" t="n"/>
      <c r="U329" s="110" t="n">
        <v>18</v>
      </c>
      <c r="V329" s="110" t="n"/>
      <c r="W329" s="110" t="n"/>
      <c r="X329" s="110" t="n"/>
      <c r="Y329" s="110" t="n"/>
      <c r="Z329" s="110" t="n"/>
      <c r="AA329" s="110" t="n">
        <v>2</v>
      </c>
      <c r="AB329" s="110" t="n"/>
      <c r="AC329" s="110" t="n"/>
      <c r="AD329" s="110" t="n"/>
      <c r="AE329" s="110" t="n"/>
      <c r="AF329" s="110" t="n"/>
      <c r="AG329" s="110" t="n"/>
      <c r="AH329" s="110" t="n">
        <v>16</v>
      </c>
      <c r="AI329" s="110" t="n"/>
      <c r="AJ329" s="110" t="n"/>
      <c r="AK329" s="110" t="n"/>
      <c r="AL329" s="110" t="n"/>
      <c r="AM329" s="110" t="n"/>
      <c r="AN329" s="110" t="n"/>
      <c r="AO329" s="110" t="n"/>
      <c r="AP329" s="110" t="n"/>
      <c r="AQ329" s="110" t="n"/>
      <c r="AR329" s="110" t="n"/>
      <c r="AS329" s="110" t="n"/>
      <c r="AT329" s="110" t="n"/>
      <c r="AU329" s="110" t="n"/>
      <c r="AV329" s="110" t="n"/>
      <c r="AW329" s="110" t="n"/>
      <c r="AX329" s="110" t="n"/>
      <c r="AY329" s="110" t="n"/>
      <c r="AZ329" s="110" t="n"/>
      <c r="BA329" s="110" t="n"/>
      <c r="BB329" s="110" t="n"/>
      <c r="BC329" t="inlineStr">
        <is>
          <t>ORIGINAL</t>
        </is>
      </c>
      <c r="BD329" t="n">
        <v>320</v>
      </c>
      <c r="BF329" s="109">
        <f>IF($BD329="","",SUMIF($BD$6:$BD$2000,$BD329,$J$6:$J$2000))</f>
        <v/>
      </c>
    </row>
    <row r="330" ht="19.5" customHeight="1">
      <c r="A330" s="96" t="inlineStr">
        <is>
          <t>PENDENTE</t>
        </is>
      </c>
      <c r="B330" s="26" t="inlineStr">
        <is>
          <t>RIACHUELO</t>
        </is>
      </c>
      <c r="C330" s="27" t="n">
        <v>363</v>
      </c>
      <c r="D330" s="26" t="inlineStr">
        <is>
          <t>RCHLO VARGINHA VIA CAFÉ GARDEN SH</t>
        </is>
      </c>
      <c r="E330" s="26" t="inlineStr">
        <is>
          <t>VARGINHA</t>
        </is>
      </c>
      <c r="F330" s="27" t="inlineStr">
        <is>
          <t>MG</t>
        </is>
      </c>
      <c r="G330" s="107" t="n">
        <v>46296</v>
      </c>
      <c r="H330" s="108">
        <f>IF($B330="","",SUM($K330:$AG330)+SUM($AS330:$BB330))</f>
        <v/>
      </c>
      <c r="I330" s="108">
        <f>IF($B330="","",SUM($AH330:$AL330))</f>
        <v/>
      </c>
      <c r="J330" s="109">
        <f>IF($B330="","",SUMPRODUCT($K330:$BB330,$K$2:$BB$2))</f>
        <v/>
      </c>
      <c r="K330" s="110" t="n">
        <v>8</v>
      </c>
      <c r="L330" s="110" t="n"/>
      <c r="M330" s="110" t="n"/>
      <c r="N330" s="110" t="n"/>
      <c r="O330" s="110" t="n"/>
      <c r="P330" s="110" t="n">
        <v>5</v>
      </c>
      <c r="Q330" s="110" t="n"/>
      <c r="R330" s="110" t="n"/>
      <c r="S330" s="110" t="n"/>
      <c r="T330" s="110" t="n"/>
      <c r="U330" s="110" t="n"/>
      <c r="V330" s="110" t="n"/>
      <c r="W330" s="110" t="n"/>
      <c r="X330" s="110" t="n"/>
      <c r="Y330" s="110" t="n"/>
      <c r="Z330" s="110" t="n"/>
      <c r="AA330" s="110" t="n">
        <v>2</v>
      </c>
      <c r="AB330" s="110" t="n"/>
      <c r="AC330" s="110" t="n"/>
      <c r="AD330" s="110" t="n"/>
      <c r="AE330" s="110" t="n"/>
      <c r="AF330" s="110" t="n"/>
      <c r="AG330" s="110" t="n"/>
      <c r="AH330" s="110" t="n">
        <v>10</v>
      </c>
      <c r="AI330" s="110" t="n"/>
      <c r="AJ330" s="110" t="n"/>
      <c r="AK330" s="110" t="n"/>
      <c r="AL330" s="110" t="n"/>
      <c r="AM330" s="110" t="n"/>
      <c r="AN330" s="110" t="n"/>
      <c r="AO330" s="110" t="n"/>
      <c r="AP330" s="110" t="n"/>
      <c r="AQ330" s="110" t="n"/>
      <c r="AR330" s="110" t="n"/>
      <c r="AS330" s="110" t="n"/>
      <c r="AT330" s="110" t="n"/>
      <c r="AU330" s="110" t="n"/>
      <c r="AV330" s="110" t="n"/>
      <c r="AW330" s="110" t="n"/>
      <c r="AX330" s="110" t="n"/>
      <c r="AY330" s="110" t="n"/>
      <c r="AZ330" s="110" t="n"/>
      <c r="BA330" s="110" t="n"/>
      <c r="BB330" s="110" t="n"/>
      <c r="BC330" t="inlineStr">
        <is>
          <t>ORIGINAL</t>
        </is>
      </c>
      <c r="BD330" t="n">
        <v>321</v>
      </c>
      <c r="BF330" s="109">
        <f>IF($BD330="","",SUMIF($BD$6:$BD$2000,$BD330,$J$6:$J$2000))</f>
        <v/>
      </c>
    </row>
    <row r="331" ht="19.5" customHeight="1">
      <c r="A331" s="96" t="inlineStr">
        <is>
          <t>PENDENTE</t>
        </is>
      </c>
      <c r="B331" s="26" t="inlineStr">
        <is>
          <t>RIACHUELO</t>
        </is>
      </c>
      <c r="C331" s="27" t="n">
        <v>364</v>
      </c>
      <c r="D331" s="26" t="inlineStr">
        <is>
          <t>RCHLO LAURO DE FREITAS PARQUE BAHIA SH</t>
        </is>
      </c>
      <c r="E331" s="26" t="inlineStr">
        <is>
          <t>LAURO DE FREITAS</t>
        </is>
      </c>
      <c r="F331" s="27" t="inlineStr">
        <is>
          <t>BA</t>
        </is>
      </c>
      <c r="G331" s="107" t="n">
        <v>46082</v>
      </c>
      <c r="H331" s="108">
        <f>IF($B331="","",SUM($K331:$AG331)+SUM($AS331:$BB331))</f>
        <v/>
      </c>
      <c r="I331" s="108">
        <f>IF($B331="","",SUM($AH331:$AL331))</f>
        <v/>
      </c>
      <c r="J331" s="109">
        <f>IF($B331="","",SUMPRODUCT($K331:$BB331,$K$2:$BB$2))</f>
        <v/>
      </c>
      <c r="K331" s="110" t="n">
        <v>8</v>
      </c>
      <c r="L331" s="110" t="n"/>
      <c r="M331" s="110" t="n">
        <v>2</v>
      </c>
      <c r="N331" s="110" t="n">
        <v>1</v>
      </c>
      <c r="O331" s="110" t="n"/>
      <c r="P331" s="110" t="n"/>
      <c r="Q331" s="110" t="n"/>
      <c r="R331" s="110" t="n"/>
      <c r="S331" s="110" t="n"/>
      <c r="T331" s="110" t="n">
        <v>3</v>
      </c>
      <c r="U331" s="110" t="n">
        <v>1</v>
      </c>
      <c r="V331" s="110" t="n"/>
      <c r="W331" s="110" t="n"/>
      <c r="X331" s="110" t="n"/>
      <c r="Y331" s="110" t="n"/>
      <c r="Z331" s="110" t="n"/>
      <c r="AA331" s="110" t="n">
        <v>6</v>
      </c>
      <c r="AB331" s="110" t="n"/>
      <c r="AC331" s="110" t="n"/>
      <c r="AD331" s="110" t="n"/>
      <c r="AE331" s="110" t="n"/>
      <c r="AF331" s="110" t="n"/>
      <c r="AG331" s="110" t="n"/>
      <c r="AH331" s="110" t="n">
        <v>24</v>
      </c>
      <c r="AI331" s="110" t="n"/>
      <c r="AJ331" s="110" t="n"/>
      <c r="AK331" s="110" t="n"/>
      <c r="AL331" s="110" t="n"/>
      <c r="AM331" s="110" t="n"/>
      <c r="AN331" s="110" t="n"/>
      <c r="AO331" s="110" t="n"/>
      <c r="AP331" s="110" t="n"/>
      <c r="AQ331" s="110" t="n"/>
      <c r="AR331" s="110" t="n"/>
      <c r="AS331" s="110" t="n"/>
      <c r="AT331" s="110" t="n"/>
      <c r="AU331" s="110" t="n"/>
      <c r="AV331" s="110" t="n"/>
      <c r="AW331" s="110" t="n"/>
      <c r="AX331" s="110" t="n"/>
      <c r="AY331" s="110" t="n"/>
      <c r="AZ331" s="110" t="n"/>
      <c r="BA331" s="110" t="n"/>
      <c r="BB331" s="110" t="n"/>
      <c r="BC331" t="inlineStr">
        <is>
          <t>ORIGINAL</t>
        </is>
      </c>
      <c r="BD331" t="n">
        <v>322</v>
      </c>
      <c r="BF331" s="109">
        <f>IF($BD331="","",SUMIF($BD$6:$BD$2000,$BD331,$J$6:$J$2000))</f>
        <v/>
      </c>
    </row>
    <row r="332" ht="19.5" customHeight="1">
      <c r="A332" s="96" t="inlineStr">
        <is>
          <t>PENDENTE</t>
        </is>
      </c>
      <c r="B332" s="26" t="inlineStr">
        <is>
          <t>RIACHUELO</t>
        </is>
      </c>
      <c r="C332" s="27" t="n">
        <v>365</v>
      </c>
      <c r="D332" s="26" t="inlineStr">
        <is>
          <t>RCHLO SPA RUA SÃO BENTO CT</t>
        </is>
      </c>
      <c r="E332" s="26" t="inlineStr">
        <is>
          <t>SÃO PAULO</t>
        </is>
      </c>
      <c r="F332" s="27" t="inlineStr">
        <is>
          <t>SP</t>
        </is>
      </c>
      <c r="G332" s="107" t="n">
        <v>46235</v>
      </c>
      <c r="H332" s="108">
        <f>IF($B332="","",SUM($K332:$AG332)+SUM($AS332:$BB332))</f>
        <v/>
      </c>
      <c r="I332" s="108">
        <f>IF($B332="","",SUM($AH332:$AL332))</f>
        <v/>
      </c>
      <c r="J332" s="109">
        <f>IF($B332="","",SUMPRODUCT($K332:$BB332,$K$2:$BB$2))</f>
        <v/>
      </c>
      <c r="K332" s="110" t="n">
        <v>7</v>
      </c>
      <c r="L332" s="110" t="n"/>
      <c r="M332" s="110" t="n">
        <v>7</v>
      </c>
      <c r="N332" s="110" t="n">
        <v>1</v>
      </c>
      <c r="O332" s="110" t="n"/>
      <c r="P332" s="110" t="n"/>
      <c r="Q332" s="110" t="n"/>
      <c r="R332" s="110" t="n"/>
      <c r="S332" s="110" t="n"/>
      <c r="T332" s="110" t="n"/>
      <c r="U332" s="110" t="n"/>
      <c r="V332" s="110" t="n"/>
      <c r="W332" s="110" t="n"/>
      <c r="X332" s="110" t="n"/>
      <c r="Y332" s="110" t="n"/>
      <c r="Z332" s="110" t="n"/>
      <c r="AA332" s="110" t="n">
        <v>7</v>
      </c>
      <c r="AB332" s="110" t="n"/>
      <c r="AC332" s="110" t="n"/>
      <c r="AD332" s="110" t="n"/>
      <c r="AE332" s="110" t="n"/>
      <c r="AF332" s="110" t="n"/>
      <c r="AG332" s="110" t="n"/>
      <c r="AH332" s="110" t="n">
        <v>16</v>
      </c>
      <c r="AI332" s="110" t="n"/>
      <c r="AJ332" s="110" t="n"/>
      <c r="AK332" s="110" t="n"/>
      <c r="AL332" s="110" t="n"/>
      <c r="AM332" s="110" t="n"/>
      <c r="AN332" s="110" t="n"/>
      <c r="AO332" s="110" t="n"/>
      <c r="AP332" s="110" t="n"/>
      <c r="AQ332" s="110" t="n"/>
      <c r="AR332" s="110" t="n"/>
      <c r="AS332" s="110" t="n"/>
      <c r="AT332" s="110" t="n"/>
      <c r="AU332" s="110" t="n"/>
      <c r="AV332" s="110" t="n"/>
      <c r="AW332" s="110" t="n"/>
      <c r="AX332" s="110" t="n"/>
      <c r="AY332" s="110" t="n"/>
      <c r="AZ332" s="110" t="n"/>
      <c r="BA332" s="110" t="n"/>
      <c r="BB332" s="110" t="n"/>
      <c r="BC332" t="inlineStr">
        <is>
          <t>ORIGINAL</t>
        </is>
      </c>
      <c r="BD332" t="n">
        <v>323</v>
      </c>
      <c r="BF332" s="109">
        <f>IF($BD332="","",SUMIF($BD$6:$BD$2000,$BD332,$J$6:$J$2000))</f>
        <v/>
      </c>
    </row>
    <row r="333" ht="19.5" customHeight="1">
      <c r="A333" s="96" t="inlineStr">
        <is>
          <t>PENDENTE</t>
        </is>
      </c>
      <c r="B333" s="26" t="inlineStr">
        <is>
          <t>RIACHUELO</t>
        </is>
      </c>
      <c r="C333" s="27" t="n">
        <v>366</v>
      </c>
      <c r="D333" s="26" t="inlineStr">
        <is>
          <t>366 SPA MORUMBI SH</t>
        </is>
      </c>
      <c r="E333" s="26" t="inlineStr">
        <is>
          <t>SÃO PAULO</t>
        </is>
      </c>
      <c r="F333" s="27" t="inlineStr">
        <is>
          <t>SP</t>
        </is>
      </c>
      <c r="G333" s="107" t="n">
        <v>46388</v>
      </c>
      <c r="H333" s="108">
        <f>IF($B333="","",SUM($K333:$AG333)+SUM($AS333:$BB333))</f>
        <v/>
      </c>
      <c r="I333" s="108">
        <f>IF($B333="","",SUM($AH333:$AL333))</f>
        <v/>
      </c>
      <c r="J333" s="109">
        <f>IF($B333="","",SUMPRODUCT($K333:$BB333,$K$2:$BB$2))</f>
        <v/>
      </c>
      <c r="K333" s="110" t="n">
        <v>8</v>
      </c>
      <c r="L333" s="110" t="n"/>
      <c r="M333" s="110" t="n">
        <v>4</v>
      </c>
      <c r="N333" s="110" t="n">
        <v>1</v>
      </c>
      <c r="O333" s="110" t="n"/>
      <c r="P333" s="110" t="n"/>
      <c r="Q333" s="110" t="n"/>
      <c r="R333" s="110" t="n"/>
      <c r="S333" s="110" t="n"/>
      <c r="T333" s="110" t="n"/>
      <c r="U333" s="110" t="n"/>
      <c r="V333" s="110" t="n"/>
      <c r="W333" s="110" t="n"/>
      <c r="X333" s="110" t="n"/>
      <c r="Y333" s="110" t="n"/>
      <c r="Z333" s="110" t="n"/>
      <c r="AA333" s="110" t="n">
        <v>8</v>
      </c>
      <c r="AB333" s="110" t="n"/>
      <c r="AC333" s="110" t="n"/>
      <c r="AD333" s="110" t="n">
        <v>1</v>
      </c>
      <c r="AE333" s="110" t="n"/>
      <c r="AF333" s="110" t="n"/>
      <c r="AG333" s="110" t="n"/>
      <c r="AH333" s="110" t="n">
        <v>20</v>
      </c>
      <c r="AI333" s="110" t="n"/>
      <c r="AJ333" s="110" t="n"/>
      <c r="AK333" s="110" t="n"/>
      <c r="AL333" s="110" t="n"/>
      <c r="AM333" s="110" t="n"/>
      <c r="AN333" s="110" t="n"/>
      <c r="AO333" s="110" t="n"/>
      <c r="AP333" s="110" t="n"/>
      <c r="AQ333" s="110" t="n"/>
      <c r="AR333" s="110" t="n"/>
      <c r="AS333" s="110" t="n"/>
      <c r="AT333" s="110" t="n"/>
      <c r="AU333" s="110" t="n"/>
      <c r="AV333" s="110" t="n"/>
      <c r="AW333" s="110" t="n"/>
      <c r="AX333" s="110" t="n"/>
      <c r="AY333" s="110" t="n"/>
      <c r="AZ333" s="110" t="n"/>
      <c r="BA333" s="110" t="n"/>
      <c r="BB333" s="110" t="n"/>
      <c r="BC333" t="inlineStr">
        <is>
          <t>ORIGINAL</t>
        </is>
      </c>
      <c r="BD333" t="n">
        <v>324</v>
      </c>
      <c r="BF333" s="109">
        <f>IF($BD333="","",SUMIF($BD$6:$BD$2000,$BD333,$J$6:$J$2000))</f>
        <v/>
      </c>
    </row>
    <row r="334" ht="19.5" customHeight="1">
      <c r="A334" s="96" t="inlineStr">
        <is>
          <t>PENDENTE</t>
        </is>
      </c>
      <c r="B334" s="26" t="inlineStr">
        <is>
          <t>RIACHUELO</t>
        </is>
      </c>
      <c r="C334" s="27" t="n">
        <v>369</v>
      </c>
      <c r="D334" s="26" t="inlineStr">
        <is>
          <t>RIO JACAREPAGUA PARK SHOPPING</t>
        </is>
      </c>
      <c r="E334" s="26" t="inlineStr">
        <is>
          <t>JACAREPAGUA</t>
        </is>
      </c>
      <c r="F334" s="27" t="inlineStr">
        <is>
          <t>RJ</t>
        </is>
      </c>
      <c r="G334" s="107" t="n">
        <v>46235</v>
      </c>
      <c r="H334" s="108">
        <f>IF($B334="","",SUM($K334:$AG334)+SUM($AS334:$BB334))</f>
        <v/>
      </c>
      <c r="I334" s="108">
        <f>IF($B334="","",SUM($AH334:$AL334))</f>
        <v/>
      </c>
      <c r="J334" s="109">
        <f>IF($B334="","",SUMPRODUCT($K334:$BB334,$K$2:$BB$2))</f>
        <v/>
      </c>
      <c r="K334" s="110" t="n">
        <v>9</v>
      </c>
      <c r="L334" s="110" t="n"/>
      <c r="M334" s="110" t="n"/>
      <c r="N334" s="110" t="n">
        <v>2</v>
      </c>
      <c r="O334" s="110" t="n"/>
      <c r="P334" s="110" t="n"/>
      <c r="Q334" s="110" t="n"/>
      <c r="R334" s="110" t="n"/>
      <c r="S334" s="110" t="n"/>
      <c r="T334" s="110" t="n"/>
      <c r="U334" s="110" t="n"/>
      <c r="V334" s="110" t="n"/>
      <c r="W334" s="110" t="n"/>
      <c r="X334" s="110" t="n"/>
      <c r="Y334" s="110" t="n"/>
      <c r="Z334" s="110" t="n"/>
      <c r="AA334" s="110" t="n">
        <v>6</v>
      </c>
      <c r="AB334" s="110" t="n"/>
      <c r="AC334" s="110" t="n"/>
      <c r="AD334" s="110" t="n"/>
      <c r="AE334" s="110" t="n"/>
      <c r="AF334" s="110" t="n"/>
      <c r="AG334" s="110" t="n"/>
      <c r="AH334" s="110" t="n">
        <v>8</v>
      </c>
      <c r="AI334" s="110" t="n"/>
      <c r="AJ334" s="110" t="n"/>
      <c r="AK334" s="110" t="n"/>
      <c r="AL334" s="110" t="n"/>
      <c r="AM334" s="110" t="n"/>
      <c r="AN334" s="110" t="n"/>
      <c r="AO334" s="110" t="n"/>
      <c r="AP334" s="110" t="n"/>
      <c r="AQ334" s="110" t="n"/>
      <c r="AR334" s="110" t="n"/>
      <c r="AS334" s="110" t="n"/>
      <c r="AT334" s="110" t="n"/>
      <c r="AU334" s="110" t="n"/>
      <c r="AV334" s="110" t="n"/>
      <c r="AW334" s="110" t="n"/>
      <c r="AX334" s="110" t="n"/>
      <c r="AY334" s="110" t="n"/>
      <c r="AZ334" s="110" t="n"/>
      <c r="BA334" s="110" t="n"/>
      <c r="BB334" s="110" t="n"/>
      <c r="BC334" t="inlineStr">
        <is>
          <t>ORIGINAL</t>
        </is>
      </c>
      <c r="BD334" t="n">
        <v>325</v>
      </c>
      <c r="BF334" s="109">
        <f>IF($BD334="","",SUMIF($BD$6:$BD$2000,$BD334,$J$6:$J$2000))</f>
        <v/>
      </c>
    </row>
    <row r="335" ht="19.5" customHeight="1">
      <c r="A335" s="96" t="inlineStr">
        <is>
          <t>PENDENTE</t>
        </is>
      </c>
      <c r="B335" s="26" t="inlineStr">
        <is>
          <t>RIACHUELO</t>
        </is>
      </c>
      <c r="C335" s="27" t="n">
        <v>370</v>
      </c>
      <c r="D335" s="26" t="inlineStr">
        <is>
          <t>IBIRAPUERA SH CARTE´S</t>
        </is>
      </c>
      <c r="E335" s="26" t="inlineStr">
        <is>
          <t>SÃO PAULO</t>
        </is>
      </c>
      <c r="F335" s="27" t="inlineStr">
        <is>
          <t>SP</t>
        </is>
      </c>
      <c r="G335" s="107" t="n">
        <v>46266</v>
      </c>
      <c r="H335" s="108">
        <f>IF($B335="","",SUM($K335:$AG335)+SUM($AS335:$BB335))</f>
        <v/>
      </c>
      <c r="I335" s="108">
        <f>IF($B335="","",SUM($AH335:$AL335))</f>
        <v/>
      </c>
      <c r="J335" s="109">
        <f>IF($B335="","",SUMPRODUCT($K335:$BB335,$K$2:$BB$2))</f>
        <v/>
      </c>
      <c r="K335" s="110" t="n"/>
      <c r="L335" s="110" t="n"/>
      <c r="M335" s="110" t="n"/>
      <c r="N335" s="110" t="n">
        <v>1</v>
      </c>
      <c r="O335" s="110" t="n"/>
      <c r="P335" s="110" t="n"/>
      <c r="Q335" s="110" t="n"/>
      <c r="R335" s="110" t="n"/>
      <c r="S335" s="110" t="n"/>
      <c r="T335" s="110" t="n"/>
      <c r="U335" s="110" t="n"/>
      <c r="V335" s="110" t="n"/>
      <c r="W335" s="110" t="n"/>
      <c r="X335" s="110" t="n"/>
      <c r="Y335" s="110" t="n"/>
      <c r="Z335" s="110" t="n"/>
      <c r="AA335" s="110" t="n">
        <v>1</v>
      </c>
      <c r="AB335" s="110" t="n"/>
      <c r="AC335" s="110" t="n"/>
      <c r="AD335" s="110" t="n"/>
      <c r="AE335" s="110" t="n"/>
      <c r="AF335" s="110" t="n"/>
      <c r="AG335" s="110" t="n"/>
      <c r="AH335" s="110" t="n"/>
      <c r="AI335" s="110" t="n"/>
      <c r="AJ335" s="110" t="n"/>
      <c r="AK335" s="110" t="n"/>
      <c r="AL335" s="110" t="n"/>
      <c r="AM335" s="110" t="n"/>
      <c r="AN335" s="110" t="n"/>
      <c r="AO335" s="110" t="n"/>
      <c r="AP335" s="110" t="n"/>
      <c r="AQ335" s="110" t="n"/>
      <c r="AR335" s="110" t="n"/>
      <c r="AS335" s="110" t="n"/>
      <c r="AT335" s="110" t="n"/>
      <c r="AU335" s="110" t="n"/>
      <c r="AV335" s="110" t="n"/>
      <c r="AW335" s="110" t="n"/>
      <c r="AX335" s="110" t="n"/>
      <c r="AY335" s="110" t="n"/>
      <c r="AZ335" s="110" t="n"/>
      <c r="BA335" s="110" t="n"/>
      <c r="BB335" s="110" t="n"/>
      <c r="BC335" t="inlineStr">
        <is>
          <t>ORIGINAL</t>
        </is>
      </c>
      <c r="BD335" t="n">
        <v>326</v>
      </c>
      <c r="BF335" s="109">
        <f>IF($BD335="","",SUMIF($BD$6:$BD$2000,$BD335,$J$6:$J$2000))</f>
        <v/>
      </c>
    </row>
    <row r="336" ht="19.5" customHeight="1">
      <c r="A336" s="96" t="inlineStr">
        <is>
          <t>PENDENTE</t>
        </is>
      </c>
      <c r="B336" s="26" t="inlineStr">
        <is>
          <t>RIACHUELO</t>
        </is>
      </c>
      <c r="C336" s="27" t="n">
        <v>371</v>
      </c>
      <c r="D336" s="26" t="inlineStr">
        <is>
          <t>OURINHOS PLAZA SHOPPING</t>
        </is>
      </c>
      <c r="E336" s="26" t="inlineStr">
        <is>
          <t>OURINHOS</t>
        </is>
      </c>
      <c r="F336" s="27" t="inlineStr">
        <is>
          <t>SP</t>
        </is>
      </c>
      <c r="G336" s="107" t="n">
        <v>46203</v>
      </c>
      <c r="H336" s="108">
        <f>IF($B336="","",SUM($K336:$AG336)+SUM($AS336:$BB336))</f>
        <v/>
      </c>
      <c r="I336" s="108">
        <f>IF($B336="","",SUM($AH336:$AL336))</f>
        <v/>
      </c>
      <c r="J336" s="109">
        <f>IF($B336="","",SUMPRODUCT($K336:$BB336,$K$2:$BB$2))</f>
        <v/>
      </c>
      <c r="K336" s="110" t="n">
        <v>4</v>
      </c>
      <c r="L336" s="110" t="n"/>
      <c r="M336" s="110" t="n">
        <v>1</v>
      </c>
      <c r="N336" s="110" t="n">
        <v>8</v>
      </c>
      <c r="O336" s="110" t="n"/>
      <c r="P336" s="110" t="n"/>
      <c r="Q336" s="110" t="n"/>
      <c r="R336" s="110" t="n"/>
      <c r="S336" s="110" t="n"/>
      <c r="T336" s="110" t="n"/>
      <c r="U336" s="110" t="n">
        <v>1</v>
      </c>
      <c r="V336" s="110" t="n"/>
      <c r="W336" s="110" t="n"/>
      <c r="X336" s="110" t="n"/>
      <c r="Y336" s="110" t="n"/>
      <c r="Z336" s="110" t="n"/>
      <c r="AA336" s="110" t="n">
        <v>4</v>
      </c>
      <c r="AB336" s="110" t="n"/>
      <c r="AC336" s="110" t="n"/>
      <c r="AD336" s="110" t="n"/>
      <c r="AE336" s="110" t="n"/>
      <c r="AF336" s="110" t="n"/>
      <c r="AG336" s="110" t="n"/>
      <c r="AH336" s="110" t="n">
        <v>6</v>
      </c>
      <c r="AI336" s="110" t="n"/>
      <c r="AJ336" s="110" t="n"/>
      <c r="AK336" s="110" t="n"/>
      <c r="AL336" s="110" t="n"/>
      <c r="AM336" s="110" t="n"/>
      <c r="AN336" s="110" t="n"/>
      <c r="AO336" s="110" t="n"/>
      <c r="AP336" s="110" t="n"/>
      <c r="AQ336" s="110" t="n"/>
      <c r="AR336" s="110" t="n"/>
      <c r="AS336" s="110" t="n"/>
      <c r="AT336" s="110" t="n"/>
      <c r="AU336" s="110" t="n"/>
      <c r="AV336" s="110" t="n"/>
      <c r="AW336" s="110" t="n"/>
      <c r="AX336" s="110" t="n"/>
      <c r="AY336" s="110" t="n"/>
      <c r="AZ336" s="110" t="n"/>
      <c r="BA336" s="110" t="n"/>
      <c r="BB336" s="110" t="n"/>
      <c r="BC336" t="inlineStr">
        <is>
          <t>ORIGINAL</t>
        </is>
      </c>
      <c r="BD336" t="n">
        <v>327</v>
      </c>
      <c r="BF336" s="109">
        <f>IF($BD336="","",SUMIF($BD$6:$BD$2000,$BD336,$J$6:$J$2000))</f>
        <v/>
      </c>
    </row>
    <row r="337" ht="19.5" customHeight="1">
      <c r="A337" s="96" t="inlineStr">
        <is>
          <t>PENDENTE</t>
        </is>
      </c>
      <c r="B337" s="26" t="inlineStr">
        <is>
          <t>RIACHUELO</t>
        </is>
      </c>
      <c r="C337" s="27" t="n">
        <v>372</v>
      </c>
      <c r="D337" s="26" t="inlineStr">
        <is>
          <t>CAMPINAS SHOPPING</t>
        </is>
      </c>
      <c r="E337" s="26" t="inlineStr">
        <is>
          <t>CAMPINAS</t>
        </is>
      </c>
      <c r="F337" s="27" t="inlineStr">
        <is>
          <t>SP</t>
        </is>
      </c>
      <c r="G337" s="107" t="n">
        <v>46203</v>
      </c>
      <c r="H337" s="108">
        <f>IF($B337="","",SUM($K337:$AG337)+SUM($AS337:$BB337))</f>
        <v/>
      </c>
      <c r="I337" s="108">
        <f>IF($B337="","",SUM($AH337:$AL337))</f>
        <v/>
      </c>
      <c r="J337" s="109">
        <f>IF($B337="","",SUMPRODUCT($K337:$BB337,$K$2:$BB$2))</f>
        <v/>
      </c>
      <c r="K337" s="110" t="n">
        <v>10</v>
      </c>
      <c r="L337" s="110" t="n"/>
      <c r="M337" s="110" t="n">
        <v>1</v>
      </c>
      <c r="N337" s="110" t="n"/>
      <c r="O337" s="110" t="n"/>
      <c r="P337" s="110" t="n"/>
      <c r="Q337" s="110" t="n"/>
      <c r="R337" s="110" t="n"/>
      <c r="S337" s="110" t="n"/>
      <c r="T337" s="110" t="n"/>
      <c r="U337" s="110" t="n"/>
      <c r="V337" s="110" t="n"/>
      <c r="W337" s="110" t="n"/>
      <c r="X337" s="110" t="n"/>
      <c r="Y337" s="110" t="n"/>
      <c r="Z337" s="110" t="n"/>
      <c r="AA337" s="110" t="n">
        <v>10</v>
      </c>
      <c r="AB337" s="110" t="n"/>
      <c r="AC337" s="110" t="n"/>
      <c r="AD337" s="110" t="n"/>
      <c r="AE337" s="110" t="n"/>
      <c r="AF337" s="110" t="n"/>
      <c r="AG337" s="110" t="n"/>
      <c r="AH337" s="110" t="n">
        <v>16</v>
      </c>
      <c r="AI337" s="110" t="n"/>
      <c r="AJ337" s="110" t="n"/>
      <c r="AK337" s="110" t="n"/>
      <c r="AL337" s="110" t="n"/>
      <c r="AM337" s="110" t="n"/>
      <c r="AN337" s="110" t="n"/>
      <c r="AO337" s="110" t="n"/>
      <c r="AP337" s="110" t="n"/>
      <c r="AQ337" s="110" t="n"/>
      <c r="AR337" s="110" t="n"/>
      <c r="AS337" s="110" t="n"/>
      <c r="AT337" s="110" t="n"/>
      <c r="AU337" s="110" t="n"/>
      <c r="AV337" s="110" t="n"/>
      <c r="AW337" s="110" t="n"/>
      <c r="AX337" s="110" t="n"/>
      <c r="AY337" s="110" t="n"/>
      <c r="AZ337" s="110" t="n"/>
      <c r="BA337" s="110" t="n"/>
      <c r="BB337" s="110" t="n"/>
      <c r="BC337" t="inlineStr">
        <is>
          <t>ORIGINAL</t>
        </is>
      </c>
      <c r="BD337" t="n">
        <v>328</v>
      </c>
      <c r="BF337" s="109">
        <f>IF($BD337="","",SUMIF($BD$6:$BD$2000,$BD337,$J$6:$J$2000))</f>
        <v/>
      </c>
    </row>
    <row r="338" ht="19.5" customHeight="1">
      <c r="A338" s="96" t="inlineStr">
        <is>
          <t>PENDENTE</t>
        </is>
      </c>
      <c r="B338" s="26" t="inlineStr">
        <is>
          <t>RIACHUELO</t>
        </is>
      </c>
      <c r="C338" s="27" t="n">
        <v>373</v>
      </c>
      <c r="D338" s="26" t="inlineStr">
        <is>
          <t>IBIRAPUERA SH CASA</t>
        </is>
      </c>
      <c r="E338" s="26" t="inlineStr">
        <is>
          <t>SÃO PAULO</t>
        </is>
      </c>
      <c r="F338" s="27" t="inlineStr">
        <is>
          <t>SP</t>
        </is>
      </c>
      <c r="G338" s="107" t="n">
        <v>46266</v>
      </c>
      <c r="H338" s="108">
        <f>IF($B338="","",SUM($K338:$AG338)+SUM($AS338:$BB338))</f>
        <v/>
      </c>
      <c r="I338" s="108">
        <f>IF($B338="","",SUM($AH338:$AL338))</f>
        <v/>
      </c>
      <c r="J338" s="109">
        <f>IF($B338="","",SUMPRODUCT($K338:$BB338,$K$2:$BB$2))</f>
        <v/>
      </c>
      <c r="K338" s="110" t="n">
        <v>1</v>
      </c>
      <c r="L338" s="110" t="n"/>
      <c r="M338" s="110" t="n"/>
      <c r="N338" s="110" t="n">
        <v>3</v>
      </c>
      <c r="O338" s="110" t="n"/>
      <c r="P338" s="110" t="n"/>
      <c r="Q338" s="110" t="n"/>
      <c r="R338" s="110" t="n"/>
      <c r="S338" s="110" t="n"/>
      <c r="T338" s="110" t="n"/>
      <c r="U338" s="110" t="n"/>
      <c r="V338" s="110" t="n"/>
      <c r="W338" s="110" t="n"/>
      <c r="X338" s="110" t="n"/>
      <c r="Y338" s="110" t="n"/>
      <c r="Z338" s="110" t="n"/>
      <c r="AA338" s="110" t="n">
        <v>4</v>
      </c>
      <c r="AB338" s="110" t="n"/>
      <c r="AC338" s="110" t="n"/>
      <c r="AD338" s="110" t="n"/>
      <c r="AE338" s="110" t="n"/>
      <c r="AF338" s="110" t="n"/>
      <c r="AG338" s="110" t="n"/>
      <c r="AH338" s="110" t="n">
        <v>2</v>
      </c>
      <c r="AI338" s="110" t="n"/>
      <c r="AJ338" s="110" t="n"/>
      <c r="AK338" s="110" t="n"/>
      <c r="AL338" s="110" t="n"/>
      <c r="AM338" s="110" t="n"/>
      <c r="AN338" s="110" t="n"/>
      <c r="AO338" s="110" t="n"/>
      <c r="AP338" s="110" t="n"/>
      <c r="AQ338" s="110" t="n"/>
      <c r="AR338" s="110" t="n"/>
      <c r="AS338" s="110" t="n"/>
      <c r="AT338" s="110" t="n"/>
      <c r="AU338" s="110" t="n"/>
      <c r="AV338" s="110" t="n"/>
      <c r="AW338" s="110" t="n"/>
      <c r="AX338" s="110" t="n"/>
      <c r="AY338" s="110" t="n"/>
      <c r="AZ338" s="110" t="n"/>
      <c r="BA338" s="110" t="n"/>
      <c r="BB338" s="110" t="n"/>
      <c r="BC338" t="inlineStr">
        <is>
          <t>ORIGINAL</t>
        </is>
      </c>
      <c r="BD338" t="n">
        <v>329</v>
      </c>
      <c r="BF338" s="109">
        <f>IF($BD338="","",SUMIF($BD$6:$BD$2000,$BD338,$J$6:$J$2000))</f>
        <v/>
      </c>
    </row>
    <row r="339" ht="19.5" customHeight="1">
      <c r="A339" s="96" t="inlineStr">
        <is>
          <t>PENDENTE</t>
        </is>
      </c>
      <c r="B339" s="26" t="inlineStr">
        <is>
          <t>RIACHUELO</t>
        </is>
      </c>
      <c r="C339" s="27" t="n">
        <v>381</v>
      </c>
      <c r="D339" s="26" t="inlineStr">
        <is>
          <t>RIO BOTAFOGO CASA</t>
        </is>
      </c>
      <c r="E339" s="26" t="inlineStr">
        <is>
          <t>RIO DE JANEIRO</t>
        </is>
      </c>
      <c r="F339" s="27" t="inlineStr">
        <is>
          <t>RJ</t>
        </is>
      </c>
      <c r="G339" s="107" t="n">
        <v>46235</v>
      </c>
      <c r="H339" s="108">
        <f>IF($B339="","",SUM($K339:$AG339)+SUM($AS339:$BB339))</f>
        <v/>
      </c>
      <c r="I339" s="108">
        <f>IF($B339="","",SUM($AH339:$AL339))</f>
        <v/>
      </c>
      <c r="J339" s="109">
        <f>IF($B339="","",SUMPRODUCT($K339:$BB339,$K$2:$BB$2))</f>
        <v/>
      </c>
      <c r="K339" s="110" t="n">
        <v>2</v>
      </c>
      <c r="L339" s="110" t="n"/>
      <c r="M339" s="110" t="n"/>
      <c r="N339" s="110" t="n">
        <v>2</v>
      </c>
      <c r="O339" s="110" t="n"/>
      <c r="P339" s="110" t="n"/>
      <c r="Q339" s="110" t="n"/>
      <c r="R339" s="110" t="n"/>
      <c r="S339" s="110" t="n"/>
      <c r="T339" s="110" t="n"/>
      <c r="U339" s="110" t="n"/>
      <c r="V339" s="110" t="n"/>
      <c r="W339" s="110" t="n"/>
      <c r="X339" s="110" t="n"/>
      <c r="Y339" s="110" t="n"/>
      <c r="Z339" s="110" t="n"/>
      <c r="AA339" s="110" t="n">
        <v>1</v>
      </c>
      <c r="AB339" s="110" t="n"/>
      <c r="AC339" s="110" t="n"/>
      <c r="AD339" s="110" t="n"/>
      <c r="AE339" s="110" t="n"/>
      <c r="AF339" s="110" t="n"/>
      <c r="AG339" s="110" t="n"/>
      <c r="AH339" s="110" t="n"/>
      <c r="AI339" s="110" t="n"/>
      <c r="AJ339" s="110" t="n"/>
      <c r="AK339" s="110" t="n"/>
      <c r="AL339" s="110" t="n"/>
      <c r="AM339" s="110" t="n"/>
      <c r="AN339" s="110" t="n"/>
      <c r="AO339" s="110" t="n"/>
      <c r="AP339" s="110" t="n"/>
      <c r="AQ339" s="110" t="n"/>
      <c r="AR339" s="110" t="n"/>
      <c r="AS339" s="110" t="n"/>
      <c r="AT339" s="110" t="n"/>
      <c r="AU339" s="110" t="n"/>
      <c r="AV339" s="110" t="n"/>
      <c r="AW339" s="110" t="n"/>
      <c r="AX339" s="110" t="n"/>
      <c r="AY339" s="110" t="n"/>
      <c r="AZ339" s="110" t="n"/>
      <c r="BA339" s="110" t="n"/>
      <c r="BB339" s="110" t="n"/>
      <c r="BC339" t="inlineStr">
        <is>
          <t>ORIGINAL</t>
        </is>
      </c>
      <c r="BD339" t="n">
        <v>330</v>
      </c>
      <c r="BF339" s="109">
        <f>IF($BD339="","",SUMIF($BD$6:$BD$2000,$BD339,$J$6:$J$2000))</f>
        <v/>
      </c>
    </row>
    <row r="340" ht="19.5" customHeight="1">
      <c r="A340" s="96" t="inlineStr">
        <is>
          <t>PENDENTE</t>
        </is>
      </c>
      <c r="B340" s="26" t="inlineStr">
        <is>
          <t>RIACHUELO</t>
        </is>
      </c>
      <c r="C340" s="27" t="n">
        <v>382</v>
      </c>
      <c r="D340" s="26" t="inlineStr">
        <is>
          <t>PB PATOS SH</t>
        </is>
      </c>
      <c r="E340" s="26" t="inlineStr">
        <is>
          <t>PATOS</t>
        </is>
      </c>
      <c r="F340" s="27" t="inlineStr">
        <is>
          <t>PB</t>
        </is>
      </c>
      <c r="G340" s="107" t="n">
        <v>46082</v>
      </c>
      <c r="H340" s="108">
        <f>IF($B340="","",SUM($K340:$AG340)+SUM($AS340:$BB340))</f>
        <v/>
      </c>
      <c r="I340" s="108">
        <f>IF($B340="","",SUM($AH340:$AL340))</f>
        <v/>
      </c>
      <c r="J340" s="109">
        <f>IF($B340="","",SUMPRODUCT($K340:$BB340,$K$2:$BB$2))</f>
        <v/>
      </c>
      <c r="K340" s="110" t="n"/>
      <c r="L340" s="110" t="n"/>
      <c r="M340" s="110" t="n"/>
      <c r="N340" s="110" t="n"/>
      <c r="O340" s="110" t="n"/>
      <c r="P340" s="110" t="n"/>
      <c r="Q340" s="110" t="n"/>
      <c r="R340" s="110" t="n"/>
      <c r="S340" s="110" t="n"/>
      <c r="T340" s="110" t="n"/>
      <c r="U340" s="110" t="n">
        <v>19</v>
      </c>
      <c r="V340" s="110" t="n"/>
      <c r="W340" s="110" t="n"/>
      <c r="X340" s="110" t="n"/>
      <c r="Y340" s="110" t="n"/>
      <c r="Z340" s="110" t="n"/>
      <c r="AA340" s="110" t="n">
        <v>3</v>
      </c>
      <c r="AB340" s="110" t="n"/>
      <c r="AC340" s="110" t="n"/>
      <c r="AD340" s="110" t="n"/>
      <c r="AE340" s="110" t="n"/>
      <c r="AF340" s="110" t="n"/>
      <c r="AG340" s="110" t="n"/>
      <c r="AH340" s="110" t="n">
        <v>16</v>
      </c>
      <c r="AI340" s="110" t="n"/>
      <c r="AJ340" s="110" t="n"/>
      <c r="AK340" s="110" t="n"/>
      <c r="AL340" s="110" t="n"/>
      <c r="AM340" s="110" t="n"/>
      <c r="AN340" s="110" t="n"/>
      <c r="AO340" s="110" t="n"/>
      <c r="AP340" s="110" t="n"/>
      <c r="AQ340" s="110" t="n"/>
      <c r="AR340" s="110" t="n"/>
      <c r="AS340" s="110" t="n"/>
      <c r="AT340" s="110" t="n"/>
      <c r="AU340" s="110" t="n"/>
      <c r="AV340" s="110" t="n"/>
      <c r="AW340" s="110" t="n"/>
      <c r="AX340" s="110" t="n"/>
      <c r="AY340" s="110" t="n"/>
      <c r="AZ340" s="110" t="n"/>
      <c r="BA340" s="110" t="n"/>
      <c r="BB340" s="110" t="n"/>
      <c r="BC340" t="inlineStr">
        <is>
          <t>ORIGINAL</t>
        </is>
      </c>
      <c r="BD340" t="n">
        <v>331</v>
      </c>
      <c r="BF340" s="109">
        <f>IF($BD340="","",SUMIF($BD$6:$BD$2000,$BD340,$J$6:$J$2000))</f>
        <v/>
      </c>
    </row>
    <row r="341" ht="19.5" customHeight="1">
      <c r="A341" s="96" t="inlineStr">
        <is>
          <t>PENDENTE</t>
        </is>
      </c>
      <c r="B341" s="26" t="inlineStr">
        <is>
          <t>RIACHUELO</t>
        </is>
      </c>
      <c r="C341" s="27" t="n">
        <v>384</v>
      </c>
      <c r="D341" s="26" t="inlineStr">
        <is>
          <t>ELDORADO CASA</t>
        </is>
      </c>
      <c r="E341" s="26" t="inlineStr">
        <is>
          <t>SÃO PAULO</t>
        </is>
      </c>
      <c r="F341" s="27" t="inlineStr">
        <is>
          <t>SP</t>
        </is>
      </c>
      <c r="G341" s="107" t="n">
        <v>46082</v>
      </c>
      <c r="H341" s="108">
        <f>IF($B341="","",SUM($K341:$AG341)+SUM($AS341:$BB341))</f>
        <v/>
      </c>
      <c r="I341" s="108">
        <f>IF($B341="","",SUM($AH341:$AL341))</f>
        <v/>
      </c>
      <c r="J341" s="109">
        <f>IF($B341="","",SUMPRODUCT($K341:$BB341,$K$2:$BB$2))</f>
        <v/>
      </c>
      <c r="K341" s="110" t="n">
        <v>1</v>
      </c>
      <c r="L341" s="110" t="n"/>
      <c r="M341" s="110" t="n"/>
      <c r="N341" s="110" t="n"/>
      <c r="O341" s="110" t="n"/>
      <c r="P341" s="110" t="n"/>
      <c r="Q341" s="110" t="n"/>
      <c r="R341" s="110" t="n"/>
      <c r="S341" s="110" t="n"/>
      <c r="T341" s="110" t="n"/>
      <c r="U341" s="110" t="n">
        <v>1</v>
      </c>
      <c r="V341" s="110" t="n"/>
      <c r="W341" s="110" t="n"/>
      <c r="X341" s="110" t="n"/>
      <c r="Y341" s="110" t="n"/>
      <c r="Z341" s="110" t="n"/>
      <c r="AA341" s="110" t="n">
        <v>1</v>
      </c>
      <c r="AB341" s="110" t="n"/>
      <c r="AC341" s="110" t="n"/>
      <c r="AD341" s="110" t="n"/>
      <c r="AE341" s="110" t="n"/>
      <c r="AF341" s="110" t="n"/>
      <c r="AG341" s="110" t="n"/>
      <c r="AH341" s="110" t="n"/>
      <c r="AI341" s="110" t="n"/>
      <c r="AJ341" s="110" t="n"/>
      <c r="AK341" s="110" t="n"/>
      <c r="AL341" s="110" t="n"/>
      <c r="AM341" s="110" t="n"/>
      <c r="AN341" s="110" t="n"/>
      <c r="AO341" s="110" t="n"/>
      <c r="AP341" s="110" t="n"/>
      <c r="AQ341" s="110" t="n"/>
      <c r="AR341" s="110" t="n"/>
      <c r="AS341" s="110" t="n"/>
      <c r="AT341" s="110" t="n"/>
      <c r="AU341" s="110" t="n"/>
      <c r="AV341" s="110" t="n"/>
      <c r="AW341" s="110" t="n"/>
      <c r="AX341" s="110" t="n"/>
      <c r="AY341" s="110" t="n"/>
      <c r="AZ341" s="110" t="n"/>
      <c r="BA341" s="110" t="n"/>
      <c r="BB341" s="110" t="n"/>
      <c r="BC341" t="inlineStr">
        <is>
          <t>ORIGINAL</t>
        </is>
      </c>
      <c r="BD341" t="n">
        <v>332</v>
      </c>
      <c r="BF341" s="109">
        <f>IF($BD341="","",SUMIF($BD$6:$BD$2000,$BD341,$J$6:$J$2000))</f>
        <v/>
      </c>
    </row>
    <row r="342" ht="19.5" customHeight="1">
      <c r="A342" s="96" t="inlineStr">
        <is>
          <t>PENDENTE</t>
        </is>
      </c>
      <c r="B342" s="26" t="inlineStr">
        <is>
          <t>RIACHUELO</t>
        </is>
      </c>
      <c r="C342" s="27" t="n">
        <v>385</v>
      </c>
      <c r="D342" s="26" t="inlineStr">
        <is>
          <t>ELDORADO MODA CASA</t>
        </is>
      </c>
      <c r="E342" s="26" t="inlineStr">
        <is>
          <t>SÃO PAULO</t>
        </is>
      </c>
      <c r="F342" s="27" t="inlineStr">
        <is>
          <t>SP</t>
        </is>
      </c>
      <c r="G342" s="107" t="n">
        <v>46082</v>
      </c>
      <c r="H342" s="108">
        <f>IF($B342="","",SUM($K342:$AG342)+SUM($AS342:$BB342))</f>
        <v/>
      </c>
      <c r="I342" s="108">
        <f>IF($B342="","",SUM($AH342:$AL342))</f>
        <v/>
      </c>
      <c r="J342" s="109">
        <f>IF($B342="","",SUMPRODUCT($K342:$BB342,$K$2:$BB$2))</f>
        <v/>
      </c>
      <c r="K342" s="110" t="n">
        <v>7</v>
      </c>
      <c r="L342" s="110" t="n"/>
      <c r="M342" s="110" t="n"/>
      <c r="N342" s="110" t="n"/>
      <c r="O342" s="110" t="n"/>
      <c r="P342" s="110" t="n"/>
      <c r="Q342" s="110" t="n"/>
      <c r="R342" s="110" t="n"/>
      <c r="S342" s="110" t="n"/>
      <c r="T342" s="110" t="n"/>
      <c r="U342" s="110" t="n"/>
      <c r="V342" s="110" t="n"/>
      <c r="W342" s="110" t="n"/>
      <c r="X342" s="110" t="n"/>
      <c r="Y342" s="110" t="n"/>
      <c r="Z342" s="110" t="n"/>
      <c r="AA342" s="110" t="n">
        <v>5</v>
      </c>
      <c r="AB342" s="110" t="n"/>
      <c r="AC342" s="110" t="n"/>
      <c r="AD342" s="110" t="n"/>
      <c r="AE342" s="110" t="n"/>
      <c r="AF342" s="110" t="n"/>
      <c r="AG342" s="110" t="n"/>
      <c r="AH342" s="110" t="n">
        <v>4</v>
      </c>
      <c r="AI342" s="110" t="n"/>
      <c r="AJ342" s="110" t="n"/>
      <c r="AK342" s="110" t="n"/>
      <c r="AL342" s="110" t="n"/>
      <c r="AM342" s="110" t="n"/>
      <c r="AN342" s="110" t="n"/>
      <c r="AO342" s="110" t="n"/>
      <c r="AP342" s="110" t="n"/>
      <c r="AQ342" s="110" t="n"/>
      <c r="AR342" s="110" t="n"/>
      <c r="AS342" s="110" t="n"/>
      <c r="AT342" s="110" t="n"/>
      <c r="AU342" s="110" t="n"/>
      <c r="AV342" s="110" t="n"/>
      <c r="AW342" s="110" t="n"/>
      <c r="AX342" s="110" t="n"/>
      <c r="AY342" s="110" t="n"/>
      <c r="AZ342" s="110" t="n"/>
      <c r="BA342" s="110" t="n"/>
      <c r="BB342" s="110" t="n"/>
      <c r="BC342" t="inlineStr">
        <is>
          <t>ORIGINAL</t>
        </is>
      </c>
      <c r="BD342" t="n">
        <v>333</v>
      </c>
      <c r="BF342" s="109">
        <f>IF($BD342="","",SUMIF($BD$6:$BD$2000,$BD342,$J$6:$J$2000))</f>
        <v/>
      </c>
    </row>
    <row r="343" ht="19.5" customHeight="1">
      <c r="A343" s="96" t="inlineStr">
        <is>
          <t>PENDENTE</t>
        </is>
      </c>
      <c r="B343" s="26" t="inlineStr">
        <is>
          <t>RIACHUELO</t>
        </is>
      </c>
      <c r="C343" s="27" t="n">
        <v>386</v>
      </c>
      <c r="D343" s="26" t="inlineStr">
        <is>
          <t>SPA PÁTIO PAULISTA SH</t>
        </is>
      </c>
      <c r="E343" s="26" t="inlineStr">
        <is>
          <t>SÃO PAULO</t>
        </is>
      </c>
      <c r="F343" s="27" t="inlineStr">
        <is>
          <t>SP</t>
        </is>
      </c>
      <c r="G343" s="107" t="n">
        <v>46388</v>
      </c>
      <c r="H343" s="108">
        <f>IF($B343="","",SUM($K343:$AG343)+SUM($AS343:$BB343))</f>
        <v/>
      </c>
      <c r="I343" s="108">
        <f>IF($B343="","",SUM($AH343:$AL343))</f>
        <v/>
      </c>
      <c r="J343" s="109">
        <f>IF($B343="","",SUMPRODUCT($K343:$BB343,$K$2:$BB$2))</f>
        <v/>
      </c>
      <c r="K343" s="110" t="n">
        <v>6</v>
      </c>
      <c r="L343" s="110" t="n"/>
      <c r="M343" s="110" t="n">
        <v>7</v>
      </c>
      <c r="N343" s="110" t="n"/>
      <c r="O343" s="110" t="n"/>
      <c r="P343" s="110" t="n"/>
      <c r="Q343" s="110" t="n"/>
      <c r="R343" s="110" t="n"/>
      <c r="S343" s="110" t="n"/>
      <c r="T343" s="110" t="n"/>
      <c r="U343" s="110" t="n"/>
      <c r="V343" s="110" t="n"/>
      <c r="W343" s="110" t="n"/>
      <c r="X343" s="110" t="n"/>
      <c r="Y343" s="110" t="n"/>
      <c r="Z343" s="110" t="n"/>
      <c r="AA343" s="110" t="n">
        <v>3</v>
      </c>
      <c r="AB343" s="110" t="n"/>
      <c r="AC343" s="110" t="n"/>
      <c r="AD343" s="110" t="n"/>
      <c r="AE343" s="110" t="n"/>
      <c r="AF343" s="110" t="n"/>
      <c r="AG343" s="110" t="n"/>
      <c r="AH343" s="110" t="n">
        <v>8</v>
      </c>
      <c r="AI343" s="110" t="n"/>
      <c r="AJ343" s="110" t="n"/>
      <c r="AK343" s="110" t="n"/>
      <c r="AL343" s="110" t="n"/>
      <c r="AM343" s="110" t="n"/>
      <c r="AN343" s="110" t="n"/>
      <c r="AO343" s="110" t="n"/>
      <c r="AP343" s="110" t="n"/>
      <c r="AQ343" s="110" t="n"/>
      <c r="AR343" s="110" t="n"/>
      <c r="AS343" s="110" t="n"/>
      <c r="AT343" s="110" t="n"/>
      <c r="AU343" s="110" t="n"/>
      <c r="AV343" s="110" t="n"/>
      <c r="AW343" s="110" t="n"/>
      <c r="AX343" s="110" t="n"/>
      <c r="AY343" s="110" t="n"/>
      <c r="AZ343" s="110" t="n"/>
      <c r="BA343" s="110" t="n"/>
      <c r="BB343" s="110" t="n"/>
      <c r="BC343" t="inlineStr">
        <is>
          <t>ORIGINAL</t>
        </is>
      </c>
      <c r="BD343" t="n">
        <v>334</v>
      </c>
      <c r="BF343" s="109">
        <f>IF($BD343="","",SUMIF($BD$6:$BD$2000,$BD343,$J$6:$J$2000))</f>
        <v/>
      </c>
    </row>
    <row r="344" ht="19.5" customHeight="1">
      <c r="A344" s="96" t="inlineStr">
        <is>
          <t>PENDENTE</t>
        </is>
      </c>
      <c r="B344" s="26" t="inlineStr">
        <is>
          <t>RIACHUELO</t>
        </is>
      </c>
      <c r="C344" s="27" t="n">
        <v>387</v>
      </c>
      <c r="D344" s="26" t="inlineStr">
        <is>
          <t>CAMPINAS IGUATEMI SH CARTERS</t>
        </is>
      </c>
      <c r="E344" s="26" t="inlineStr">
        <is>
          <t>CAMPINAS</t>
        </is>
      </c>
      <c r="F344" s="27" t="inlineStr">
        <is>
          <t>SP</t>
        </is>
      </c>
      <c r="G344" s="107" t="n">
        <v>46203</v>
      </c>
      <c r="H344" s="108">
        <f>IF($B344="","",SUM($K344:$AG344)+SUM($AS344:$BB344))</f>
        <v/>
      </c>
      <c r="I344" s="108">
        <f>IF($B344="","",SUM($AH344:$AL344))</f>
        <v/>
      </c>
      <c r="J344" s="109">
        <f>IF($B344="","",SUMPRODUCT($K344:$BB344,$K$2:$BB$2))</f>
        <v/>
      </c>
      <c r="K344" s="110" t="n">
        <v>1</v>
      </c>
      <c r="L344" s="110" t="n"/>
      <c r="M344" s="110" t="n">
        <v>3</v>
      </c>
      <c r="N344" s="110" t="n"/>
      <c r="O344" s="110" t="n"/>
      <c r="P344" s="110" t="n"/>
      <c r="Q344" s="110" t="n"/>
      <c r="R344" s="110" t="n"/>
      <c r="S344" s="110" t="n"/>
      <c r="T344" s="110" t="n"/>
      <c r="U344" s="110" t="n"/>
      <c r="V344" s="110" t="n"/>
      <c r="W344" s="110" t="n"/>
      <c r="X344" s="110" t="n"/>
      <c r="Y344" s="110" t="n"/>
      <c r="Z344" s="110" t="n"/>
      <c r="AA344" s="110" t="n"/>
      <c r="AB344" s="110" t="n"/>
      <c r="AC344" s="110" t="n"/>
      <c r="AD344" s="110" t="n"/>
      <c r="AE344" s="110" t="n"/>
      <c r="AF344" s="110" t="n"/>
      <c r="AG344" s="110" t="n"/>
      <c r="AH344" s="110" t="n"/>
      <c r="AI344" s="110" t="n"/>
      <c r="AJ344" s="110" t="n"/>
      <c r="AK344" s="110" t="n"/>
      <c r="AL344" s="110" t="n"/>
      <c r="AM344" s="110" t="n"/>
      <c r="AN344" s="110" t="n"/>
      <c r="AO344" s="110" t="n"/>
      <c r="AP344" s="110" t="n"/>
      <c r="AQ344" s="110" t="n"/>
      <c r="AR344" s="110" t="n"/>
      <c r="AS344" s="110" t="n"/>
      <c r="AT344" s="110" t="n"/>
      <c r="AU344" s="110" t="n"/>
      <c r="AV344" s="110" t="n"/>
      <c r="AW344" s="110" t="n"/>
      <c r="AX344" s="110" t="n"/>
      <c r="AY344" s="110" t="n"/>
      <c r="AZ344" s="110" t="n"/>
      <c r="BA344" s="110" t="n"/>
      <c r="BB344" s="110" t="n"/>
      <c r="BC344" t="inlineStr">
        <is>
          <t>ORIGINAL</t>
        </is>
      </c>
      <c r="BD344" t="n">
        <v>335</v>
      </c>
      <c r="BF344" s="109">
        <f>IF($BD344="","",SUMIF($BD$6:$BD$2000,$BD344,$J$6:$J$2000))</f>
        <v/>
      </c>
    </row>
    <row r="345" ht="19.5" customHeight="1">
      <c r="A345" s="96" t="inlineStr">
        <is>
          <t>PENDENTE</t>
        </is>
      </c>
      <c r="B345" s="26" t="inlineStr">
        <is>
          <t>RIACHUELO</t>
        </is>
      </c>
      <c r="C345" s="27" t="n">
        <v>389</v>
      </c>
      <c r="D345" s="26" t="inlineStr">
        <is>
          <t>SPA CENTER NORTE SH CARTER´S</t>
        </is>
      </c>
      <c r="E345" s="26" t="inlineStr">
        <is>
          <t>SÃO PAULO</t>
        </is>
      </c>
      <c r="F345" s="27" t="inlineStr">
        <is>
          <t>SP</t>
        </is>
      </c>
      <c r="G345" s="107" t="n">
        <v>46388</v>
      </c>
      <c r="H345" s="108">
        <f>IF($B345="","",SUM($K345:$AG345)+SUM($AS345:$BB345))</f>
        <v/>
      </c>
      <c r="I345" s="108">
        <f>IF($B345="","",SUM($AH345:$AL345))</f>
        <v/>
      </c>
      <c r="J345" s="109">
        <f>IF($B345="","",SUMPRODUCT($K345:$BB345,$K$2:$BB$2))</f>
        <v/>
      </c>
      <c r="K345" s="110" t="n">
        <v>1</v>
      </c>
      <c r="L345" s="110" t="n"/>
      <c r="M345" s="110" t="n">
        <v>2</v>
      </c>
      <c r="N345" s="110" t="n"/>
      <c r="O345" s="110" t="n"/>
      <c r="P345" s="110" t="n"/>
      <c r="Q345" s="110" t="n"/>
      <c r="R345" s="110" t="n"/>
      <c r="S345" s="110" t="n"/>
      <c r="T345" s="110" t="n"/>
      <c r="U345" s="110" t="n"/>
      <c r="V345" s="110" t="n"/>
      <c r="W345" s="110" t="n"/>
      <c r="X345" s="110" t="n"/>
      <c r="Y345" s="110" t="n"/>
      <c r="Z345" s="110" t="n"/>
      <c r="AA345" s="110" t="n">
        <v>1</v>
      </c>
      <c r="AB345" s="110" t="n"/>
      <c r="AC345" s="110" t="n"/>
      <c r="AD345" s="110" t="n"/>
      <c r="AE345" s="110" t="n"/>
      <c r="AF345" s="110" t="n"/>
      <c r="AG345" s="110" t="n"/>
      <c r="AH345" s="110" t="n"/>
      <c r="AI345" s="110" t="n"/>
      <c r="AJ345" s="110" t="n"/>
      <c r="AK345" s="110" t="n"/>
      <c r="AL345" s="110" t="n"/>
      <c r="AM345" s="110" t="n"/>
      <c r="AN345" s="110" t="n"/>
      <c r="AO345" s="110" t="n"/>
      <c r="AP345" s="110" t="n"/>
      <c r="AQ345" s="110" t="n"/>
      <c r="AR345" s="110" t="n"/>
      <c r="AS345" s="110" t="n"/>
      <c r="AT345" s="110" t="n"/>
      <c r="AU345" s="110" t="n"/>
      <c r="AV345" s="110" t="n"/>
      <c r="AW345" s="110" t="n"/>
      <c r="AX345" s="110" t="n"/>
      <c r="AY345" s="110" t="n"/>
      <c r="AZ345" s="110" t="n"/>
      <c r="BA345" s="110" t="n"/>
      <c r="BB345" s="110" t="n"/>
      <c r="BC345" t="inlineStr">
        <is>
          <t>ORIGINAL</t>
        </is>
      </c>
      <c r="BD345" t="n">
        <v>336</v>
      </c>
      <c r="BF345" s="109">
        <f>IF($BD345="","",SUMIF($BD$6:$BD$2000,$BD345,$J$6:$J$2000))</f>
        <v/>
      </c>
    </row>
    <row r="346" ht="19.5" customHeight="1">
      <c r="A346" s="96" t="inlineStr">
        <is>
          <t>PENDENTE</t>
        </is>
      </c>
      <c r="B346" s="26" t="inlineStr">
        <is>
          <t>RIACHUELO</t>
        </is>
      </c>
      <c r="C346" s="27" t="n">
        <v>390</v>
      </c>
      <c r="D346" s="26" t="inlineStr">
        <is>
          <t>SPA ANALÍA FRANCO SH CARTER´S</t>
        </is>
      </c>
      <c r="E346" s="26" t="inlineStr">
        <is>
          <t>SÃO PAULO</t>
        </is>
      </c>
      <c r="F346" s="27" t="inlineStr">
        <is>
          <t>SP</t>
        </is>
      </c>
      <c r="G346" s="107" t="n">
        <v>46388</v>
      </c>
      <c r="H346" s="108">
        <f>IF($B346="","",SUM($K346:$AG346)+SUM($AS346:$BB346))</f>
        <v/>
      </c>
      <c r="I346" s="108">
        <f>IF($B346="","",SUM($AH346:$AL346))</f>
        <v/>
      </c>
      <c r="J346" s="109">
        <f>IF($B346="","",SUMPRODUCT($K346:$BB346,$K$2:$BB$2))</f>
        <v/>
      </c>
      <c r="K346" s="110" t="n">
        <v>2</v>
      </c>
      <c r="L346" s="110" t="n"/>
      <c r="M346" s="110" t="n">
        <v>2</v>
      </c>
      <c r="N346" s="110" t="n"/>
      <c r="O346" s="110" t="n"/>
      <c r="P346" s="110" t="n"/>
      <c r="Q346" s="110" t="n"/>
      <c r="R346" s="110" t="n"/>
      <c r="S346" s="110" t="n"/>
      <c r="T346" s="110" t="n"/>
      <c r="U346" s="110" t="n"/>
      <c r="V346" s="110" t="n"/>
      <c r="W346" s="110" t="n"/>
      <c r="X346" s="110" t="n"/>
      <c r="Y346" s="110" t="n"/>
      <c r="Z346" s="110" t="n"/>
      <c r="AA346" s="110" t="n">
        <v>1</v>
      </c>
      <c r="AB346" s="110" t="n"/>
      <c r="AC346" s="110" t="n"/>
      <c r="AD346" s="110" t="n"/>
      <c r="AE346" s="110" t="n"/>
      <c r="AF346" s="110" t="n"/>
      <c r="AG346" s="110" t="n"/>
      <c r="AH346" s="110" t="n"/>
      <c r="AI346" s="110" t="n"/>
      <c r="AJ346" s="110" t="n"/>
      <c r="AK346" s="110" t="n"/>
      <c r="AL346" s="110" t="n"/>
      <c r="AM346" s="110" t="n"/>
      <c r="AN346" s="110" t="n"/>
      <c r="AO346" s="110" t="n"/>
      <c r="AP346" s="110" t="n"/>
      <c r="AQ346" s="110" t="n"/>
      <c r="AR346" s="110" t="n"/>
      <c r="AS346" s="110" t="n"/>
      <c r="AT346" s="110" t="n"/>
      <c r="AU346" s="110" t="n"/>
      <c r="AV346" s="110" t="n"/>
      <c r="AW346" s="110" t="n"/>
      <c r="AX346" s="110" t="n"/>
      <c r="AY346" s="110" t="n"/>
      <c r="AZ346" s="110" t="n"/>
      <c r="BA346" s="110" t="n"/>
      <c r="BB346" s="110" t="n"/>
      <c r="BC346" t="inlineStr">
        <is>
          <t>ORIGINAL</t>
        </is>
      </c>
      <c r="BD346" t="n">
        <v>337</v>
      </c>
      <c r="BF346" s="109">
        <f>IF($BD346="","",SUMIF($BD$6:$BD$2000,$BD346,$J$6:$J$2000))</f>
        <v/>
      </c>
    </row>
    <row r="347" ht="19.5" customHeight="1">
      <c r="A347" s="96" t="inlineStr">
        <is>
          <t>PENDENTE</t>
        </is>
      </c>
      <c r="B347" s="26" t="inlineStr">
        <is>
          <t>RIACHUELO</t>
        </is>
      </c>
      <c r="C347" s="27" t="n">
        <v>391</v>
      </c>
      <c r="D347" s="26" t="inlineStr">
        <is>
          <t>PR CURITIBA PARK BARIGUI</t>
        </is>
      </c>
      <c r="E347" s="26" t="inlineStr">
        <is>
          <t>CURITIBA</t>
        </is>
      </c>
      <c r="F347" s="27" t="inlineStr">
        <is>
          <t>PR</t>
        </is>
      </c>
      <c r="G347" s="107" t="n">
        <v>46054</v>
      </c>
      <c r="H347" s="108">
        <f>IF($B347="","",SUM($K347:$AG347)+SUM($AS347:$BB347))</f>
        <v/>
      </c>
      <c r="I347" s="108">
        <f>IF($B347="","",SUM($AH347:$AL347))</f>
        <v/>
      </c>
      <c r="J347" s="109">
        <f>IF($B347="","",SUMPRODUCT($K347:$BB347,$K$2:$BB$2))</f>
        <v/>
      </c>
      <c r="K347" s="110" t="n"/>
      <c r="L347" s="110" t="n"/>
      <c r="M347" s="110" t="n"/>
      <c r="N347" s="110" t="n"/>
      <c r="O347" s="110" t="n"/>
      <c r="P347" s="110" t="n"/>
      <c r="Q347" s="110" t="n"/>
      <c r="R347" s="110" t="n"/>
      <c r="S347" s="110" t="n"/>
      <c r="T347" s="110" t="n"/>
      <c r="U347" s="110" t="n">
        <v>8</v>
      </c>
      <c r="V347" s="110" t="n"/>
      <c r="W347" s="110" t="n"/>
      <c r="X347" s="110" t="n"/>
      <c r="Y347" s="110" t="n"/>
      <c r="Z347" s="110" t="n"/>
      <c r="AA347" s="110" t="n">
        <v>7</v>
      </c>
      <c r="AB347" s="110" t="n"/>
      <c r="AC347" s="110" t="n"/>
      <c r="AD347" s="110" t="n"/>
      <c r="AE347" s="110" t="n"/>
      <c r="AF347" s="110" t="n"/>
      <c r="AG347" s="110" t="n"/>
      <c r="AH347" s="110" t="n">
        <v>8</v>
      </c>
      <c r="AI347" s="110" t="n"/>
      <c r="AJ347" s="110" t="n"/>
      <c r="AK347" s="110" t="n"/>
      <c r="AL347" s="110" t="n"/>
      <c r="AM347" s="110" t="n"/>
      <c r="AN347" s="110" t="n"/>
      <c r="AO347" s="110" t="n"/>
      <c r="AP347" s="110" t="n"/>
      <c r="AQ347" s="110" t="n"/>
      <c r="AR347" s="110" t="n"/>
      <c r="AS347" s="110" t="n"/>
      <c r="AT347" s="110" t="n"/>
      <c r="AU347" s="110" t="n"/>
      <c r="AV347" s="110" t="n"/>
      <c r="AW347" s="110" t="n"/>
      <c r="AX347" s="110" t="n"/>
      <c r="AY347" s="110" t="n"/>
      <c r="AZ347" s="110" t="n"/>
      <c r="BA347" s="110" t="n"/>
      <c r="BB347" s="110" t="n"/>
      <c r="BC347" t="inlineStr">
        <is>
          <t>ORIGINAL</t>
        </is>
      </c>
      <c r="BD347" t="n">
        <v>338</v>
      </c>
      <c r="BF347" s="109">
        <f>IF($BD347="","",SUMIF($BD$6:$BD$2000,$BD347,$J$6:$J$2000))</f>
        <v/>
      </c>
    </row>
    <row r="348" ht="19.5" customHeight="1">
      <c r="A348" s="96" t="inlineStr">
        <is>
          <t>PENDENTE</t>
        </is>
      </c>
      <c r="B348" s="26" t="inlineStr">
        <is>
          <t>RIACHUELO</t>
        </is>
      </c>
      <c r="C348" s="27" t="n">
        <v>392</v>
      </c>
      <c r="D348" s="26" t="inlineStr">
        <is>
          <t>CARAPICUIBA-SP</t>
        </is>
      </c>
      <c r="E348" s="26" t="inlineStr">
        <is>
          <t>CARAPICUIBA</t>
        </is>
      </c>
      <c r="F348" s="27" t="inlineStr">
        <is>
          <t>SP</t>
        </is>
      </c>
      <c r="G348" s="107" t="n">
        <v>46054</v>
      </c>
      <c r="H348" s="108">
        <f>IF($B348="","",SUM($K348:$AG348)+SUM($AS348:$BB348))</f>
        <v/>
      </c>
      <c r="I348" s="108">
        <f>IF($B348="","",SUM($AH348:$AL348))</f>
        <v/>
      </c>
      <c r="J348" s="109">
        <f>IF($B348="","",SUMPRODUCT($K348:$BB348,$K$2:$BB$2))</f>
        <v/>
      </c>
      <c r="K348" s="110" t="n">
        <v>2</v>
      </c>
      <c r="L348" s="110" t="n"/>
      <c r="M348" s="110" t="n"/>
      <c r="N348" s="110" t="n">
        <v>5</v>
      </c>
      <c r="O348" s="110" t="n"/>
      <c r="P348" s="110" t="n"/>
      <c r="Q348" s="110" t="n"/>
      <c r="R348" s="110" t="n"/>
      <c r="S348" s="110" t="n"/>
      <c r="T348" s="110" t="n"/>
      <c r="U348" s="110" t="n"/>
      <c r="V348" s="110" t="n"/>
      <c r="W348" s="110" t="n"/>
      <c r="X348" s="110" t="n"/>
      <c r="Y348" s="110" t="n"/>
      <c r="Z348" s="110" t="n"/>
      <c r="AA348" s="110" t="n">
        <v>4</v>
      </c>
      <c r="AB348" s="110" t="n"/>
      <c r="AC348" s="110" t="n"/>
      <c r="AD348" s="110" t="n"/>
      <c r="AE348" s="110" t="n"/>
      <c r="AF348" s="110" t="n"/>
      <c r="AG348" s="110" t="n"/>
      <c r="AH348" s="110" t="n">
        <v>6</v>
      </c>
      <c r="AI348" s="110" t="n"/>
      <c r="AJ348" s="110" t="n"/>
      <c r="AK348" s="110" t="n"/>
      <c r="AL348" s="110" t="n"/>
      <c r="AM348" s="110" t="n"/>
      <c r="AN348" s="110" t="n"/>
      <c r="AO348" s="110" t="n"/>
      <c r="AP348" s="110" t="n"/>
      <c r="AQ348" s="110" t="n"/>
      <c r="AR348" s="110" t="n"/>
      <c r="AS348" s="110" t="n"/>
      <c r="AT348" s="110" t="n"/>
      <c r="AU348" s="110" t="n"/>
      <c r="AV348" s="110" t="n"/>
      <c r="AW348" s="110" t="n"/>
      <c r="AX348" s="110" t="n"/>
      <c r="AY348" s="110" t="n"/>
      <c r="AZ348" s="110" t="n"/>
      <c r="BA348" s="110" t="n"/>
      <c r="BB348" s="110" t="n"/>
      <c r="BC348" t="inlineStr">
        <is>
          <t>ORIGINAL</t>
        </is>
      </c>
      <c r="BD348" t="n">
        <v>339</v>
      </c>
      <c r="BF348" s="109">
        <f>IF($BD348="","",SUMIF($BD$6:$BD$2000,$BD348,$J$6:$J$2000))</f>
        <v/>
      </c>
    </row>
    <row r="349" ht="19.5" customHeight="1">
      <c r="A349" s="96" t="inlineStr">
        <is>
          <t>PENDENTE</t>
        </is>
      </c>
      <c r="B349" s="26" t="inlineStr">
        <is>
          <t>RIACHUELO</t>
        </is>
      </c>
      <c r="C349" s="27" t="n">
        <v>393</v>
      </c>
      <c r="D349" s="26" t="inlineStr">
        <is>
          <t>UMUARAMA-PR</t>
        </is>
      </c>
      <c r="E349" s="26" t="inlineStr">
        <is>
          <t>UMUARAMA</t>
        </is>
      </c>
      <c r="F349" s="27" t="inlineStr">
        <is>
          <t>PR</t>
        </is>
      </c>
      <c r="G349" s="107" t="n">
        <v>46419</v>
      </c>
      <c r="H349" s="108">
        <f>IF($B349="","",SUM($K349:$AG349)+SUM($AS349:$BB349))</f>
        <v/>
      </c>
      <c r="I349" s="108">
        <f>IF($B349="","",SUM($AH349:$AL349))</f>
        <v/>
      </c>
      <c r="J349" s="109">
        <f>IF($B349="","",SUMPRODUCT($K349:$BB349,$K$2:$BB$2))</f>
        <v/>
      </c>
      <c r="K349" s="110" t="n">
        <v>8</v>
      </c>
      <c r="L349" s="110" t="n"/>
      <c r="M349" s="110" t="n">
        <v>1</v>
      </c>
      <c r="N349" s="110" t="n">
        <v>8</v>
      </c>
      <c r="O349" s="110" t="n"/>
      <c r="P349" s="110" t="n"/>
      <c r="Q349" s="110" t="n"/>
      <c r="R349" s="110" t="n"/>
      <c r="S349" s="110" t="n"/>
      <c r="T349" s="110" t="n"/>
      <c r="U349" s="110" t="n"/>
      <c r="V349" s="110" t="n"/>
      <c r="W349" s="110" t="n"/>
      <c r="X349" s="110" t="n"/>
      <c r="Y349" s="110" t="n"/>
      <c r="Z349" s="110" t="n"/>
      <c r="AA349" s="110" t="n">
        <v>4</v>
      </c>
      <c r="AB349" s="110" t="n"/>
      <c r="AC349" s="110" t="n"/>
      <c r="AD349" s="110" t="n"/>
      <c r="AE349" s="110" t="n"/>
      <c r="AF349" s="110" t="n"/>
      <c r="AG349" s="110" t="n"/>
      <c r="AH349" s="110" t="n">
        <v>10</v>
      </c>
      <c r="AI349" s="110" t="n"/>
      <c r="AJ349" s="110" t="n"/>
      <c r="AK349" s="110" t="n"/>
      <c r="AL349" s="110" t="n"/>
      <c r="AM349" s="110" t="n"/>
      <c r="AN349" s="110" t="n"/>
      <c r="AO349" s="110" t="n"/>
      <c r="AP349" s="110" t="n"/>
      <c r="AQ349" s="110" t="n"/>
      <c r="AR349" s="110" t="n"/>
      <c r="AS349" s="110" t="n"/>
      <c r="AT349" s="110" t="n"/>
      <c r="AU349" s="110" t="n"/>
      <c r="AV349" s="110" t="n"/>
      <c r="AW349" s="110" t="n"/>
      <c r="AX349" s="110" t="n"/>
      <c r="AY349" s="110" t="n"/>
      <c r="AZ349" s="110" t="n"/>
      <c r="BA349" s="110" t="n"/>
      <c r="BB349" s="110" t="n"/>
      <c r="BC349" t="inlineStr">
        <is>
          <t>ORIGINAL</t>
        </is>
      </c>
      <c r="BD349" t="n">
        <v>340</v>
      </c>
      <c r="BF349" s="109">
        <f>IF($BD349="","",SUMIF($BD$6:$BD$2000,$BD349,$J$6:$J$2000))</f>
        <v/>
      </c>
    </row>
    <row r="350" ht="19.5" customHeight="1">
      <c r="A350" s="96" t="inlineStr">
        <is>
          <t>PENDENTE</t>
        </is>
      </c>
      <c r="B350" s="26" t="inlineStr">
        <is>
          <t>RIACHUELO</t>
        </is>
      </c>
      <c r="C350" s="27" t="n">
        <v>394</v>
      </c>
      <c r="D350" s="26" t="inlineStr">
        <is>
          <t>SÃO BERNARDO DO CAMPO METROPOLE SH</t>
        </is>
      </c>
      <c r="E350" s="26" t="inlineStr">
        <is>
          <t>SÃO BERNARDO DO CAMPO</t>
        </is>
      </c>
      <c r="F350" s="27" t="inlineStr">
        <is>
          <t>SP</t>
        </is>
      </c>
      <c r="G350" s="107" t="n">
        <v>46388</v>
      </c>
      <c r="H350" s="108">
        <f>IF($B350="","",SUM($K350:$AG350)+SUM($AS350:$BB350))</f>
        <v/>
      </c>
      <c r="I350" s="108">
        <f>IF($B350="","",SUM($AH350:$AL350))</f>
        <v/>
      </c>
      <c r="J350" s="109">
        <f>IF($B350="","",SUMPRODUCT($K350:$BB350,$K$2:$BB$2))</f>
        <v/>
      </c>
      <c r="K350" s="110" t="n"/>
      <c r="L350" s="110" t="n"/>
      <c r="M350" s="110" t="n"/>
      <c r="N350" s="110" t="n"/>
      <c r="O350" s="110" t="n"/>
      <c r="P350" s="110" t="n"/>
      <c r="Q350" s="110" t="n"/>
      <c r="R350" s="110" t="n"/>
      <c r="S350" s="110" t="n"/>
      <c r="T350" s="110" t="n">
        <v>8</v>
      </c>
      <c r="U350" s="110" t="n"/>
      <c r="V350" s="110" t="n"/>
      <c r="W350" s="110" t="n"/>
      <c r="X350" s="110" t="n"/>
      <c r="Y350" s="110" t="n"/>
      <c r="Z350" s="110" t="n"/>
      <c r="AA350" s="110" t="n">
        <v>4</v>
      </c>
      <c r="AB350" s="110" t="n"/>
      <c r="AC350" s="110" t="n"/>
      <c r="AD350" s="110" t="n"/>
      <c r="AE350" s="110" t="n"/>
      <c r="AF350" s="110" t="n"/>
      <c r="AG350" s="110" t="n"/>
      <c r="AH350" s="110" t="n">
        <v>8</v>
      </c>
      <c r="AI350" s="110" t="n"/>
      <c r="AJ350" s="110" t="n"/>
      <c r="AK350" s="110" t="n"/>
      <c r="AL350" s="110" t="n"/>
      <c r="AM350" s="110" t="n"/>
      <c r="AN350" s="110" t="n"/>
      <c r="AO350" s="110" t="n"/>
      <c r="AP350" s="110" t="n"/>
      <c r="AQ350" s="110" t="n"/>
      <c r="AR350" s="110" t="n"/>
      <c r="AS350" s="110" t="n"/>
      <c r="AT350" s="110" t="n"/>
      <c r="AU350" s="110" t="n"/>
      <c r="AV350" s="110" t="n"/>
      <c r="AW350" s="110" t="n"/>
      <c r="AX350" s="110" t="n"/>
      <c r="AY350" s="110" t="n"/>
      <c r="AZ350" s="110" t="n"/>
      <c r="BA350" s="110" t="n"/>
      <c r="BB350" s="110" t="n"/>
      <c r="BC350" t="inlineStr">
        <is>
          <t>ORIGINAL</t>
        </is>
      </c>
      <c r="BD350" t="n">
        <v>341</v>
      </c>
      <c r="BF350" s="109">
        <f>IF($BD350="","",SUMIF($BD$6:$BD$2000,$BD350,$J$6:$J$2000))</f>
        <v/>
      </c>
    </row>
    <row r="351" ht="19.5" customHeight="1">
      <c r="A351" s="96" t="inlineStr">
        <is>
          <t>PENDENTE</t>
        </is>
      </c>
      <c r="B351" s="26" t="inlineStr">
        <is>
          <t>RIACHUELO</t>
        </is>
      </c>
      <c r="C351" s="27" t="n">
        <v>399</v>
      </c>
      <c r="D351" s="26" t="inlineStr">
        <is>
          <t>SP SPA PÁTIO PAULISTA SH</t>
        </is>
      </c>
      <c r="E351" s="26" t="inlineStr">
        <is>
          <t>SÃO PAULO</t>
        </is>
      </c>
      <c r="F351" s="27" t="inlineStr">
        <is>
          <t>SP</t>
        </is>
      </c>
      <c r="G351" s="107" t="n">
        <v>46388</v>
      </c>
      <c r="H351" s="108">
        <f>IF($B351="","",SUM($K351:$AG351)+SUM($AS351:$BB351))</f>
        <v/>
      </c>
      <c r="I351" s="108">
        <f>IF($B351="","",SUM($AH351:$AL351))</f>
        <v/>
      </c>
      <c r="J351" s="109">
        <f>IF($B351="","",SUMPRODUCT($K351:$BB351,$K$2:$BB$2))</f>
        <v/>
      </c>
      <c r="K351" s="110" t="n">
        <v>1</v>
      </c>
      <c r="L351" s="110" t="n"/>
      <c r="M351" s="110" t="n"/>
      <c r="N351" s="110" t="n"/>
      <c r="O351" s="110" t="n"/>
      <c r="P351" s="110" t="n"/>
      <c r="Q351" s="110" t="n"/>
      <c r="R351" s="110" t="n"/>
      <c r="S351" s="110" t="n"/>
      <c r="T351" s="110" t="n"/>
      <c r="U351" s="110" t="n">
        <v>2</v>
      </c>
      <c r="V351" s="110" t="n"/>
      <c r="W351" s="110" t="n"/>
      <c r="X351" s="110" t="n"/>
      <c r="Y351" s="110" t="n"/>
      <c r="Z351" s="110" t="n"/>
      <c r="AA351" s="110" t="n">
        <v>3</v>
      </c>
      <c r="AB351" s="110" t="n"/>
      <c r="AC351" s="110" t="n"/>
      <c r="AD351" s="110" t="n"/>
      <c r="AE351" s="110" t="n"/>
      <c r="AF351" s="110" t="n"/>
      <c r="AG351" s="110" t="n"/>
      <c r="AH351" s="110" t="n">
        <v>4</v>
      </c>
      <c r="AI351" s="110" t="n"/>
      <c r="AJ351" s="110" t="n"/>
      <c r="AK351" s="110" t="n"/>
      <c r="AL351" s="110" t="n"/>
      <c r="AM351" s="110" t="n"/>
      <c r="AN351" s="110" t="n"/>
      <c r="AO351" s="110" t="n"/>
      <c r="AP351" s="110" t="n"/>
      <c r="AQ351" s="110" t="n"/>
      <c r="AR351" s="110" t="n"/>
      <c r="AS351" s="110" t="n"/>
      <c r="AT351" s="110" t="n"/>
      <c r="AU351" s="110" t="n"/>
      <c r="AV351" s="110" t="n"/>
      <c r="AW351" s="110" t="n"/>
      <c r="AX351" s="110" t="n"/>
      <c r="AY351" s="110" t="n"/>
      <c r="AZ351" s="110" t="n"/>
      <c r="BA351" s="110" t="n"/>
      <c r="BB351" s="110" t="n"/>
      <c r="BC351" t="inlineStr">
        <is>
          <t>ORIGINAL</t>
        </is>
      </c>
      <c r="BD351" t="n">
        <v>342</v>
      </c>
      <c r="BF351" s="109">
        <f>IF($BD351="","",SUMIF($BD$6:$BD$2000,$BD351,$J$6:$J$2000))</f>
        <v/>
      </c>
    </row>
    <row r="352" ht="19.5" customHeight="1">
      <c r="A352" s="96" t="inlineStr">
        <is>
          <t>PENDENTE</t>
        </is>
      </c>
      <c r="B352" s="26" t="inlineStr">
        <is>
          <t>RIACHUELO</t>
        </is>
      </c>
      <c r="C352" s="27" t="n">
        <v>416</v>
      </c>
      <c r="D352" s="26" t="inlineStr">
        <is>
          <t>MORUMBI SH CARTERS</t>
        </is>
      </c>
      <c r="E352" s="26" t="inlineStr">
        <is>
          <t>SÃO PAULO</t>
        </is>
      </c>
      <c r="F352" s="27" t="inlineStr">
        <is>
          <t>SP</t>
        </is>
      </c>
      <c r="G352" s="107" t="n">
        <v>46054</v>
      </c>
      <c r="H352" s="108">
        <f>IF($B352="","",SUM($K352:$AG352)+SUM($AS352:$BB352))</f>
        <v/>
      </c>
      <c r="I352" s="108">
        <f>IF($B352="","",SUM($AH352:$AL352))</f>
        <v/>
      </c>
      <c r="J352" s="109">
        <f>IF($B352="","",SUMPRODUCT($K352:$BB352,$K$2:$BB$2))</f>
        <v/>
      </c>
      <c r="K352" s="110" t="n">
        <v>2</v>
      </c>
      <c r="L352" s="110" t="n"/>
      <c r="M352" s="110" t="n">
        <v>2</v>
      </c>
      <c r="N352" s="110" t="n"/>
      <c r="O352" s="110" t="n"/>
      <c r="P352" s="110" t="n"/>
      <c r="Q352" s="110" t="n"/>
      <c r="R352" s="110" t="n"/>
      <c r="S352" s="110" t="n"/>
      <c r="T352" s="110" t="n"/>
      <c r="U352" s="110" t="n"/>
      <c r="V352" s="110" t="n"/>
      <c r="W352" s="110" t="n"/>
      <c r="X352" s="110" t="n"/>
      <c r="Y352" s="110" t="n"/>
      <c r="Z352" s="110" t="n"/>
      <c r="AA352" s="110" t="n">
        <v>1</v>
      </c>
      <c r="AB352" s="110" t="n"/>
      <c r="AC352" s="110" t="n"/>
      <c r="AD352" s="110" t="n"/>
      <c r="AE352" s="110" t="n"/>
      <c r="AF352" s="110" t="n"/>
      <c r="AG352" s="110" t="n"/>
      <c r="AH352" s="110" t="n"/>
      <c r="AI352" s="110" t="n"/>
      <c r="AJ352" s="110" t="n"/>
      <c r="AK352" s="110" t="n"/>
      <c r="AL352" s="110" t="n"/>
      <c r="AM352" s="110" t="n"/>
      <c r="AN352" s="110" t="n"/>
      <c r="AO352" s="110" t="n"/>
      <c r="AP352" s="110" t="n"/>
      <c r="AQ352" s="110" t="n"/>
      <c r="AR352" s="110" t="n"/>
      <c r="AS352" s="110" t="n"/>
      <c r="AT352" s="110" t="n"/>
      <c r="AU352" s="110" t="n"/>
      <c r="AV352" s="110" t="n"/>
      <c r="AW352" s="110" t="n"/>
      <c r="AX352" s="110" t="n"/>
      <c r="AY352" s="110" t="n"/>
      <c r="AZ352" s="110" t="n"/>
      <c r="BA352" s="110" t="n"/>
      <c r="BB352" s="110" t="n"/>
      <c r="BC352" t="inlineStr">
        <is>
          <t>ORIGINAL</t>
        </is>
      </c>
      <c r="BD352" t="n">
        <v>343</v>
      </c>
      <c r="BF352" s="109">
        <f>IF($BD352="","",SUMIF($BD$6:$BD$2000,$BD352,$J$6:$J$2000))</f>
        <v/>
      </c>
    </row>
    <row r="353" ht="19.5" customHeight="1">
      <c r="A353" s="96" t="inlineStr">
        <is>
          <t>PENDENTE</t>
        </is>
      </c>
      <c r="B353" s="26" t="inlineStr">
        <is>
          <t>RIACHUELO</t>
        </is>
      </c>
      <c r="C353" s="27" t="n">
        <v>417</v>
      </c>
      <c r="D353" s="26" t="inlineStr">
        <is>
          <t>SHOPPING CANTAREIRA</t>
        </is>
      </c>
      <c r="E353" s="26" t="inlineStr">
        <is>
          <t>SÃO PAULO</t>
        </is>
      </c>
      <c r="F353" s="27" t="inlineStr">
        <is>
          <t>SP</t>
        </is>
      </c>
      <c r="G353" s="107" t="n">
        <v>46388</v>
      </c>
      <c r="H353" s="108">
        <f>IF($B353="","",SUM($K353:$AG353)+SUM($AS353:$BB353))</f>
        <v/>
      </c>
      <c r="I353" s="108">
        <f>IF($B353="","",SUM($AH353:$AL353))</f>
        <v/>
      </c>
      <c r="J353" s="109">
        <f>IF($B353="","",SUMPRODUCT($K353:$BB353,$K$2:$BB$2))</f>
        <v/>
      </c>
      <c r="K353" s="110" t="n">
        <v>8</v>
      </c>
      <c r="L353" s="110" t="n"/>
      <c r="M353" s="110" t="n">
        <v>1</v>
      </c>
      <c r="N353" s="110" t="n"/>
      <c r="O353" s="110" t="n"/>
      <c r="P353" s="110" t="n"/>
      <c r="Q353" s="110" t="n"/>
      <c r="R353" s="110" t="n"/>
      <c r="S353" s="110" t="n"/>
      <c r="T353" s="110" t="n"/>
      <c r="U353" s="110" t="n"/>
      <c r="V353" s="110" t="n"/>
      <c r="W353" s="110" t="n"/>
      <c r="X353" s="110" t="n"/>
      <c r="Y353" s="110" t="n"/>
      <c r="Z353" s="110" t="n"/>
      <c r="AA353" s="110" t="n">
        <v>5</v>
      </c>
      <c r="AB353" s="110" t="n"/>
      <c r="AC353" s="110" t="n"/>
      <c r="AD353" s="110" t="n"/>
      <c r="AE353" s="110" t="n"/>
      <c r="AF353" s="110" t="n"/>
      <c r="AG353" s="110" t="n"/>
      <c r="AH353" s="110" t="n"/>
      <c r="AI353" s="110" t="n"/>
      <c r="AJ353" s="110" t="n"/>
      <c r="AK353" s="110" t="n">
        <v>8</v>
      </c>
      <c r="AL353" s="110" t="n"/>
      <c r="AM353" s="110" t="n"/>
      <c r="AN353" s="110" t="n"/>
      <c r="AO353" s="110" t="n"/>
      <c r="AP353" s="110" t="n"/>
      <c r="AQ353" s="110" t="n"/>
      <c r="AR353" s="110" t="n"/>
      <c r="AS353" s="110" t="n"/>
      <c r="AT353" s="110" t="n"/>
      <c r="AU353" s="110" t="n"/>
      <c r="AV353" s="110" t="n"/>
      <c r="AW353" s="110" t="n"/>
      <c r="AX353" s="110" t="n"/>
      <c r="AY353" s="110" t="n"/>
      <c r="AZ353" s="110" t="n"/>
      <c r="BA353" s="110" t="n"/>
      <c r="BB353" s="110" t="n"/>
      <c r="BC353" t="inlineStr">
        <is>
          <t>ORIGINAL</t>
        </is>
      </c>
      <c r="BD353" t="n">
        <v>344</v>
      </c>
      <c r="BF353" s="109">
        <f>IF($BD353="","",SUMIF($BD$6:$BD$2000,$BD353,$J$6:$J$2000))</f>
        <v/>
      </c>
    </row>
    <row r="354" ht="19.5" customHeight="1">
      <c r="A354" s="96" t="inlineStr">
        <is>
          <t>PENDENTE</t>
        </is>
      </c>
      <c r="B354" s="26" t="inlineStr">
        <is>
          <t>RIACHUELO</t>
        </is>
      </c>
      <c r="C354" s="27" t="n">
        <v>418</v>
      </c>
      <c r="D354" s="26" t="inlineStr">
        <is>
          <t>RN NATAL MIDWAY SH CARTERS</t>
        </is>
      </c>
      <c r="E354" s="26" t="inlineStr">
        <is>
          <t>NATAL</t>
        </is>
      </c>
      <c r="F354" s="27" t="inlineStr">
        <is>
          <t>RN</t>
        </is>
      </c>
      <c r="G354" s="107" t="n">
        <v>46143</v>
      </c>
      <c r="H354" s="108">
        <f>IF($B354="","",SUM($K354:$AG354)+SUM($AS354:$BB354))</f>
        <v/>
      </c>
      <c r="I354" s="108">
        <f>IF($B354="","",SUM($AH354:$AL354))</f>
        <v/>
      </c>
      <c r="J354" s="109">
        <f>IF($B354="","",SUMPRODUCT($K354:$BB354,$K$2:$BB$2))</f>
        <v/>
      </c>
      <c r="K354" s="110" t="n">
        <v>2</v>
      </c>
      <c r="L354" s="110" t="n"/>
      <c r="M354" s="110" t="n"/>
      <c r="N354" s="110" t="n"/>
      <c r="O354" s="110" t="n"/>
      <c r="P354" s="110" t="n"/>
      <c r="Q354" s="110" t="n"/>
      <c r="R354" s="110" t="n"/>
      <c r="S354" s="110" t="n"/>
      <c r="T354" s="110" t="n"/>
      <c r="U354" s="110" t="n"/>
      <c r="V354" s="110" t="n"/>
      <c r="W354" s="110" t="n"/>
      <c r="X354" s="110" t="n"/>
      <c r="Y354" s="110" t="n"/>
      <c r="Z354" s="110" t="n"/>
      <c r="AA354" s="110" t="n">
        <v>2</v>
      </c>
      <c r="AB354" s="110" t="n"/>
      <c r="AC354" s="110" t="n"/>
      <c r="AD354" s="110" t="n"/>
      <c r="AE354" s="110" t="n"/>
      <c r="AF354" s="110" t="n"/>
      <c r="AG354" s="110" t="n"/>
      <c r="AH354" s="110" t="n"/>
      <c r="AI354" s="110" t="n"/>
      <c r="AJ354" s="110" t="n"/>
      <c r="AK354" s="110" t="n"/>
      <c r="AL354" s="110" t="n"/>
      <c r="AM354" s="110" t="n"/>
      <c r="AN354" s="110" t="n"/>
      <c r="AO354" s="110" t="n"/>
      <c r="AP354" s="110" t="n"/>
      <c r="AQ354" s="110" t="n"/>
      <c r="AR354" s="110" t="n"/>
      <c r="AS354" s="110" t="n"/>
      <c r="AT354" s="110" t="n"/>
      <c r="AU354" s="110" t="n"/>
      <c r="AV354" s="110" t="n"/>
      <c r="AW354" s="110" t="n"/>
      <c r="AX354" s="110" t="n"/>
      <c r="AY354" s="110" t="n"/>
      <c r="AZ354" s="110" t="n"/>
      <c r="BA354" s="110" t="n"/>
      <c r="BB354" s="110" t="n"/>
      <c r="BC354" t="inlineStr">
        <is>
          <t>ORIGINAL</t>
        </is>
      </c>
      <c r="BD354" t="n">
        <v>345</v>
      </c>
      <c r="BF354" s="109">
        <f>IF($BD354="","",SUMIF($BD$6:$BD$2000,$BD354,$J$6:$J$2000))</f>
        <v/>
      </c>
    </row>
    <row r="355" ht="19.5" customHeight="1">
      <c r="A355" s="96" t="inlineStr">
        <is>
          <t>PENDENTE</t>
        </is>
      </c>
      <c r="B355" s="26" t="inlineStr">
        <is>
          <t>RIACHUELO</t>
        </is>
      </c>
      <c r="C355" s="27" t="n">
        <v>419</v>
      </c>
      <c r="D355" s="26" t="inlineStr">
        <is>
          <t>CARTER'S 419 SHOPPING SAVASSI BH</t>
        </is>
      </c>
      <c r="E355" s="26" t="inlineStr">
        <is>
          <t>BELO HORIZONTE</t>
        </is>
      </c>
      <c r="F355" s="27" t="inlineStr">
        <is>
          <t>MG</t>
        </is>
      </c>
      <c r="G355" s="107" t="n">
        <v>46266</v>
      </c>
      <c r="H355" s="108">
        <f>IF($B355="","",SUM($K355:$AG355)+SUM($AS355:$BB355))</f>
        <v/>
      </c>
      <c r="I355" s="108">
        <f>IF($B355="","",SUM($AH355:$AL355))</f>
        <v/>
      </c>
      <c r="J355" s="109">
        <f>IF($B355="","",SUMPRODUCT($K355:$BB355,$K$2:$BB$2))</f>
        <v/>
      </c>
      <c r="K355" s="110" t="n">
        <v>2</v>
      </c>
      <c r="L355" s="110" t="n"/>
      <c r="M355" s="110" t="n"/>
      <c r="N355" s="110" t="n"/>
      <c r="O355" s="110" t="n"/>
      <c r="P355" s="110" t="n"/>
      <c r="Q355" s="110" t="n"/>
      <c r="R355" s="110" t="n"/>
      <c r="S355" s="110" t="n"/>
      <c r="T355" s="110" t="n"/>
      <c r="U355" s="110" t="n"/>
      <c r="V355" s="110" t="n"/>
      <c r="W355" s="110" t="n"/>
      <c r="X355" s="110" t="n"/>
      <c r="Y355" s="110" t="n"/>
      <c r="Z355" s="110" t="n"/>
      <c r="AA355" s="110" t="n">
        <v>1</v>
      </c>
      <c r="AB355" s="110" t="n"/>
      <c r="AC355" s="110" t="n"/>
      <c r="AD355" s="110" t="n"/>
      <c r="AE355" s="110" t="n"/>
      <c r="AF355" s="110" t="n"/>
      <c r="AG355" s="110" t="n"/>
      <c r="AH355" s="110" t="n"/>
      <c r="AI355" s="110" t="n"/>
      <c r="AJ355" s="110" t="n"/>
      <c r="AK355" s="110" t="n"/>
      <c r="AL355" s="110" t="n"/>
      <c r="AM355" s="110" t="n"/>
      <c r="AN355" s="110" t="n"/>
      <c r="AO355" s="110" t="n"/>
      <c r="AP355" s="110" t="n"/>
      <c r="AQ355" s="110" t="n"/>
      <c r="AR355" s="110" t="n"/>
      <c r="AS355" s="110" t="n"/>
      <c r="AT355" s="110" t="n"/>
      <c r="AU355" s="110" t="n"/>
      <c r="AV355" s="110" t="n"/>
      <c r="AW355" s="110" t="n"/>
      <c r="AX355" s="110" t="n"/>
      <c r="AY355" s="110" t="n"/>
      <c r="AZ355" s="110" t="n"/>
      <c r="BA355" s="110" t="n"/>
      <c r="BB355" s="110" t="n"/>
      <c r="BC355" t="inlineStr">
        <is>
          <t>ORIGINAL</t>
        </is>
      </c>
      <c r="BD355" t="n">
        <v>346</v>
      </c>
      <c r="BF355" s="109">
        <f>IF($BD355="","",SUMIF($BD$6:$BD$2000,$BD355,$J$6:$J$2000))</f>
        <v/>
      </c>
    </row>
    <row r="356" ht="19.5" customHeight="1">
      <c r="A356" s="96" t="inlineStr">
        <is>
          <t>PENDENTE</t>
        </is>
      </c>
      <c r="B356" s="26" t="inlineStr">
        <is>
          <t>RIACHUELO</t>
        </is>
      </c>
      <c r="C356" s="27" t="n">
        <v>420</v>
      </c>
      <c r="D356" s="26" t="inlineStr">
        <is>
          <t xml:space="preserve">F 420 - MG CARTER'S SH </t>
        </is>
      </c>
      <c r="E356" s="26" t="inlineStr">
        <is>
          <t>BELO HORIZONTE</t>
        </is>
      </c>
      <c r="F356" s="27" t="inlineStr">
        <is>
          <t>MG</t>
        </is>
      </c>
      <c r="G356" s="107" t="n">
        <v>46266</v>
      </c>
      <c r="H356" s="108">
        <f>IF($B356="","",SUM($K356:$AG356)+SUM($AS356:$BB356))</f>
        <v/>
      </c>
      <c r="I356" s="108">
        <f>IF($B356="","",SUM($AH356:$AL356))</f>
        <v/>
      </c>
      <c r="J356" s="109">
        <f>IF($B356="","",SUMPRODUCT($K356:$BB356,$K$2:$BB$2))</f>
        <v/>
      </c>
      <c r="K356" s="110" t="n"/>
      <c r="L356" s="110" t="n"/>
      <c r="M356" s="110" t="n"/>
      <c r="N356" s="110" t="n"/>
      <c r="O356" s="110" t="n"/>
      <c r="P356" s="110" t="n"/>
      <c r="Q356" s="110" t="n"/>
      <c r="R356" s="110" t="n"/>
      <c r="S356" s="110" t="n"/>
      <c r="T356" s="110" t="n"/>
      <c r="U356" s="110" t="n">
        <v>4</v>
      </c>
      <c r="V356" s="110" t="n"/>
      <c r="W356" s="110" t="n"/>
      <c r="X356" s="110" t="n"/>
      <c r="Y356" s="110" t="n"/>
      <c r="Z356" s="110" t="n"/>
      <c r="AA356" s="110" t="n"/>
      <c r="AB356" s="110" t="n"/>
      <c r="AC356" s="110" t="n"/>
      <c r="AD356" s="110" t="n"/>
      <c r="AE356" s="110" t="n"/>
      <c r="AF356" s="110" t="n"/>
      <c r="AG356" s="110" t="n"/>
      <c r="AH356" s="110" t="n"/>
      <c r="AI356" s="110" t="n"/>
      <c r="AJ356" s="110" t="n"/>
      <c r="AK356" s="110" t="n"/>
      <c r="AL356" s="110" t="n"/>
      <c r="AM356" s="110" t="n"/>
      <c r="AN356" s="110" t="n"/>
      <c r="AO356" s="110" t="n"/>
      <c r="AP356" s="110" t="n"/>
      <c r="AQ356" s="110" t="n"/>
      <c r="AR356" s="110" t="n"/>
      <c r="AS356" s="110" t="n"/>
      <c r="AT356" s="110" t="n"/>
      <c r="AU356" s="110" t="n"/>
      <c r="AV356" s="110" t="n"/>
      <c r="AW356" s="110" t="n"/>
      <c r="AX356" s="110" t="n"/>
      <c r="AY356" s="110" t="n"/>
      <c r="AZ356" s="110" t="n"/>
      <c r="BA356" s="110" t="n"/>
      <c r="BB356" s="110" t="n"/>
      <c r="BC356" t="inlineStr">
        <is>
          <t>ORIGINAL</t>
        </is>
      </c>
      <c r="BD356" t="n">
        <v>347</v>
      </c>
      <c r="BF356" s="109">
        <f>IF($BD356="","",SUMIF($BD$6:$BD$2000,$BD356,$J$6:$J$2000))</f>
        <v/>
      </c>
    </row>
    <row r="357" ht="19.5" customHeight="1">
      <c r="A357" s="96" t="inlineStr">
        <is>
          <t>PENDENTE</t>
        </is>
      </c>
      <c r="B357" s="26" t="inlineStr">
        <is>
          <t>RIACHUELO</t>
        </is>
      </c>
      <c r="C357" s="27" t="n">
        <v>421</v>
      </c>
      <c r="D357" s="26" t="inlineStr">
        <is>
          <t>SHOPPING VILA LOBOS</t>
        </is>
      </c>
      <c r="E357" s="26" t="inlineStr">
        <is>
          <t>SÃO PAULO</t>
        </is>
      </c>
      <c r="F357" s="27" t="inlineStr">
        <is>
          <t>SP</t>
        </is>
      </c>
      <c r="G357" s="107" t="n">
        <v>46204</v>
      </c>
      <c r="H357" s="108">
        <f>IF($B357="","",SUM($K357:$AG357)+SUM($AS357:$BB357))</f>
        <v/>
      </c>
      <c r="I357" s="108">
        <f>IF($B357="","",SUM($AH357:$AL357))</f>
        <v/>
      </c>
      <c r="J357" s="109">
        <f>IF($B357="","",SUMPRODUCT($K357:$BB357,$K$2:$BB$2))</f>
        <v/>
      </c>
      <c r="K357" s="110" t="n">
        <v>2</v>
      </c>
      <c r="L357" s="110" t="n"/>
      <c r="M357" s="110" t="n">
        <v>1</v>
      </c>
      <c r="N357" s="110" t="n"/>
      <c r="O357" s="110" t="n"/>
      <c r="P357" s="110" t="n"/>
      <c r="Q357" s="110" t="n"/>
      <c r="R357" s="110" t="n"/>
      <c r="S357" s="110" t="n"/>
      <c r="T357" s="110" t="n"/>
      <c r="U357" s="110" t="n"/>
      <c r="V357" s="110" t="n"/>
      <c r="W357" s="110" t="n"/>
      <c r="X357" s="110" t="n"/>
      <c r="Y357" s="110" t="n"/>
      <c r="Z357" s="110" t="n"/>
      <c r="AA357" s="110" t="n">
        <v>1</v>
      </c>
      <c r="AB357" s="110" t="n"/>
      <c r="AC357" s="110" t="n"/>
      <c r="AD357" s="110" t="n"/>
      <c r="AE357" s="110" t="n"/>
      <c r="AF357" s="110" t="n"/>
      <c r="AG357" s="110" t="n"/>
      <c r="AH357" s="110" t="n"/>
      <c r="AI357" s="110" t="n"/>
      <c r="AJ357" s="110" t="n"/>
      <c r="AK357" s="110" t="n"/>
      <c r="AL357" s="110" t="n"/>
      <c r="AM357" s="110" t="n"/>
      <c r="AN357" s="110" t="n"/>
      <c r="AO357" s="110" t="n"/>
      <c r="AP357" s="110" t="n"/>
      <c r="AQ357" s="110" t="n"/>
      <c r="AR357" s="110" t="n"/>
      <c r="AS357" s="110" t="n"/>
      <c r="AT357" s="110" t="n"/>
      <c r="AU357" s="110" t="n"/>
      <c r="AV357" s="110" t="n"/>
      <c r="AW357" s="110" t="n"/>
      <c r="AX357" s="110" t="n"/>
      <c r="AY357" s="110" t="n"/>
      <c r="AZ357" s="110" t="n"/>
      <c r="BA357" s="110" t="n"/>
      <c r="BB357" s="110" t="n"/>
      <c r="BC357" t="inlineStr">
        <is>
          <t>ORIGINAL</t>
        </is>
      </c>
      <c r="BD357" t="n">
        <v>348</v>
      </c>
      <c r="BF357" s="109">
        <f>IF($BD357="","",SUMIF($BD$6:$BD$2000,$BD357,$J$6:$J$2000))</f>
        <v/>
      </c>
    </row>
    <row r="358" ht="19.5" customHeight="1">
      <c r="A358" s="96" t="inlineStr">
        <is>
          <t>PENDENTE</t>
        </is>
      </c>
      <c r="B358" s="26" t="inlineStr">
        <is>
          <t>RIACHUELO</t>
        </is>
      </c>
      <c r="C358" s="27" t="n">
        <v>422</v>
      </c>
      <c r="D358" s="26" t="inlineStr">
        <is>
          <t>F 422 - SP RIBEIRÃO PRETO SH</t>
        </is>
      </c>
      <c r="E358" s="26" t="inlineStr">
        <is>
          <t>RIBEIRAO PRETO</t>
        </is>
      </c>
      <c r="F358" s="27" t="inlineStr">
        <is>
          <t>SP</t>
        </is>
      </c>
      <c r="G358" s="107" t="n">
        <v>46296</v>
      </c>
      <c r="H358" s="108">
        <f>IF($B358="","",SUM($K358:$AG358)+SUM($AS358:$BB358))</f>
        <v/>
      </c>
      <c r="I358" s="108">
        <f>IF($B358="","",SUM($AH358:$AL358))</f>
        <v/>
      </c>
      <c r="J358" s="109">
        <f>IF($B358="","",SUMPRODUCT($K358:$BB358,$K$2:$BB$2))</f>
        <v/>
      </c>
      <c r="K358" s="110" t="n">
        <v>2</v>
      </c>
      <c r="L358" s="110" t="n"/>
      <c r="M358" s="110" t="n"/>
      <c r="N358" s="110" t="n">
        <v>2</v>
      </c>
      <c r="O358" s="110" t="n"/>
      <c r="P358" s="110" t="n"/>
      <c r="Q358" s="110" t="n"/>
      <c r="R358" s="110" t="n"/>
      <c r="S358" s="110" t="n"/>
      <c r="T358" s="110" t="n"/>
      <c r="U358" s="110" t="n"/>
      <c r="V358" s="110" t="n"/>
      <c r="W358" s="110" t="n"/>
      <c r="X358" s="110" t="n"/>
      <c r="Y358" s="110" t="n"/>
      <c r="Z358" s="110" t="n"/>
      <c r="AA358" s="110" t="n"/>
      <c r="AB358" s="110" t="n"/>
      <c r="AC358" s="110" t="n"/>
      <c r="AD358" s="110" t="n"/>
      <c r="AE358" s="110" t="n"/>
      <c r="AF358" s="110" t="n"/>
      <c r="AG358" s="110" t="n"/>
      <c r="AH358" s="110" t="n"/>
      <c r="AI358" s="110" t="n"/>
      <c r="AJ358" s="110" t="n"/>
      <c r="AK358" s="110" t="n"/>
      <c r="AL358" s="110" t="n"/>
      <c r="AM358" s="110" t="n"/>
      <c r="AN358" s="110" t="n"/>
      <c r="AO358" s="110" t="n"/>
      <c r="AP358" s="110" t="n"/>
      <c r="AQ358" s="110" t="n"/>
      <c r="AR358" s="110" t="n"/>
      <c r="AS358" s="110" t="n"/>
      <c r="AT358" s="110" t="n"/>
      <c r="AU358" s="110" t="n"/>
      <c r="AV358" s="110" t="n"/>
      <c r="AW358" s="110" t="n"/>
      <c r="AX358" s="110" t="n"/>
      <c r="AY358" s="110" t="n"/>
      <c r="AZ358" s="110" t="n"/>
      <c r="BA358" s="110" t="n"/>
      <c r="BB358" s="110" t="n"/>
      <c r="BC358" t="inlineStr">
        <is>
          <t>ORIGINAL</t>
        </is>
      </c>
      <c r="BD358" t="n">
        <v>349</v>
      </c>
      <c r="BF358" s="109">
        <f>IF($BD358="","",SUMIF($BD$6:$BD$2000,$BD358,$J$6:$J$2000))</f>
        <v/>
      </c>
    </row>
    <row r="359" ht="19.5" customHeight="1">
      <c r="A359" s="96" t="inlineStr">
        <is>
          <t>PENDENTE</t>
        </is>
      </c>
      <c r="B359" s="26" t="inlineStr">
        <is>
          <t>RIACHUELO</t>
        </is>
      </c>
      <c r="C359" s="27" t="n">
        <v>423</v>
      </c>
      <c r="D359" s="26" t="inlineStr">
        <is>
          <t>F 423 - CE FORTALEZA IGUATEMI SH CARTER'S</t>
        </is>
      </c>
      <c r="E359" s="26" t="inlineStr">
        <is>
          <t>FORTALEZA</t>
        </is>
      </c>
      <c r="F359" s="27" t="inlineStr">
        <is>
          <t>CE</t>
        </is>
      </c>
      <c r="G359" s="107" t="n">
        <v>46266</v>
      </c>
      <c r="H359" s="108">
        <f>IF($B359="","",SUM($K359:$AG359)+SUM($AS359:$BB359))</f>
        <v/>
      </c>
      <c r="I359" s="108">
        <f>IF($B359="","",SUM($AH359:$AL359))</f>
        <v/>
      </c>
      <c r="J359" s="109">
        <f>IF($B359="","",SUMPRODUCT($K359:$BB359,$K$2:$BB$2))</f>
        <v/>
      </c>
      <c r="K359" s="110" t="n">
        <v>2</v>
      </c>
      <c r="L359" s="110" t="n"/>
      <c r="M359" s="110" t="n"/>
      <c r="N359" s="110" t="n">
        <v>1</v>
      </c>
      <c r="O359" s="110" t="n"/>
      <c r="P359" s="110" t="n"/>
      <c r="Q359" s="110" t="n"/>
      <c r="R359" s="110" t="n"/>
      <c r="S359" s="110" t="n"/>
      <c r="T359" s="110" t="n"/>
      <c r="U359" s="110" t="n"/>
      <c r="V359" s="110" t="n"/>
      <c r="W359" s="110" t="n"/>
      <c r="X359" s="110" t="n"/>
      <c r="Y359" s="110" t="n"/>
      <c r="Z359" s="110" t="n"/>
      <c r="AA359" s="110" t="n">
        <v>2</v>
      </c>
      <c r="AB359" s="110" t="n"/>
      <c r="AC359" s="110" t="n"/>
      <c r="AD359" s="110" t="n"/>
      <c r="AE359" s="110" t="n"/>
      <c r="AF359" s="110" t="n"/>
      <c r="AG359" s="110" t="n"/>
      <c r="AH359" s="110" t="n"/>
      <c r="AI359" s="110" t="n"/>
      <c r="AJ359" s="110" t="n"/>
      <c r="AK359" s="110" t="n"/>
      <c r="AL359" s="110" t="n"/>
      <c r="AM359" s="110" t="n"/>
      <c r="AN359" s="110" t="n"/>
      <c r="AO359" s="110" t="n"/>
      <c r="AP359" s="110" t="n"/>
      <c r="AQ359" s="110" t="n"/>
      <c r="AR359" s="110" t="n"/>
      <c r="AS359" s="110" t="n"/>
      <c r="AT359" s="110" t="n"/>
      <c r="AU359" s="110" t="n"/>
      <c r="AV359" s="110" t="n"/>
      <c r="AW359" s="110" t="n"/>
      <c r="AX359" s="110" t="n"/>
      <c r="AY359" s="110" t="n"/>
      <c r="AZ359" s="110" t="n"/>
      <c r="BA359" s="110" t="n"/>
      <c r="BB359" s="110" t="n"/>
      <c r="BC359" t="inlineStr">
        <is>
          <t>ORIGINAL</t>
        </is>
      </c>
      <c r="BD359" t="n">
        <v>350</v>
      </c>
      <c r="BF359" s="109">
        <f>IF($BD359="","",SUMIF($BD$6:$BD$2000,$BD359,$J$6:$J$2000))</f>
        <v/>
      </c>
    </row>
    <row r="360" ht="19.5" customHeight="1">
      <c r="A360" s="96" t="inlineStr">
        <is>
          <t>PENDENTE</t>
        </is>
      </c>
      <c r="B360" s="26" t="inlineStr">
        <is>
          <t>RIACHUELO</t>
        </is>
      </c>
      <c r="C360" s="27" t="n">
        <v>424</v>
      </c>
      <c r="D360" s="26" t="inlineStr">
        <is>
          <t>F 424 - BR PARK SH CARTER'S</t>
        </is>
      </c>
      <c r="E360" s="26" t="inlineStr">
        <is>
          <t>BRASILIA</t>
        </is>
      </c>
      <c r="F360" s="27" t="inlineStr">
        <is>
          <t>DF</t>
        </is>
      </c>
      <c r="G360" s="107" t="n">
        <v>46419</v>
      </c>
      <c r="H360" s="108">
        <f>IF($B360="","",SUM($K360:$AG360)+SUM($AS360:$BB360))</f>
        <v/>
      </c>
      <c r="I360" s="108">
        <f>IF($B360="","",SUM($AH360:$AL360))</f>
        <v/>
      </c>
      <c r="J360" s="109">
        <f>IF($B360="","",SUMPRODUCT($K360:$BB360,$K$2:$BB$2))</f>
        <v/>
      </c>
      <c r="K360" s="110" t="n"/>
      <c r="L360" s="110" t="n"/>
      <c r="M360" s="110" t="n"/>
      <c r="N360" s="110" t="n"/>
      <c r="O360" s="110" t="n"/>
      <c r="P360" s="110" t="n"/>
      <c r="Q360" s="110" t="n"/>
      <c r="R360" s="110" t="n"/>
      <c r="S360" s="110" t="n"/>
      <c r="T360" s="110" t="n">
        <v>4</v>
      </c>
      <c r="U360" s="110" t="n"/>
      <c r="V360" s="110" t="n"/>
      <c r="W360" s="110" t="n"/>
      <c r="X360" s="110" t="n"/>
      <c r="Y360" s="110" t="n"/>
      <c r="Z360" s="110" t="n"/>
      <c r="AA360" s="110" t="n"/>
      <c r="AB360" s="110" t="n"/>
      <c r="AC360" s="110" t="n"/>
      <c r="AD360" s="110" t="n"/>
      <c r="AE360" s="110" t="n"/>
      <c r="AF360" s="110" t="n"/>
      <c r="AG360" s="110" t="n"/>
      <c r="AH360" s="110" t="n"/>
      <c r="AI360" s="110" t="n"/>
      <c r="AJ360" s="110" t="n"/>
      <c r="AK360" s="110" t="n"/>
      <c r="AL360" s="110" t="n"/>
      <c r="AM360" s="110" t="n"/>
      <c r="AN360" s="110" t="n"/>
      <c r="AO360" s="110" t="n"/>
      <c r="AP360" s="110" t="n"/>
      <c r="AQ360" s="110" t="n"/>
      <c r="AR360" s="110" t="n"/>
      <c r="AS360" s="110" t="n"/>
      <c r="AT360" s="110" t="n"/>
      <c r="AU360" s="110" t="n"/>
      <c r="AV360" s="110" t="n"/>
      <c r="AW360" s="110" t="n"/>
      <c r="AX360" s="110" t="n"/>
      <c r="AY360" s="110" t="n"/>
      <c r="AZ360" s="110" t="n"/>
      <c r="BA360" s="110" t="n"/>
      <c r="BB360" s="110" t="n"/>
      <c r="BC360" t="inlineStr">
        <is>
          <t>ORIGINAL</t>
        </is>
      </c>
      <c r="BD360" t="n">
        <v>351</v>
      </c>
      <c r="BF360" s="109">
        <f>IF($BD360="","",SUMIF($BD$6:$BD$2000,$BD360,$J$6:$J$2000))</f>
        <v/>
      </c>
    </row>
    <row r="361" ht="19.5" customHeight="1">
      <c r="A361" s="96" t="inlineStr">
        <is>
          <t>PENDENTE</t>
        </is>
      </c>
      <c r="B361" s="26" t="inlineStr">
        <is>
          <t>RIACHUELO</t>
        </is>
      </c>
      <c r="C361" s="27" t="n">
        <v>425</v>
      </c>
      <c r="D361" s="26" t="inlineStr">
        <is>
          <t>CURITIBA PARK BARIGUI</t>
        </is>
      </c>
      <c r="E361" s="26" t="inlineStr">
        <is>
          <t>CURITIBA</t>
        </is>
      </c>
      <c r="F361" s="27" t="inlineStr">
        <is>
          <t>PR</t>
        </is>
      </c>
      <c r="G361" s="107" t="n">
        <v>46054</v>
      </c>
      <c r="H361" s="108">
        <f>IF($B361="","",SUM($K361:$AG361)+SUM($AS361:$BB361))</f>
        <v/>
      </c>
      <c r="I361" s="108">
        <f>IF($B361="","",SUM($AH361:$AL361))</f>
        <v/>
      </c>
      <c r="J361" s="109">
        <f>IF($B361="","",SUMPRODUCT($K361:$BB361,$K$2:$BB$2))</f>
        <v/>
      </c>
      <c r="K361" s="110" t="n">
        <v>2</v>
      </c>
      <c r="L361" s="110" t="n"/>
      <c r="M361" s="110" t="n">
        <v>1</v>
      </c>
      <c r="N361" s="110" t="n"/>
      <c r="O361" s="110" t="n"/>
      <c r="P361" s="110" t="n"/>
      <c r="Q361" s="110" t="n"/>
      <c r="R361" s="110" t="n"/>
      <c r="S361" s="110" t="n"/>
      <c r="T361" s="110" t="n"/>
      <c r="U361" s="110" t="n"/>
      <c r="V361" s="110" t="n"/>
      <c r="W361" s="110" t="n"/>
      <c r="X361" s="110" t="n"/>
      <c r="Y361" s="110" t="n"/>
      <c r="Z361" s="110" t="n"/>
      <c r="AA361" s="110" t="n">
        <v>2</v>
      </c>
      <c r="AB361" s="110" t="n"/>
      <c r="AC361" s="110" t="n"/>
      <c r="AD361" s="110" t="n"/>
      <c r="AE361" s="110" t="n"/>
      <c r="AF361" s="110" t="n"/>
      <c r="AG361" s="110" t="n"/>
      <c r="AH361" s="110" t="n"/>
      <c r="AI361" s="110" t="n"/>
      <c r="AJ361" s="110" t="n"/>
      <c r="AK361" s="110" t="n"/>
      <c r="AL361" s="110" t="n"/>
      <c r="AM361" s="110" t="n"/>
      <c r="AN361" s="110" t="n"/>
      <c r="AO361" s="110" t="n"/>
      <c r="AP361" s="110" t="n"/>
      <c r="AQ361" s="110" t="n"/>
      <c r="AR361" s="110" t="n"/>
      <c r="AS361" s="110" t="n"/>
      <c r="AT361" s="110" t="n"/>
      <c r="AU361" s="110" t="n"/>
      <c r="AV361" s="110" t="n"/>
      <c r="AW361" s="110" t="n"/>
      <c r="AX361" s="110" t="n"/>
      <c r="AY361" s="110" t="n"/>
      <c r="AZ361" s="110" t="n"/>
      <c r="BA361" s="110" t="n"/>
      <c r="BB361" s="110" t="n"/>
      <c r="BC361" t="inlineStr">
        <is>
          <t>ORIGINAL</t>
        </is>
      </c>
      <c r="BD361" t="n">
        <v>352</v>
      </c>
      <c r="BF361" s="109">
        <f>IF($BD361="","",SUMIF($BD$6:$BD$2000,$BD361,$J$6:$J$2000))</f>
        <v/>
      </c>
    </row>
    <row r="362" ht="19.5" customHeight="1">
      <c r="A362" s="96" t="inlineStr">
        <is>
          <t>PENDENTE</t>
        </is>
      </c>
      <c r="B362" s="26" t="inlineStr">
        <is>
          <t>RIACHUELO</t>
        </is>
      </c>
      <c r="C362" s="27" t="n">
        <v>426</v>
      </c>
      <c r="D362" s="26" t="inlineStr">
        <is>
          <t>F 426 - PA BELÉM BOULEVARD SH</t>
        </is>
      </c>
      <c r="E362" s="26" t="inlineStr">
        <is>
          <t>BELÉM</t>
        </is>
      </c>
      <c r="F362" s="27" t="inlineStr">
        <is>
          <t>PA</t>
        </is>
      </c>
      <c r="G362" s="107" t="n">
        <v>46296</v>
      </c>
      <c r="H362" s="108">
        <f>IF($B362="","",SUM($K362:$AG362)+SUM($AS362:$BB362))</f>
        <v/>
      </c>
      <c r="I362" s="108">
        <f>IF($B362="","",SUM($AH362:$AL362))</f>
        <v/>
      </c>
      <c r="J362" s="109">
        <f>IF($B362="","",SUMPRODUCT($K362:$BB362,$K$2:$BB$2))</f>
        <v/>
      </c>
      <c r="K362" s="110" t="n">
        <v>2</v>
      </c>
      <c r="L362" s="110" t="n"/>
      <c r="M362" s="110" t="n"/>
      <c r="N362" s="110" t="n"/>
      <c r="O362" s="110" t="n"/>
      <c r="P362" s="110" t="n"/>
      <c r="Q362" s="110" t="n"/>
      <c r="R362" s="110" t="n"/>
      <c r="S362" s="110" t="n"/>
      <c r="T362" s="110" t="n"/>
      <c r="U362" s="110" t="n"/>
      <c r="V362" s="110" t="n"/>
      <c r="W362" s="110" t="n"/>
      <c r="X362" s="110" t="n"/>
      <c r="Y362" s="110" t="n"/>
      <c r="Z362" s="110" t="n"/>
      <c r="AA362" s="110" t="n">
        <v>2</v>
      </c>
      <c r="AB362" s="110" t="n"/>
      <c r="AC362" s="110" t="n"/>
      <c r="AD362" s="110" t="n"/>
      <c r="AE362" s="110" t="n"/>
      <c r="AF362" s="110" t="n"/>
      <c r="AG362" s="110" t="n"/>
      <c r="AH362" s="110" t="n"/>
      <c r="AI362" s="110" t="n"/>
      <c r="AJ362" s="110" t="n"/>
      <c r="AK362" s="110" t="n"/>
      <c r="AL362" s="110" t="n"/>
      <c r="AM362" s="110" t="n"/>
      <c r="AN362" s="110" t="n"/>
      <c r="AO362" s="110" t="n"/>
      <c r="AP362" s="110" t="n"/>
      <c r="AQ362" s="110" t="n"/>
      <c r="AR362" s="110" t="n"/>
      <c r="AS362" s="110" t="n"/>
      <c r="AT362" s="110" t="n"/>
      <c r="AU362" s="110" t="n"/>
      <c r="AV362" s="110" t="n"/>
      <c r="AW362" s="110" t="n"/>
      <c r="AX362" s="110" t="n"/>
      <c r="AY362" s="110" t="n"/>
      <c r="AZ362" s="110" t="n"/>
      <c r="BA362" s="110" t="n"/>
      <c r="BB362" s="110" t="n"/>
      <c r="BC362" t="inlineStr">
        <is>
          <t>ORIGINAL</t>
        </is>
      </c>
      <c r="BD362" t="n">
        <v>353</v>
      </c>
      <c r="BF362" s="109">
        <f>IF($BD362="","",SUMIF($BD$6:$BD$2000,$BD362,$J$6:$J$2000))</f>
        <v/>
      </c>
    </row>
    <row r="363" ht="19.5" customHeight="1">
      <c r="A363" s="96" t="inlineStr">
        <is>
          <t>PENDENTE</t>
        </is>
      </c>
      <c r="B363" s="26" t="inlineStr">
        <is>
          <t>RIACHUELO</t>
        </is>
      </c>
      <c r="C363" s="27" t="n">
        <v>427</v>
      </c>
      <c r="D363" s="26" t="inlineStr">
        <is>
          <t>F 427 -  MA MANAUS MANAUARA SH CASA</t>
        </is>
      </c>
      <c r="E363" s="26" t="inlineStr">
        <is>
          <t>MANAUS</t>
        </is>
      </c>
      <c r="F363" s="27" t="inlineStr">
        <is>
          <t>AM</t>
        </is>
      </c>
      <c r="G363" s="107" t="n">
        <v>46388</v>
      </c>
      <c r="H363" s="108">
        <f>IF($B363="","",SUM($K363:$AG363)+SUM($AS363:$BB363))</f>
        <v/>
      </c>
      <c r="I363" s="108">
        <f>IF($B363="","",SUM($AH363:$AL363))</f>
        <v/>
      </c>
      <c r="J363" s="109">
        <f>IF($B363="","",SUMPRODUCT($K363:$BB363,$K$2:$BB$2))</f>
        <v/>
      </c>
      <c r="K363" s="110" t="n">
        <v>2</v>
      </c>
      <c r="L363" s="110" t="n"/>
      <c r="M363" s="110" t="n"/>
      <c r="N363" s="110" t="n"/>
      <c r="O363" s="110" t="n"/>
      <c r="P363" s="110" t="n"/>
      <c r="Q363" s="110" t="n"/>
      <c r="R363" s="110" t="n"/>
      <c r="S363" s="110" t="n"/>
      <c r="T363" s="110" t="n"/>
      <c r="U363" s="110" t="n"/>
      <c r="V363" s="110" t="n"/>
      <c r="W363" s="110" t="n"/>
      <c r="X363" s="110" t="n"/>
      <c r="Y363" s="110" t="n"/>
      <c r="Z363" s="110" t="n"/>
      <c r="AA363" s="110" t="n">
        <v>2</v>
      </c>
      <c r="AB363" s="110" t="n"/>
      <c r="AC363" s="110" t="n"/>
      <c r="AD363" s="110" t="n"/>
      <c r="AE363" s="110" t="n"/>
      <c r="AF363" s="110" t="n"/>
      <c r="AG363" s="110" t="n"/>
      <c r="AH363" s="110" t="n">
        <v>2</v>
      </c>
      <c r="AI363" s="110" t="n"/>
      <c r="AJ363" s="110" t="n"/>
      <c r="AK363" s="110" t="n"/>
      <c r="AL363" s="110" t="n"/>
      <c r="AM363" s="110" t="n"/>
      <c r="AN363" s="110" t="n"/>
      <c r="AO363" s="110" t="n"/>
      <c r="AP363" s="110" t="n"/>
      <c r="AQ363" s="110" t="n"/>
      <c r="AR363" s="110" t="n"/>
      <c r="AS363" s="110" t="n"/>
      <c r="AT363" s="110" t="n"/>
      <c r="AU363" s="110" t="n"/>
      <c r="AV363" s="110" t="n"/>
      <c r="AW363" s="110" t="n"/>
      <c r="AX363" s="110" t="n"/>
      <c r="AY363" s="110" t="n"/>
      <c r="AZ363" s="110" t="n"/>
      <c r="BA363" s="110" t="n"/>
      <c r="BB363" s="110" t="n"/>
      <c r="BC363" t="inlineStr">
        <is>
          <t>ORIGINAL</t>
        </is>
      </c>
      <c r="BD363" t="n">
        <v>354</v>
      </c>
      <c r="BF363" s="109">
        <f>IF($BD363="","",SUMIF($BD$6:$BD$2000,$BD363,$J$6:$J$2000))</f>
        <v/>
      </c>
    </row>
    <row r="364" ht="19.5" customHeight="1">
      <c r="A364" s="96" t="inlineStr">
        <is>
          <t>PENDENTE</t>
        </is>
      </c>
      <c r="B364" s="26" t="inlineStr">
        <is>
          <t>RIACHUELO</t>
        </is>
      </c>
      <c r="C364" s="27" t="n">
        <v>430</v>
      </c>
      <c r="D364" s="26" t="inlineStr">
        <is>
          <t>F 430 - SP OSCAR FREIRE</t>
        </is>
      </c>
      <c r="E364" s="26" t="inlineStr">
        <is>
          <t>SÃO PAULO</t>
        </is>
      </c>
      <c r="F364" s="27" t="inlineStr">
        <is>
          <t>SP</t>
        </is>
      </c>
      <c r="G364" s="107" t="n">
        <v>46296</v>
      </c>
      <c r="H364" s="108">
        <f>IF($B364="","",SUM($K364:$AG364)+SUM($AS364:$BB364))</f>
        <v/>
      </c>
      <c r="I364" s="108">
        <f>IF($B364="","",SUM($AH364:$AL364))</f>
        <v/>
      </c>
      <c r="J364" s="109">
        <f>IF($B364="","",SUMPRODUCT($K364:$BB364,$K$2:$BB$2))</f>
        <v/>
      </c>
      <c r="K364" s="110" t="n">
        <v>6</v>
      </c>
      <c r="L364" s="110" t="n"/>
      <c r="M364" s="110" t="n"/>
      <c r="N364" s="110" t="n">
        <v>3</v>
      </c>
      <c r="O364" s="110" t="n"/>
      <c r="P364" s="110" t="n"/>
      <c r="Q364" s="110" t="n"/>
      <c r="R364" s="110" t="n"/>
      <c r="S364" s="110" t="n"/>
      <c r="T364" s="110" t="n"/>
      <c r="U364" s="110" t="n"/>
      <c r="V364" s="110" t="n"/>
      <c r="W364" s="110" t="n"/>
      <c r="X364" s="110" t="n"/>
      <c r="Y364" s="110" t="n"/>
      <c r="Z364" s="110" t="n"/>
      <c r="AA364" s="110" t="n">
        <v>1</v>
      </c>
      <c r="AB364" s="110" t="n"/>
      <c r="AC364" s="110" t="n"/>
      <c r="AD364" s="110" t="n"/>
      <c r="AE364" s="110" t="n"/>
      <c r="AF364" s="110" t="n"/>
      <c r="AG364" s="110" t="n"/>
      <c r="AH364" s="110" t="n"/>
      <c r="AI364" s="110" t="n"/>
      <c r="AJ364" s="110" t="n"/>
      <c r="AK364" s="110" t="n"/>
      <c r="AL364" s="110" t="n"/>
      <c r="AM364" s="110" t="n"/>
      <c r="AN364" s="110" t="n"/>
      <c r="AO364" s="110" t="n"/>
      <c r="AP364" s="110" t="n"/>
      <c r="AQ364" s="110" t="n"/>
      <c r="AR364" s="110" t="n"/>
      <c r="AS364" s="110" t="n"/>
      <c r="AT364" s="110" t="n"/>
      <c r="AU364" s="110" t="n"/>
      <c r="AV364" s="110" t="n"/>
      <c r="AW364" s="110" t="n"/>
      <c r="AX364" s="110" t="n"/>
      <c r="AY364" s="110" t="n"/>
      <c r="AZ364" s="110" t="n"/>
      <c r="BA364" s="110" t="n"/>
      <c r="BB364" s="110" t="n"/>
      <c r="BC364" t="inlineStr">
        <is>
          <t>ORIGINAL</t>
        </is>
      </c>
      <c r="BD364" t="n">
        <v>355</v>
      </c>
      <c r="BF364" s="109">
        <f>IF($BD364="","",SUMIF($BD$6:$BD$2000,$BD364,$J$6:$J$2000))</f>
        <v/>
      </c>
    </row>
    <row r="365" ht="19.5" customHeight="1">
      <c r="A365" s="96" t="inlineStr">
        <is>
          <t>PENDENTE</t>
        </is>
      </c>
      <c r="B365" s="26" t="inlineStr">
        <is>
          <t>RIACHUELO</t>
        </is>
      </c>
      <c r="C365" s="27" t="n">
        <v>432</v>
      </c>
      <c r="D365" s="26" t="inlineStr">
        <is>
          <t>F 432 - SC FLORIANÓPOLIS IGUATEMI CARTER'S</t>
        </is>
      </c>
      <c r="E365" s="26" t="inlineStr">
        <is>
          <t>FLORIANOPOLIS</t>
        </is>
      </c>
      <c r="F365" s="27" t="inlineStr">
        <is>
          <t>SC</t>
        </is>
      </c>
      <c r="G365" s="107" t="n">
        <v>46296</v>
      </c>
      <c r="H365" s="108">
        <f>IF($B365="","",SUM($K365:$AG365)+SUM($AS365:$BB365))</f>
        <v/>
      </c>
      <c r="I365" s="108">
        <f>IF($B365="","",SUM($AH365:$AL365))</f>
        <v/>
      </c>
      <c r="J365" s="109">
        <f>IF($B365="","",SUMPRODUCT($K365:$BB365,$K$2:$BB$2))</f>
        <v/>
      </c>
      <c r="K365" s="110" t="n">
        <v>2</v>
      </c>
      <c r="L365" s="110" t="n"/>
      <c r="M365" s="110" t="n"/>
      <c r="N365" s="110" t="n"/>
      <c r="O365" s="110" t="n"/>
      <c r="P365" s="110" t="n"/>
      <c r="Q365" s="110" t="n"/>
      <c r="R365" s="110" t="n"/>
      <c r="S365" s="110" t="n"/>
      <c r="T365" s="110" t="n"/>
      <c r="U365" s="110" t="n"/>
      <c r="V365" s="110" t="n"/>
      <c r="W365" s="110" t="n"/>
      <c r="X365" s="110" t="n"/>
      <c r="Y365" s="110" t="n"/>
      <c r="Z365" s="110" t="n"/>
      <c r="AA365" s="110" t="n">
        <v>2</v>
      </c>
      <c r="AB365" s="110" t="n"/>
      <c r="AC365" s="110" t="n"/>
      <c r="AD365" s="110" t="n"/>
      <c r="AE365" s="110" t="n"/>
      <c r="AF365" s="110" t="n"/>
      <c r="AG365" s="110" t="n"/>
      <c r="AH365" s="110" t="n"/>
      <c r="AI365" s="110" t="n"/>
      <c r="AJ365" s="110" t="n"/>
      <c r="AK365" s="110" t="n"/>
      <c r="AL365" s="110" t="n"/>
      <c r="AM365" s="110" t="n"/>
      <c r="AN365" s="110" t="n"/>
      <c r="AO365" s="110" t="n"/>
      <c r="AP365" s="110" t="n"/>
      <c r="AQ365" s="110" t="n"/>
      <c r="AR365" s="110" t="n"/>
      <c r="AS365" s="110" t="n"/>
      <c r="AT365" s="110" t="n"/>
      <c r="AU365" s="110" t="n"/>
      <c r="AV365" s="110" t="n"/>
      <c r="AW365" s="110" t="n"/>
      <c r="AX365" s="110" t="n"/>
      <c r="AY365" s="110" t="n"/>
      <c r="AZ365" s="110" t="n"/>
      <c r="BA365" s="110" t="n"/>
      <c r="BB365" s="110" t="n"/>
      <c r="BC365" t="inlineStr">
        <is>
          <t>ORIGINAL</t>
        </is>
      </c>
      <c r="BD365" t="n">
        <v>356</v>
      </c>
      <c r="BF365" s="109">
        <f>IF($BD365="","",SUMIF($BD$6:$BD$2000,$BD365,$J$6:$J$2000))</f>
        <v/>
      </c>
    </row>
    <row r="366" ht="19.5" customHeight="1">
      <c r="A366" s="96" t="inlineStr">
        <is>
          <t>PENDENTE</t>
        </is>
      </c>
      <c r="B366" s="26" t="inlineStr">
        <is>
          <t>RIACHUELO</t>
        </is>
      </c>
      <c r="C366" s="27" t="n">
        <v>433</v>
      </c>
      <c r="D366" s="26" t="inlineStr">
        <is>
          <t>MOOCA PLAZA SH CARTERS</t>
        </is>
      </c>
      <c r="E366" s="26" t="inlineStr">
        <is>
          <t>SÃO PAULO</t>
        </is>
      </c>
      <c r="F366" s="27" t="inlineStr">
        <is>
          <t>SP</t>
        </is>
      </c>
      <c r="G366" s="107" t="n">
        <v>46204</v>
      </c>
      <c r="H366" s="108">
        <f>IF($B366="","",SUM($K366:$AG366)+SUM($AS366:$BB366))</f>
        <v/>
      </c>
      <c r="I366" s="108">
        <f>IF($B366="","",SUM($AH366:$AL366))</f>
        <v/>
      </c>
      <c r="J366" s="109">
        <f>IF($B366="","",SUMPRODUCT($K366:$BB366,$K$2:$BB$2))</f>
        <v/>
      </c>
      <c r="K366" s="110" t="n">
        <v>2</v>
      </c>
      <c r="L366" s="110" t="n"/>
      <c r="M366" s="110" t="n">
        <v>2</v>
      </c>
      <c r="N366" s="110" t="n"/>
      <c r="O366" s="110" t="n"/>
      <c r="P366" s="110" t="n"/>
      <c r="Q366" s="110" t="n"/>
      <c r="R366" s="110" t="n"/>
      <c r="S366" s="110" t="n"/>
      <c r="T366" s="110" t="n"/>
      <c r="U366" s="110" t="n"/>
      <c r="V366" s="110" t="n"/>
      <c r="W366" s="110" t="n"/>
      <c r="X366" s="110" t="n"/>
      <c r="Y366" s="110" t="n"/>
      <c r="Z366" s="110" t="n"/>
      <c r="AA366" s="110" t="n">
        <v>1</v>
      </c>
      <c r="AB366" s="110" t="n"/>
      <c r="AC366" s="110" t="n"/>
      <c r="AD366" s="110" t="n"/>
      <c r="AE366" s="110" t="n"/>
      <c r="AF366" s="110" t="n"/>
      <c r="AG366" s="110" t="n"/>
      <c r="AH366" s="110" t="n"/>
      <c r="AI366" s="110" t="n"/>
      <c r="AJ366" s="110" t="n"/>
      <c r="AK366" s="110" t="n"/>
      <c r="AL366" s="110" t="n"/>
      <c r="AM366" s="110" t="n"/>
      <c r="AN366" s="110" t="n"/>
      <c r="AO366" s="110" t="n"/>
      <c r="AP366" s="110" t="n"/>
      <c r="AQ366" s="110" t="n"/>
      <c r="AR366" s="110" t="n"/>
      <c r="AS366" s="110" t="n"/>
      <c r="AT366" s="110" t="n"/>
      <c r="AU366" s="110" t="n"/>
      <c r="AV366" s="110" t="n"/>
      <c r="AW366" s="110" t="n"/>
      <c r="AX366" s="110" t="n"/>
      <c r="AY366" s="110" t="n"/>
      <c r="AZ366" s="110" t="n"/>
      <c r="BA366" s="110" t="n"/>
      <c r="BB366" s="110" t="n"/>
      <c r="BC366" t="inlineStr">
        <is>
          <t>ORIGINAL</t>
        </is>
      </c>
      <c r="BD366" t="n">
        <v>357</v>
      </c>
      <c r="BF366" s="109">
        <f>IF($BD366="","",SUMIF($BD$6:$BD$2000,$BD366,$J$6:$J$2000))</f>
        <v/>
      </c>
    </row>
    <row r="367" ht="19.5" customHeight="1">
      <c r="A367" s="96" t="inlineStr">
        <is>
          <t>PENDENTE</t>
        </is>
      </c>
      <c r="B367" s="26" t="inlineStr">
        <is>
          <t>RIACHUELO</t>
        </is>
      </c>
      <c r="C367" s="27" t="n">
        <v>434</v>
      </c>
      <c r="D367" s="26" t="inlineStr">
        <is>
          <t>RN NATAL SALVADOR SH CARTERS</t>
        </is>
      </c>
      <c r="E367" s="26" t="inlineStr">
        <is>
          <t>SALVADOR</t>
        </is>
      </c>
      <c r="F367" s="27" t="inlineStr">
        <is>
          <t>BA</t>
        </is>
      </c>
      <c r="G367" s="107" t="n">
        <v>46143</v>
      </c>
      <c r="H367" s="108">
        <f>IF($B367="","",SUM($K367:$AG367)+SUM($AS367:$BB367))</f>
        <v/>
      </c>
      <c r="I367" s="108">
        <f>IF($B367="","",SUM($AH367:$AL367))</f>
        <v/>
      </c>
      <c r="J367" s="109">
        <f>IF($B367="","",SUMPRODUCT($K367:$BB367,$K$2:$BB$2))</f>
        <v/>
      </c>
      <c r="K367" s="110" t="n"/>
      <c r="L367" s="110" t="n"/>
      <c r="M367" s="110" t="n"/>
      <c r="N367" s="110" t="n">
        <v>1</v>
      </c>
      <c r="O367" s="110" t="n"/>
      <c r="P367" s="110" t="n"/>
      <c r="Q367" s="110" t="n"/>
      <c r="R367" s="110" t="n"/>
      <c r="S367" s="110" t="n"/>
      <c r="T367" s="110" t="n"/>
      <c r="U367" s="110" t="n">
        <v>1</v>
      </c>
      <c r="V367" s="110" t="n"/>
      <c r="W367" s="110" t="n"/>
      <c r="X367" s="110" t="n"/>
      <c r="Y367" s="110" t="n"/>
      <c r="Z367" s="110" t="n"/>
      <c r="AA367" s="110" t="n"/>
      <c r="AB367" s="110" t="n"/>
      <c r="AC367" s="110" t="n"/>
      <c r="AD367" s="110" t="n"/>
      <c r="AE367" s="110" t="n"/>
      <c r="AF367" s="110" t="n"/>
      <c r="AG367" s="110" t="n"/>
      <c r="AH367" s="110" t="n"/>
      <c r="AI367" s="110" t="n"/>
      <c r="AJ367" s="110" t="n"/>
      <c r="AK367" s="110" t="n"/>
      <c r="AL367" s="110" t="n"/>
      <c r="AM367" s="110" t="n"/>
      <c r="AN367" s="110" t="n"/>
      <c r="AO367" s="110" t="n"/>
      <c r="AP367" s="110" t="n"/>
      <c r="AQ367" s="110" t="n"/>
      <c r="AR367" s="110" t="n"/>
      <c r="AS367" s="110" t="n"/>
      <c r="AT367" s="110" t="n"/>
      <c r="AU367" s="110" t="n"/>
      <c r="AV367" s="110" t="n"/>
      <c r="AW367" s="110" t="n"/>
      <c r="AX367" s="110" t="n"/>
      <c r="AY367" s="110" t="n"/>
      <c r="AZ367" s="110" t="n"/>
      <c r="BA367" s="110" t="n"/>
      <c r="BB367" s="110" t="n"/>
      <c r="BC367" t="inlineStr">
        <is>
          <t>ORIGINAL</t>
        </is>
      </c>
      <c r="BD367" t="n">
        <v>358</v>
      </c>
      <c r="BF367" s="109">
        <f>IF($BD367="","",SUMIF($BD$6:$BD$2000,$BD367,$J$6:$J$2000))</f>
        <v/>
      </c>
    </row>
    <row r="368" ht="19.5" customHeight="1">
      <c r="A368" s="96" t="inlineStr">
        <is>
          <t>PENDENTE</t>
        </is>
      </c>
      <c r="B368" s="26" t="inlineStr">
        <is>
          <t>RIACHUELO</t>
        </is>
      </c>
      <c r="C368" s="27" t="n">
        <v>435</v>
      </c>
      <c r="D368" s="26" t="inlineStr">
        <is>
          <t>F 435 - MA SÃO LUIS ILHA SH CARTER'S</t>
        </is>
      </c>
      <c r="E368" s="26" t="inlineStr">
        <is>
          <t>SÃO LUÍS</t>
        </is>
      </c>
      <c r="F368" s="27" t="inlineStr">
        <is>
          <t>MA</t>
        </is>
      </c>
      <c r="G368" s="107" t="n">
        <v>46235</v>
      </c>
      <c r="H368" s="108">
        <f>IF($B368="","",SUM($K368:$AG368)+SUM($AS368:$BB368))</f>
        <v/>
      </c>
      <c r="I368" s="108">
        <f>IF($B368="","",SUM($AH368:$AL368))</f>
        <v/>
      </c>
      <c r="J368" s="109">
        <f>IF($B368="","",SUMPRODUCT($K368:$BB368,$K$2:$BB$2))</f>
        <v/>
      </c>
      <c r="K368" s="110" t="n">
        <v>2</v>
      </c>
      <c r="L368" s="110" t="n"/>
      <c r="M368" s="110" t="n"/>
      <c r="N368" s="110" t="n"/>
      <c r="O368" s="110" t="n"/>
      <c r="P368" s="110" t="n"/>
      <c r="Q368" s="110" t="n"/>
      <c r="R368" s="110" t="n"/>
      <c r="S368" s="110" t="n"/>
      <c r="T368" s="110" t="n"/>
      <c r="U368" s="110" t="n"/>
      <c r="V368" s="110" t="n"/>
      <c r="W368" s="110" t="n"/>
      <c r="X368" s="110" t="n"/>
      <c r="Y368" s="110" t="n"/>
      <c r="Z368" s="110" t="n"/>
      <c r="AA368" s="110" t="n">
        <v>2</v>
      </c>
      <c r="AB368" s="110" t="n"/>
      <c r="AC368" s="110" t="n"/>
      <c r="AD368" s="110" t="n"/>
      <c r="AE368" s="110" t="n"/>
      <c r="AF368" s="110" t="n"/>
      <c r="AG368" s="110" t="n"/>
      <c r="AH368" s="110" t="n"/>
      <c r="AI368" s="110" t="n"/>
      <c r="AJ368" s="110" t="n"/>
      <c r="AK368" s="110" t="n"/>
      <c r="AL368" s="110" t="n"/>
      <c r="AM368" s="110" t="n"/>
      <c r="AN368" s="110" t="n"/>
      <c r="AO368" s="110" t="n"/>
      <c r="AP368" s="110" t="n"/>
      <c r="AQ368" s="110" t="n"/>
      <c r="AR368" s="110" t="n"/>
      <c r="AS368" s="110" t="n"/>
      <c r="AT368" s="110" t="n"/>
      <c r="AU368" s="110" t="n"/>
      <c r="AV368" s="110" t="n"/>
      <c r="AW368" s="110" t="n"/>
      <c r="AX368" s="110" t="n"/>
      <c r="AY368" s="110" t="n"/>
      <c r="AZ368" s="110" t="n"/>
      <c r="BA368" s="110" t="n"/>
      <c r="BB368" s="110" t="n"/>
      <c r="BC368" t="inlineStr">
        <is>
          <t>ORIGINAL</t>
        </is>
      </c>
      <c r="BD368" t="n">
        <v>359</v>
      </c>
      <c r="BF368" s="109">
        <f>IF($BD368="","",SUMIF($BD$6:$BD$2000,$BD368,$J$6:$J$2000))</f>
        <v/>
      </c>
    </row>
    <row r="369" ht="19.5" customHeight="1">
      <c r="A369" s="96" t="inlineStr">
        <is>
          <t>PENDENTE</t>
        </is>
      </c>
      <c r="B369" s="26" t="inlineStr">
        <is>
          <t>RIACHUELO</t>
        </is>
      </c>
      <c r="C369" s="27" t="n">
        <v>436</v>
      </c>
      <c r="D369" s="26" t="inlineStr">
        <is>
          <t>F 436- PE RECIFE SH CARTER'S</t>
        </is>
      </c>
      <c r="E369" s="26" t="inlineStr">
        <is>
          <t>RECIFE</t>
        </is>
      </c>
      <c r="F369" s="27" t="inlineStr">
        <is>
          <t>PE</t>
        </is>
      </c>
      <c r="G369" s="107" t="n">
        <v>46203</v>
      </c>
      <c r="H369" s="108">
        <f>IF($B369="","",SUM($K369:$AG369)+SUM($AS369:$BB369))</f>
        <v/>
      </c>
      <c r="I369" s="108">
        <f>IF($B369="","",SUM($AH369:$AL369))</f>
        <v/>
      </c>
      <c r="J369" s="109">
        <f>IF($B369="","",SUMPRODUCT($K369:$BB369,$K$2:$BB$2))</f>
        <v/>
      </c>
      <c r="K369" s="110" t="n">
        <v>1</v>
      </c>
      <c r="L369" s="110" t="n"/>
      <c r="M369" s="110" t="n"/>
      <c r="N369" s="110" t="n"/>
      <c r="O369" s="110" t="n"/>
      <c r="P369" s="110" t="n"/>
      <c r="Q369" s="110" t="n"/>
      <c r="R369" s="110" t="n"/>
      <c r="S369" s="110" t="n"/>
      <c r="T369" s="110" t="n"/>
      <c r="U369" s="110" t="n"/>
      <c r="V369" s="110" t="n"/>
      <c r="W369" s="110" t="n"/>
      <c r="X369" s="110" t="n"/>
      <c r="Y369" s="110" t="n"/>
      <c r="Z369" s="110" t="n"/>
      <c r="AA369" s="110" t="n">
        <v>3</v>
      </c>
      <c r="AB369" s="110" t="n"/>
      <c r="AC369" s="110" t="n"/>
      <c r="AD369" s="110" t="n"/>
      <c r="AE369" s="110" t="n"/>
      <c r="AF369" s="110" t="n"/>
      <c r="AG369" s="110" t="n"/>
      <c r="AH369" s="110" t="n"/>
      <c r="AI369" s="110" t="n"/>
      <c r="AJ369" s="110" t="n"/>
      <c r="AK369" s="110" t="n"/>
      <c r="AL369" s="110" t="n"/>
      <c r="AM369" s="110" t="n"/>
      <c r="AN369" s="110" t="n"/>
      <c r="AO369" s="110" t="n"/>
      <c r="AP369" s="110" t="n"/>
      <c r="AQ369" s="110" t="n"/>
      <c r="AR369" s="110" t="n"/>
      <c r="AS369" s="110" t="n"/>
      <c r="AT369" s="110" t="n"/>
      <c r="AU369" s="110" t="n"/>
      <c r="AV369" s="110" t="n"/>
      <c r="AW369" s="110" t="n"/>
      <c r="AX369" s="110" t="n"/>
      <c r="AY369" s="110" t="n"/>
      <c r="AZ369" s="110" t="n"/>
      <c r="BA369" s="110" t="n"/>
      <c r="BB369" s="110" t="n"/>
      <c r="BC369" t="inlineStr">
        <is>
          <t>ORIGINAL</t>
        </is>
      </c>
      <c r="BD369" t="n">
        <v>360</v>
      </c>
      <c r="BF369" s="109">
        <f>IF($BD369="","",SUMIF($BD$6:$BD$2000,$BD369,$J$6:$J$2000))</f>
        <v/>
      </c>
    </row>
    <row r="370" ht="19.5" customHeight="1">
      <c r="A370" s="96" t="inlineStr">
        <is>
          <t>PENDENTE</t>
        </is>
      </c>
      <c r="B370" s="26" t="inlineStr">
        <is>
          <t>RIACHUELO</t>
        </is>
      </c>
      <c r="C370" s="27" t="n">
        <v>437</v>
      </c>
      <c r="D370" s="26" t="inlineStr">
        <is>
          <t>DIVINÓPOLIS PÁTIO SH</t>
        </is>
      </c>
      <c r="E370" s="26" t="inlineStr">
        <is>
          <t>DIVINOPOLIS</t>
        </is>
      </c>
      <c r="F370" s="27" t="inlineStr">
        <is>
          <t>MG</t>
        </is>
      </c>
      <c r="G370" s="107" t="n">
        <v>46388</v>
      </c>
      <c r="H370" s="108">
        <f>IF($B370="","",SUM($K370:$AG370)+SUM($AS370:$BB370))</f>
        <v/>
      </c>
      <c r="I370" s="108">
        <f>IF($B370="","",SUM($AH370:$AL370))</f>
        <v/>
      </c>
      <c r="J370" s="109">
        <f>IF($B370="","",SUMPRODUCT($K370:$BB370,$K$2:$BB$2))</f>
        <v/>
      </c>
      <c r="K370" s="110" t="n"/>
      <c r="L370" s="110" t="n"/>
      <c r="M370" s="110" t="n"/>
      <c r="N370" s="110" t="n"/>
      <c r="O370" s="110" t="n"/>
      <c r="P370" s="110" t="n"/>
      <c r="Q370" s="110" t="n"/>
      <c r="R370" s="110" t="n"/>
      <c r="S370" s="110" t="n"/>
      <c r="T370" s="110" t="n"/>
      <c r="U370" s="110" t="n">
        <v>18</v>
      </c>
      <c r="V370" s="110" t="n"/>
      <c r="W370" s="110" t="n"/>
      <c r="X370" s="110" t="n"/>
      <c r="Y370" s="110" t="n"/>
      <c r="Z370" s="110" t="n"/>
      <c r="AA370" s="110" t="n"/>
      <c r="AB370" s="110" t="n"/>
      <c r="AC370" s="110" t="n"/>
      <c r="AD370" s="110" t="n"/>
      <c r="AE370" s="110" t="n"/>
      <c r="AF370" s="110" t="n"/>
      <c r="AG370" s="110" t="n"/>
      <c r="AH370" s="110" t="n">
        <v>10</v>
      </c>
      <c r="AI370" s="110" t="n"/>
      <c r="AJ370" s="110" t="n"/>
      <c r="AK370" s="110" t="n"/>
      <c r="AL370" s="110" t="n"/>
      <c r="AM370" s="110" t="n"/>
      <c r="AN370" s="110" t="n"/>
      <c r="AO370" s="110" t="n"/>
      <c r="AP370" s="110" t="n"/>
      <c r="AQ370" s="110" t="n"/>
      <c r="AR370" s="110" t="n"/>
      <c r="AS370" s="110" t="n"/>
      <c r="AT370" s="110" t="n"/>
      <c r="AU370" s="110" t="n"/>
      <c r="AV370" s="110" t="n"/>
      <c r="AW370" s="110" t="n"/>
      <c r="AX370" s="110" t="n"/>
      <c r="AY370" s="110" t="n"/>
      <c r="AZ370" s="110" t="n"/>
      <c r="BA370" s="110" t="n"/>
      <c r="BB370" s="110" t="n"/>
      <c r="BC370" t="inlineStr">
        <is>
          <t>ORIGINAL</t>
        </is>
      </c>
      <c r="BD370" t="n">
        <v>361</v>
      </c>
      <c r="BF370" s="109">
        <f>IF($BD370="","",SUMIF($BD$6:$BD$2000,$BD370,$J$6:$J$2000))</f>
        <v/>
      </c>
    </row>
    <row r="371" ht="19.5" customHeight="1">
      <c r="A371" s="96" t="inlineStr">
        <is>
          <t>PENDENTE</t>
        </is>
      </c>
      <c r="B371" s="26" t="inlineStr">
        <is>
          <t>RIACHUELO</t>
        </is>
      </c>
      <c r="C371" s="27" t="n">
        <v>438</v>
      </c>
      <c r="D371" s="26" t="inlineStr">
        <is>
          <t>F 438 - CASA SP ANÁLIA FRANCO</t>
        </is>
      </c>
      <c r="E371" s="26" t="inlineStr">
        <is>
          <t>SÃO PAULO</t>
        </is>
      </c>
      <c r="F371" s="27" t="inlineStr">
        <is>
          <t>SP</t>
        </is>
      </c>
      <c r="G371" s="107" t="n">
        <v>46235</v>
      </c>
      <c r="H371" s="108">
        <f>IF($B371="","",SUM($K371:$AG371)+SUM($AS371:$BB371))</f>
        <v/>
      </c>
      <c r="I371" s="108">
        <f>IF($B371="","",SUM($AH371:$AL371))</f>
        <v/>
      </c>
      <c r="J371" s="109">
        <f>IF($B371="","",SUMPRODUCT($K371:$BB371,$K$2:$BB$2))</f>
        <v/>
      </c>
      <c r="K371" s="110" t="n">
        <v>4</v>
      </c>
      <c r="L371" s="110" t="n"/>
      <c r="M371" s="110" t="n">
        <v>1</v>
      </c>
      <c r="N371" s="110" t="n">
        <v>1</v>
      </c>
      <c r="O371" s="110" t="n"/>
      <c r="P371" s="110" t="n"/>
      <c r="Q371" s="110" t="n"/>
      <c r="R371" s="110" t="n"/>
      <c r="S371" s="110" t="n"/>
      <c r="T371" s="110" t="n"/>
      <c r="U371" s="110" t="n"/>
      <c r="V371" s="110" t="n"/>
      <c r="W371" s="110" t="n"/>
      <c r="X371" s="110" t="n"/>
      <c r="Y371" s="110" t="n"/>
      <c r="Z371" s="110" t="n"/>
      <c r="AA371" s="110" t="n">
        <v>6</v>
      </c>
      <c r="AB371" s="110" t="n"/>
      <c r="AC371" s="110" t="n"/>
      <c r="AD371" s="110" t="n"/>
      <c r="AE371" s="110" t="n"/>
      <c r="AF371" s="110" t="n"/>
      <c r="AG371" s="110" t="n"/>
      <c r="AH371" s="110" t="n"/>
      <c r="AI371" s="110" t="n"/>
      <c r="AJ371" s="110" t="n"/>
      <c r="AK371" s="110" t="n">
        <v>6</v>
      </c>
      <c r="AL371" s="110" t="n"/>
      <c r="AM371" s="110" t="n"/>
      <c r="AN371" s="110" t="n"/>
      <c r="AO371" s="110" t="n"/>
      <c r="AP371" s="110" t="n"/>
      <c r="AQ371" s="110" t="n"/>
      <c r="AR371" s="110" t="n"/>
      <c r="AS371" s="110" t="n"/>
      <c r="AT371" s="110" t="n"/>
      <c r="AU371" s="110" t="n"/>
      <c r="AV371" s="110" t="n"/>
      <c r="AW371" s="110" t="n"/>
      <c r="AX371" s="110" t="n"/>
      <c r="AY371" s="110" t="n"/>
      <c r="AZ371" s="110" t="n"/>
      <c r="BA371" s="110" t="n"/>
      <c r="BB371" s="110" t="n"/>
      <c r="BC371" t="inlineStr">
        <is>
          <t>ORIGINAL</t>
        </is>
      </c>
      <c r="BD371" t="n">
        <v>362</v>
      </c>
      <c r="BF371" s="109">
        <f>IF($BD371="","",SUMIF($BD$6:$BD$2000,$BD371,$J$6:$J$2000))</f>
        <v/>
      </c>
    </row>
    <row r="372" ht="19.5" customHeight="1">
      <c r="A372" s="96" t="inlineStr">
        <is>
          <t>PENDENTE</t>
        </is>
      </c>
      <c r="B372" s="26" t="inlineStr">
        <is>
          <t>RIACHUELO</t>
        </is>
      </c>
      <c r="C372" s="27" t="n">
        <v>310</v>
      </c>
      <c r="D372" s="26" t="inlineStr">
        <is>
          <t>OTAVIO ROCHA SH</t>
        </is>
      </c>
      <c r="E372" s="26" t="inlineStr">
        <is>
          <t>PORTO ALEGRE</t>
        </is>
      </c>
      <c r="F372" s="27" t="inlineStr">
        <is>
          <t>RS</t>
        </is>
      </c>
      <c r="G372" s="107" t="n">
        <v>46266</v>
      </c>
      <c r="H372" s="108">
        <f>IF($B372="","",SUM($K372:$AG372)+SUM($AS372:$BB372))</f>
        <v/>
      </c>
      <c r="I372" s="108">
        <f>IF($B372="","",SUM($AH372:$AL372))</f>
        <v/>
      </c>
      <c r="J372" s="109">
        <f>IF($B372="","",SUMPRODUCT($K372:$BB372,$K$2:$BB$2))</f>
        <v/>
      </c>
      <c r="K372" s="110" t="n"/>
      <c r="L372" s="110" t="n"/>
      <c r="M372" s="110" t="n"/>
      <c r="N372" s="110" t="n"/>
      <c r="O372" s="110" t="n"/>
      <c r="P372" s="110" t="n"/>
      <c r="Q372" s="110" t="n"/>
      <c r="R372" s="110" t="n"/>
      <c r="S372" s="110" t="n"/>
      <c r="T372" s="110" t="n">
        <v>5</v>
      </c>
      <c r="U372" s="110" t="n">
        <v>47</v>
      </c>
      <c r="V372" s="110" t="n">
        <v>3</v>
      </c>
      <c r="W372" s="110" t="n"/>
      <c r="X372" s="110" t="n"/>
      <c r="Y372" s="110" t="n"/>
      <c r="Z372" s="110" t="n"/>
      <c r="AA372" s="110" t="n"/>
      <c r="AB372" s="110" t="n"/>
      <c r="AC372" s="110" t="n"/>
      <c r="AD372" s="110" t="n"/>
      <c r="AE372" s="110" t="n"/>
      <c r="AF372" s="110" t="n"/>
      <c r="AG372" s="110" t="n"/>
      <c r="AH372" s="110" t="n">
        <v>30</v>
      </c>
      <c r="AI372" s="110" t="n"/>
      <c r="AJ372" s="110" t="n"/>
      <c r="AK372" s="110" t="n"/>
      <c r="AL372" s="110" t="n"/>
      <c r="AM372" s="110" t="n"/>
      <c r="AN372" s="110" t="n"/>
      <c r="AO372" s="110" t="n"/>
      <c r="AP372" s="110" t="n"/>
      <c r="AQ372" s="110" t="n"/>
      <c r="AR372" s="110" t="n"/>
      <c r="AS372" s="110" t="n"/>
      <c r="AT372" s="110" t="n"/>
      <c r="AU372" s="110" t="n"/>
      <c r="AV372" s="110" t="n"/>
      <c r="AW372" s="110" t="n"/>
      <c r="AX372" s="110" t="n"/>
      <c r="AY372" s="110" t="n"/>
      <c r="AZ372" s="110" t="n"/>
      <c r="BA372" s="110" t="n"/>
      <c r="BB372" s="110" t="n"/>
      <c r="BC372" t="inlineStr">
        <is>
          <t>ORIGINAL</t>
        </is>
      </c>
      <c r="BD372" t="n">
        <v>363</v>
      </c>
      <c r="BF372" s="109">
        <f>IF($BD372="","",SUMIF($BD$6:$BD$2000,$BD372,$J$6:$J$2000))</f>
        <v/>
      </c>
    </row>
    <row r="373" ht="19.5" customHeight="1">
      <c r="A373" s="96" t="inlineStr">
        <is>
          <t>PENDENTE</t>
        </is>
      </c>
      <c r="B373" s="26" t="inlineStr">
        <is>
          <t>RIACHUELO</t>
        </is>
      </c>
      <c r="C373" s="27" t="n">
        <v>442</v>
      </c>
      <c r="D373" s="26" t="inlineStr">
        <is>
          <t>SC SÃO JOSÉ ITAGUAÇU SH - CASA</t>
        </is>
      </c>
      <c r="E373" s="26" t="inlineStr">
        <is>
          <t>SÃO JOSÉ</t>
        </is>
      </c>
      <c r="F373" s="27" t="inlineStr">
        <is>
          <t>SC</t>
        </is>
      </c>
      <c r="G373" s="107" t="n">
        <v>46054</v>
      </c>
      <c r="H373" s="108">
        <f>IF($B373="","",SUM($K373:$AG373)+SUM($AS373:$BB373))</f>
        <v/>
      </c>
      <c r="I373" s="108">
        <f>IF($B373="","",SUM($AH373:$AL373))</f>
        <v/>
      </c>
      <c r="J373" s="109">
        <f>IF($B373="","",SUMPRODUCT($K373:$BB373,$K$2:$BB$2))</f>
        <v/>
      </c>
      <c r="K373" s="110" t="n">
        <v>1</v>
      </c>
      <c r="L373" s="110" t="n"/>
      <c r="M373" s="110" t="n">
        <v>5</v>
      </c>
      <c r="N373" s="110" t="n"/>
      <c r="O373" s="110" t="n"/>
      <c r="P373" s="110" t="n"/>
      <c r="Q373" s="110" t="n"/>
      <c r="R373" s="110" t="n"/>
      <c r="S373" s="110" t="n"/>
      <c r="T373" s="110" t="n"/>
      <c r="U373" s="110" t="n"/>
      <c r="V373" s="110" t="n"/>
      <c r="W373" s="110" t="n"/>
      <c r="X373" s="110" t="n"/>
      <c r="Y373" s="110" t="n"/>
      <c r="Z373" s="110" t="n"/>
      <c r="AA373" s="110" t="n">
        <v>2</v>
      </c>
      <c r="AB373" s="110" t="n"/>
      <c r="AC373" s="110" t="n"/>
      <c r="AD373" s="110" t="n"/>
      <c r="AE373" s="110" t="n"/>
      <c r="AF373" s="110" t="n"/>
      <c r="AG373" s="110" t="n"/>
      <c r="AH373" s="110" t="n">
        <v>4</v>
      </c>
      <c r="AI373" s="110" t="n"/>
      <c r="AJ373" s="110" t="n"/>
      <c r="AK373" s="110" t="n"/>
      <c r="AL373" s="110" t="n"/>
      <c r="AM373" s="110" t="n"/>
      <c r="AN373" s="110" t="n"/>
      <c r="AO373" s="110" t="n"/>
      <c r="AP373" s="110" t="n"/>
      <c r="AQ373" s="110" t="n"/>
      <c r="AR373" s="110" t="n"/>
      <c r="AS373" s="110" t="n"/>
      <c r="AT373" s="110" t="n"/>
      <c r="AU373" s="110" t="n"/>
      <c r="AV373" s="110" t="n"/>
      <c r="AW373" s="110" t="n"/>
      <c r="AX373" s="110" t="n"/>
      <c r="AY373" s="110" t="n"/>
      <c r="AZ373" s="110" t="n"/>
      <c r="BA373" s="110" t="n"/>
      <c r="BB373" s="110" t="n"/>
      <c r="BC373" t="inlineStr">
        <is>
          <t>ORIGINAL</t>
        </is>
      </c>
      <c r="BD373" t="n">
        <v>364</v>
      </c>
      <c r="BF373" s="109">
        <f>IF($BD373="","",SUMIF($BD$6:$BD$2000,$BD373,$J$6:$J$2000))</f>
        <v/>
      </c>
    </row>
    <row r="374" ht="19.5" customHeight="1">
      <c r="A374" s="96" t="inlineStr">
        <is>
          <t>PENDENTE</t>
        </is>
      </c>
      <c r="B374" s="26" t="inlineStr">
        <is>
          <t>RIACHUELO</t>
        </is>
      </c>
      <c r="C374" s="27" t="n">
        <v>338</v>
      </c>
      <c r="D374" s="26" t="inlineStr">
        <is>
          <t>POA BARRA SUL SH</t>
        </is>
      </c>
      <c r="E374" s="26" t="inlineStr">
        <is>
          <t>PORTO ALEGRE</t>
        </is>
      </c>
      <c r="F374" s="27" t="inlineStr">
        <is>
          <t>RS</t>
        </is>
      </c>
      <c r="G374" s="107" t="n">
        <v>46266</v>
      </c>
      <c r="H374" s="108">
        <f>IF($B374="","",SUM($K374:$AG374)+SUM($AS374:$BB374))</f>
        <v/>
      </c>
      <c r="I374" s="108">
        <f>IF($B374="","",SUM($AH374:$AL374))</f>
        <v/>
      </c>
      <c r="J374" s="109">
        <f>IF($B374="","",SUMPRODUCT($K374:$BB374,$K$2:$BB$2))</f>
        <v/>
      </c>
      <c r="K374" s="110" t="n">
        <v>5</v>
      </c>
      <c r="L374" s="110" t="n"/>
      <c r="M374" s="110" t="n">
        <v>2</v>
      </c>
      <c r="N374" s="110" t="n"/>
      <c r="O374" s="110" t="n"/>
      <c r="P374" s="110" t="n"/>
      <c r="Q374" s="110" t="n"/>
      <c r="R374" s="110" t="n"/>
      <c r="S374" s="110" t="n"/>
      <c r="T374" s="110" t="n"/>
      <c r="U374" s="110" t="n">
        <v>7</v>
      </c>
      <c r="V374" s="110" t="n"/>
      <c r="W374" s="110" t="n"/>
      <c r="X374" s="110" t="n"/>
      <c r="Y374" s="110" t="n"/>
      <c r="Z374" s="110" t="n"/>
      <c r="AA374" s="110" t="n">
        <v>7</v>
      </c>
      <c r="AB374" s="110" t="n"/>
      <c r="AC374" s="110" t="n"/>
      <c r="AD374" s="110" t="n"/>
      <c r="AE374" s="110" t="n"/>
      <c r="AF374" s="110" t="n"/>
      <c r="AG374" s="110" t="n"/>
      <c r="AH374" s="110" t="n">
        <v>16</v>
      </c>
      <c r="AI374" s="110" t="n"/>
      <c r="AJ374" s="110" t="n"/>
      <c r="AK374" s="110" t="n"/>
      <c r="AL374" s="110" t="n"/>
      <c r="AM374" s="110" t="n"/>
      <c r="AN374" s="110" t="n"/>
      <c r="AO374" s="110" t="n"/>
      <c r="AP374" s="110" t="n"/>
      <c r="AQ374" s="110" t="n"/>
      <c r="AR374" s="110" t="n"/>
      <c r="AS374" s="110" t="n"/>
      <c r="AT374" s="110" t="n"/>
      <c r="AU374" s="110" t="n"/>
      <c r="AV374" s="110" t="n"/>
      <c r="AW374" s="110" t="n"/>
      <c r="AX374" s="110" t="n"/>
      <c r="AY374" s="110" t="n"/>
      <c r="AZ374" s="110" t="n"/>
      <c r="BA374" s="110" t="n"/>
      <c r="BB374" s="110" t="n"/>
      <c r="BC374" t="inlineStr">
        <is>
          <t>ORIGINAL</t>
        </is>
      </c>
      <c r="BD374" t="n">
        <v>365</v>
      </c>
      <c r="BF374" s="109">
        <f>IF($BD374="","",SUMIF($BD$6:$BD$2000,$BD374,$J$6:$J$2000))</f>
        <v/>
      </c>
    </row>
    <row r="375" ht="19.5" customHeight="1">
      <c r="A375" s="96" t="inlineStr">
        <is>
          <t>PENDENTE</t>
        </is>
      </c>
      <c r="B375" s="26" t="inlineStr">
        <is>
          <t>RIACHUELO</t>
        </is>
      </c>
      <c r="C375" s="27" t="n">
        <v>444</v>
      </c>
      <c r="D375" s="26" t="inlineStr">
        <is>
          <t>SÃO CAETANO PARK SH CARTERS</t>
        </is>
      </c>
      <c r="E375" s="26" t="inlineStr">
        <is>
          <t>SÃO CAETANO</t>
        </is>
      </c>
      <c r="F375" s="27" t="inlineStr">
        <is>
          <t>SP</t>
        </is>
      </c>
      <c r="G375" s="107" t="n">
        <v>46054</v>
      </c>
      <c r="H375" s="108">
        <f>IF($B375="","",SUM($K375:$AG375)+SUM($AS375:$BB375))</f>
        <v/>
      </c>
      <c r="I375" s="108">
        <f>IF($B375="","",SUM($AH375:$AL375))</f>
        <v/>
      </c>
      <c r="J375" s="109">
        <f>IF($B375="","",SUMPRODUCT($K375:$BB375,$K$2:$BB$2))</f>
        <v/>
      </c>
      <c r="K375" s="110" t="n">
        <v>2</v>
      </c>
      <c r="L375" s="110" t="n"/>
      <c r="M375" s="110" t="n"/>
      <c r="N375" s="110" t="n"/>
      <c r="O375" s="110" t="n"/>
      <c r="P375" s="110" t="n"/>
      <c r="Q375" s="110" t="n"/>
      <c r="R375" s="110" t="n"/>
      <c r="S375" s="110" t="n"/>
      <c r="T375" s="110" t="n"/>
      <c r="U375" s="110" t="n"/>
      <c r="V375" s="110" t="n"/>
      <c r="W375" s="110" t="n"/>
      <c r="X375" s="110" t="n"/>
      <c r="Y375" s="110" t="n"/>
      <c r="Z375" s="110" t="n"/>
      <c r="AA375" s="110" t="n">
        <v>1</v>
      </c>
      <c r="AB375" s="110" t="n"/>
      <c r="AC375" s="110" t="n"/>
      <c r="AD375" s="110" t="n"/>
      <c r="AE375" s="110" t="n"/>
      <c r="AF375" s="110" t="n"/>
      <c r="AG375" s="110" t="n"/>
      <c r="AH375" s="110" t="n"/>
      <c r="AI375" s="110" t="n"/>
      <c r="AJ375" s="110" t="n"/>
      <c r="AK375" s="110" t="n"/>
      <c r="AL375" s="110" t="n"/>
      <c r="AM375" s="110" t="n"/>
      <c r="AN375" s="110" t="n"/>
      <c r="AO375" s="110" t="n"/>
      <c r="AP375" s="110" t="n"/>
      <c r="AQ375" s="110" t="n"/>
      <c r="AR375" s="110" t="n"/>
      <c r="AS375" s="110" t="n"/>
      <c r="AT375" s="110" t="n"/>
      <c r="AU375" s="110" t="n"/>
      <c r="AV375" s="110" t="n"/>
      <c r="AW375" s="110" t="n"/>
      <c r="AX375" s="110" t="n"/>
      <c r="AY375" s="110" t="n"/>
      <c r="AZ375" s="110" t="n"/>
      <c r="BA375" s="110" t="n"/>
      <c r="BB375" s="110" t="n"/>
      <c r="BC375" t="inlineStr">
        <is>
          <t>ORIGINAL</t>
        </is>
      </c>
      <c r="BD375" t="n">
        <v>366</v>
      </c>
      <c r="BF375" s="109">
        <f>IF($BD375="","",SUMIF($BD$6:$BD$2000,$BD375,$J$6:$J$2000))</f>
        <v/>
      </c>
    </row>
    <row r="376" ht="19.5" customHeight="1">
      <c r="A376" s="96" t="inlineStr">
        <is>
          <t>PENDENTE</t>
        </is>
      </c>
      <c r="B376" s="26" t="inlineStr">
        <is>
          <t>RIACHUELO</t>
        </is>
      </c>
      <c r="C376" s="27" t="n">
        <v>445</v>
      </c>
      <c r="D376" s="26" t="inlineStr">
        <is>
          <t>SH CARTER´S</t>
        </is>
      </c>
      <c r="E376" s="26" t="inlineStr">
        <is>
          <t>VITORIA</t>
        </is>
      </c>
      <c r="F376" s="27" t="inlineStr">
        <is>
          <t>ES</t>
        </is>
      </c>
      <c r="G376" s="107" t="n">
        <v>46113</v>
      </c>
      <c r="H376" s="108">
        <f>IF($B376="","",SUM($K376:$AG376)+SUM($AS376:$BB376))</f>
        <v/>
      </c>
      <c r="I376" s="108">
        <f>IF($B376="","",SUM($AH376:$AL376))</f>
        <v/>
      </c>
      <c r="J376" s="109">
        <f>IF($B376="","",SUMPRODUCT($K376:$BB376,$K$2:$BB$2))</f>
        <v/>
      </c>
      <c r="K376" s="110" t="n">
        <v>1</v>
      </c>
      <c r="L376" s="110" t="n"/>
      <c r="M376" s="110" t="n"/>
      <c r="N376" s="110" t="n"/>
      <c r="O376" s="110" t="n"/>
      <c r="P376" s="110" t="n"/>
      <c r="Q376" s="110" t="n"/>
      <c r="R376" s="110" t="n"/>
      <c r="S376" s="110" t="n"/>
      <c r="T376" s="110" t="n">
        <v>2</v>
      </c>
      <c r="U376" s="110" t="n"/>
      <c r="V376" s="110" t="n"/>
      <c r="W376" s="110" t="n"/>
      <c r="X376" s="110" t="n"/>
      <c r="Y376" s="110" t="n"/>
      <c r="Z376" s="110" t="n"/>
      <c r="AA376" s="110" t="n">
        <v>1</v>
      </c>
      <c r="AB376" s="110" t="n"/>
      <c r="AC376" s="110" t="n"/>
      <c r="AD376" s="110" t="n"/>
      <c r="AE376" s="110" t="n"/>
      <c r="AF376" s="110" t="n"/>
      <c r="AG376" s="110" t="n"/>
      <c r="AH376" s="110" t="n"/>
      <c r="AI376" s="110" t="n"/>
      <c r="AJ376" s="110" t="n"/>
      <c r="AK376" s="110" t="n"/>
      <c r="AL376" s="110" t="n"/>
      <c r="AM376" s="110" t="n"/>
      <c r="AN376" s="110" t="n"/>
      <c r="AO376" s="110" t="n"/>
      <c r="AP376" s="110" t="n"/>
      <c r="AQ376" s="110" t="n"/>
      <c r="AR376" s="110" t="n"/>
      <c r="AS376" s="110" t="n"/>
      <c r="AT376" s="110" t="n"/>
      <c r="AU376" s="110" t="n"/>
      <c r="AV376" s="110" t="n"/>
      <c r="AW376" s="110" t="n"/>
      <c r="AX376" s="110" t="n"/>
      <c r="AY376" s="110" t="n"/>
      <c r="AZ376" s="110" t="n"/>
      <c r="BA376" s="110" t="n"/>
      <c r="BB376" s="110" t="n"/>
      <c r="BC376" t="inlineStr">
        <is>
          <t>ORIGINAL</t>
        </is>
      </c>
      <c r="BD376" t="n">
        <v>367</v>
      </c>
      <c r="BF376" s="109">
        <f>IF($BD376="","",SUMIF($BD$6:$BD$2000,$BD376,$J$6:$J$2000))</f>
        <v/>
      </c>
    </row>
    <row r="377" ht="19.5" customHeight="1">
      <c r="A377" s="96" t="inlineStr">
        <is>
          <t>PENDENTE</t>
        </is>
      </c>
      <c r="B377" s="26" t="inlineStr">
        <is>
          <t>RIACHUELO</t>
        </is>
      </c>
      <c r="C377" s="27" t="n">
        <v>446</v>
      </c>
      <c r="D377" s="26" t="inlineStr">
        <is>
          <t>TAQUARA PLAZA SH</t>
        </is>
      </c>
      <c r="E377" s="26" t="inlineStr">
        <is>
          <t>RIO DE JANEIRO</t>
        </is>
      </c>
      <c r="F377" s="27" t="inlineStr">
        <is>
          <t>RJ</t>
        </is>
      </c>
      <c r="G377" s="107" t="n">
        <v>46143</v>
      </c>
      <c r="H377" s="108">
        <f>IF($B377="","",SUM($K377:$AG377)+SUM($AS377:$BB377))</f>
        <v/>
      </c>
      <c r="I377" s="108">
        <f>IF($B377="","",SUM($AH377:$AL377))</f>
        <v/>
      </c>
      <c r="J377" s="109">
        <f>IF($B377="","",SUMPRODUCT($K377:$BB377,$K$2:$BB$2))</f>
        <v/>
      </c>
      <c r="K377" s="110" t="n">
        <v>8</v>
      </c>
      <c r="L377" s="110" t="n"/>
      <c r="M377" s="110" t="n"/>
      <c r="N377" s="110" t="n">
        <v>2</v>
      </c>
      <c r="O377" s="110" t="n"/>
      <c r="P377" s="110" t="n"/>
      <c r="Q377" s="110" t="n"/>
      <c r="R377" s="110" t="n"/>
      <c r="S377" s="110" t="n"/>
      <c r="T377" s="110" t="n"/>
      <c r="U377" s="110" t="n"/>
      <c r="V377" s="110" t="n"/>
      <c r="W377" s="110" t="n"/>
      <c r="X377" s="110" t="n"/>
      <c r="Y377" s="110" t="n"/>
      <c r="Z377" s="110" t="n"/>
      <c r="AA377" s="110" t="n">
        <v>4</v>
      </c>
      <c r="AB377" s="110" t="n"/>
      <c r="AC377" s="110" t="n"/>
      <c r="AD377" s="110" t="n"/>
      <c r="AE377" s="110" t="n"/>
      <c r="AF377" s="110" t="n"/>
      <c r="AG377" s="110" t="n"/>
      <c r="AH377" s="110" t="n">
        <v>4</v>
      </c>
      <c r="AI377" s="110" t="n"/>
      <c r="AJ377" s="110" t="n"/>
      <c r="AK377" s="110" t="n"/>
      <c r="AL377" s="110" t="n"/>
      <c r="AM377" s="110" t="n"/>
      <c r="AN377" s="110" t="n"/>
      <c r="AO377" s="110" t="n"/>
      <c r="AP377" s="110" t="n"/>
      <c r="AQ377" s="110" t="n"/>
      <c r="AR377" s="110" t="n"/>
      <c r="AS377" s="110" t="n"/>
      <c r="AT377" s="110" t="n"/>
      <c r="AU377" s="110" t="n"/>
      <c r="AV377" s="110" t="n"/>
      <c r="AW377" s="110" t="n"/>
      <c r="AX377" s="110" t="n"/>
      <c r="AY377" s="110" t="n"/>
      <c r="AZ377" s="110" t="n"/>
      <c r="BA377" s="110" t="n"/>
      <c r="BB377" s="110" t="n"/>
      <c r="BC377" t="inlineStr">
        <is>
          <t>ORIGINAL</t>
        </is>
      </c>
      <c r="BD377" t="n">
        <v>368</v>
      </c>
      <c r="BF377" s="109">
        <f>IF($BD377="","",SUMIF($BD$6:$BD$2000,$BD377,$J$6:$J$2000))</f>
        <v/>
      </c>
    </row>
    <row r="378" ht="19.5" customHeight="1">
      <c r="A378" s="96" t="inlineStr">
        <is>
          <t>PENDENTE</t>
        </is>
      </c>
      <c r="B378" s="26" t="inlineStr">
        <is>
          <t>RIACHUELO</t>
        </is>
      </c>
      <c r="C378" s="27" t="n">
        <v>447</v>
      </c>
      <c r="D378" s="26" t="inlineStr">
        <is>
          <t xml:space="preserve">PETROPOLIS PATIO SH </t>
        </is>
      </c>
      <c r="E378" s="26" t="inlineStr">
        <is>
          <t>RIO DE JANEIRO</t>
        </is>
      </c>
      <c r="F378" s="27" t="inlineStr">
        <is>
          <t>RJ</t>
        </is>
      </c>
      <c r="G378" s="107" t="n">
        <v>46143</v>
      </c>
      <c r="H378" s="108">
        <f>IF($B378="","",SUM($K378:$AG378)+SUM($AS378:$BB378))</f>
        <v/>
      </c>
      <c r="I378" s="108">
        <f>IF($B378="","",SUM($AH378:$AL378))</f>
        <v/>
      </c>
      <c r="J378" s="109">
        <f>IF($B378="","",SUMPRODUCT($K378:$BB378,$K$2:$BB$2))</f>
        <v/>
      </c>
      <c r="K378" s="110" t="n">
        <v>5</v>
      </c>
      <c r="L378" s="110" t="n"/>
      <c r="M378" s="110" t="n"/>
      <c r="N378" s="110" t="n"/>
      <c r="O378" s="110" t="n"/>
      <c r="P378" s="110" t="n"/>
      <c r="Q378" s="110" t="n"/>
      <c r="R378" s="110" t="n"/>
      <c r="S378" s="110" t="n"/>
      <c r="T378" s="110" t="n"/>
      <c r="U378" s="110" t="n">
        <v>3</v>
      </c>
      <c r="V378" s="110" t="n"/>
      <c r="W378" s="110" t="n"/>
      <c r="X378" s="110" t="n"/>
      <c r="Y378" s="110" t="n"/>
      <c r="Z378" s="110" t="n"/>
      <c r="AA378" s="110" t="n">
        <v>3</v>
      </c>
      <c r="AB378" s="110" t="n"/>
      <c r="AC378" s="110" t="n"/>
      <c r="AD378" s="110" t="n"/>
      <c r="AE378" s="110" t="n"/>
      <c r="AF378" s="110" t="n"/>
      <c r="AG378" s="110" t="n"/>
      <c r="AH378" s="110" t="n">
        <v>8</v>
      </c>
      <c r="AI378" s="110" t="n"/>
      <c r="AJ378" s="110" t="n"/>
      <c r="AK378" s="110" t="n"/>
      <c r="AL378" s="110" t="n"/>
      <c r="AM378" s="110" t="n"/>
      <c r="AN378" s="110" t="n"/>
      <c r="AO378" s="110" t="n"/>
      <c r="AP378" s="110" t="n"/>
      <c r="AQ378" s="110" t="n"/>
      <c r="AR378" s="110" t="n"/>
      <c r="AS378" s="110" t="n"/>
      <c r="AT378" s="110" t="n"/>
      <c r="AU378" s="110" t="n"/>
      <c r="AV378" s="110" t="n"/>
      <c r="AW378" s="110" t="n"/>
      <c r="AX378" s="110" t="n"/>
      <c r="AY378" s="110" t="n"/>
      <c r="AZ378" s="110" t="n"/>
      <c r="BA378" s="110" t="n"/>
      <c r="BB378" s="110" t="n"/>
      <c r="BC378" t="inlineStr">
        <is>
          <t>ORIGINAL</t>
        </is>
      </c>
      <c r="BD378" t="n">
        <v>369</v>
      </c>
      <c r="BF378" s="109">
        <f>IF($BD378="","",SUMIF($BD$6:$BD$2000,$BD378,$J$6:$J$2000))</f>
        <v/>
      </c>
    </row>
    <row r="379" ht="19.5" customHeight="1">
      <c r="A379" s="96" t="inlineStr">
        <is>
          <t>PENDENTE</t>
        </is>
      </c>
      <c r="B379" s="26" t="inlineStr">
        <is>
          <t>RIACHUELO</t>
        </is>
      </c>
      <c r="C379" s="27" t="n">
        <v>449</v>
      </c>
      <c r="D379" s="26" t="inlineStr">
        <is>
          <t xml:space="preserve"> SP SAO ROQUE CATARINA OUTLET CARTER'S</t>
        </is>
      </c>
      <c r="E379" s="26" t="inlineStr">
        <is>
          <t>SÃO ROQUE</t>
        </is>
      </c>
      <c r="F379" s="27" t="inlineStr">
        <is>
          <t>SP</t>
        </is>
      </c>
      <c r="G379" s="107" t="n">
        <v>46296</v>
      </c>
      <c r="H379" s="108">
        <f>IF($B379="","",SUM($K379:$AG379)+SUM($AS379:$BB379))</f>
        <v/>
      </c>
      <c r="I379" s="108">
        <f>IF($B379="","",SUM($AH379:$AL379))</f>
        <v/>
      </c>
      <c r="J379" s="109">
        <f>IF($B379="","",SUMPRODUCT($K379:$BB379,$K$2:$BB$2))</f>
        <v/>
      </c>
      <c r="K379" s="110" t="n">
        <v>1</v>
      </c>
      <c r="L379" s="110" t="n"/>
      <c r="M379" s="110" t="n">
        <v>1</v>
      </c>
      <c r="N379" s="110" t="n"/>
      <c r="O379" s="110" t="n"/>
      <c r="P379" s="110" t="n"/>
      <c r="Q379" s="110" t="n"/>
      <c r="R379" s="110" t="n"/>
      <c r="S379" s="110" t="n"/>
      <c r="T379" s="110" t="n"/>
      <c r="U379" s="110" t="n"/>
      <c r="V379" s="110" t="n"/>
      <c r="W379" s="110" t="n"/>
      <c r="X379" s="110" t="n"/>
      <c r="Y379" s="110" t="n"/>
      <c r="Z379" s="110" t="n"/>
      <c r="AA379" s="110" t="n">
        <v>1</v>
      </c>
      <c r="AB379" s="110" t="n"/>
      <c r="AC379" s="110" t="n"/>
      <c r="AD379" s="110" t="n"/>
      <c r="AE379" s="110" t="n"/>
      <c r="AF379" s="110" t="n"/>
      <c r="AG379" s="110" t="n"/>
      <c r="AH379" s="110" t="n"/>
      <c r="AI379" s="110" t="n"/>
      <c r="AJ379" s="110" t="n"/>
      <c r="AK379" s="110" t="n"/>
      <c r="AL379" s="110" t="n"/>
      <c r="AM379" s="110" t="n"/>
      <c r="AN379" s="110" t="n"/>
      <c r="AO379" s="110" t="n"/>
      <c r="AP379" s="110" t="n"/>
      <c r="AQ379" s="110" t="n"/>
      <c r="AR379" s="110" t="n"/>
      <c r="AS379" s="110" t="n"/>
      <c r="AT379" s="110" t="n"/>
      <c r="AU379" s="110" t="n"/>
      <c r="AV379" s="110" t="n"/>
      <c r="AW379" s="110" t="n"/>
      <c r="AX379" s="110" t="n"/>
      <c r="AY379" s="110" t="n"/>
      <c r="AZ379" s="110" t="n"/>
      <c r="BA379" s="110" t="n"/>
      <c r="BB379" s="110" t="n"/>
      <c r="BC379" t="inlineStr">
        <is>
          <t>ORIGINAL</t>
        </is>
      </c>
      <c r="BD379" t="n">
        <v>370</v>
      </c>
      <c r="BF379" s="109">
        <f>IF($BD379="","",SUMIF($BD$6:$BD$2000,$BD379,$J$6:$J$2000))</f>
        <v/>
      </c>
    </row>
    <row r="380" ht="19.5" customHeight="1">
      <c r="A380" s="96" t="inlineStr">
        <is>
          <t>PENDENTE</t>
        </is>
      </c>
      <c r="B380" s="26" t="inlineStr">
        <is>
          <t>RIACHUELO</t>
        </is>
      </c>
      <c r="C380" s="27" t="n">
        <v>451</v>
      </c>
      <c r="D380" s="26" t="inlineStr">
        <is>
          <t xml:space="preserve"> SPA MORUMBI SH [FAN LAB]</t>
        </is>
      </c>
      <c r="E380" s="26" t="inlineStr">
        <is>
          <t>SÃO PAULO</t>
        </is>
      </c>
      <c r="F380" s="27" t="inlineStr">
        <is>
          <t>SP</t>
        </is>
      </c>
      <c r="G380" s="107" t="n">
        <v>46054</v>
      </c>
      <c r="H380" s="108">
        <f>IF($B380="","",SUM($K380:$AG380)+SUM($AS380:$BB380))</f>
        <v/>
      </c>
      <c r="I380" s="108">
        <f>IF($B380="","",SUM($AH380:$AL380))</f>
        <v/>
      </c>
      <c r="J380" s="109">
        <f>IF($B380="","",SUMPRODUCT($K380:$BB380,$K$2:$BB$2))</f>
        <v/>
      </c>
      <c r="K380" s="110" t="n">
        <v>2</v>
      </c>
      <c r="L380" s="110" t="n"/>
      <c r="M380" s="110" t="n">
        <v>1</v>
      </c>
      <c r="N380" s="110" t="n"/>
      <c r="O380" s="110" t="n"/>
      <c r="P380" s="110" t="n"/>
      <c r="Q380" s="110" t="n"/>
      <c r="R380" s="110" t="n"/>
      <c r="S380" s="110" t="n"/>
      <c r="T380" s="110" t="n"/>
      <c r="U380" s="110" t="n"/>
      <c r="V380" s="110" t="n"/>
      <c r="W380" s="110" t="n"/>
      <c r="X380" s="110" t="n"/>
      <c r="Y380" s="110" t="n"/>
      <c r="Z380" s="110" t="n"/>
      <c r="AA380" s="110" t="n">
        <v>1</v>
      </c>
      <c r="AB380" s="110" t="n"/>
      <c r="AC380" s="110" t="n"/>
      <c r="AD380" s="110" t="n"/>
      <c r="AE380" s="110" t="n"/>
      <c r="AF380" s="110" t="n"/>
      <c r="AG380" s="110" t="n"/>
      <c r="AH380" s="110" t="n"/>
      <c r="AI380" s="110" t="n"/>
      <c r="AJ380" s="110" t="n"/>
      <c r="AK380" s="110" t="n"/>
      <c r="AL380" s="110" t="n"/>
      <c r="AM380" s="110" t="n"/>
      <c r="AN380" s="110" t="n"/>
      <c r="AO380" s="110" t="n"/>
      <c r="AP380" s="110" t="n"/>
      <c r="AQ380" s="110" t="n"/>
      <c r="AR380" s="110" t="n"/>
      <c r="AS380" s="110" t="n"/>
      <c r="AT380" s="110" t="n"/>
      <c r="AU380" s="110" t="n"/>
      <c r="AV380" s="110" t="n"/>
      <c r="AW380" s="110" t="n"/>
      <c r="AX380" s="110" t="n"/>
      <c r="AY380" s="110" t="n"/>
      <c r="AZ380" s="110" t="n"/>
      <c r="BA380" s="110" t="n"/>
      <c r="BB380" s="110" t="n"/>
      <c r="BC380" t="inlineStr">
        <is>
          <t>ORIGINAL</t>
        </is>
      </c>
      <c r="BD380" t="n">
        <v>371</v>
      </c>
      <c r="BF380" s="109">
        <f>IF($BD380="","",SUMIF($BD$6:$BD$2000,$BD380,$J$6:$J$2000))</f>
        <v/>
      </c>
    </row>
    <row r="381" ht="19.5" customHeight="1">
      <c r="A381" s="96" t="inlineStr">
        <is>
          <t>PENDENTE</t>
        </is>
      </c>
      <c r="B381" s="26" t="inlineStr">
        <is>
          <t>RIACHUELO</t>
        </is>
      </c>
      <c r="C381" s="27" t="n">
        <v>452</v>
      </c>
      <c r="D381" s="26" t="inlineStr">
        <is>
          <t>RIO BARRA SH [CASA]</t>
        </is>
      </c>
      <c r="E381" s="26" t="inlineStr">
        <is>
          <t>RIO DE JANEIRO</t>
        </is>
      </c>
      <c r="F381" s="27" t="inlineStr">
        <is>
          <t>RJ</t>
        </is>
      </c>
      <c r="G381" s="107" t="n">
        <v>46388</v>
      </c>
      <c r="H381" s="108">
        <f>IF($B381="","",SUM($K381:$AG381)+SUM($AS381:$BB381))</f>
        <v/>
      </c>
      <c r="I381" s="108">
        <f>IF($B381="","",SUM($AH381:$AL381))</f>
        <v/>
      </c>
      <c r="J381" s="109">
        <f>IF($B381="","",SUMPRODUCT($K381:$BB381,$K$2:$BB$2))</f>
        <v/>
      </c>
      <c r="K381" s="110" t="n">
        <v>2</v>
      </c>
      <c r="L381" s="110" t="n"/>
      <c r="M381" s="110" t="n"/>
      <c r="N381" s="110" t="n">
        <v>1</v>
      </c>
      <c r="O381" s="110" t="n"/>
      <c r="P381" s="110" t="n"/>
      <c r="Q381" s="110" t="n"/>
      <c r="R381" s="110" t="n"/>
      <c r="S381" s="110" t="n"/>
      <c r="T381" s="110" t="n"/>
      <c r="U381" s="110" t="n"/>
      <c r="V381" s="110" t="n"/>
      <c r="W381" s="110" t="n"/>
      <c r="X381" s="110" t="n"/>
      <c r="Y381" s="110" t="n"/>
      <c r="Z381" s="110" t="n"/>
      <c r="AA381" s="110" t="n">
        <v>2</v>
      </c>
      <c r="AB381" s="110" t="n"/>
      <c r="AC381" s="110" t="n"/>
      <c r="AD381" s="110" t="n"/>
      <c r="AE381" s="110" t="n"/>
      <c r="AF381" s="110" t="n"/>
      <c r="AG381" s="110" t="n"/>
      <c r="AH381" s="110" t="n">
        <v>4</v>
      </c>
      <c r="AI381" s="110" t="n"/>
      <c r="AJ381" s="110" t="n"/>
      <c r="AK381" s="110" t="n"/>
      <c r="AL381" s="110" t="n"/>
      <c r="AM381" s="110" t="n"/>
      <c r="AN381" s="110" t="n"/>
      <c r="AO381" s="110" t="n"/>
      <c r="AP381" s="110" t="n"/>
      <c r="AQ381" s="110" t="n"/>
      <c r="AR381" s="110" t="n"/>
      <c r="AS381" s="110" t="n"/>
      <c r="AT381" s="110" t="n"/>
      <c r="AU381" s="110" t="n"/>
      <c r="AV381" s="110" t="n"/>
      <c r="AW381" s="110" t="n"/>
      <c r="AX381" s="110" t="n"/>
      <c r="AY381" s="110" t="n"/>
      <c r="AZ381" s="110" t="n"/>
      <c r="BA381" s="110" t="n"/>
      <c r="BB381" s="110" t="n"/>
      <c r="BC381" t="inlineStr">
        <is>
          <t>ORIGINAL</t>
        </is>
      </c>
      <c r="BD381" t="n">
        <v>372</v>
      </c>
      <c r="BF381" s="109">
        <f>IF($BD381="","",SUMIF($BD$6:$BD$2000,$BD381,$J$6:$J$2000))</f>
        <v/>
      </c>
    </row>
    <row r="382" ht="19.5" customHeight="1">
      <c r="A382" s="96" t="inlineStr">
        <is>
          <t>PENDENTE</t>
        </is>
      </c>
      <c r="B382" s="26" t="inlineStr">
        <is>
          <t>RIACHUELO</t>
        </is>
      </c>
      <c r="C382" s="27" t="n">
        <v>453</v>
      </c>
      <c r="D382" s="26" t="inlineStr">
        <is>
          <t>MACEIO PARQUE SH CARTERS</t>
        </is>
      </c>
      <c r="E382" s="26" t="inlineStr">
        <is>
          <t>MACEIO</t>
        </is>
      </c>
      <c r="F382" s="27" t="inlineStr">
        <is>
          <t>AL</t>
        </is>
      </c>
      <c r="G382" s="107" t="n">
        <v>46388</v>
      </c>
      <c r="H382" s="108">
        <f>IF($B382="","",SUM($K382:$AG382)+SUM($AS382:$BB382))</f>
        <v/>
      </c>
      <c r="I382" s="108">
        <f>IF($B382="","",SUM($AH382:$AL382))</f>
        <v/>
      </c>
      <c r="J382" s="109">
        <f>IF($B382="","",SUMPRODUCT($K382:$BB382,$K$2:$BB$2))</f>
        <v/>
      </c>
      <c r="K382" s="110" t="n">
        <v>2</v>
      </c>
      <c r="L382" s="110" t="n"/>
      <c r="M382" s="110" t="n"/>
      <c r="N382" s="110" t="n">
        <v>1</v>
      </c>
      <c r="O382" s="110" t="n"/>
      <c r="P382" s="110" t="n"/>
      <c r="Q382" s="110" t="n"/>
      <c r="R382" s="110" t="n"/>
      <c r="S382" s="110" t="n"/>
      <c r="T382" s="110" t="n"/>
      <c r="U382" s="110" t="n">
        <v>2</v>
      </c>
      <c r="V382" s="110" t="n"/>
      <c r="W382" s="110" t="n"/>
      <c r="X382" s="110" t="n"/>
      <c r="Y382" s="110" t="n"/>
      <c r="Z382" s="110" t="n"/>
      <c r="AA382" s="110" t="n">
        <v>1</v>
      </c>
      <c r="AB382" s="110" t="n"/>
      <c r="AC382" s="110" t="n"/>
      <c r="AD382" s="110" t="n"/>
      <c r="AE382" s="110" t="n"/>
      <c r="AF382" s="110" t="n"/>
      <c r="AG382" s="110" t="n"/>
      <c r="AH382" s="110" t="n"/>
      <c r="AI382" s="110" t="n"/>
      <c r="AJ382" s="110" t="n"/>
      <c r="AK382" s="110" t="n"/>
      <c r="AL382" s="110" t="n"/>
      <c r="AM382" s="110" t="n"/>
      <c r="AN382" s="110" t="n"/>
      <c r="AO382" s="110" t="n"/>
      <c r="AP382" s="110" t="n"/>
      <c r="AQ382" s="110" t="n"/>
      <c r="AR382" s="110" t="n"/>
      <c r="AS382" s="110" t="n"/>
      <c r="AT382" s="110" t="n"/>
      <c r="AU382" s="110" t="n"/>
      <c r="AV382" s="110" t="n"/>
      <c r="AW382" s="110" t="n"/>
      <c r="AX382" s="110" t="n"/>
      <c r="AY382" s="110" t="n"/>
      <c r="AZ382" s="110" t="n"/>
      <c r="BA382" s="110" t="n"/>
      <c r="BB382" s="110" t="n"/>
      <c r="BC382" t="inlineStr">
        <is>
          <t>ORIGINAL</t>
        </is>
      </c>
      <c r="BD382" t="n">
        <v>373</v>
      </c>
      <c r="BF382" s="109">
        <f>IF($BD382="","",SUMIF($BD$6:$BD$2000,$BD382,$J$6:$J$2000))</f>
        <v/>
      </c>
    </row>
    <row r="383" ht="19.5" customHeight="1">
      <c r="A383" s="96" t="inlineStr">
        <is>
          <t>PENDENTE</t>
        </is>
      </c>
      <c r="B383" s="26" t="inlineStr">
        <is>
          <t>RIACHUELO</t>
        </is>
      </c>
      <c r="C383" s="27" t="n">
        <v>454</v>
      </c>
      <c r="D383" s="26" t="inlineStr">
        <is>
          <t xml:space="preserve">RIO SUL SH [CARTER'S] </t>
        </is>
      </c>
      <c r="E383" s="26" t="inlineStr">
        <is>
          <t>RIO DE JANEIRO</t>
        </is>
      </c>
      <c r="F383" s="27" t="inlineStr">
        <is>
          <t>RJ</t>
        </is>
      </c>
      <c r="G383" s="107" t="n">
        <v>46388</v>
      </c>
      <c r="H383" s="108">
        <f>IF($B383="","",SUM($K383:$AG383)+SUM($AS383:$BB383))</f>
        <v/>
      </c>
      <c r="I383" s="108">
        <f>IF($B383="","",SUM($AH383:$AL383))</f>
        <v/>
      </c>
      <c r="J383" s="109">
        <f>IF($B383="","",SUMPRODUCT($K383:$BB383,$K$2:$BB$2))</f>
        <v/>
      </c>
      <c r="K383" s="110" t="n">
        <v>1</v>
      </c>
      <c r="L383" s="110" t="n"/>
      <c r="M383" s="110" t="n">
        <v>1</v>
      </c>
      <c r="N383" s="110" t="n"/>
      <c r="O383" s="110" t="n"/>
      <c r="P383" s="110" t="n"/>
      <c r="Q383" s="110" t="n"/>
      <c r="R383" s="110" t="n"/>
      <c r="S383" s="110" t="n"/>
      <c r="T383" s="110" t="n"/>
      <c r="U383" s="110" t="n"/>
      <c r="V383" s="110" t="n"/>
      <c r="W383" s="110" t="n"/>
      <c r="X383" s="110" t="n"/>
      <c r="Y383" s="110" t="n"/>
      <c r="Z383" s="110" t="n"/>
      <c r="AA383" s="110" t="n">
        <v>1</v>
      </c>
      <c r="AB383" s="110" t="n"/>
      <c r="AC383" s="110" t="n"/>
      <c r="AD383" s="110" t="n"/>
      <c r="AE383" s="110" t="n"/>
      <c r="AF383" s="110" t="n"/>
      <c r="AG383" s="110" t="n"/>
      <c r="AH383" s="110" t="n"/>
      <c r="AI383" s="110" t="n"/>
      <c r="AJ383" s="110" t="n"/>
      <c r="AK383" s="110" t="n"/>
      <c r="AL383" s="110" t="n"/>
      <c r="AM383" s="110" t="n"/>
      <c r="AN383" s="110" t="n"/>
      <c r="AO383" s="110" t="n"/>
      <c r="AP383" s="110" t="n"/>
      <c r="AQ383" s="110" t="n"/>
      <c r="AR383" s="110" t="n"/>
      <c r="AS383" s="110" t="n"/>
      <c r="AT383" s="110" t="n"/>
      <c r="AU383" s="110" t="n"/>
      <c r="AV383" s="110" t="n"/>
      <c r="AW383" s="110" t="n"/>
      <c r="AX383" s="110" t="n"/>
      <c r="AY383" s="110" t="n"/>
      <c r="AZ383" s="110" t="n"/>
      <c r="BA383" s="110" t="n"/>
      <c r="BB383" s="110" t="n"/>
      <c r="BC383" t="inlineStr">
        <is>
          <t>ORIGINAL</t>
        </is>
      </c>
      <c r="BD383" t="n">
        <v>374</v>
      </c>
      <c r="BF383" s="109">
        <f>IF($BD383="","",SUMIF($BD$6:$BD$2000,$BD383,$J$6:$J$2000))</f>
        <v/>
      </c>
    </row>
    <row r="384" ht="19.5" customHeight="1">
      <c r="A384" s="96" t="inlineStr">
        <is>
          <t>PENDENTE</t>
        </is>
      </c>
      <c r="B384" s="26" t="inlineStr">
        <is>
          <t>RIACHUELO</t>
        </is>
      </c>
      <c r="C384" s="27" t="n">
        <v>455</v>
      </c>
      <c r="D384" s="26" t="inlineStr">
        <is>
          <t>ITUPEVA OUTLET PREMIUM CARTERS</t>
        </is>
      </c>
      <c r="E384" s="26" t="inlineStr">
        <is>
          <t>ITUPEVA</t>
        </is>
      </c>
      <c r="F384" s="27" t="inlineStr">
        <is>
          <t>SP</t>
        </is>
      </c>
      <c r="G384" s="107" t="n">
        <v>46204</v>
      </c>
      <c r="H384" s="108">
        <f>IF($B384="","",SUM($K384:$AG384)+SUM($AS384:$BB384))</f>
        <v/>
      </c>
      <c r="I384" s="108">
        <f>IF($B384="","",SUM($AH384:$AL384))</f>
        <v/>
      </c>
      <c r="J384" s="109">
        <f>IF($B384="","",SUMPRODUCT($K384:$BB384,$K$2:$BB$2))</f>
        <v/>
      </c>
      <c r="K384" s="110" t="n">
        <v>2</v>
      </c>
      <c r="L384" s="110" t="n"/>
      <c r="M384" s="110" t="n">
        <v>2</v>
      </c>
      <c r="N384" s="110" t="n"/>
      <c r="O384" s="110" t="n"/>
      <c r="P384" s="110" t="n"/>
      <c r="Q384" s="110" t="n"/>
      <c r="R384" s="110" t="n"/>
      <c r="S384" s="110" t="n"/>
      <c r="T384" s="110" t="n"/>
      <c r="U384" s="110" t="n"/>
      <c r="V384" s="110" t="n"/>
      <c r="W384" s="110" t="n"/>
      <c r="X384" s="110" t="n"/>
      <c r="Y384" s="110" t="n"/>
      <c r="Z384" s="110" t="n"/>
      <c r="AA384" s="110" t="n">
        <v>3</v>
      </c>
      <c r="AB384" s="110" t="n"/>
      <c r="AC384" s="110" t="n"/>
      <c r="AD384" s="110" t="n"/>
      <c r="AE384" s="110" t="n"/>
      <c r="AF384" s="110" t="n"/>
      <c r="AG384" s="110" t="n"/>
      <c r="AH384" s="110" t="n"/>
      <c r="AI384" s="110" t="n"/>
      <c r="AJ384" s="110" t="n"/>
      <c r="AK384" s="110" t="n"/>
      <c r="AL384" s="110" t="n"/>
      <c r="AM384" s="110" t="n"/>
      <c r="AN384" s="110" t="n"/>
      <c r="AO384" s="110" t="n"/>
      <c r="AP384" s="110" t="n"/>
      <c r="AQ384" s="110" t="n"/>
      <c r="AR384" s="110" t="n"/>
      <c r="AS384" s="110" t="n"/>
      <c r="AT384" s="110" t="n"/>
      <c r="AU384" s="110" t="n"/>
      <c r="AV384" s="110" t="n"/>
      <c r="AW384" s="110" t="n"/>
      <c r="AX384" s="110" t="n"/>
      <c r="AY384" s="110" t="n"/>
      <c r="AZ384" s="110" t="n"/>
      <c r="BA384" s="110" t="n"/>
      <c r="BB384" s="110" t="n"/>
      <c r="BC384" t="inlineStr">
        <is>
          <t>ORIGINAL</t>
        </is>
      </c>
      <c r="BD384" t="n">
        <v>375</v>
      </c>
      <c r="BF384" s="109">
        <f>IF($BD384="","",SUMIF($BD$6:$BD$2000,$BD384,$J$6:$J$2000))</f>
        <v/>
      </c>
    </row>
    <row r="385" ht="19.5" customHeight="1">
      <c r="A385" s="96" t="inlineStr">
        <is>
          <t>PENDENTE</t>
        </is>
      </c>
      <c r="B385" s="26" t="inlineStr">
        <is>
          <t>RIACHUELO</t>
        </is>
      </c>
      <c r="C385" s="27" t="n">
        <v>456</v>
      </c>
      <c r="D385" s="26" t="inlineStr">
        <is>
          <t xml:space="preserve">RIO DESIGN BARRA [CARTER'S] </t>
        </is>
      </c>
      <c r="E385" s="26" t="inlineStr">
        <is>
          <t>RIO DE JANEIRO</t>
        </is>
      </c>
      <c r="F385" s="27" t="inlineStr">
        <is>
          <t>RJ</t>
        </is>
      </c>
      <c r="G385" s="107" t="n">
        <v>46388</v>
      </c>
      <c r="H385" s="108">
        <f>IF($B385="","",SUM($K385:$AG385)+SUM($AS385:$BB385))</f>
        <v/>
      </c>
      <c r="I385" s="108">
        <f>IF($B385="","",SUM($AH385:$AL385))</f>
        <v/>
      </c>
      <c r="J385" s="109">
        <f>IF($B385="","",SUMPRODUCT($K385:$BB385,$K$2:$BB$2))</f>
        <v/>
      </c>
      <c r="K385" s="110" t="n">
        <v>2</v>
      </c>
      <c r="L385" s="110" t="n"/>
      <c r="M385" s="110" t="n"/>
      <c r="N385" s="110" t="n">
        <v>1</v>
      </c>
      <c r="O385" s="110" t="n"/>
      <c r="P385" s="110" t="n"/>
      <c r="Q385" s="110" t="n"/>
      <c r="R385" s="110" t="n"/>
      <c r="S385" s="110" t="n"/>
      <c r="T385" s="110" t="n"/>
      <c r="U385" s="110" t="n"/>
      <c r="V385" s="110" t="n"/>
      <c r="W385" s="110" t="n"/>
      <c r="X385" s="110" t="n"/>
      <c r="Y385" s="110" t="n"/>
      <c r="Z385" s="110" t="n"/>
      <c r="AA385" s="110" t="n">
        <v>2</v>
      </c>
      <c r="AB385" s="110" t="n"/>
      <c r="AC385" s="110" t="n"/>
      <c r="AD385" s="110" t="n"/>
      <c r="AE385" s="110" t="n"/>
      <c r="AF385" s="110" t="n"/>
      <c r="AG385" s="110" t="n"/>
      <c r="AH385" s="110" t="n"/>
      <c r="AI385" s="110" t="n"/>
      <c r="AJ385" s="110" t="n"/>
      <c r="AK385" s="110" t="n"/>
      <c r="AL385" s="110" t="n"/>
      <c r="AM385" s="110" t="n"/>
      <c r="AN385" s="110" t="n"/>
      <c r="AO385" s="110" t="n"/>
      <c r="AP385" s="110" t="n"/>
      <c r="AQ385" s="110" t="n"/>
      <c r="AR385" s="110" t="n"/>
      <c r="AS385" s="110" t="n"/>
      <c r="AT385" s="110" t="n"/>
      <c r="AU385" s="110" t="n"/>
      <c r="AV385" s="110" t="n"/>
      <c r="AW385" s="110" t="n"/>
      <c r="AX385" s="110" t="n"/>
      <c r="AY385" s="110" t="n"/>
      <c r="AZ385" s="110" t="n"/>
      <c r="BA385" s="110" t="n"/>
      <c r="BB385" s="110" t="n"/>
      <c r="BC385" t="inlineStr">
        <is>
          <t>ORIGINAL</t>
        </is>
      </c>
      <c r="BD385" t="n">
        <v>376</v>
      </c>
      <c r="BF385" s="109">
        <f>IF($BD385="","",SUMIF($BD$6:$BD$2000,$BD385,$J$6:$J$2000))</f>
        <v/>
      </c>
    </row>
    <row r="386" ht="19.5" customHeight="1">
      <c r="A386" s="96" t="inlineStr">
        <is>
          <t>PENDENTE</t>
        </is>
      </c>
      <c r="B386" s="26" t="inlineStr">
        <is>
          <t>RIACHUELO</t>
        </is>
      </c>
      <c r="C386" s="27" t="n">
        <v>457</v>
      </c>
      <c r="D386" s="26" t="inlineStr">
        <is>
          <t>UBERLANDIA CENTER SH CARTERS</t>
        </is>
      </c>
      <c r="E386" s="26" t="inlineStr">
        <is>
          <t>UBERLANDIA</t>
        </is>
      </c>
      <c r="F386" s="27" t="inlineStr">
        <is>
          <t>MG</t>
        </is>
      </c>
      <c r="G386" s="107" t="n">
        <v>46203</v>
      </c>
      <c r="H386" s="108">
        <f>IF($B386="","",SUM($K386:$AG386)+SUM($AS386:$BB386))</f>
        <v/>
      </c>
      <c r="I386" s="108">
        <f>IF($B386="","",SUM($AH386:$AL386))</f>
        <v/>
      </c>
      <c r="J386" s="109">
        <f>IF($B386="","",SUMPRODUCT($K386:$BB386,$K$2:$BB$2))</f>
        <v/>
      </c>
      <c r="K386" s="110" t="n">
        <v>2</v>
      </c>
      <c r="L386" s="110" t="n"/>
      <c r="M386" s="110" t="n">
        <v>1</v>
      </c>
      <c r="N386" s="110" t="n"/>
      <c r="O386" s="110" t="n"/>
      <c r="P386" s="110" t="n"/>
      <c r="Q386" s="110" t="n"/>
      <c r="R386" s="110" t="n"/>
      <c r="S386" s="110" t="n"/>
      <c r="T386" s="110" t="n"/>
      <c r="U386" s="110" t="n"/>
      <c r="V386" s="110" t="n"/>
      <c r="W386" s="110" t="n"/>
      <c r="X386" s="110" t="n"/>
      <c r="Y386" s="110" t="n"/>
      <c r="Z386" s="110" t="n"/>
      <c r="AA386" s="110" t="n">
        <v>2</v>
      </c>
      <c r="AB386" s="110" t="n"/>
      <c r="AC386" s="110" t="n"/>
      <c r="AD386" s="110" t="n"/>
      <c r="AE386" s="110" t="n"/>
      <c r="AF386" s="110" t="n"/>
      <c r="AG386" s="110" t="n"/>
      <c r="AH386" s="110" t="n"/>
      <c r="AI386" s="110" t="n"/>
      <c r="AJ386" s="110" t="n"/>
      <c r="AK386" s="110" t="n"/>
      <c r="AL386" s="110" t="n"/>
      <c r="AM386" s="110" t="n"/>
      <c r="AN386" s="110" t="n"/>
      <c r="AO386" s="110" t="n"/>
      <c r="AP386" s="110" t="n"/>
      <c r="AQ386" s="110" t="n"/>
      <c r="AR386" s="110" t="n"/>
      <c r="AS386" s="110" t="n"/>
      <c r="AT386" s="110" t="n"/>
      <c r="AU386" s="110" t="n"/>
      <c r="AV386" s="110" t="n"/>
      <c r="AW386" s="110" t="n"/>
      <c r="AX386" s="110" t="n"/>
      <c r="AY386" s="110" t="n"/>
      <c r="AZ386" s="110" t="n"/>
      <c r="BA386" s="110" t="n"/>
      <c r="BB386" s="110" t="n"/>
      <c r="BC386" t="inlineStr">
        <is>
          <t>ORIGINAL</t>
        </is>
      </c>
      <c r="BD386" t="n">
        <v>377</v>
      </c>
      <c r="BF386" s="109">
        <f>IF($BD386="","",SUMIF($BD$6:$BD$2000,$BD386,$J$6:$J$2000))</f>
        <v/>
      </c>
    </row>
    <row r="387" ht="19.5" customHeight="1">
      <c r="A387" s="96" t="inlineStr">
        <is>
          <t>PENDENTE</t>
        </is>
      </c>
      <c r="B387" s="26" t="inlineStr">
        <is>
          <t>RIACHUELO</t>
        </is>
      </c>
      <c r="C387" s="27" t="n">
        <v>458</v>
      </c>
      <c r="D387" s="26" t="inlineStr">
        <is>
          <t>SHOPPING CARTERS</t>
        </is>
      </c>
      <c r="E387" s="26" t="inlineStr">
        <is>
          <t>CAMPO GRANDE</t>
        </is>
      </c>
      <c r="F387" s="27" t="inlineStr">
        <is>
          <t>MS</t>
        </is>
      </c>
      <c r="G387" s="107" t="n">
        <v>46235</v>
      </c>
      <c r="H387" s="108">
        <f>IF($B387="","",SUM($K387:$AG387)+SUM($AS387:$BB387))</f>
        <v/>
      </c>
      <c r="I387" s="108">
        <f>IF($B387="","",SUM($AH387:$AL387))</f>
        <v/>
      </c>
      <c r="J387" s="109">
        <f>IF($B387="","",SUMPRODUCT($K387:$BB387,$K$2:$BB$2))</f>
        <v/>
      </c>
      <c r="K387" s="110" t="n">
        <v>1</v>
      </c>
      <c r="L387" s="110" t="n"/>
      <c r="M387" s="110" t="n"/>
      <c r="N387" s="110" t="n"/>
      <c r="O387" s="110" t="n"/>
      <c r="P387" s="110" t="n"/>
      <c r="Q387" s="110" t="n"/>
      <c r="R387" s="110" t="n"/>
      <c r="S387" s="110" t="n"/>
      <c r="T387" s="110" t="n"/>
      <c r="U387" s="110" t="n">
        <v>2</v>
      </c>
      <c r="V387" s="110" t="n"/>
      <c r="W387" s="110" t="n"/>
      <c r="X387" s="110" t="n"/>
      <c r="Y387" s="110" t="n"/>
      <c r="Z387" s="110" t="n"/>
      <c r="AA387" s="110" t="n"/>
      <c r="AB387" s="110" t="n"/>
      <c r="AC387" s="110" t="n"/>
      <c r="AD387" s="110" t="n"/>
      <c r="AE387" s="110" t="n"/>
      <c r="AF387" s="110" t="n"/>
      <c r="AG387" s="110" t="n"/>
      <c r="AH387" s="110" t="n"/>
      <c r="AI387" s="110" t="n"/>
      <c r="AJ387" s="110" t="n"/>
      <c r="AK387" s="110" t="n"/>
      <c r="AL387" s="110" t="n"/>
      <c r="AM387" s="110" t="n"/>
      <c r="AN387" s="110" t="n"/>
      <c r="AO387" s="110" t="n"/>
      <c r="AP387" s="110" t="n"/>
      <c r="AQ387" s="110" t="n"/>
      <c r="AR387" s="110" t="n"/>
      <c r="AS387" s="110" t="n"/>
      <c r="AT387" s="110" t="n"/>
      <c r="AU387" s="110" t="n"/>
      <c r="AV387" s="110" t="n"/>
      <c r="AW387" s="110" t="n"/>
      <c r="AX387" s="110" t="n"/>
      <c r="AY387" s="110" t="n"/>
      <c r="AZ387" s="110" t="n"/>
      <c r="BA387" s="110" t="n"/>
      <c r="BB387" s="110" t="n"/>
      <c r="BC387" t="inlineStr">
        <is>
          <t>ORIGINAL</t>
        </is>
      </c>
      <c r="BD387" t="n">
        <v>378</v>
      </c>
      <c r="BF387" s="109">
        <f>IF($BD387="","",SUMIF($BD$6:$BD$2000,$BD387,$J$6:$J$2000))</f>
        <v/>
      </c>
    </row>
    <row r="388" ht="19.5" customHeight="1">
      <c r="A388" s="96" t="inlineStr">
        <is>
          <t>PENDENTE</t>
        </is>
      </c>
      <c r="B388" s="26" t="inlineStr">
        <is>
          <t>RIACHUELO</t>
        </is>
      </c>
      <c r="C388" s="27" t="n">
        <v>459</v>
      </c>
      <c r="D388" s="26" t="inlineStr">
        <is>
          <t>SANTOS PRAIAMAR SH CARTERS</t>
        </is>
      </c>
      <c r="E388" s="26" t="inlineStr">
        <is>
          <t>SÃO PAULO</t>
        </is>
      </c>
      <c r="F388" s="27" t="inlineStr">
        <is>
          <t>SP</t>
        </is>
      </c>
      <c r="G388" s="107" t="n">
        <v>46235</v>
      </c>
      <c r="H388" s="108">
        <f>IF($B388="","",SUM($K388:$AG388)+SUM($AS388:$BB388))</f>
        <v/>
      </c>
      <c r="I388" s="108">
        <f>IF($B388="","",SUM($AH388:$AL388))</f>
        <v/>
      </c>
      <c r="J388" s="109">
        <f>IF($B388="","",SUMPRODUCT($K388:$BB388,$K$2:$BB$2))</f>
        <v/>
      </c>
      <c r="K388" s="110" t="n">
        <v>3</v>
      </c>
      <c r="L388" s="110" t="n"/>
      <c r="M388" s="110" t="n">
        <v>2</v>
      </c>
      <c r="N388" s="110" t="n"/>
      <c r="O388" s="110" t="n"/>
      <c r="P388" s="110" t="n"/>
      <c r="Q388" s="110" t="n"/>
      <c r="R388" s="110" t="n"/>
      <c r="S388" s="110" t="n"/>
      <c r="T388" s="110" t="n"/>
      <c r="U388" s="110" t="n"/>
      <c r="V388" s="110" t="n"/>
      <c r="W388" s="110" t="n"/>
      <c r="X388" s="110" t="n"/>
      <c r="Y388" s="110" t="n"/>
      <c r="Z388" s="110" t="n"/>
      <c r="AA388" s="110" t="n">
        <v>2</v>
      </c>
      <c r="AB388" s="110" t="n"/>
      <c r="AC388" s="110" t="n"/>
      <c r="AD388" s="110" t="n"/>
      <c r="AE388" s="110" t="n"/>
      <c r="AF388" s="110" t="n"/>
      <c r="AG388" s="110" t="n"/>
      <c r="AH388" s="110" t="n"/>
      <c r="AI388" s="110" t="n"/>
      <c r="AJ388" s="110" t="n"/>
      <c r="AK388" s="110" t="n"/>
      <c r="AL388" s="110" t="n"/>
      <c r="AM388" s="110" t="n"/>
      <c r="AN388" s="110" t="n"/>
      <c r="AO388" s="110" t="n"/>
      <c r="AP388" s="110" t="n"/>
      <c r="AQ388" s="110" t="n"/>
      <c r="AR388" s="110" t="n"/>
      <c r="AS388" s="110" t="n"/>
      <c r="AT388" s="110" t="n"/>
      <c r="AU388" s="110" t="n"/>
      <c r="AV388" s="110" t="n"/>
      <c r="AW388" s="110" t="n"/>
      <c r="AX388" s="110" t="n"/>
      <c r="AY388" s="110" t="n"/>
      <c r="AZ388" s="110" t="n"/>
      <c r="BA388" s="110" t="n"/>
      <c r="BB388" s="110" t="n"/>
      <c r="BC388" t="inlineStr">
        <is>
          <t>ORIGINAL</t>
        </is>
      </c>
      <c r="BD388" t="n">
        <v>379</v>
      </c>
      <c r="BF388" s="109">
        <f>IF($BD388="","",SUMIF($BD$6:$BD$2000,$BD388,$J$6:$J$2000))</f>
        <v/>
      </c>
    </row>
    <row r="389" ht="19.5" customHeight="1">
      <c r="A389" s="96" t="inlineStr">
        <is>
          <t>PENDENTE</t>
        </is>
      </c>
      <c r="B389" s="26" t="inlineStr">
        <is>
          <t>RIACHUELO</t>
        </is>
      </c>
      <c r="C389" s="27" t="n">
        <v>351</v>
      </c>
      <c r="D389" s="26" t="inlineStr">
        <is>
          <t>PASSO FUNDO</t>
        </is>
      </c>
      <c r="E389" s="26" t="inlineStr">
        <is>
          <t>PASSO FUNDO</t>
        </is>
      </c>
      <c r="F389" s="27" t="inlineStr">
        <is>
          <t>RS</t>
        </is>
      </c>
      <c r="G389" s="107" t="n">
        <v>46266</v>
      </c>
      <c r="H389" s="108">
        <f>IF($B389="","",SUM($K389:$AG389)+SUM($AS389:$BB389))</f>
        <v/>
      </c>
      <c r="I389" s="108">
        <f>IF($B389="","",SUM($AH389:$AL389))</f>
        <v/>
      </c>
      <c r="J389" s="109">
        <f>IF($B389="","",SUMPRODUCT($K389:$BB389,$K$2:$BB$2))</f>
        <v/>
      </c>
      <c r="K389" s="110" t="n"/>
      <c r="L389" s="110" t="n"/>
      <c r="M389" s="110" t="n"/>
      <c r="N389" s="110" t="n"/>
      <c r="O389" s="110" t="n"/>
      <c r="P389" s="110" t="n"/>
      <c r="Q389" s="110" t="n"/>
      <c r="R389" s="110" t="n"/>
      <c r="S389" s="110" t="n"/>
      <c r="T389" s="110" t="n">
        <v>12</v>
      </c>
      <c r="U389" s="110" t="n"/>
      <c r="V389" s="110" t="n"/>
      <c r="W389" s="110" t="n"/>
      <c r="X389" s="110" t="n"/>
      <c r="Y389" s="110" t="n"/>
      <c r="Z389" s="110" t="n"/>
      <c r="AA389" s="110" t="n">
        <v>1</v>
      </c>
      <c r="AB389" s="110" t="n"/>
      <c r="AC389" s="110" t="n"/>
      <c r="AD389" s="110" t="n"/>
      <c r="AE389" s="110" t="n"/>
      <c r="AF389" s="110" t="n"/>
      <c r="AG389" s="110" t="n"/>
      <c r="AH389" s="110" t="n">
        <v>12</v>
      </c>
      <c r="AI389" s="110" t="n"/>
      <c r="AJ389" s="110" t="n"/>
      <c r="AK389" s="110" t="n"/>
      <c r="AL389" s="110" t="n"/>
      <c r="AM389" s="110" t="n"/>
      <c r="AN389" s="110" t="n"/>
      <c r="AO389" s="110" t="n"/>
      <c r="AP389" s="110" t="n"/>
      <c r="AQ389" s="110" t="n"/>
      <c r="AR389" s="110" t="n"/>
      <c r="AS389" s="110" t="n"/>
      <c r="AT389" s="110" t="n"/>
      <c r="AU389" s="110" t="n"/>
      <c r="AV389" s="110" t="n"/>
      <c r="AW389" s="110" t="n"/>
      <c r="AX389" s="110" t="n"/>
      <c r="AY389" s="110" t="n"/>
      <c r="AZ389" s="110" t="n"/>
      <c r="BA389" s="110" t="n"/>
      <c r="BB389" s="110" t="n"/>
      <c r="BC389" t="inlineStr">
        <is>
          <t>ORIGINAL</t>
        </is>
      </c>
      <c r="BD389" t="n">
        <v>380</v>
      </c>
      <c r="BF389" s="109">
        <f>IF($BD389="","",SUMIF($BD$6:$BD$2000,$BD389,$J$6:$J$2000))</f>
        <v/>
      </c>
    </row>
    <row r="390" ht="19.5" customHeight="1">
      <c r="A390" s="96" t="inlineStr">
        <is>
          <t>PENDENTE</t>
        </is>
      </c>
      <c r="B390" s="26" t="inlineStr">
        <is>
          <t>RIACHUELO</t>
        </is>
      </c>
      <c r="C390" s="27" t="n">
        <v>461</v>
      </c>
      <c r="D390" s="26" t="inlineStr">
        <is>
          <t xml:space="preserve">LONDRINA CATUAÍ SH [CARTER'S] </t>
        </is>
      </c>
      <c r="E390" s="26" t="inlineStr">
        <is>
          <t>LONDRINA</t>
        </is>
      </c>
      <c r="F390" s="27" t="inlineStr">
        <is>
          <t>PR</t>
        </is>
      </c>
      <c r="G390" s="107" t="n">
        <v>46419</v>
      </c>
      <c r="H390" s="108">
        <f>IF($B390="","",SUM($K390:$AG390)+SUM($AS390:$BB390))</f>
        <v/>
      </c>
      <c r="I390" s="108">
        <f>IF($B390="","",SUM($AH390:$AL390))</f>
        <v/>
      </c>
      <c r="J390" s="109">
        <f>IF($B390="","",SUMPRODUCT($K390:$BB390,$K$2:$BB$2))</f>
        <v/>
      </c>
      <c r="K390" s="110" t="n"/>
      <c r="L390" s="110" t="n"/>
      <c r="M390" s="110" t="n"/>
      <c r="N390" s="110" t="n">
        <v>2</v>
      </c>
      <c r="O390" s="110" t="n"/>
      <c r="P390" s="110" t="n"/>
      <c r="Q390" s="110" t="n"/>
      <c r="R390" s="110" t="n"/>
      <c r="S390" s="110" t="n"/>
      <c r="T390" s="110" t="n"/>
      <c r="U390" s="110" t="n"/>
      <c r="V390" s="110" t="n"/>
      <c r="W390" s="110" t="n"/>
      <c r="X390" s="110" t="n"/>
      <c r="Y390" s="110" t="n"/>
      <c r="Z390" s="110" t="n"/>
      <c r="AA390" s="110" t="n">
        <v>2</v>
      </c>
      <c r="AB390" s="110" t="n"/>
      <c r="AC390" s="110" t="n"/>
      <c r="AD390" s="110" t="n"/>
      <c r="AE390" s="110" t="n"/>
      <c r="AF390" s="110" t="n"/>
      <c r="AG390" s="110" t="n"/>
      <c r="AH390" s="110" t="n"/>
      <c r="AI390" s="110" t="n"/>
      <c r="AJ390" s="110" t="n"/>
      <c r="AK390" s="110" t="n"/>
      <c r="AL390" s="110" t="n"/>
      <c r="AM390" s="110" t="n"/>
      <c r="AN390" s="110" t="n"/>
      <c r="AO390" s="110" t="n"/>
      <c r="AP390" s="110" t="n"/>
      <c r="AQ390" s="110" t="n"/>
      <c r="AR390" s="110" t="n"/>
      <c r="AS390" s="110" t="n"/>
      <c r="AT390" s="110" t="n"/>
      <c r="AU390" s="110" t="n"/>
      <c r="AV390" s="110" t="n"/>
      <c r="AW390" s="110" t="n"/>
      <c r="AX390" s="110" t="n"/>
      <c r="AY390" s="110" t="n"/>
      <c r="AZ390" s="110" t="n"/>
      <c r="BA390" s="110" t="n"/>
      <c r="BB390" s="110" t="n"/>
      <c r="BC390" t="inlineStr">
        <is>
          <t>ORIGINAL</t>
        </is>
      </c>
      <c r="BD390" t="n">
        <v>381</v>
      </c>
      <c r="BF390" s="109">
        <f>IF($BD390="","",SUMIF($BD$6:$BD$2000,$BD390,$J$6:$J$2000))</f>
        <v/>
      </c>
    </row>
    <row r="391" ht="19.5" customHeight="1">
      <c r="A391" s="96" t="inlineStr">
        <is>
          <t>PENDENTE</t>
        </is>
      </c>
      <c r="B391" s="26" t="inlineStr">
        <is>
          <t>RIACHUELO</t>
        </is>
      </c>
      <c r="C391" s="27" t="n">
        <v>462</v>
      </c>
      <c r="D391" s="26" t="inlineStr">
        <is>
          <t>ARACAJÚ JARDINS SH [CARTER'S]</t>
        </is>
      </c>
      <c r="E391" s="26" t="inlineStr">
        <is>
          <t>ARACAJU</t>
        </is>
      </c>
      <c r="F391" s="27" t="inlineStr">
        <is>
          <t>SE</t>
        </is>
      </c>
      <c r="G391" s="107" t="n">
        <v>46235</v>
      </c>
      <c r="H391" s="108">
        <f>IF($B391="","",SUM($K391:$AG391)+SUM($AS391:$BB391))</f>
        <v/>
      </c>
      <c r="I391" s="108">
        <f>IF($B391="","",SUM($AH391:$AL391))</f>
        <v/>
      </c>
      <c r="J391" s="109">
        <f>IF($B391="","",SUMPRODUCT($K391:$BB391,$K$2:$BB$2))</f>
        <v/>
      </c>
      <c r="K391" s="110" t="n"/>
      <c r="L391" s="110" t="n"/>
      <c r="M391" s="110" t="n"/>
      <c r="N391" s="110" t="n"/>
      <c r="O391" s="110" t="n"/>
      <c r="P391" s="110" t="n"/>
      <c r="Q391" s="110" t="n"/>
      <c r="R391" s="110" t="n"/>
      <c r="S391" s="110" t="n"/>
      <c r="T391" s="110" t="n">
        <v>4</v>
      </c>
      <c r="U391" s="110" t="n"/>
      <c r="V391" s="110" t="n"/>
      <c r="W391" s="110" t="n"/>
      <c r="X391" s="110" t="n"/>
      <c r="Y391" s="110" t="n"/>
      <c r="Z391" s="110" t="n"/>
      <c r="AA391" s="110" t="n"/>
      <c r="AB391" s="110" t="n"/>
      <c r="AC391" s="110" t="n"/>
      <c r="AD391" s="110" t="n"/>
      <c r="AE391" s="110" t="n"/>
      <c r="AF391" s="110" t="n"/>
      <c r="AG391" s="110" t="n"/>
      <c r="AH391" s="110" t="n"/>
      <c r="AI391" s="110" t="n"/>
      <c r="AJ391" s="110" t="n"/>
      <c r="AK391" s="110" t="n"/>
      <c r="AL391" s="110" t="n"/>
      <c r="AM391" s="110" t="n"/>
      <c r="AN391" s="110" t="n"/>
      <c r="AO391" s="110" t="n"/>
      <c r="AP391" s="110" t="n"/>
      <c r="AQ391" s="110" t="n"/>
      <c r="AR391" s="110" t="n"/>
      <c r="AS391" s="110" t="n"/>
      <c r="AT391" s="110" t="n"/>
      <c r="AU391" s="110" t="n"/>
      <c r="AV391" s="110" t="n"/>
      <c r="AW391" s="110" t="n"/>
      <c r="AX391" s="110" t="n"/>
      <c r="AY391" s="110" t="n"/>
      <c r="AZ391" s="110" t="n"/>
      <c r="BA391" s="110" t="n"/>
      <c r="BB391" s="110" t="n"/>
      <c r="BC391" t="inlineStr">
        <is>
          <t>ORIGINAL</t>
        </is>
      </c>
      <c r="BD391" t="n">
        <v>382</v>
      </c>
      <c r="BF391" s="109">
        <f>IF($BD391="","",SUMIF($BD$6:$BD$2000,$BD391,$J$6:$J$2000))</f>
        <v/>
      </c>
    </row>
    <row r="392" ht="19.5" customHeight="1">
      <c r="A392" s="96" t="inlineStr">
        <is>
          <t>PENDENTE</t>
        </is>
      </c>
      <c r="B392" s="26" t="inlineStr">
        <is>
          <t>RIACHUELO</t>
        </is>
      </c>
      <c r="C392" s="27" t="n">
        <v>463</v>
      </c>
      <c r="D392" s="26" t="inlineStr">
        <is>
          <t>JK IGUATEMI SH CARTERS</t>
        </is>
      </c>
      <c r="E392" s="26" t="inlineStr">
        <is>
          <t>SÃO PAULO</t>
        </is>
      </c>
      <c r="F392" s="27" t="inlineStr">
        <is>
          <t>SP</t>
        </is>
      </c>
      <c r="G392" s="107" t="n">
        <v>46204</v>
      </c>
      <c r="H392" s="108">
        <f>IF($B392="","",SUM($K392:$AG392)+SUM($AS392:$BB392))</f>
        <v/>
      </c>
      <c r="I392" s="108">
        <f>IF($B392="","",SUM($AH392:$AL392))</f>
        <v/>
      </c>
      <c r="J392" s="109">
        <f>IF($B392="","",SUMPRODUCT($K392:$BB392,$K$2:$BB$2))</f>
        <v/>
      </c>
      <c r="K392" s="110" t="n">
        <v>1</v>
      </c>
      <c r="L392" s="110" t="n"/>
      <c r="M392" s="110" t="n">
        <v>1</v>
      </c>
      <c r="N392" s="110" t="n"/>
      <c r="O392" s="110" t="n"/>
      <c r="P392" s="110" t="n"/>
      <c r="Q392" s="110" t="n"/>
      <c r="R392" s="110" t="n"/>
      <c r="S392" s="110" t="n"/>
      <c r="T392" s="110" t="n"/>
      <c r="U392" s="110" t="n"/>
      <c r="V392" s="110" t="n"/>
      <c r="W392" s="110" t="n"/>
      <c r="X392" s="110" t="n"/>
      <c r="Y392" s="110" t="n"/>
      <c r="Z392" s="110" t="n"/>
      <c r="AA392" s="110" t="n">
        <v>2</v>
      </c>
      <c r="AB392" s="110" t="n"/>
      <c r="AC392" s="110" t="n"/>
      <c r="AD392" s="110" t="n"/>
      <c r="AE392" s="110" t="n"/>
      <c r="AF392" s="110" t="n"/>
      <c r="AG392" s="110" t="n"/>
      <c r="AH392" s="110" t="n"/>
      <c r="AI392" s="110" t="n"/>
      <c r="AJ392" s="110" t="n"/>
      <c r="AK392" s="110" t="n"/>
      <c r="AL392" s="110" t="n"/>
      <c r="AM392" s="110" t="n"/>
      <c r="AN392" s="110" t="n"/>
      <c r="AO392" s="110" t="n"/>
      <c r="AP392" s="110" t="n"/>
      <c r="AQ392" s="110" t="n"/>
      <c r="AR392" s="110" t="n"/>
      <c r="AS392" s="110" t="n"/>
      <c r="AT392" s="110" t="n"/>
      <c r="AU392" s="110" t="n"/>
      <c r="AV392" s="110" t="n"/>
      <c r="AW392" s="110" t="n"/>
      <c r="AX392" s="110" t="n"/>
      <c r="AY392" s="110" t="n"/>
      <c r="AZ392" s="110" t="n"/>
      <c r="BA392" s="110" t="n"/>
      <c r="BB392" s="110" t="n"/>
      <c r="BC392" t="inlineStr">
        <is>
          <t>ORIGINAL</t>
        </is>
      </c>
      <c r="BD392" t="n">
        <v>383</v>
      </c>
      <c r="BF392" s="109">
        <f>IF($BD392="","",SUMIF($BD$6:$BD$2000,$BD392,$J$6:$J$2000))</f>
        <v/>
      </c>
    </row>
    <row r="393" ht="19.5" customHeight="1">
      <c r="A393" s="96" t="inlineStr">
        <is>
          <t>PENDENTE</t>
        </is>
      </c>
      <c r="B393" s="26" t="inlineStr">
        <is>
          <t>RIACHUELO</t>
        </is>
      </c>
      <c r="C393" s="27" t="n">
        <v>464</v>
      </c>
      <c r="D393" s="26" t="inlineStr">
        <is>
          <t>PÁTIO PAULISTA SH CARTERS</t>
        </is>
      </c>
      <c r="E393" s="26" t="inlineStr">
        <is>
          <t>SÃO PAULO</t>
        </is>
      </c>
      <c r="F393" s="27" t="inlineStr">
        <is>
          <t>SP</t>
        </is>
      </c>
      <c r="G393" s="107" t="n">
        <v>46388</v>
      </c>
      <c r="H393" s="108">
        <f>IF($B393="","",SUM($K393:$AG393)+SUM($AS393:$BB393))</f>
        <v/>
      </c>
      <c r="I393" s="108">
        <f>IF($B393="","",SUM($AH393:$AL393))</f>
        <v/>
      </c>
      <c r="J393" s="109">
        <f>IF($B393="","",SUMPRODUCT($K393:$BB393,$K$2:$BB$2))</f>
        <v/>
      </c>
      <c r="K393" s="110" t="n">
        <v>3</v>
      </c>
      <c r="L393" s="110" t="n"/>
      <c r="M393" s="110" t="n">
        <v>3</v>
      </c>
      <c r="N393" s="110" t="n">
        <v>1</v>
      </c>
      <c r="O393" s="110" t="n"/>
      <c r="P393" s="110" t="n"/>
      <c r="Q393" s="110" t="n"/>
      <c r="R393" s="110" t="n"/>
      <c r="S393" s="110" t="n"/>
      <c r="T393" s="110" t="n"/>
      <c r="U393" s="110" t="n"/>
      <c r="V393" s="110" t="n"/>
      <c r="W393" s="110" t="n"/>
      <c r="X393" s="110" t="n"/>
      <c r="Y393" s="110" t="n"/>
      <c r="Z393" s="110" t="n"/>
      <c r="AA393" s="110" t="n">
        <v>1</v>
      </c>
      <c r="AB393" s="110" t="n"/>
      <c r="AC393" s="110" t="n"/>
      <c r="AD393" s="110" t="n"/>
      <c r="AE393" s="110" t="n"/>
      <c r="AF393" s="110" t="n"/>
      <c r="AG393" s="110" t="n"/>
      <c r="AH393" s="110" t="n"/>
      <c r="AI393" s="110" t="n"/>
      <c r="AJ393" s="110" t="n"/>
      <c r="AK393" s="110" t="n"/>
      <c r="AL393" s="110" t="n"/>
      <c r="AM393" s="110" t="n"/>
      <c r="AN393" s="110" t="n"/>
      <c r="AO393" s="110" t="n"/>
      <c r="AP393" s="110" t="n"/>
      <c r="AQ393" s="110" t="n"/>
      <c r="AR393" s="110" t="n"/>
      <c r="AS393" s="110" t="n"/>
      <c r="AT393" s="110" t="n"/>
      <c r="AU393" s="110" t="n"/>
      <c r="AV393" s="110" t="n"/>
      <c r="AW393" s="110" t="n"/>
      <c r="AX393" s="110" t="n"/>
      <c r="AY393" s="110" t="n"/>
      <c r="AZ393" s="110" t="n"/>
      <c r="BA393" s="110" t="n"/>
      <c r="BB393" s="110" t="n"/>
      <c r="BC393" t="inlineStr">
        <is>
          <t>ORIGINAL</t>
        </is>
      </c>
      <c r="BD393" t="n">
        <v>384</v>
      </c>
      <c r="BF393" s="109">
        <f>IF($BD393="","",SUMIF($BD$6:$BD$2000,$BD393,$J$6:$J$2000))</f>
        <v/>
      </c>
    </row>
    <row r="394" ht="19.5" customHeight="1">
      <c r="A394" s="96" t="inlineStr">
        <is>
          <t>PENDENTE</t>
        </is>
      </c>
      <c r="B394" s="26" t="inlineStr">
        <is>
          <t>RIACHUELO</t>
        </is>
      </c>
      <c r="C394" s="27" t="n">
        <v>465</v>
      </c>
      <c r="D394" s="26" t="inlineStr">
        <is>
          <t>CIDADE JARDIM SH [CARTER'S]</t>
        </is>
      </c>
      <c r="E394" s="26" t="inlineStr">
        <is>
          <t>SÃO PAULO</t>
        </is>
      </c>
      <c r="F394" s="27" t="inlineStr">
        <is>
          <t>SP</t>
        </is>
      </c>
      <c r="G394" s="107" t="n">
        <v>46388</v>
      </c>
      <c r="H394" s="108">
        <f>IF($B394="","",SUM($K394:$AG394)+SUM($AS394:$BB394))</f>
        <v/>
      </c>
      <c r="I394" s="108">
        <f>IF($B394="","",SUM($AH394:$AL394))</f>
        <v/>
      </c>
      <c r="J394" s="109">
        <f>IF($B394="","",SUMPRODUCT($K394:$BB394,$K$2:$BB$2))</f>
        <v/>
      </c>
      <c r="K394" s="110" t="n">
        <v>1</v>
      </c>
      <c r="L394" s="110" t="n"/>
      <c r="M394" s="110" t="n">
        <v>2</v>
      </c>
      <c r="N394" s="110" t="n"/>
      <c r="O394" s="110" t="n"/>
      <c r="P394" s="110" t="n"/>
      <c r="Q394" s="110" t="n"/>
      <c r="R394" s="110" t="n"/>
      <c r="S394" s="110" t="n"/>
      <c r="T394" s="110" t="n"/>
      <c r="U394" s="110" t="n"/>
      <c r="V394" s="110" t="n"/>
      <c r="W394" s="110" t="n"/>
      <c r="X394" s="110" t="n"/>
      <c r="Y394" s="110" t="n"/>
      <c r="Z394" s="110" t="n"/>
      <c r="AA394" s="110" t="n">
        <v>1</v>
      </c>
      <c r="AB394" s="110" t="n"/>
      <c r="AC394" s="110" t="n"/>
      <c r="AD394" s="110" t="n"/>
      <c r="AE394" s="110" t="n"/>
      <c r="AF394" s="110" t="n"/>
      <c r="AG394" s="110" t="n"/>
      <c r="AH394" s="110" t="n"/>
      <c r="AI394" s="110" t="n"/>
      <c r="AJ394" s="110" t="n"/>
      <c r="AK394" s="110" t="n"/>
      <c r="AL394" s="110" t="n"/>
      <c r="AM394" s="110" t="n"/>
      <c r="AN394" s="110" t="n"/>
      <c r="AO394" s="110" t="n"/>
      <c r="AP394" s="110" t="n"/>
      <c r="AQ394" s="110" t="n"/>
      <c r="AR394" s="110" t="n"/>
      <c r="AS394" s="110" t="n"/>
      <c r="AT394" s="110" t="n"/>
      <c r="AU394" s="110" t="n"/>
      <c r="AV394" s="110" t="n"/>
      <c r="AW394" s="110" t="n"/>
      <c r="AX394" s="110" t="n"/>
      <c r="AY394" s="110" t="n"/>
      <c r="AZ394" s="110" t="n"/>
      <c r="BA394" s="110" t="n"/>
      <c r="BB394" s="110" t="n"/>
      <c r="BC394" t="inlineStr">
        <is>
          <t>ORIGINAL</t>
        </is>
      </c>
      <c r="BD394" t="n">
        <v>385</v>
      </c>
      <c r="BF394" s="109">
        <f>IF($BD394="","",SUMIF($BD$6:$BD$2000,$BD394,$J$6:$J$2000))</f>
        <v/>
      </c>
    </row>
    <row r="395" ht="19.5" customHeight="1">
      <c r="A395" s="96" t="inlineStr">
        <is>
          <t>PENDENTE</t>
        </is>
      </c>
      <c r="B395" s="26" t="inlineStr">
        <is>
          <t>RIACHUELO</t>
        </is>
      </c>
      <c r="C395" s="27" t="n">
        <v>466</v>
      </c>
      <c r="D395" s="26" t="inlineStr">
        <is>
          <t>TAMBORÉ SH CARTERS</t>
        </is>
      </c>
      <c r="E395" s="26" t="inlineStr">
        <is>
          <t>SÃO PAULO</t>
        </is>
      </c>
      <c r="F395" s="27" t="inlineStr">
        <is>
          <t>SP</t>
        </is>
      </c>
      <c r="G395" s="107" t="n">
        <v>46235</v>
      </c>
      <c r="H395" s="108">
        <f>IF($B395="","",SUM($K395:$AG395)+SUM($AS395:$BB395))</f>
        <v/>
      </c>
      <c r="I395" s="108">
        <f>IF($B395="","",SUM($AH395:$AL395))</f>
        <v/>
      </c>
      <c r="J395" s="109">
        <f>IF($B395="","",SUMPRODUCT($K395:$BB395,$K$2:$BB$2))</f>
        <v/>
      </c>
      <c r="K395" s="110" t="n">
        <v>1</v>
      </c>
      <c r="L395" s="110" t="n"/>
      <c r="M395" s="110" t="n"/>
      <c r="N395" s="110" t="n">
        <v>2</v>
      </c>
      <c r="O395" s="110" t="n"/>
      <c r="P395" s="110" t="n"/>
      <c r="Q395" s="110" t="n"/>
      <c r="R395" s="110" t="n"/>
      <c r="S395" s="110" t="n"/>
      <c r="T395" s="110" t="n"/>
      <c r="U395" s="110" t="n"/>
      <c r="V395" s="110" t="n"/>
      <c r="W395" s="110" t="n"/>
      <c r="X395" s="110" t="n"/>
      <c r="Y395" s="110" t="n"/>
      <c r="Z395" s="110" t="n"/>
      <c r="AA395" s="110" t="n"/>
      <c r="AB395" s="110" t="n"/>
      <c r="AC395" s="110" t="n"/>
      <c r="AD395" s="110" t="n"/>
      <c r="AE395" s="110" t="n"/>
      <c r="AF395" s="110" t="n"/>
      <c r="AG395" s="110" t="n"/>
      <c r="AH395" s="110" t="n"/>
      <c r="AI395" s="110" t="n"/>
      <c r="AJ395" s="110" t="n"/>
      <c r="AK395" s="110" t="n"/>
      <c r="AL395" s="110" t="n"/>
      <c r="AM395" s="110" t="n"/>
      <c r="AN395" s="110" t="n"/>
      <c r="AO395" s="110" t="n"/>
      <c r="AP395" s="110" t="n"/>
      <c r="AQ395" s="110" t="n"/>
      <c r="AR395" s="110" t="n"/>
      <c r="AS395" s="110" t="n"/>
      <c r="AT395" s="110" t="n"/>
      <c r="AU395" s="110" t="n"/>
      <c r="AV395" s="110" t="n"/>
      <c r="AW395" s="110" t="n"/>
      <c r="AX395" s="110" t="n"/>
      <c r="AY395" s="110" t="n"/>
      <c r="AZ395" s="110" t="n"/>
      <c r="BA395" s="110" t="n"/>
      <c r="BB395" s="110" t="n"/>
      <c r="BC395" t="inlineStr">
        <is>
          <t>ORIGINAL</t>
        </is>
      </c>
      <c r="BD395" t="n">
        <v>386</v>
      </c>
      <c r="BF395" s="109">
        <f>IF($BD395="","",SUMIF($BD$6:$BD$2000,$BD395,$J$6:$J$2000))</f>
        <v/>
      </c>
    </row>
    <row r="396" ht="19.5" customHeight="1">
      <c r="A396" s="96" t="inlineStr">
        <is>
          <t>PENDENTE</t>
        </is>
      </c>
      <c r="B396" s="26" t="inlineStr">
        <is>
          <t>RIACHUELO</t>
        </is>
      </c>
      <c r="C396" s="27" t="n">
        <v>467</v>
      </c>
      <c r="D396" s="26" t="inlineStr">
        <is>
          <t>LEBLON SH [CARTER'S]</t>
        </is>
      </c>
      <c r="E396" s="26" t="inlineStr">
        <is>
          <t>RIO DE JANEIRO</t>
        </is>
      </c>
      <c r="F396" s="27" t="inlineStr">
        <is>
          <t>RJ</t>
        </is>
      </c>
      <c r="G396" s="107" t="n">
        <v>46388</v>
      </c>
      <c r="H396" s="108">
        <f>IF($B396="","",SUM($K396:$AG396)+SUM($AS396:$BB396))</f>
        <v/>
      </c>
      <c r="I396" s="108">
        <f>IF($B396="","",SUM($AH396:$AL396))</f>
        <v/>
      </c>
      <c r="J396" s="109">
        <f>IF($B396="","",SUMPRODUCT($K396:$BB396,$K$2:$BB$2))</f>
        <v/>
      </c>
      <c r="K396" s="110" t="n">
        <v>1</v>
      </c>
      <c r="L396" s="110" t="n"/>
      <c r="M396" s="110" t="n">
        <v>1</v>
      </c>
      <c r="N396" s="110" t="n"/>
      <c r="O396" s="110" t="n"/>
      <c r="P396" s="110" t="n"/>
      <c r="Q396" s="110" t="n"/>
      <c r="R396" s="110" t="n"/>
      <c r="S396" s="110" t="n"/>
      <c r="T396" s="110" t="n"/>
      <c r="U396" s="110" t="n"/>
      <c r="V396" s="110" t="n"/>
      <c r="W396" s="110" t="n"/>
      <c r="X396" s="110" t="n"/>
      <c r="Y396" s="110" t="n"/>
      <c r="Z396" s="110" t="n"/>
      <c r="AA396" s="110" t="n">
        <v>3</v>
      </c>
      <c r="AB396" s="110" t="n"/>
      <c r="AC396" s="110" t="n"/>
      <c r="AD396" s="110" t="n"/>
      <c r="AE396" s="110" t="n"/>
      <c r="AF396" s="110" t="n"/>
      <c r="AG396" s="110" t="n"/>
      <c r="AH396" s="110" t="n"/>
      <c r="AI396" s="110" t="n"/>
      <c r="AJ396" s="110" t="n"/>
      <c r="AK396" s="110" t="n"/>
      <c r="AL396" s="110" t="n"/>
      <c r="AM396" s="110" t="n"/>
      <c r="AN396" s="110" t="n"/>
      <c r="AO396" s="110" t="n"/>
      <c r="AP396" s="110" t="n"/>
      <c r="AQ396" s="110" t="n"/>
      <c r="AR396" s="110" t="n"/>
      <c r="AS396" s="110" t="n"/>
      <c r="AT396" s="110" t="n"/>
      <c r="AU396" s="110" t="n"/>
      <c r="AV396" s="110" t="n"/>
      <c r="AW396" s="110" t="n"/>
      <c r="AX396" s="110" t="n"/>
      <c r="AY396" s="110" t="n"/>
      <c r="AZ396" s="110" t="n"/>
      <c r="BA396" s="110" t="n"/>
      <c r="BB396" s="110" t="n"/>
      <c r="BC396" t="inlineStr">
        <is>
          <t>ORIGINAL</t>
        </is>
      </c>
      <c r="BD396" t="n">
        <v>387</v>
      </c>
      <c r="BF396" s="109">
        <f>IF($BD396="","",SUMIF($BD$6:$BD$2000,$BD396,$J$6:$J$2000))</f>
        <v/>
      </c>
    </row>
    <row r="397" ht="19.5" customHeight="1">
      <c r="A397" s="96" t="inlineStr">
        <is>
          <t>PENDENTE</t>
        </is>
      </c>
      <c r="B397" s="26" t="inlineStr">
        <is>
          <t>RIACHUELO</t>
        </is>
      </c>
      <c r="C397" s="27" t="n">
        <v>470</v>
      </c>
      <c r="D397" s="26" t="inlineStr">
        <is>
          <t>METRO TATUAPE SH FANLAB</t>
        </is>
      </c>
      <c r="E397" s="26" t="inlineStr">
        <is>
          <t>SÃO PAULO</t>
        </is>
      </c>
      <c r="F397" s="27" t="inlineStr">
        <is>
          <t>SP</t>
        </is>
      </c>
      <c r="G397" s="107" t="n">
        <v>46388</v>
      </c>
      <c r="H397" s="108">
        <f>IF($B397="","",SUM($K397:$AG397)+SUM($AS397:$BB397))</f>
        <v/>
      </c>
      <c r="I397" s="108">
        <f>IF($B397="","",SUM($AH397:$AL397))</f>
        <v/>
      </c>
      <c r="J397" s="109">
        <f>IF($B397="","",SUMPRODUCT($K397:$BB397,$K$2:$BB$2))</f>
        <v/>
      </c>
      <c r="K397" s="110" t="n">
        <v>1</v>
      </c>
      <c r="L397" s="110" t="n"/>
      <c r="M397" s="110" t="n">
        <v>2</v>
      </c>
      <c r="N397" s="110" t="n"/>
      <c r="O397" s="110" t="n"/>
      <c r="P397" s="110" t="n"/>
      <c r="Q397" s="110" t="n"/>
      <c r="R397" s="110" t="n"/>
      <c r="S397" s="110" t="n"/>
      <c r="T397" s="110" t="n"/>
      <c r="U397" s="110" t="n"/>
      <c r="V397" s="110" t="n"/>
      <c r="W397" s="110" t="n"/>
      <c r="X397" s="110" t="n"/>
      <c r="Y397" s="110" t="n"/>
      <c r="Z397" s="110" t="n"/>
      <c r="AA397" s="110" t="n">
        <v>1</v>
      </c>
      <c r="AB397" s="110" t="n"/>
      <c r="AC397" s="110" t="n"/>
      <c r="AD397" s="110" t="n"/>
      <c r="AE397" s="110" t="n"/>
      <c r="AF397" s="110" t="n"/>
      <c r="AG397" s="110" t="n"/>
      <c r="AH397" s="110" t="n"/>
      <c r="AI397" s="110" t="n"/>
      <c r="AJ397" s="110" t="n"/>
      <c r="AK397" s="110" t="n"/>
      <c r="AL397" s="110" t="n"/>
      <c r="AM397" s="110" t="n"/>
      <c r="AN397" s="110" t="n"/>
      <c r="AO397" s="110" t="n"/>
      <c r="AP397" s="110" t="n"/>
      <c r="AQ397" s="110" t="n"/>
      <c r="AR397" s="110" t="n"/>
      <c r="AS397" s="110" t="n"/>
      <c r="AT397" s="110" t="n"/>
      <c r="AU397" s="110" t="n"/>
      <c r="AV397" s="110" t="n"/>
      <c r="AW397" s="110" t="n"/>
      <c r="AX397" s="110" t="n"/>
      <c r="AY397" s="110" t="n"/>
      <c r="AZ397" s="110" t="n"/>
      <c r="BA397" s="110" t="n"/>
      <c r="BB397" s="110" t="n"/>
      <c r="BC397" t="inlineStr">
        <is>
          <t>ORIGINAL</t>
        </is>
      </c>
      <c r="BD397" t="n">
        <v>388</v>
      </c>
      <c r="BF397" s="109">
        <f>IF($BD397="","",SUMIF($BD$6:$BD$2000,$BD397,$J$6:$J$2000))</f>
        <v/>
      </c>
    </row>
    <row r="398" ht="19.5" customHeight="1">
      <c r="A398" s="96" t="inlineStr">
        <is>
          <t>PENDENTE</t>
        </is>
      </c>
      <c r="B398" s="26" t="inlineStr">
        <is>
          <t>RIACHUELO</t>
        </is>
      </c>
      <c r="C398" s="27" t="n">
        <v>471</v>
      </c>
      <c r="D398" s="26" t="inlineStr">
        <is>
          <t xml:space="preserve"> SÃO JOSE RIO PRETO IGUATEMI SH CARTER'S </t>
        </is>
      </c>
      <c r="E398" s="26" t="inlineStr">
        <is>
          <t>SÃO JOSÉ DO RIO PRETO</t>
        </is>
      </c>
      <c r="F398" s="27" t="inlineStr">
        <is>
          <t>SP</t>
        </is>
      </c>
      <c r="G398" s="107" t="n">
        <v>46204</v>
      </c>
      <c r="H398" s="108">
        <f>IF($B398="","",SUM($K398:$AG398)+SUM($AS398:$BB398))</f>
        <v/>
      </c>
      <c r="I398" s="108">
        <f>IF($B398="","",SUM($AH398:$AL398))</f>
        <v/>
      </c>
      <c r="J398" s="109">
        <f>IF($B398="","",SUMPRODUCT($K398:$BB398,$K$2:$BB$2))</f>
        <v/>
      </c>
      <c r="K398" s="110" t="n">
        <v>1</v>
      </c>
      <c r="L398" s="110" t="n"/>
      <c r="M398" s="110" t="n">
        <v>2</v>
      </c>
      <c r="N398" s="110" t="n"/>
      <c r="O398" s="110" t="n"/>
      <c r="P398" s="110" t="n"/>
      <c r="Q398" s="110" t="n"/>
      <c r="R398" s="110" t="n"/>
      <c r="S398" s="110" t="n"/>
      <c r="T398" s="110" t="n"/>
      <c r="U398" s="110" t="n"/>
      <c r="V398" s="110" t="n"/>
      <c r="W398" s="110" t="n"/>
      <c r="X398" s="110" t="n"/>
      <c r="Y398" s="110" t="n"/>
      <c r="Z398" s="110" t="n"/>
      <c r="AA398" s="110" t="n"/>
      <c r="AB398" s="110" t="n"/>
      <c r="AC398" s="110" t="n"/>
      <c r="AD398" s="110" t="n"/>
      <c r="AE398" s="110" t="n"/>
      <c r="AF398" s="110" t="n"/>
      <c r="AG398" s="110" t="n"/>
      <c r="AH398" s="110" t="n"/>
      <c r="AI398" s="110" t="n"/>
      <c r="AJ398" s="110" t="n"/>
      <c r="AK398" s="110" t="n"/>
      <c r="AL398" s="110" t="n"/>
      <c r="AM398" s="110" t="n"/>
      <c r="AN398" s="110" t="n"/>
      <c r="AO398" s="110" t="n"/>
      <c r="AP398" s="110" t="n"/>
      <c r="AQ398" s="110" t="n"/>
      <c r="AR398" s="110" t="n"/>
      <c r="AS398" s="110" t="n"/>
      <c r="AT398" s="110" t="n"/>
      <c r="AU398" s="110" t="n"/>
      <c r="AV398" s="110" t="n"/>
      <c r="AW398" s="110" t="n"/>
      <c r="AX398" s="110" t="n"/>
      <c r="AY398" s="110" t="n"/>
      <c r="AZ398" s="110" t="n"/>
      <c r="BA398" s="110" t="n"/>
      <c r="BB398" s="110" t="n"/>
      <c r="BC398" t="inlineStr">
        <is>
          <t>ORIGINAL</t>
        </is>
      </c>
      <c r="BD398" t="n">
        <v>389</v>
      </c>
      <c r="BF398" s="109">
        <f>IF($BD398="","",SUMIF($BD$6:$BD$2000,$BD398,$J$6:$J$2000))</f>
        <v/>
      </c>
    </row>
    <row r="399" ht="19.5" customHeight="1">
      <c r="A399" s="96" t="inlineStr">
        <is>
          <t>PENDENTE</t>
        </is>
      </c>
      <c r="B399" s="26" t="inlineStr">
        <is>
          <t>RIACHUELO</t>
        </is>
      </c>
      <c r="C399" s="27" t="n">
        <v>472</v>
      </c>
      <c r="D399" s="26" t="inlineStr">
        <is>
          <t>SC FLORIANOPOLIS BEIRA MAR SH CARTER'S</t>
        </is>
      </c>
      <c r="E399" s="26" t="inlineStr">
        <is>
          <t>FLORIANOPOLIS</t>
        </is>
      </c>
      <c r="F399" s="27" t="inlineStr">
        <is>
          <t>SC</t>
        </is>
      </c>
      <c r="G399" s="107" t="n">
        <v>46204</v>
      </c>
      <c r="H399" s="108">
        <f>IF($B399="","",SUM($K399:$AG399)+SUM($AS399:$BB399))</f>
        <v/>
      </c>
      <c r="I399" s="108">
        <f>IF($B399="","",SUM($AH399:$AL399))</f>
        <v/>
      </c>
      <c r="J399" s="109">
        <f>IF($B399="","",SUMPRODUCT($K399:$BB399,$K$2:$BB$2))</f>
        <v/>
      </c>
      <c r="K399" s="110" t="n">
        <v>1</v>
      </c>
      <c r="L399" s="110" t="n"/>
      <c r="M399" s="110" t="n">
        <v>2</v>
      </c>
      <c r="N399" s="110" t="n"/>
      <c r="O399" s="110" t="n"/>
      <c r="P399" s="110" t="n"/>
      <c r="Q399" s="110" t="n"/>
      <c r="R399" s="110" t="n"/>
      <c r="S399" s="110" t="n"/>
      <c r="T399" s="110" t="n"/>
      <c r="U399" s="110" t="n"/>
      <c r="V399" s="110" t="n"/>
      <c r="W399" s="110" t="n"/>
      <c r="X399" s="110" t="n"/>
      <c r="Y399" s="110" t="n"/>
      <c r="Z399" s="110" t="n"/>
      <c r="AA399" s="110" t="n"/>
      <c r="AB399" s="110" t="n"/>
      <c r="AC399" s="110" t="n"/>
      <c r="AD399" s="110" t="n"/>
      <c r="AE399" s="110" t="n"/>
      <c r="AF399" s="110" t="n"/>
      <c r="AG399" s="110" t="n"/>
      <c r="AH399" s="110" t="n"/>
      <c r="AI399" s="110" t="n"/>
      <c r="AJ399" s="110" t="n"/>
      <c r="AK399" s="110" t="n"/>
      <c r="AL399" s="110" t="n"/>
      <c r="AM399" s="110" t="n"/>
      <c r="AN399" s="110" t="n"/>
      <c r="AO399" s="110" t="n"/>
      <c r="AP399" s="110" t="n"/>
      <c r="AQ399" s="110" t="n"/>
      <c r="AR399" s="110" t="n"/>
      <c r="AS399" s="110" t="n"/>
      <c r="AT399" s="110" t="n"/>
      <c r="AU399" s="110" t="n"/>
      <c r="AV399" s="110" t="n"/>
      <c r="AW399" s="110" t="n"/>
      <c r="AX399" s="110" t="n"/>
      <c r="AY399" s="110" t="n"/>
      <c r="AZ399" s="110" t="n"/>
      <c r="BA399" s="110" t="n"/>
      <c r="BB399" s="110" t="n"/>
      <c r="BC399" t="inlineStr">
        <is>
          <t>ORIGINAL</t>
        </is>
      </c>
      <c r="BD399" t="n">
        <v>390</v>
      </c>
      <c r="BF399" s="109">
        <f>IF($BD399="","",SUMIF($BD$6:$BD$2000,$BD399,$J$6:$J$2000))</f>
        <v/>
      </c>
    </row>
    <row r="400" ht="19.5" customHeight="1">
      <c r="A400" s="96" t="inlineStr">
        <is>
          <t>PENDENTE</t>
        </is>
      </c>
      <c r="B400" s="26" t="inlineStr">
        <is>
          <t>RIACHUELO</t>
        </is>
      </c>
      <c r="C400" s="27" t="n">
        <v>473</v>
      </c>
      <c r="D400" s="26" t="inlineStr">
        <is>
          <t>ESTAÇÃO SH CARTER'S</t>
        </is>
      </c>
      <c r="E400" s="26" t="inlineStr">
        <is>
          <t>CUIABÁ</t>
        </is>
      </c>
      <c r="F400" s="27" t="inlineStr">
        <is>
          <t>MT</t>
        </is>
      </c>
      <c r="G400" s="107" t="n">
        <v>46204</v>
      </c>
      <c r="H400" s="108">
        <f>IF($B400="","",SUM($K400:$AG400)+SUM($AS400:$BB400))</f>
        <v/>
      </c>
      <c r="I400" s="108">
        <f>IF($B400="","",SUM($AH400:$AL400))</f>
        <v/>
      </c>
      <c r="J400" s="109">
        <f>IF($B400="","",SUMPRODUCT($K400:$BB400,$K$2:$BB$2))</f>
        <v/>
      </c>
      <c r="K400" s="110" t="n">
        <v>1</v>
      </c>
      <c r="L400" s="110" t="n"/>
      <c r="M400" s="110" t="n">
        <v>2</v>
      </c>
      <c r="N400" s="110" t="n"/>
      <c r="O400" s="110" t="n"/>
      <c r="P400" s="110" t="n"/>
      <c r="Q400" s="110" t="n"/>
      <c r="R400" s="110" t="n"/>
      <c r="S400" s="110" t="n"/>
      <c r="T400" s="110" t="n"/>
      <c r="U400" s="110" t="n"/>
      <c r="V400" s="110" t="n"/>
      <c r="W400" s="110" t="n"/>
      <c r="X400" s="110" t="n"/>
      <c r="Y400" s="110" t="n"/>
      <c r="Z400" s="110" t="n"/>
      <c r="AA400" s="110" t="n">
        <v>1</v>
      </c>
      <c r="AB400" s="110" t="n"/>
      <c r="AC400" s="110" t="n"/>
      <c r="AD400" s="110" t="n"/>
      <c r="AE400" s="110" t="n"/>
      <c r="AF400" s="110" t="n"/>
      <c r="AG400" s="110" t="n"/>
      <c r="AH400" s="110" t="n">
        <v>10</v>
      </c>
      <c r="AI400" s="110" t="n"/>
      <c r="AJ400" s="110" t="n"/>
      <c r="AK400" s="110" t="n"/>
      <c r="AL400" s="110" t="n"/>
      <c r="AM400" s="110" t="n"/>
      <c r="AN400" s="110" t="n"/>
      <c r="AO400" s="110" t="n"/>
      <c r="AP400" s="110" t="n"/>
      <c r="AQ400" s="110" t="n"/>
      <c r="AR400" s="110" t="n"/>
      <c r="AS400" s="110" t="n"/>
      <c r="AT400" s="110" t="n"/>
      <c r="AU400" s="110" t="n"/>
      <c r="AV400" s="110" t="n"/>
      <c r="AW400" s="110" t="n"/>
      <c r="AX400" s="110" t="n"/>
      <c r="AY400" s="110" t="n"/>
      <c r="AZ400" s="110" t="n"/>
      <c r="BA400" s="110" t="n"/>
      <c r="BB400" s="110" t="n"/>
      <c r="BC400" t="inlineStr">
        <is>
          <t>ORIGINAL</t>
        </is>
      </c>
      <c r="BD400" t="n">
        <v>391</v>
      </c>
      <c r="BF400" s="109">
        <f>IF($BD400="","",SUMIF($BD$6:$BD$2000,$BD400,$J$6:$J$2000))</f>
        <v/>
      </c>
    </row>
    <row r="401" ht="19.5" customHeight="1">
      <c r="A401" s="96" t="inlineStr">
        <is>
          <t>PENDENTE</t>
        </is>
      </c>
      <c r="B401" s="26" t="inlineStr">
        <is>
          <t>RIACHUELO</t>
        </is>
      </c>
      <c r="C401" s="27" t="n">
        <v>474</v>
      </c>
      <c r="D401" s="26" t="inlineStr">
        <is>
          <t>RIO POTY SH CARTER'S</t>
        </is>
      </c>
      <c r="E401" s="26" t="inlineStr">
        <is>
          <t>TERESINA</t>
        </is>
      </c>
      <c r="F401" s="27" t="inlineStr">
        <is>
          <t>PI</t>
        </is>
      </c>
      <c r="G401" s="107" t="n">
        <v>46235</v>
      </c>
      <c r="H401" s="108">
        <f>IF($B401="","",SUM($K401:$AG401)+SUM($AS401:$BB401))</f>
        <v/>
      </c>
      <c r="I401" s="108">
        <f>IF($B401="","",SUM($AH401:$AL401))</f>
        <v/>
      </c>
      <c r="J401" s="109">
        <f>IF($B401="","",SUMPRODUCT($K401:$BB401,$K$2:$BB$2))</f>
        <v/>
      </c>
      <c r="K401" s="110" t="n">
        <v>1</v>
      </c>
      <c r="L401" s="110" t="n"/>
      <c r="M401" s="110" t="n">
        <v>2</v>
      </c>
      <c r="N401" s="110" t="n"/>
      <c r="O401" s="110" t="n"/>
      <c r="P401" s="110" t="n"/>
      <c r="Q401" s="110" t="n"/>
      <c r="R401" s="110" t="n"/>
      <c r="S401" s="110" t="n"/>
      <c r="T401" s="110" t="n"/>
      <c r="U401" s="110" t="n"/>
      <c r="V401" s="110" t="n"/>
      <c r="W401" s="110" t="n"/>
      <c r="X401" s="110" t="n"/>
      <c r="Y401" s="110" t="n"/>
      <c r="Z401" s="110" t="n"/>
      <c r="AA401" s="110" t="n">
        <v>1</v>
      </c>
      <c r="AB401" s="110" t="n"/>
      <c r="AC401" s="110" t="n"/>
      <c r="AD401" s="110" t="n"/>
      <c r="AE401" s="110" t="n"/>
      <c r="AF401" s="110" t="n"/>
      <c r="AG401" s="110" t="n"/>
      <c r="AH401" s="110" t="n">
        <v>8</v>
      </c>
      <c r="AI401" s="110" t="n"/>
      <c r="AJ401" s="110" t="n"/>
      <c r="AK401" s="110" t="n"/>
      <c r="AL401" s="110" t="n"/>
      <c r="AM401" s="110" t="n"/>
      <c r="AN401" s="110" t="n"/>
      <c r="AO401" s="110" t="n"/>
      <c r="AP401" s="110" t="n"/>
      <c r="AQ401" s="110" t="n"/>
      <c r="AR401" s="110" t="n"/>
      <c r="AS401" s="110" t="n"/>
      <c r="AT401" s="110" t="n"/>
      <c r="AU401" s="110" t="n"/>
      <c r="AV401" s="110" t="n"/>
      <c r="AW401" s="110" t="n"/>
      <c r="AX401" s="110" t="n"/>
      <c r="AY401" s="110" t="n"/>
      <c r="AZ401" s="110" t="n"/>
      <c r="BA401" s="110" t="n"/>
      <c r="BB401" s="110" t="n"/>
      <c r="BC401" t="inlineStr">
        <is>
          <t>ORIGINAL</t>
        </is>
      </c>
      <c r="BD401" t="n">
        <v>392</v>
      </c>
      <c r="BF401" s="109">
        <f>IF($BD401="","",SUMIF($BD$6:$BD$2000,$BD401,$J$6:$J$2000))</f>
        <v/>
      </c>
    </row>
    <row r="402" ht="19.5" customHeight="1">
      <c r="A402" s="96" t="inlineStr">
        <is>
          <t>PENDENTE</t>
        </is>
      </c>
      <c r="B402" s="26" t="inlineStr">
        <is>
          <t>RIACHUELO</t>
        </is>
      </c>
      <c r="C402" s="27" t="n">
        <v>475</v>
      </c>
      <c r="D402" s="26" t="inlineStr">
        <is>
          <t>OUTLET PREMIUM BRASILIA CARTER'S</t>
        </is>
      </c>
      <c r="E402" s="26" t="inlineStr">
        <is>
          <t>ALEXÂNIA</t>
        </is>
      </c>
      <c r="F402" s="27" t="inlineStr">
        <is>
          <t>DF</t>
        </is>
      </c>
      <c r="G402" s="107" t="n">
        <v>46204</v>
      </c>
      <c r="H402" s="108">
        <f>IF($B402="","",SUM($K402:$AG402)+SUM($AS402:$BB402))</f>
        <v/>
      </c>
      <c r="I402" s="108">
        <f>IF($B402="","",SUM($AH402:$AL402))</f>
        <v/>
      </c>
      <c r="J402" s="109">
        <f>IF($B402="","",SUMPRODUCT($K402:$BB402,$K$2:$BB$2))</f>
        <v/>
      </c>
      <c r="K402" s="110" t="n">
        <v>2</v>
      </c>
      <c r="L402" s="110" t="n"/>
      <c r="M402" s="110" t="n"/>
      <c r="N402" s="110" t="n">
        <v>2</v>
      </c>
      <c r="O402" s="110" t="n"/>
      <c r="P402" s="110" t="n"/>
      <c r="Q402" s="110" t="n"/>
      <c r="R402" s="110" t="n"/>
      <c r="S402" s="110" t="n"/>
      <c r="T402" s="110" t="n"/>
      <c r="U402" s="110" t="n"/>
      <c r="V402" s="110" t="n"/>
      <c r="W402" s="110" t="n"/>
      <c r="X402" s="110" t="n"/>
      <c r="Y402" s="110" t="n"/>
      <c r="Z402" s="110" t="n"/>
      <c r="AA402" s="110" t="n">
        <v>1</v>
      </c>
      <c r="AB402" s="110" t="n"/>
      <c r="AC402" s="110" t="n"/>
      <c r="AD402" s="110" t="n"/>
      <c r="AE402" s="110" t="n"/>
      <c r="AF402" s="110" t="n"/>
      <c r="AG402" s="110" t="n"/>
      <c r="AH402" s="110" t="n"/>
      <c r="AI402" s="110" t="n"/>
      <c r="AJ402" s="110" t="n"/>
      <c r="AK402" s="110" t="n"/>
      <c r="AL402" s="110" t="n"/>
      <c r="AM402" s="110" t="n"/>
      <c r="AN402" s="110" t="n"/>
      <c r="AO402" s="110" t="n"/>
      <c r="AP402" s="110" t="n"/>
      <c r="AQ402" s="110" t="n"/>
      <c r="AR402" s="110" t="n"/>
      <c r="AS402" s="110" t="n"/>
      <c r="AT402" s="110" t="n"/>
      <c r="AU402" s="110" t="n"/>
      <c r="AV402" s="110" t="n"/>
      <c r="AW402" s="110" t="n"/>
      <c r="AX402" s="110" t="n"/>
      <c r="AY402" s="110" t="n"/>
      <c r="AZ402" s="110" t="n"/>
      <c r="BA402" s="110" t="n"/>
      <c r="BB402" s="110" t="n"/>
      <c r="BC402" t="inlineStr">
        <is>
          <t>ORIGINAL</t>
        </is>
      </c>
      <c r="BD402" t="n">
        <v>393</v>
      </c>
      <c r="BF402" s="109">
        <f>IF($BD402="","",SUMIF($BD$6:$BD$2000,$BD402,$J$6:$J$2000))</f>
        <v/>
      </c>
    </row>
    <row r="403" ht="19.5" customHeight="1">
      <c r="A403" s="96" t="inlineStr">
        <is>
          <t>PENDENTE</t>
        </is>
      </c>
      <c r="B403" s="26" t="inlineStr">
        <is>
          <t>RIACHUELO</t>
        </is>
      </c>
      <c r="C403" s="27" t="n">
        <v>476</v>
      </c>
      <c r="D403" s="26" t="inlineStr">
        <is>
          <t>VILLA VELHA SH CARTER'S</t>
        </is>
      </c>
      <c r="E403" s="26" t="inlineStr">
        <is>
          <t>VILA VELHA</t>
        </is>
      </c>
      <c r="F403" s="27" t="inlineStr">
        <is>
          <t>ES</t>
        </is>
      </c>
      <c r="G403" s="107" t="n">
        <v>46113</v>
      </c>
      <c r="H403" s="108">
        <f>IF($B403="","",SUM($K403:$AG403)+SUM($AS403:$BB403))</f>
        <v/>
      </c>
      <c r="I403" s="108">
        <f>IF($B403="","",SUM($AH403:$AL403))</f>
        <v/>
      </c>
      <c r="J403" s="109">
        <f>IF($B403="","",SUMPRODUCT($K403:$BB403,$K$2:$BB$2))</f>
        <v/>
      </c>
      <c r="K403" s="110" t="n">
        <v>1</v>
      </c>
      <c r="L403" s="110" t="n"/>
      <c r="M403" s="110" t="n">
        <v>1</v>
      </c>
      <c r="N403" s="110" t="n"/>
      <c r="O403" s="110" t="n"/>
      <c r="P403" s="110" t="n"/>
      <c r="Q403" s="110" t="n"/>
      <c r="R403" s="110" t="n"/>
      <c r="S403" s="110" t="n"/>
      <c r="T403" s="110" t="n"/>
      <c r="U403" s="110" t="n"/>
      <c r="V403" s="110" t="n"/>
      <c r="W403" s="110" t="n"/>
      <c r="X403" s="110" t="n"/>
      <c r="Y403" s="110" t="n"/>
      <c r="Z403" s="110" t="n"/>
      <c r="AA403" s="110" t="n">
        <v>2</v>
      </c>
      <c r="AB403" s="110" t="n"/>
      <c r="AC403" s="110" t="n"/>
      <c r="AD403" s="110" t="n"/>
      <c r="AE403" s="110" t="n"/>
      <c r="AF403" s="110" t="n"/>
      <c r="AG403" s="110" t="n"/>
      <c r="AH403" s="110" t="n"/>
      <c r="AI403" s="110" t="n"/>
      <c r="AJ403" s="110" t="n"/>
      <c r="AK403" s="110" t="n"/>
      <c r="AL403" s="110" t="n"/>
      <c r="AM403" s="110" t="n"/>
      <c r="AN403" s="110" t="n"/>
      <c r="AO403" s="110" t="n"/>
      <c r="AP403" s="110" t="n"/>
      <c r="AQ403" s="110" t="n"/>
      <c r="AR403" s="110" t="n"/>
      <c r="AS403" s="110" t="n"/>
      <c r="AT403" s="110" t="n"/>
      <c r="AU403" s="110" t="n"/>
      <c r="AV403" s="110" t="n"/>
      <c r="AW403" s="110" t="n"/>
      <c r="AX403" s="110" t="n"/>
      <c r="AY403" s="110" t="n"/>
      <c r="AZ403" s="110" t="n"/>
      <c r="BA403" s="110" t="n"/>
      <c r="BB403" s="110" t="n"/>
      <c r="BC403" t="inlineStr">
        <is>
          <t>ORIGINAL</t>
        </is>
      </c>
      <c r="BD403" t="n">
        <v>394</v>
      </c>
      <c r="BF403" s="109">
        <f>IF($BD403="","",SUMIF($BD$6:$BD$2000,$BD403,$J$6:$J$2000))</f>
        <v/>
      </c>
    </row>
    <row r="404" ht="19.5" customHeight="1">
      <c r="A404" s="96" t="inlineStr">
        <is>
          <t>PENDENTE</t>
        </is>
      </c>
      <c r="B404" s="26" t="inlineStr">
        <is>
          <t>RIACHUELO</t>
        </is>
      </c>
      <c r="C404" s="27" t="n">
        <v>440</v>
      </c>
      <c r="D404" s="26" t="inlineStr">
        <is>
          <t>F 440- RS 127 POA IGUATEMI SH</t>
        </is>
      </c>
      <c r="E404" s="26" t="inlineStr">
        <is>
          <t>PORTO ALEGRE</t>
        </is>
      </c>
      <c r="F404" s="27" t="inlineStr">
        <is>
          <t>RS</t>
        </is>
      </c>
      <c r="G404" s="107" t="n">
        <v>46266</v>
      </c>
      <c r="H404" s="108">
        <f>IF($B404="","",SUM($K404:$AG404)+SUM($AS404:$BB404))</f>
        <v/>
      </c>
      <c r="I404" s="108">
        <f>IF($B404="","",SUM($AH404:$AL404))</f>
        <v/>
      </c>
      <c r="J404" s="109">
        <f>IF($B404="","",SUMPRODUCT($K404:$BB404,$K$2:$BB$2))</f>
        <v/>
      </c>
      <c r="K404" s="110" t="n">
        <v>2</v>
      </c>
      <c r="L404" s="110" t="n"/>
      <c r="M404" s="110" t="n"/>
      <c r="N404" s="110" t="n"/>
      <c r="O404" s="110" t="n"/>
      <c r="P404" s="110" t="n"/>
      <c r="Q404" s="110" t="n"/>
      <c r="R404" s="110" t="n"/>
      <c r="S404" s="110" t="n"/>
      <c r="T404" s="110" t="n"/>
      <c r="U404" s="110" t="n"/>
      <c r="V404" s="110" t="n"/>
      <c r="W404" s="110" t="n"/>
      <c r="X404" s="110" t="n"/>
      <c r="Y404" s="110" t="n"/>
      <c r="Z404" s="110" t="n"/>
      <c r="AA404" s="110" t="n">
        <v>2</v>
      </c>
      <c r="AB404" s="110" t="n"/>
      <c r="AC404" s="110" t="n"/>
      <c r="AD404" s="110" t="n"/>
      <c r="AE404" s="110" t="n"/>
      <c r="AF404" s="110" t="n"/>
      <c r="AG404" s="110" t="n"/>
      <c r="AH404" s="110" t="n"/>
      <c r="AI404" s="110" t="n"/>
      <c r="AJ404" s="110" t="n"/>
      <c r="AK404" s="110" t="n"/>
      <c r="AL404" s="110" t="n"/>
      <c r="AM404" s="110" t="n"/>
      <c r="AN404" s="110" t="n"/>
      <c r="AO404" s="110" t="n"/>
      <c r="AP404" s="110" t="n"/>
      <c r="AQ404" s="110" t="n"/>
      <c r="AR404" s="110" t="n"/>
      <c r="AS404" s="110" t="n"/>
      <c r="AT404" s="110" t="n"/>
      <c r="AU404" s="110" t="n"/>
      <c r="AV404" s="110" t="n"/>
      <c r="AW404" s="110" t="n"/>
      <c r="AX404" s="110" t="n"/>
      <c r="AY404" s="110" t="n"/>
      <c r="AZ404" s="110" t="n"/>
      <c r="BA404" s="110" t="n"/>
      <c r="BB404" s="110" t="n"/>
      <c r="BC404" t="inlineStr">
        <is>
          <t>ORIGINAL</t>
        </is>
      </c>
      <c r="BD404" t="n">
        <v>395</v>
      </c>
      <c r="BF404" s="109">
        <f>IF($BD404="","",SUMIF($BD$6:$BD$2000,$BD404,$J$6:$J$2000))</f>
        <v/>
      </c>
    </row>
    <row r="405" ht="19.5" customHeight="1">
      <c r="A405" s="96" t="inlineStr">
        <is>
          <t>PENDENTE</t>
        </is>
      </c>
      <c r="B405" s="26" t="inlineStr">
        <is>
          <t>RIACHUELO</t>
        </is>
      </c>
      <c r="C405" s="27" t="n">
        <v>478</v>
      </c>
      <c r="D405" s="26" t="inlineStr">
        <is>
          <t xml:space="preserve"> SPA JARDIM SUL SH CARTER'S</t>
        </is>
      </c>
      <c r="E405" s="26" t="inlineStr">
        <is>
          <t>SÃO PAULO</t>
        </is>
      </c>
      <c r="F405" s="27" t="inlineStr">
        <is>
          <t>SP</t>
        </is>
      </c>
      <c r="G405" s="107" t="n">
        <v>46203</v>
      </c>
      <c r="H405" s="108">
        <f>IF($B405="","",SUM($K405:$AG405)+SUM($AS405:$BB405))</f>
        <v/>
      </c>
      <c r="I405" s="108">
        <f>IF($B405="","",SUM($AH405:$AL405))</f>
        <v/>
      </c>
      <c r="J405" s="109">
        <f>IF($B405="","",SUMPRODUCT($K405:$BB405,$K$2:$BB$2))</f>
        <v/>
      </c>
      <c r="K405" s="110" t="n">
        <v>1</v>
      </c>
      <c r="L405" s="110" t="n"/>
      <c r="M405" s="110" t="n">
        <v>2</v>
      </c>
      <c r="N405" s="110" t="n"/>
      <c r="O405" s="110" t="n"/>
      <c r="P405" s="110" t="n"/>
      <c r="Q405" s="110" t="n"/>
      <c r="R405" s="110" t="n"/>
      <c r="S405" s="110" t="n"/>
      <c r="T405" s="110" t="n"/>
      <c r="U405" s="110" t="n"/>
      <c r="V405" s="110" t="n"/>
      <c r="W405" s="110" t="n"/>
      <c r="X405" s="110" t="n"/>
      <c r="Y405" s="110" t="n"/>
      <c r="Z405" s="110" t="n"/>
      <c r="AA405" s="110" t="n">
        <v>1</v>
      </c>
      <c r="AB405" s="110" t="n"/>
      <c r="AC405" s="110" t="n"/>
      <c r="AD405" s="110" t="n"/>
      <c r="AE405" s="110" t="n"/>
      <c r="AF405" s="110" t="n"/>
      <c r="AG405" s="110" t="n"/>
      <c r="AH405" s="110" t="n"/>
      <c r="AI405" s="110" t="n"/>
      <c r="AJ405" s="110" t="n"/>
      <c r="AK405" s="110" t="n"/>
      <c r="AL405" s="110" t="n"/>
      <c r="AM405" s="110" t="n"/>
      <c r="AN405" s="110" t="n"/>
      <c r="AO405" s="110" t="n"/>
      <c r="AP405" s="110" t="n"/>
      <c r="AQ405" s="110" t="n"/>
      <c r="AR405" s="110" t="n"/>
      <c r="AS405" s="110" t="n"/>
      <c r="AT405" s="110" t="n"/>
      <c r="AU405" s="110" t="n"/>
      <c r="AV405" s="110" t="n"/>
      <c r="AW405" s="110" t="n"/>
      <c r="AX405" s="110" t="n"/>
      <c r="AY405" s="110" t="n"/>
      <c r="AZ405" s="110" t="n"/>
      <c r="BA405" s="110" t="n"/>
      <c r="BB405" s="110" t="n"/>
      <c r="BC405" t="inlineStr">
        <is>
          <t>ORIGINAL</t>
        </is>
      </c>
      <c r="BD405" t="n">
        <v>396</v>
      </c>
      <c r="BF405" s="109">
        <f>IF($BD405="","",SUMIF($BD$6:$BD$2000,$BD405,$J$6:$J$2000))</f>
        <v/>
      </c>
    </row>
    <row r="406" ht="19.5" customHeight="1">
      <c r="A406" s="96" t="inlineStr">
        <is>
          <t>PENDENTE</t>
        </is>
      </c>
      <c r="B406" s="26" t="inlineStr">
        <is>
          <t>RIACHUELO</t>
        </is>
      </c>
      <c r="C406" s="27" t="n">
        <v>479</v>
      </c>
      <c r="D406" s="26" t="inlineStr">
        <is>
          <t xml:space="preserve"> SPA SP MARKET SH FANLAB </t>
        </is>
      </c>
      <c r="E406" s="26" t="inlineStr">
        <is>
          <t>SÃO PAULO</t>
        </is>
      </c>
      <c r="F406" s="27" t="inlineStr">
        <is>
          <t>SP</t>
        </is>
      </c>
      <c r="G406" s="107" t="n">
        <v>46054</v>
      </c>
      <c r="H406" s="108">
        <f>IF($B406="","",SUM($K406:$AG406)+SUM($AS406:$BB406))</f>
        <v/>
      </c>
      <c r="I406" s="108">
        <f>IF($B406="","",SUM($AH406:$AL406))</f>
        <v/>
      </c>
      <c r="J406" s="109">
        <f>IF($B406="","",SUMPRODUCT($K406:$BB406,$K$2:$BB$2))</f>
        <v/>
      </c>
      <c r="K406" s="110" t="n">
        <v>1</v>
      </c>
      <c r="L406" s="110" t="n"/>
      <c r="M406" s="110" t="n">
        <v>1</v>
      </c>
      <c r="N406" s="110" t="n"/>
      <c r="O406" s="110" t="n"/>
      <c r="P406" s="110" t="n"/>
      <c r="Q406" s="110" t="n"/>
      <c r="R406" s="110" t="n"/>
      <c r="S406" s="110" t="n"/>
      <c r="T406" s="110" t="n"/>
      <c r="U406" s="110" t="n"/>
      <c r="V406" s="110" t="n"/>
      <c r="W406" s="110" t="n"/>
      <c r="X406" s="110" t="n"/>
      <c r="Y406" s="110" t="n"/>
      <c r="Z406" s="110" t="n"/>
      <c r="AA406" s="110" t="n">
        <v>1</v>
      </c>
      <c r="AB406" s="110" t="n"/>
      <c r="AC406" s="110" t="n"/>
      <c r="AD406" s="110" t="n"/>
      <c r="AE406" s="110" t="n"/>
      <c r="AF406" s="110" t="n"/>
      <c r="AG406" s="110" t="n"/>
      <c r="AH406" s="110" t="n"/>
      <c r="AI406" s="110" t="n"/>
      <c r="AJ406" s="110" t="n"/>
      <c r="AK406" s="110" t="n"/>
      <c r="AL406" s="110" t="n"/>
      <c r="AM406" s="110" t="n"/>
      <c r="AN406" s="110" t="n"/>
      <c r="AO406" s="110" t="n"/>
      <c r="AP406" s="110" t="n"/>
      <c r="AQ406" s="110" t="n"/>
      <c r="AR406" s="110" t="n"/>
      <c r="AS406" s="110" t="n"/>
      <c r="AT406" s="110" t="n"/>
      <c r="AU406" s="110" t="n"/>
      <c r="AV406" s="110" t="n"/>
      <c r="AW406" s="110" t="n"/>
      <c r="AX406" s="110" t="n"/>
      <c r="AY406" s="110" t="n"/>
      <c r="AZ406" s="110" t="n"/>
      <c r="BA406" s="110" t="n"/>
      <c r="BB406" s="110" t="n"/>
      <c r="BC406" t="inlineStr">
        <is>
          <t>ORIGINAL</t>
        </is>
      </c>
      <c r="BD406" t="n">
        <v>397</v>
      </c>
      <c r="BF406" s="109">
        <f>IF($BD406="","",SUMIF($BD$6:$BD$2000,$BD406,$J$6:$J$2000))</f>
        <v/>
      </c>
    </row>
    <row r="407" ht="19.5" customHeight="1">
      <c r="A407" s="96" t="inlineStr">
        <is>
          <t>PENDENTE</t>
        </is>
      </c>
      <c r="B407" s="26" t="inlineStr">
        <is>
          <t>RIACHUELO</t>
        </is>
      </c>
      <c r="C407" s="27" t="n">
        <v>480</v>
      </c>
      <c r="D407" s="26" t="inlineStr">
        <is>
          <t>BH BOULEVARD SH CARTER'S</t>
        </is>
      </c>
      <c r="E407" s="26" t="inlineStr">
        <is>
          <t>BELO HORIZONTE</t>
        </is>
      </c>
      <c r="F407" s="27" t="inlineStr">
        <is>
          <t>MG</t>
        </is>
      </c>
      <c r="G407" s="107" t="n">
        <v>46203</v>
      </c>
      <c r="H407" s="108">
        <f>IF($B407="","",SUM($K407:$AG407)+SUM($AS407:$BB407))</f>
        <v/>
      </c>
      <c r="I407" s="108">
        <f>IF($B407="","",SUM($AH407:$AL407))</f>
        <v/>
      </c>
      <c r="J407" s="109">
        <f>IF($B407="","",SUMPRODUCT($K407:$BB407,$K$2:$BB$2))</f>
        <v/>
      </c>
      <c r="K407" s="110" t="n">
        <v>1</v>
      </c>
      <c r="L407" s="110" t="n"/>
      <c r="M407" s="110" t="n">
        <v>2</v>
      </c>
      <c r="N407" s="110" t="n"/>
      <c r="O407" s="110" t="n"/>
      <c r="P407" s="110" t="n"/>
      <c r="Q407" s="110" t="n"/>
      <c r="R407" s="110" t="n"/>
      <c r="S407" s="110" t="n"/>
      <c r="T407" s="110" t="n"/>
      <c r="U407" s="110" t="n"/>
      <c r="V407" s="110" t="n"/>
      <c r="W407" s="110" t="n"/>
      <c r="X407" s="110" t="n"/>
      <c r="Y407" s="110" t="n"/>
      <c r="Z407" s="110" t="n"/>
      <c r="AA407" s="110" t="n">
        <v>2</v>
      </c>
      <c r="AB407" s="110" t="n"/>
      <c r="AC407" s="110" t="n"/>
      <c r="AD407" s="110" t="n"/>
      <c r="AE407" s="110" t="n"/>
      <c r="AF407" s="110" t="n"/>
      <c r="AG407" s="110" t="n"/>
      <c r="AH407" s="110" t="n"/>
      <c r="AI407" s="110" t="n"/>
      <c r="AJ407" s="110" t="n"/>
      <c r="AK407" s="110" t="n"/>
      <c r="AL407" s="110" t="n"/>
      <c r="AM407" s="110" t="n"/>
      <c r="AN407" s="110" t="n"/>
      <c r="AO407" s="110" t="n"/>
      <c r="AP407" s="110" t="n"/>
      <c r="AQ407" s="110" t="n"/>
      <c r="AR407" s="110" t="n"/>
      <c r="AS407" s="110" t="n"/>
      <c r="AT407" s="110" t="n"/>
      <c r="AU407" s="110" t="n"/>
      <c r="AV407" s="110" t="n"/>
      <c r="AW407" s="110" t="n"/>
      <c r="AX407" s="110" t="n"/>
      <c r="AY407" s="110" t="n"/>
      <c r="AZ407" s="110" t="n"/>
      <c r="BA407" s="110" t="n"/>
      <c r="BB407" s="110" t="n"/>
      <c r="BC407" t="inlineStr">
        <is>
          <t>ORIGINAL</t>
        </is>
      </c>
      <c r="BD407" t="n">
        <v>398</v>
      </c>
      <c r="BF407" s="109">
        <f>IF($BD407="","",SUMIF($BD$6:$BD$2000,$BD407,$J$6:$J$2000))</f>
        <v/>
      </c>
    </row>
    <row r="408" ht="19.5" customHeight="1">
      <c r="A408" s="96" t="inlineStr">
        <is>
          <t>PENDENTE</t>
        </is>
      </c>
      <c r="B408" s="26" t="inlineStr">
        <is>
          <t>RIACHUELO</t>
        </is>
      </c>
      <c r="C408" s="27" t="n">
        <v>481</v>
      </c>
      <c r="D408" s="26" t="inlineStr">
        <is>
          <t xml:space="preserve">SP SANTO ANDRE GRAND PLAZA SH FANLAB </t>
        </is>
      </c>
      <c r="E408" s="26" t="inlineStr">
        <is>
          <t>SANTO ANDRE</t>
        </is>
      </c>
      <c r="F408" s="27" t="inlineStr">
        <is>
          <t>SP</t>
        </is>
      </c>
      <c r="G408" s="107" t="n">
        <v>46082</v>
      </c>
      <c r="H408" s="108">
        <f>IF($B408="","",SUM($K408:$AG408)+SUM($AS408:$BB408))</f>
        <v/>
      </c>
      <c r="I408" s="108">
        <f>IF($B408="","",SUM($AH408:$AL408))</f>
        <v/>
      </c>
      <c r="J408" s="109">
        <f>IF($B408="","",SUMPRODUCT($K408:$BB408,$K$2:$BB$2))</f>
        <v/>
      </c>
      <c r="K408" s="110" t="n">
        <v>1</v>
      </c>
      <c r="L408" s="110" t="n"/>
      <c r="M408" s="110" t="n">
        <v>2</v>
      </c>
      <c r="N408" s="110" t="n"/>
      <c r="O408" s="110" t="n"/>
      <c r="P408" s="110" t="n"/>
      <c r="Q408" s="110" t="n"/>
      <c r="R408" s="110" t="n"/>
      <c r="S408" s="110" t="n"/>
      <c r="T408" s="110" t="n"/>
      <c r="U408" s="110" t="n"/>
      <c r="V408" s="110" t="n"/>
      <c r="W408" s="110" t="n"/>
      <c r="X408" s="110" t="n"/>
      <c r="Y408" s="110" t="n"/>
      <c r="Z408" s="110" t="n"/>
      <c r="AA408" s="110" t="n">
        <v>1</v>
      </c>
      <c r="AB408" s="110" t="n"/>
      <c r="AC408" s="110" t="n"/>
      <c r="AD408" s="110" t="n"/>
      <c r="AE408" s="110" t="n"/>
      <c r="AF408" s="110" t="n"/>
      <c r="AG408" s="110" t="n"/>
      <c r="AH408" s="110" t="n"/>
      <c r="AI408" s="110" t="n"/>
      <c r="AJ408" s="110" t="n"/>
      <c r="AK408" s="110" t="n"/>
      <c r="AL408" s="110" t="n"/>
      <c r="AM408" s="110" t="n"/>
      <c r="AN408" s="110" t="n"/>
      <c r="AO408" s="110" t="n"/>
      <c r="AP408" s="110" t="n"/>
      <c r="AQ408" s="110" t="n"/>
      <c r="AR408" s="110" t="n"/>
      <c r="AS408" s="110" t="n"/>
      <c r="AT408" s="110" t="n"/>
      <c r="AU408" s="110" t="n"/>
      <c r="AV408" s="110" t="n"/>
      <c r="AW408" s="110" t="n"/>
      <c r="AX408" s="110" t="n"/>
      <c r="AY408" s="110" t="n"/>
      <c r="AZ408" s="110" t="n"/>
      <c r="BA408" s="110" t="n"/>
      <c r="BB408" s="110" t="n"/>
      <c r="BC408" t="inlineStr">
        <is>
          <t>ORIGINAL</t>
        </is>
      </c>
      <c r="BD408" t="n">
        <v>399</v>
      </c>
      <c r="BF408" s="109">
        <f>IF($BD408="","",SUMIF($BD$6:$BD$2000,$BD408,$J$6:$J$2000))</f>
        <v/>
      </c>
    </row>
    <row r="409" ht="19.5" customHeight="1">
      <c r="A409" s="96" t="inlineStr">
        <is>
          <t>PENDENTE</t>
        </is>
      </c>
      <c r="B409" s="26" t="inlineStr">
        <is>
          <t>RIACHUELO</t>
        </is>
      </c>
      <c r="C409" s="27" t="n">
        <v>482</v>
      </c>
      <c r="D409" s="26" t="inlineStr">
        <is>
          <t xml:space="preserve"> SP SAO JOSE DOS CAMPOS CENTER VALE SH  CARTER'S</t>
        </is>
      </c>
      <c r="E409" s="26" t="inlineStr">
        <is>
          <t>SÃO JOSÉ DOS CAMPOS</t>
        </is>
      </c>
      <c r="F409" s="27" t="inlineStr">
        <is>
          <t>SP</t>
        </is>
      </c>
      <c r="G409" s="107" t="n">
        <v>46235</v>
      </c>
      <c r="H409" s="108">
        <f>IF($B409="","",SUM($K409:$AG409)+SUM($AS409:$BB409))</f>
        <v/>
      </c>
      <c r="I409" s="108">
        <f>IF($B409="","",SUM($AH409:$AL409))</f>
        <v/>
      </c>
      <c r="J409" s="109">
        <f>IF($B409="","",SUMPRODUCT($K409:$BB409,$K$2:$BB$2))</f>
        <v/>
      </c>
      <c r="K409" s="110" t="n">
        <v>1</v>
      </c>
      <c r="L409" s="110" t="n"/>
      <c r="M409" s="110" t="n">
        <v>1</v>
      </c>
      <c r="N409" s="110" t="n"/>
      <c r="O409" s="110" t="n"/>
      <c r="P409" s="110" t="n"/>
      <c r="Q409" s="110" t="n"/>
      <c r="R409" s="110" t="n"/>
      <c r="S409" s="110" t="n"/>
      <c r="T409" s="110" t="n"/>
      <c r="U409" s="110" t="n"/>
      <c r="V409" s="110" t="n"/>
      <c r="W409" s="110" t="n"/>
      <c r="X409" s="110" t="n"/>
      <c r="Y409" s="110" t="n"/>
      <c r="Z409" s="110" t="n"/>
      <c r="AA409" s="110" t="n">
        <v>1</v>
      </c>
      <c r="AB409" s="110" t="n"/>
      <c r="AC409" s="110" t="n"/>
      <c r="AD409" s="110" t="n"/>
      <c r="AE409" s="110" t="n"/>
      <c r="AF409" s="110" t="n"/>
      <c r="AG409" s="110" t="n"/>
      <c r="AH409" s="110" t="n"/>
      <c r="AI409" s="110" t="n"/>
      <c r="AJ409" s="110" t="n"/>
      <c r="AK409" s="110" t="n"/>
      <c r="AL409" s="110" t="n"/>
      <c r="AM409" s="110" t="n"/>
      <c r="AN409" s="110" t="n"/>
      <c r="AO409" s="110" t="n"/>
      <c r="AP409" s="110" t="n"/>
      <c r="AQ409" s="110" t="n"/>
      <c r="AR409" s="110" t="n"/>
      <c r="AS409" s="110" t="n"/>
      <c r="AT409" s="110" t="n"/>
      <c r="AU409" s="110" t="n"/>
      <c r="AV409" s="110" t="n"/>
      <c r="AW409" s="110" t="n"/>
      <c r="AX409" s="110" t="n"/>
      <c r="AY409" s="110" t="n"/>
      <c r="AZ409" s="110" t="n"/>
      <c r="BA409" s="110" t="n"/>
      <c r="BB409" s="110" t="n"/>
      <c r="BC409" t="inlineStr">
        <is>
          <t>ORIGINAL</t>
        </is>
      </c>
      <c r="BD409" t="n">
        <v>400</v>
      </c>
      <c r="BF409" s="109">
        <f>IF($BD409="","",SUMIF($BD$6:$BD$2000,$BD409,$J$6:$J$2000))</f>
        <v/>
      </c>
    </row>
    <row r="410" ht="19.5" customHeight="1">
      <c r="A410" s="96" t="inlineStr">
        <is>
          <t>PENDENTE</t>
        </is>
      </c>
      <c r="B410" s="26" t="inlineStr">
        <is>
          <t>RIACHUELO</t>
        </is>
      </c>
      <c r="C410" s="27" t="n">
        <v>483</v>
      </c>
      <c r="D410" s="26" t="inlineStr">
        <is>
          <t>OUTLET PREMIUM SALVADOR CARTER'S</t>
        </is>
      </c>
      <c r="E410" s="26" t="inlineStr">
        <is>
          <t>CAMACARI</t>
        </is>
      </c>
      <c r="F410" s="27" t="inlineStr">
        <is>
          <t>BA</t>
        </is>
      </c>
      <c r="G410" s="107" t="n">
        <v>46204</v>
      </c>
      <c r="H410" s="108">
        <f>IF($B410="","",SUM($K410:$AG410)+SUM($AS410:$BB410))</f>
        <v/>
      </c>
      <c r="I410" s="108">
        <f>IF($B410="","",SUM($AH410:$AL410))</f>
        <v/>
      </c>
      <c r="J410" s="109">
        <f>IF($B410="","",SUMPRODUCT($K410:$BB410,$K$2:$BB$2))</f>
        <v/>
      </c>
      <c r="K410" s="110" t="n">
        <v>1</v>
      </c>
      <c r="L410" s="110" t="n"/>
      <c r="M410" s="110" t="n">
        <v>2</v>
      </c>
      <c r="N410" s="110" t="n"/>
      <c r="O410" s="110" t="n"/>
      <c r="P410" s="110" t="n"/>
      <c r="Q410" s="110" t="n"/>
      <c r="R410" s="110" t="n"/>
      <c r="S410" s="110" t="n"/>
      <c r="T410" s="110" t="n"/>
      <c r="U410" s="110" t="n"/>
      <c r="V410" s="110" t="n"/>
      <c r="W410" s="110" t="n"/>
      <c r="X410" s="110" t="n"/>
      <c r="Y410" s="110" t="n"/>
      <c r="Z410" s="110" t="n"/>
      <c r="AA410" s="110" t="n">
        <v>1</v>
      </c>
      <c r="AB410" s="110" t="n"/>
      <c r="AC410" s="110" t="n"/>
      <c r="AD410" s="110" t="n"/>
      <c r="AE410" s="110" t="n"/>
      <c r="AF410" s="110" t="n"/>
      <c r="AG410" s="110" t="n"/>
      <c r="AH410" s="110" t="n"/>
      <c r="AI410" s="110" t="n"/>
      <c r="AJ410" s="110" t="n"/>
      <c r="AK410" s="110" t="n"/>
      <c r="AL410" s="110" t="n"/>
      <c r="AM410" s="110" t="n"/>
      <c r="AN410" s="110" t="n"/>
      <c r="AO410" s="110" t="n"/>
      <c r="AP410" s="110" t="n"/>
      <c r="AQ410" s="110" t="n"/>
      <c r="AR410" s="110" t="n"/>
      <c r="AS410" s="110" t="n"/>
      <c r="AT410" s="110" t="n"/>
      <c r="AU410" s="110" t="n"/>
      <c r="AV410" s="110" t="n"/>
      <c r="AW410" s="110" t="n"/>
      <c r="AX410" s="110" t="n"/>
      <c r="AY410" s="110" t="n"/>
      <c r="AZ410" s="110" t="n"/>
      <c r="BA410" s="110" t="n"/>
      <c r="BB410" s="110" t="n"/>
      <c r="BC410" t="inlineStr">
        <is>
          <t>ORIGINAL</t>
        </is>
      </c>
      <c r="BD410" t="n">
        <v>401</v>
      </c>
      <c r="BF410" s="109">
        <f>IF($BD410="","",SUMIF($BD$6:$BD$2000,$BD410,$J$6:$J$2000))</f>
        <v/>
      </c>
    </row>
    <row r="411" ht="19.5" customHeight="1">
      <c r="A411" s="96" t="inlineStr">
        <is>
          <t>PENDENTE</t>
        </is>
      </c>
      <c r="B411" s="26" t="inlineStr">
        <is>
          <t>RIACHUELO</t>
        </is>
      </c>
      <c r="C411" s="27" t="n">
        <v>485</v>
      </c>
      <c r="D411" s="26" t="inlineStr">
        <is>
          <t xml:space="preserve"> SC BALNEARIO CAMBORIU SH CARTER'S</t>
        </is>
      </c>
      <c r="E411" s="26" t="inlineStr">
        <is>
          <t>BALNEARIO CAMBORIU</t>
        </is>
      </c>
      <c r="F411" s="27" t="inlineStr">
        <is>
          <t>SC</t>
        </is>
      </c>
      <c r="G411" s="107" t="n">
        <v>46266</v>
      </c>
      <c r="H411" s="108">
        <f>IF($B411="","",SUM($K411:$AG411)+SUM($AS411:$BB411))</f>
        <v/>
      </c>
      <c r="I411" s="108">
        <f>IF($B411="","",SUM($AH411:$AL411))</f>
        <v/>
      </c>
      <c r="J411" s="109">
        <f>IF($B411="","",SUMPRODUCT($K411:$BB411,$K$2:$BB$2))</f>
        <v/>
      </c>
      <c r="K411" s="110" t="n"/>
      <c r="L411" s="110" t="n"/>
      <c r="M411" s="110" t="n"/>
      <c r="N411" s="110" t="n"/>
      <c r="O411" s="110" t="n"/>
      <c r="P411" s="110" t="n"/>
      <c r="Q411" s="110" t="n"/>
      <c r="R411" s="110" t="n"/>
      <c r="S411" s="110" t="n"/>
      <c r="T411" s="110" t="n"/>
      <c r="U411" s="110" t="n">
        <v>4</v>
      </c>
      <c r="V411" s="110" t="n"/>
      <c r="W411" s="110" t="n"/>
      <c r="X411" s="110" t="n"/>
      <c r="Y411" s="110" t="n"/>
      <c r="Z411" s="110" t="n"/>
      <c r="AA411" s="110" t="n"/>
      <c r="AB411" s="110" t="n"/>
      <c r="AC411" s="110" t="n"/>
      <c r="AD411" s="110" t="n"/>
      <c r="AE411" s="110" t="n"/>
      <c r="AF411" s="110" t="n"/>
      <c r="AG411" s="110" t="n"/>
      <c r="AH411" s="110" t="n"/>
      <c r="AI411" s="110" t="n"/>
      <c r="AJ411" s="110" t="n"/>
      <c r="AK411" s="110" t="n"/>
      <c r="AL411" s="110" t="n"/>
      <c r="AM411" s="110" t="n"/>
      <c r="AN411" s="110" t="n"/>
      <c r="AO411" s="110" t="n"/>
      <c r="AP411" s="110" t="n"/>
      <c r="AQ411" s="110" t="n"/>
      <c r="AR411" s="110" t="n"/>
      <c r="AS411" s="110" t="n"/>
      <c r="AT411" s="110" t="n"/>
      <c r="AU411" s="110" t="n"/>
      <c r="AV411" s="110" t="n"/>
      <c r="AW411" s="110" t="n"/>
      <c r="AX411" s="110" t="n"/>
      <c r="AY411" s="110" t="n"/>
      <c r="AZ411" s="110" t="n"/>
      <c r="BA411" s="110" t="n"/>
      <c r="BB411" s="110" t="n"/>
      <c r="BC411" t="inlineStr">
        <is>
          <t>ORIGINAL</t>
        </is>
      </c>
      <c r="BD411" t="n">
        <v>402</v>
      </c>
      <c r="BF411" s="109">
        <f>IF($BD411="","",SUMIF($BD$6:$BD$2000,$BD411,$J$6:$J$2000))</f>
        <v/>
      </c>
    </row>
    <row r="412" ht="19.5" customHeight="1">
      <c r="A412" s="96" t="inlineStr">
        <is>
          <t>PENDENTE</t>
        </is>
      </c>
      <c r="B412" s="26" t="inlineStr">
        <is>
          <t>RIACHUELO</t>
        </is>
      </c>
      <c r="C412" s="27" t="n">
        <v>486</v>
      </c>
      <c r="D412" s="26" t="inlineStr">
        <is>
          <t>GOIANIA SH CARTER'S</t>
        </is>
      </c>
      <c r="E412" s="26" t="inlineStr">
        <is>
          <t>GOIANIA</t>
        </is>
      </c>
      <c r="F412" s="27" t="inlineStr">
        <is>
          <t>GO</t>
        </is>
      </c>
      <c r="G412" s="107" t="n">
        <v>46419</v>
      </c>
      <c r="H412" s="108">
        <f>IF($B412="","",SUM($K412:$AG412)+SUM($AS412:$BB412))</f>
        <v/>
      </c>
      <c r="I412" s="108">
        <f>IF($B412="","",SUM($AH412:$AL412))</f>
        <v/>
      </c>
      <c r="J412" s="109">
        <f>IF($B412="","",SUMPRODUCT($K412:$BB412,$K$2:$BB$2))</f>
        <v/>
      </c>
      <c r="K412" s="110" t="n">
        <v>1</v>
      </c>
      <c r="L412" s="110" t="n"/>
      <c r="M412" s="110" t="n">
        <v>2</v>
      </c>
      <c r="N412" s="110" t="n"/>
      <c r="O412" s="110" t="n"/>
      <c r="P412" s="110" t="n"/>
      <c r="Q412" s="110" t="n"/>
      <c r="R412" s="110" t="n"/>
      <c r="S412" s="110" t="n"/>
      <c r="T412" s="110" t="n"/>
      <c r="U412" s="110" t="n"/>
      <c r="V412" s="110" t="n"/>
      <c r="W412" s="110" t="n"/>
      <c r="X412" s="110" t="n"/>
      <c r="Y412" s="110" t="n"/>
      <c r="Z412" s="110" t="n"/>
      <c r="AA412" s="110" t="n">
        <v>1</v>
      </c>
      <c r="AB412" s="110" t="n"/>
      <c r="AC412" s="110" t="n"/>
      <c r="AD412" s="110" t="n"/>
      <c r="AE412" s="110" t="n"/>
      <c r="AF412" s="110" t="n"/>
      <c r="AG412" s="110" t="n"/>
      <c r="AH412" s="110" t="n"/>
      <c r="AI412" s="110" t="n"/>
      <c r="AJ412" s="110" t="n"/>
      <c r="AK412" s="110" t="n"/>
      <c r="AL412" s="110" t="n"/>
      <c r="AM412" s="110" t="n"/>
      <c r="AN412" s="110" t="n"/>
      <c r="AO412" s="110" t="n"/>
      <c r="AP412" s="110" t="n"/>
      <c r="AQ412" s="110" t="n"/>
      <c r="AR412" s="110" t="n"/>
      <c r="AS412" s="110" t="n"/>
      <c r="AT412" s="110" t="n"/>
      <c r="AU412" s="110" t="n"/>
      <c r="AV412" s="110" t="n"/>
      <c r="AW412" s="110" t="n"/>
      <c r="AX412" s="110" t="n"/>
      <c r="AY412" s="110" t="n"/>
      <c r="AZ412" s="110" t="n"/>
      <c r="BA412" s="110" t="n"/>
      <c r="BB412" s="110" t="n"/>
      <c r="BC412" t="inlineStr">
        <is>
          <t>ORIGINAL</t>
        </is>
      </c>
      <c r="BD412" t="n">
        <v>403</v>
      </c>
      <c r="BF412" s="109">
        <f>IF($BD412="","",SUMIF($BD$6:$BD$2000,$BD412,$J$6:$J$2000))</f>
        <v/>
      </c>
    </row>
    <row r="413" ht="19.5" customHeight="1">
      <c r="A413" s="96" t="inlineStr">
        <is>
          <t>PENDENTE</t>
        </is>
      </c>
      <c r="B413" s="26" t="inlineStr">
        <is>
          <t>RIACHUELO</t>
        </is>
      </c>
      <c r="C413" s="27" t="n">
        <v>487</v>
      </c>
      <c r="D413" s="26" t="inlineStr">
        <is>
          <t>PORTO BELO OUTLET CARTER'S</t>
        </is>
      </c>
      <c r="E413" s="26" t="inlineStr">
        <is>
          <t>PORTO BELO</t>
        </is>
      </c>
      <c r="F413" s="27" t="inlineStr">
        <is>
          <t>SC</t>
        </is>
      </c>
      <c r="G413" s="107" t="n">
        <v>46054</v>
      </c>
      <c r="H413" s="108">
        <f>IF($B413="","",SUM($K413:$AG413)+SUM($AS413:$BB413))</f>
        <v/>
      </c>
      <c r="I413" s="108">
        <f>IF($B413="","",SUM($AH413:$AL413))</f>
        <v/>
      </c>
      <c r="J413" s="109">
        <f>IF($B413="","",SUMPRODUCT($K413:$BB413,$K$2:$BB$2))</f>
        <v/>
      </c>
      <c r="K413" s="110" t="n"/>
      <c r="L413" s="110" t="n"/>
      <c r="M413" s="110" t="n"/>
      <c r="N413" s="110" t="n"/>
      <c r="O413" s="110" t="n"/>
      <c r="P413" s="110" t="n"/>
      <c r="Q413" s="110" t="n"/>
      <c r="R413" s="110" t="n"/>
      <c r="S413" s="110" t="n"/>
      <c r="T413" s="110" t="n"/>
      <c r="U413" s="110" t="n">
        <v>3</v>
      </c>
      <c r="V413" s="110" t="n"/>
      <c r="W413" s="110" t="n"/>
      <c r="X413" s="110" t="n"/>
      <c r="Y413" s="110" t="n"/>
      <c r="Z413" s="110" t="n"/>
      <c r="AA413" s="110" t="n">
        <v>1</v>
      </c>
      <c r="AB413" s="110" t="n"/>
      <c r="AC413" s="110" t="n"/>
      <c r="AD413" s="110" t="n"/>
      <c r="AE413" s="110" t="n"/>
      <c r="AF413" s="110" t="n"/>
      <c r="AG413" s="110" t="n"/>
      <c r="AH413" s="110" t="n"/>
      <c r="AI413" s="110" t="n"/>
      <c r="AJ413" s="110" t="n"/>
      <c r="AK413" s="110" t="n"/>
      <c r="AL413" s="110" t="n"/>
      <c r="AM413" s="110" t="n"/>
      <c r="AN413" s="110" t="n"/>
      <c r="AO413" s="110" t="n"/>
      <c r="AP413" s="110" t="n"/>
      <c r="AQ413" s="110" t="n"/>
      <c r="AR413" s="110" t="n"/>
      <c r="AS413" s="110" t="n"/>
      <c r="AT413" s="110" t="n"/>
      <c r="AU413" s="110" t="n"/>
      <c r="AV413" s="110" t="n"/>
      <c r="AW413" s="110" t="n"/>
      <c r="AX413" s="110" t="n"/>
      <c r="AY413" s="110" t="n"/>
      <c r="AZ413" s="110" t="n"/>
      <c r="BA413" s="110" t="n"/>
      <c r="BB413" s="110" t="n"/>
      <c r="BC413" t="inlineStr">
        <is>
          <t>ORIGINAL</t>
        </is>
      </c>
      <c r="BD413" t="n">
        <v>404</v>
      </c>
      <c r="BF413" s="109">
        <f>IF($BD413="","",SUMIF($BD$6:$BD$2000,$BD413,$J$6:$J$2000))</f>
        <v/>
      </c>
    </row>
    <row r="414" ht="19.5" customHeight="1">
      <c r="A414" s="96" t="inlineStr">
        <is>
          <t>PENDENTE</t>
        </is>
      </c>
      <c r="B414" s="26" t="inlineStr">
        <is>
          <t>RIACHUELO</t>
        </is>
      </c>
      <c r="C414" s="27" t="n">
        <v>488</v>
      </c>
      <c r="D414" s="26" t="inlineStr">
        <is>
          <t>SÃO JOSÉ DO RIO PRETO SH</t>
        </is>
      </c>
      <c r="E414" s="26" t="inlineStr">
        <is>
          <t>SÃO JOSÉ DO RIO PRETO</t>
        </is>
      </c>
      <c r="F414" s="27" t="inlineStr">
        <is>
          <t>SP</t>
        </is>
      </c>
      <c r="G414" s="107" t="n">
        <v>46266</v>
      </c>
      <c r="H414" s="108">
        <f>IF($B414="","",SUM($K414:$AG414)+SUM($AS414:$BB414))</f>
        <v/>
      </c>
      <c r="I414" s="108">
        <f>IF($B414="","",SUM($AH414:$AL414))</f>
        <v/>
      </c>
      <c r="J414" s="109">
        <f>IF($B414="","",SUMPRODUCT($K414:$BB414,$K$2:$BB$2))</f>
        <v/>
      </c>
      <c r="K414" s="110" t="n"/>
      <c r="L414" s="110" t="n"/>
      <c r="M414" s="110" t="n">
        <v>17</v>
      </c>
      <c r="N414" s="110" t="n"/>
      <c r="O414" s="110" t="n"/>
      <c r="P414" s="110" t="n"/>
      <c r="Q414" s="110" t="n"/>
      <c r="R414" s="110" t="n"/>
      <c r="S414" s="110" t="n"/>
      <c r="T414" s="110" t="n"/>
      <c r="U414" s="110" t="n"/>
      <c r="V414" s="110" t="n"/>
      <c r="W414" s="110" t="n"/>
      <c r="X414" s="110" t="n"/>
      <c r="Y414" s="110" t="n"/>
      <c r="Z414" s="110" t="n"/>
      <c r="AA414" s="110" t="n"/>
      <c r="AB414" s="110" t="n"/>
      <c r="AC414" s="110" t="n"/>
      <c r="AD414" s="110" t="n"/>
      <c r="AE414" s="110" t="n"/>
      <c r="AF414" s="110" t="n"/>
      <c r="AG414" s="110" t="n"/>
      <c r="AH414" s="110" t="n">
        <v>10</v>
      </c>
      <c r="AI414" s="110" t="n"/>
      <c r="AJ414" s="110" t="n"/>
      <c r="AK414" s="110" t="n"/>
      <c r="AL414" s="110" t="n"/>
      <c r="AM414" s="110" t="n"/>
      <c r="AN414" s="110" t="n"/>
      <c r="AO414" s="110" t="n"/>
      <c r="AP414" s="110" t="n"/>
      <c r="AQ414" s="110" t="n"/>
      <c r="AR414" s="110" t="n"/>
      <c r="AS414" s="110" t="n"/>
      <c r="AT414" s="110" t="n"/>
      <c r="AU414" s="110" t="n"/>
      <c r="AV414" s="110" t="n"/>
      <c r="AW414" s="110" t="n"/>
      <c r="AX414" s="110" t="n"/>
      <c r="AY414" s="110" t="n"/>
      <c r="AZ414" s="110" t="n"/>
      <c r="BA414" s="110" t="n"/>
      <c r="BB414" s="110" t="n"/>
      <c r="BC414" t="inlineStr">
        <is>
          <t>ORIGINAL</t>
        </is>
      </c>
      <c r="BD414" t="n">
        <v>405</v>
      </c>
      <c r="BF414" s="109">
        <f>IF($BD414="","",SUMIF($BD$6:$BD$2000,$BD414,$J$6:$J$2000))</f>
        <v/>
      </c>
    </row>
    <row r="415" ht="19.5" customHeight="1">
      <c r="A415" s="96" t="inlineStr">
        <is>
          <t>PENDENTE</t>
        </is>
      </c>
      <c r="B415" s="26" t="inlineStr">
        <is>
          <t>RIACHUELO</t>
        </is>
      </c>
      <c r="C415" s="27" t="n">
        <v>489</v>
      </c>
      <c r="D415" s="26" t="inlineStr">
        <is>
          <t>PORTO VELHO SH CARTER'S</t>
        </is>
      </c>
      <c r="E415" s="26" t="inlineStr">
        <is>
          <t>PORTO VELHO</t>
        </is>
      </c>
      <c r="F415" s="27" t="inlineStr">
        <is>
          <t>RO</t>
        </is>
      </c>
      <c r="G415" s="107" t="n">
        <v>46296</v>
      </c>
      <c r="H415" s="108">
        <f>IF($B415="","",SUM($K415:$AG415)+SUM($AS415:$BB415))</f>
        <v/>
      </c>
      <c r="I415" s="108">
        <f>IF($B415="","",SUM($AH415:$AL415))</f>
        <v/>
      </c>
      <c r="J415" s="109">
        <f>IF($B415="","",SUMPRODUCT($K415:$BB415,$K$2:$BB$2))</f>
        <v/>
      </c>
      <c r="K415" s="110" t="n">
        <v>1</v>
      </c>
      <c r="L415" s="110" t="n"/>
      <c r="M415" s="110" t="n">
        <v>2</v>
      </c>
      <c r="N415" s="110" t="n"/>
      <c r="O415" s="110" t="n"/>
      <c r="P415" s="110" t="n"/>
      <c r="Q415" s="110" t="n"/>
      <c r="R415" s="110" t="n"/>
      <c r="S415" s="110" t="n"/>
      <c r="T415" s="110" t="n"/>
      <c r="U415" s="110" t="n"/>
      <c r="V415" s="110" t="n"/>
      <c r="W415" s="110" t="n"/>
      <c r="X415" s="110" t="n"/>
      <c r="Y415" s="110" t="n"/>
      <c r="Z415" s="110" t="n"/>
      <c r="AA415" s="110" t="n">
        <v>1</v>
      </c>
      <c r="AB415" s="110" t="n"/>
      <c r="AC415" s="110" t="n"/>
      <c r="AD415" s="110" t="n"/>
      <c r="AE415" s="110" t="n"/>
      <c r="AF415" s="110" t="n"/>
      <c r="AG415" s="110" t="n"/>
      <c r="AH415" s="110" t="n"/>
      <c r="AI415" s="110" t="n"/>
      <c r="AJ415" s="110" t="n"/>
      <c r="AK415" s="110" t="n"/>
      <c r="AL415" s="110" t="n"/>
      <c r="AM415" s="110" t="n"/>
      <c r="AN415" s="110" t="n"/>
      <c r="AO415" s="110" t="n"/>
      <c r="AP415" s="110" t="n"/>
      <c r="AQ415" s="110" t="n"/>
      <c r="AR415" s="110" t="n"/>
      <c r="AS415" s="110" t="n"/>
      <c r="AT415" s="110" t="n"/>
      <c r="AU415" s="110" t="n"/>
      <c r="AV415" s="110" t="n"/>
      <c r="AW415" s="110" t="n"/>
      <c r="AX415" s="110" t="n"/>
      <c r="AY415" s="110" t="n"/>
      <c r="AZ415" s="110" t="n"/>
      <c r="BA415" s="110" t="n"/>
      <c r="BB415" s="110" t="n"/>
      <c r="BC415" t="inlineStr">
        <is>
          <t>ORIGINAL</t>
        </is>
      </c>
      <c r="BD415" t="n">
        <v>406</v>
      </c>
      <c r="BF415" s="109">
        <f>IF($BD415="","",SUMIF($BD$6:$BD$2000,$BD415,$J$6:$J$2000))</f>
        <v/>
      </c>
    </row>
    <row r="416" ht="19.5" customHeight="1">
      <c r="A416" s="96" t="inlineStr">
        <is>
          <t>PENDENTE</t>
        </is>
      </c>
      <c r="B416" s="26" t="inlineStr">
        <is>
          <t>RIACHUELO</t>
        </is>
      </c>
      <c r="C416" s="27" t="n">
        <v>490</v>
      </c>
      <c r="D416" s="26" t="inlineStr">
        <is>
          <t xml:space="preserve">BH VIA BARREIRO SH </t>
        </is>
      </c>
      <c r="E416" s="26" t="inlineStr">
        <is>
          <t>BELO HORIZONTE</t>
        </is>
      </c>
      <c r="F416" s="27" t="inlineStr">
        <is>
          <t>MG</t>
        </is>
      </c>
      <c r="G416" s="107" t="n">
        <v>46388</v>
      </c>
      <c r="H416" s="108">
        <f>IF($B416="","",SUM($K416:$AG416)+SUM($AS416:$BB416))</f>
        <v/>
      </c>
      <c r="I416" s="108">
        <f>IF($B416="","",SUM($AH416:$AL416))</f>
        <v/>
      </c>
      <c r="J416" s="109">
        <f>IF($B416="","",SUMPRODUCT($K416:$BB416,$K$2:$BB$2))</f>
        <v/>
      </c>
      <c r="K416" s="110" t="n"/>
      <c r="L416" s="110" t="n"/>
      <c r="M416" s="110" t="n"/>
      <c r="N416" s="110" t="n"/>
      <c r="O416" s="110" t="n"/>
      <c r="P416" s="110" t="n"/>
      <c r="Q416" s="110" t="n"/>
      <c r="R416" s="110" t="n"/>
      <c r="S416" s="110" t="n"/>
      <c r="T416" s="110" t="n"/>
      <c r="U416" s="110" t="n">
        <v>11</v>
      </c>
      <c r="V416" s="110" t="n"/>
      <c r="W416" s="110" t="n"/>
      <c r="X416" s="110" t="n"/>
      <c r="Y416" s="110" t="n"/>
      <c r="Z416" s="110" t="n"/>
      <c r="AA416" s="110" t="n">
        <v>3</v>
      </c>
      <c r="AB416" s="110" t="n"/>
      <c r="AC416" s="110" t="n"/>
      <c r="AD416" s="110" t="n"/>
      <c r="AE416" s="110" t="n"/>
      <c r="AF416" s="110" t="n"/>
      <c r="AG416" s="110" t="n"/>
      <c r="AH416" s="110" t="n">
        <v>10</v>
      </c>
      <c r="AI416" s="110" t="n"/>
      <c r="AJ416" s="110" t="n"/>
      <c r="AK416" s="110" t="n"/>
      <c r="AL416" s="110" t="n"/>
      <c r="AM416" s="110" t="n"/>
      <c r="AN416" s="110" t="n"/>
      <c r="AO416" s="110" t="n"/>
      <c r="AP416" s="110" t="n"/>
      <c r="AQ416" s="110" t="n"/>
      <c r="AR416" s="110" t="n"/>
      <c r="AS416" s="110" t="n"/>
      <c r="AT416" s="110" t="n"/>
      <c r="AU416" s="110" t="n"/>
      <c r="AV416" s="110" t="n"/>
      <c r="AW416" s="110" t="n"/>
      <c r="AX416" s="110" t="n"/>
      <c r="AY416" s="110" t="n"/>
      <c r="AZ416" s="110" t="n"/>
      <c r="BA416" s="110" t="n"/>
      <c r="BB416" s="110" t="n"/>
      <c r="BC416" t="inlineStr">
        <is>
          <t>ORIGINAL</t>
        </is>
      </c>
      <c r="BD416" t="n">
        <v>407</v>
      </c>
      <c r="BF416" s="109">
        <f>IF($BD416="","",SUMIF($BD$6:$BD$2000,$BD416,$J$6:$J$2000))</f>
        <v/>
      </c>
    </row>
    <row r="417" ht="19.5" customHeight="1">
      <c r="A417" s="96" t="inlineStr">
        <is>
          <t>PENDENTE</t>
        </is>
      </c>
      <c r="B417" s="26" t="inlineStr">
        <is>
          <t>RIACHUELO</t>
        </is>
      </c>
      <c r="C417" s="27" t="n">
        <v>491</v>
      </c>
      <c r="D417" s="26" t="inlineStr">
        <is>
          <t xml:space="preserve">BR IGUATEMI SH [CARTER'S] </t>
        </is>
      </c>
      <c r="E417" s="26" t="inlineStr">
        <is>
          <t>BRASILIA</t>
        </is>
      </c>
      <c r="F417" s="27" t="inlineStr">
        <is>
          <t>DF</t>
        </is>
      </c>
      <c r="G417" s="107" t="n">
        <v>46204</v>
      </c>
      <c r="H417" s="108">
        <f>IF($B417="","",SUM($K417:$AG417)+SUM($AS417:$BB417))</f>
        <v/>
      </c>
      <c r="I417" s="108">
        <f>IF($B417="","",SUM($AH417:$AL417))</f>
        <v/>
      </c>
      <c r="J417" s="109">
        <f>IF($B417="","",SUMPRODUCT($K417:$BB417,$K$2:$BB$2))</f>
        <v/>
      </c>
      <c r="K417" s="110" t="n">
        <v>2</v>
      </c>
      <c r="L417" s="110" t="n"/>
      <c r="M417" s="110" t="n"/>
      <c r="N417" s="110" t="n"/>
      <c r="O417" s="110" t="n"/>
      <c r="P417" s="110" t="n"/>
      <c r="Q417" s="110" t="n"/>
      <c r="R417" s="110" t="n"/>
      <c r="S417" s="110" t="n"/>
      <c r="T417" s="110" t="n"/>
      <c r="U417" s="110" t="n"/>
      <c r="V417" s="110" t="n"/>
      <c r="W417" s="110" t="n"/>
      <c r="X417" s="110" t="n"/>
      <c r="Y417" s="110" t="n"/>
      <c r="Z417" s="110" t="n"/>
      <c r="AA417" s="110" t="n">
        <v>2</v>
      </c>
      <c r="AB417" s="110" t="n"/>
      <c r="AC417" s="110" t="n"/>
      <c r="AD417" s="110" t="n"/>
      <c r="AE417" s="110" t="n"/>
      <c r="AF417" s="110" t="n"/>
      <c r="AG417" s="110" t="n"/>
      <c r="AH417" s="110" t="n"/>
      <c r="AI417" s="110" t="n"/>
      <c r="AJ417" s="110" t="n"/>
      <c r="AK417" s="110" t="n"/>
      <c r="AL417" s="110" t="n"/>
      <c r="AM417" s="110" t="n"/>
      <c r="AN417" s="110" t="n"/>
      <c r="AO417" s="110" t="n"/>
      <c r="AP417" s="110" t="n"/>
      <c r="AQ417" s="110" t="n"/>
      <c r="AR417" s="110" t="n"/>
      <c r="AS417" s="110" t="n"/>
      <c r="AT417" s="110" t="n"/>
      <c r="AU417" s="110" t="n"/>
      <c r="AV417" s="110" t="n"/>
      <c r="AW417" s="110" t="n"/>
      <c r="AX417" s="110" t="n"/>
      <c r="AY417" s="110" t="n"/>
      <c r="AZ417" s="110" t="n"/>
      <c r="BA417" s="110" t="n"/>
      <c r="BB417" s="110" t="n"/>
      <c r="BC417" t="inlineStr">
        <is>
          <t>ORIGINAL</t>
        </is>
      </c>
      <c r="BD417" t="n">
        <v>408</v>
      </c>
      <c r="BF417" s="109">
        <f>IF($BD417="","",SUMIF($BD$6:$BD$2000,$BD417,$J$6:$J$2000))</f>
        <v/>
      </c>
    </row>
    <row r="418" ht="19.5" customHeight="1">
      <c r="A418" s="96" t="inlineStr">
        <is>
          <t>PENDENTE</t>
        </is>
      </c>
      <c r="B418" s="26" t="inlineStr">
        <is>
          <t>RIACHUELO</t>
        </is>
      </c>
      <c r="C418" s="27" t="n">
        <v>493</v>
      </c>
      <c r="D418" s="26" t="inlineStr">
        <is>
          <t>PALMAS CAPIM DOURADO SH CARTER'S</t>
        </is>
      </c>
      <c r="E418" s="26" t="inlineStr">
        <is>
          <t>PALMAS</t>
        </is>
      </c>
      <c r="F418" s="27" t="inlineStr">
        <is>
          <t>TO</t>
        </is>
      </c>
      <c r="G418" s="107" t="n">
        <v>46266</v>
      </c>
      <c r="H418" s="108">
        <f>IF($B418="","",SUM($K418:$AG418)+SUM($AS418:$BB418))</f>
        <v/>
      </c>
      <c r="I418" s="108">
        <f>IF($B418="","",SUM($AH418:$AL418))</f>
        <v/>
      </c>
      <c r="J418" s="109">
        <f>IF($B418="","",SUMPRODUCT($K418:$BB418,$K$2:$BB$2))</f>
        <v/>
      </c>
      <c r="K418" s="110" t="n">
        <v>1</v>
      </c>
      <c r="L418" s="110" t="n"/>
      <c r="M418" s="110" t="n">
        <v>1</v>
      </c>
      <c r="N418" s="110" t="n"/>
      <c r="O418" s="110" t="n"/>
      <c r="P418" s="110" t="n"/>
      <c r="Q418" s="110" t="n"/>
      <c r="R418" s="110" t="n"/>
      <c r="S418" s="110" t="n"/>
      <c r="T418" s="110" t="n"/>
      <c r="U418" s="110" t="n"/>
      <c r="V418" s="110" t="n"/>
      <c r="W418" s="110" t="n"/>
      <c r="X418" s="110" t="n"/>
      <c r="Y418" s="110" t="n"/>
      <c r="Z418" s="110" t="n"/>
      <c r="AA418" s="110" t="n">
        <v>2</v>
      </c>
      <c r="AB418" s="110" t="n"/>
      <c r="AC418" s="110" t="n"/>
      <c r="AD418" s="110" t="n"/>
      <c r="AE418" s="110" t="n"/>
      <c r="AF418" s="110" t="n"/>
      <c r="AG418" s="110" t="n"/>
      <c r="AH418" s="110" t="n"/>
      <c r="AI418" s="110" t="n"/>
      <c r="AJ418" s="110" t="n"/>
      <c r="AK418" s="110" t="n"/>
      <c r="AL418" s="110" t="n"/>
      <c r="AM418" s="110" t="n"/>
      <c r="AN418" s="110" t="n"/>
      <c r="AO418" s="110" t="n"/>
      <c r="AP418" s="110" t="n"/>
      <c r="AQ418" s="110" t="n"/>
      <c r="AR418" s="110" t="n"/>
      <c r="AS418" s="110" t="n"/>
      <c r="AT418" s="110" t="n"/>
      <c r="AU418" s="110" t="n"/>
      <c r="AV418" s="110" t="n"/>
      <c r="AW418" s="110" t="n"/>
      <c r="AX418" s="110" t="n"/>
      <c r="AY418" s="110" t="n"/>
      <c r="AZ418" s="110" t="n"/>
      <c r="BA418" s="110" t="n"/>
      <c r="BB418" s="110" t="n"/>
      <c r="BC418" t="inlineStr">
        <is>
          <t>ORIGINAL</t>
        </is>
      </c>
      <c r="BD418" t="n">
        <v>409</v>
      </c>
      <c r="BF418" s="109">
        <f>IF($BD418="","",SUMIF($BD$6:$BD$2000,$BD418,$J$6:$J$2000))</f>
        <v/>
      </c>
    </row>
    <row r="419" ht="19.5" customHeight="1">
      <c r="A419" s="96" t="inlineStr">
        <is>
          <t>PENDENTE</t>
        </is>
      </c>
      <c r="B419" s="26" t="inlineStr">
        <is>
          <t>RIACHUELO</t>
        </is>
      </c>
      <c r="C419" s="27" t="n">
        <v>506</v>
      </c>
      <c r="D419" s="26" t="inlineStr">
        <is>
          <t>CARTE'S 506 - SH HIGIENOPOLIS</t>
        </is>
      </c>
      <c r="E419" s="26" t="inlineStr">
        <is>
          <t>SÃO PAULO</t>
        </is>
      </c>
      <c r="F419" s="27" t="inlineStr">
        <is>
          <t>SP</t>
        </is>
      </c>
      <c r="G419" s="107" t="n">
        <v>46082</v>
      </c>
      <c r="H419" s="108">
        <f>IF($B419="","",SUM($K419:$AG419)+SUM($AS419:$BB419))</f>
        <v/>
      </c>
      <c r="I419" s="108">
        <f>IF($B419="","",SUM($AH419:$AL419))</f>
        <v/>
      </c>
      <c r="J419" s="109">
        <f>IF($B419="","",SUMPRODUCT($K419:$BB419,$K$2:$BB$2))</f>
        <v/>
      </c>
      <c r="K419" s="110" t="n"/>
      <c r="L419" s="110" t="n"/>
      <c r="M419" s="110" t="n">
        <v>1</v>
      </c>
      <c r="N419" s="110" t="n"/>
      <c r="O419" s="110" t="n"/>
      <c r="P419" s="110" t="n"/>
      <c r="Q419" s="110" t="n"/>
      <c r="R419" s="110" t="n"/>
      <c r="S419" s="110" t="n"/>
      <c r="T419" s="110" t="n"/>
      <c r="U419" s="110" t="n">
        <v>2</v>
      </c>
      <c r="V419" s="110" t="n"/>
      <c r="W419" s="110" t="n"/>
      <c r="X419" s="110" t="n"/>
      <c r="Y419" s="110" t="n"/>
      <c r="Z419" s="110" t="n"/>
      <c r="AA419" s="110" t="n">
        <v>1</v>
      </c>
      <c r="AB419" s="110" t="n"/>
      <c r="AC419" s="110" t="n"/>
      <c r="AD419" s="110" t="n"/>
      <c r="AE419" s="110" t="n"/>
      <c r="AF419" s="110" t="n"/>
      <c r="AG419" s="110" t="n"/>
      <c r="AH419" s="110" t="n"/>
      <c r="AI419" s="110" t="n"/>
      <c r="AJ419" s="110" t="n"/>
      <c r="AK419" s="110" t="n"/>
      <c r="AL419" s="110" t="n"/>
      <c r="AM419" s="110" t="n"/>
      <c r="AN419" s="110" t="n"/>
      <c r="AO419" s="110" t="n"/>
      <c r="AP419" s="110" t="n"/>
      <c r="AQ419" s="110" t="n"/>
      <c r="AR419" s="110" t="n"/>
      <c r="AS419" s="110" t="n"/>
      <c r="AT419" s="110" t="n"/>
      <c r="AU419" s="110" t="n"/>
      <c r="AV419" s="110" t="n"/>
      <c r="AW419" s="110" t="n"/>
      <c r="AX419" s="110" t="n"/>
      <c r="AY419" s="110" t="n"/>
      <c r="AZ419" s="110" t="n"/>
      <c r="BA419" s="110" t="n"/>
      <c r="BB419" s="110" t="n"/>
      <c r="BC419" t="inlineStr">
        <is>
          <t>ORIGINAL</t>
        </is>
      </c>
      <c r="BD419" t="n">
        <v>410</v>
      </c>
      <c r="BF419" s="109">
        <f>IF($BD419="","",SUMIF($BD$6:$BD$2000,$BD419,$J$6:$J$2000))</f>
        <v/>
      </c>
    </row>
    <row r="420" ht="19.5" customHeight="1">
      <c r="A420" s="96" t="inlineStr">
        <is>
          <t>PENDENTE</t>
        </is>
      </c>
      <c r="B420" s="26" t="inlineStr">
        <is>
          <t>RIACHUELO</t>
        </is>
      </c>
      <c r="C420" s="27" t="n">
        <v>507</v>
      </c>
      <c r="D420" s="26" t="inlineStr">
        <is>
          <t>RJ RIO BARRA SH CARTERS</t>
        </is>
      </c>
      <c r="E420" s="26" t="inlineStr">
        <is>
          <t>RIO DE JANEIRO</t>
        </is>
      </c>
      <c r="F420" s="27" t="inlineStr">
        <is>
          <t>RJ</t>
        </is>
      </c>
      <c r="G420" s="107" t="n">
        <v>46388</v>
      </c>
      <c r="H420" s="108">
        <f>IF($B420="","",SUM($K420:$AG420)+SUM($AS420:$BB420))</f>
        <v/>
      </c>
      <c r="I420" s="108">
        <f>IF($B420="","",SUM($AH420:$AL420))</f>
        <v/>
      </c>
      <c r="J420" s="109">
        <f>IF($B420="","",SUMPRODUCT($K420:$BB420,$K$2:$BB$2))</f>
        <v/>
      </c>
      <c r="K420" s="110" t="n">
        <v>2</v>
      </c>
      <c r="L420" s="110" t="n"/>
      <c r="M420" s="110" t="n">
        <v>2</v>
      </c>
      <c r="N420" s="110" t="n"/>
      <c r="O420" s="110" t="n"/>
      <c r="P420" s="110" t="n"/>
      <c r="Q420" s="110" t="n"/>
      <c r="R420" s="110" t="n"/>
      <c r="S420" s="110" t="n"/>
      <c r="T420" s="110" t="n"/>
      <c r="U420" s="110" t="n"/>
      <c r="V420" s="110" t="n"/>
      <c r="W420" s="110" t="n"/>
      <c r="X420" s="110" t="n"/>
      <c r="Y420" s="110" t="n"/>
      <c r="Z420" s="110" t="n"/>
      <c r="AA420" s="110" t="n">
        <v>3</v>
      </c>
      <c r="AB420" s="110" t="n"/>
      <c r="AC420" s="110" t="n"/>
      <c r="AD420" s="110" t="n"/>
      <c r="AE420" s="110" t="n"/>
      <c r="AF420" s="110" t="n"/>
      <c r="AG420" s="110" t="n"/>
      <c r="AH420" s="110" t="n"/>
      <c r="AI420" s="110" t="n"/>
      <c r="AJ420" s="110" t="n"/>
      <c r="AK420" s="110" t="n"/>
      <c r="AL420" s="110" t="n"/>
      <c r="AM420" s="110" t="n"/>
      <c r="AN420" s="110" t="n"/>
      <c r="AO420" s="110" t="n"/>
      <c r="AP420" s="110" t="n"/>
      <c r="AQ420" s="110" t="n"/>
      <c r="AR420" s="110" t="n"/>
      <c r="AS420" s="110" t="n"/>
      <c r="AT420" s="110" t="n"/>
      <c r="AU420" s="110" t="n"/>
      <c r="AV420" s="110" t="n"/>
      <c r="AW420" s="110" t="n"/>
      <c r="AX420" s="110" t="n"/>
      <c r="AY420" s="110" t="n"/>
      <c r="AZ420" s="110" t="n"/>
      <c r="BA420" s="110" t="n"/>
      <c r="BB420" s="110" t="n"/>
      <c r="BC420" t="inlineStr">
        <is>
          <t>ORIGINAL</t>
        </is>
      </c>
      <c r="BD420" t="n">
        <v>411</v>
      </c>
      <c r="BF420" s="109">
        <f>IF($BD420="","",SUMIF($BD$6:$BD$2000,$BD420,$J$6:$J$2000))</f>
        <v/>
      </c>
    </row>
    <row r="421" ht="19.5" customHeight="1">
      <c r="A421" s="96" t="inlineStr">
        <is>
          <t>PENDENTE</t>
        </is>
      </c>
      <c r="B421" s="26" t="inlineStr">
        <is>
          <t>RIACHUELO</t>
        </is>
      </c>
      <c r="C421" s="27" t="n">
        <v>509</v>
      </c>
      <c r="D421" s="26" t="inlineStr">
        <is>
          <t>SP SOROCABA ESPLANADA CARTERS</t>
        </is>
      </c>
      <c r="E421" s="26" t="inlineStr">
        <is>
          <t>SOROCABA</t>
        </is>
      </c>
      <c r="F421" s="27" t="inlineStr">
        <is>
          <t>SP</t>
        </is>
      </c>
      <c r="G421" s="107" t="n">
        <v>46204</v>
      </c>
      <c r="H421" s="108">
        <f>IF($B421="","",SUM($K421:$AG421)+SUM($AS421:$BB421))</f>
        <v/>
      </c>
      <c r="I421" s="108">
        <f>IF($B421="","",SUM($AH421:$AL421))</f>
        <v/>
      </c>
      <c r="J421" s="109">
        <f>IF($B421="","",SUMPRODUCT($K421:$BB421,$K$2:$BB$2))</f>
        <v/>
      </c>
      <c r="K421" s="110" t="n">
        <v>2</v>
      </c>
      <c r="L421" s="110" t="n"/>
      <c r="M421" s="110" t="n"/>
      <c r="N421" s="110" t="n"/>
      <c r="O421" s="110" t="n"/>
      <c r="P421" s="110" t="n"/>
      <c r="Q421" s="110" t="n"/>
      <c r="R421" s="110" t="n"/>
      <c r="S421" s="110" t="n"/>
      <c r="T421" s="110" t="n"/>
      <c r="U421" s="110" t="n"/>
      <c r="V421" s="110" t="n"/>
      <c r="W421" s="110" t="n"/>
      <c r="X421" s="110" t="n"/>
      <c r="Y421" s="110" t="n"/>
      <c r="Z421" s="110" t="n"/>
      <c r="AA421" s="110" t="n">
        <v>2</v>
      </c>
      <c r="AB421" s="110" t="n"/>
      <c r="AC421" s="110" t="n"/>
      <c r="AD421" s="110" t="n"/>
      <c r="AE421" s="110" t="n"/>
      <c r="AF421" s="110" t="n"/>
      <c r="AG421" s="110" t="n"/>
      <c r="AH421" s="110" t="n"/>
      <c r="AI421" s="110" t="n"/>
      <c r="AJ421" s="110" t="n"/>
      <c r="AK421" s="110" t="n"/>
      <c r="AL421" s="110" t="n"/>
      <c r="AM421" s="110" t="n"/>
      <c r="AN421" s="110" t="n"/>
      <c r="AO421" s="110" t="n"/>
      <c r="AP421" s="110" t="n"/>
      <c r="AQ421" s="110" t="n"/>
      <c r="AR421" s="110" t="n"/>
      <c r="AS421" s="110" t="n"/>
      <c r="AT421" s="110" t="n"/>
      <c r="AU421" s="110" t="n"/>
      <c r="AV421" s="110" t="n"/>
      <c r="AW421" s="110" t="n"/>
      <c r="AX421" s="110" t="n"/>
      <c r="AY421" s="110" t="n"/>
      <c r="AZ421" s="110" t="n"/>
      <c r="BA421" s="110" t="n"/>
      <c r="BB421" s="110" t="n"/>
      <c r="BC421" t="inlineStr">
        <is>
          <t>ORIGINAL</t>
        </is>
      </c>
      <c r="BD421" t="n">
        <v>412</v>
      </c>
      <c r="BF421" s="109">
        <f>IF($BD421="","",SUMIF($BD$6:$BD$2000,$BD421,$J$6:$J$2000))</f>
        <v/>
      </c>
    </row>
    <row r="422" ht="19.5" customHeight="1">
      <c r="A422" s="96" t="inlineStr">
        <is>
          <t>PENDENTE</t>
        </is>
      </c>
      <c r="B422" s="26" t="inlineStr">
        <is>
          <t>RIACHUELO</t>
        </is>
      </c>
      <c r="C422" s="27" t="n">
        <v>510</v>
      </c>
      <c r="D422" s="26" t="inlineStr">
        <is>
          <t>F 510 - AM MANAUS MANAUARA CARTER'S</t>
        </is>
      </c>
      <c r="E422" s="26" t="inlineStr">
        <is>
          <t>MANAUS</t>
        </is>
      </c>
      <c r="F422" s="27" t="inlineStr">
        <is>
          <t>AM</t>
        </is>
      </c>
      <c r="G422" s="107" t="n">
        <v>46388</v>
      </c>
      <c r="H422" s="108">
        <f>IF($B422="","",SUM($K422:$AG422)+SUM($AS422:$BB422))</f>
        <v/>
      </c>
      <c r="I422" s="108">
        <f>IF($B422="","",SUM($AH422:$AL422))</f>
        <v/>
      </c>
      <c r="J422" s="109">
        <f>IF($B422="","",SUMPRODUCT($K422:$BB422,$K$2:$BB$2))</f>
        <v/>
      </c>
      <c r="K422" s="110" t="n">
        <v>2</v>
      </c>
      <c r="L422" s="110" t="n"/>
      <c r="M422" s="110" t="n"/>
      <c r="N422" s="110" t="n"/>
      <c r="O422" s="110" t="n"/>
      <c r="P422" s="110" t="n"/>
      <c r="Q422" s="110" t="n"/>
      <c r="R422" s="110" t="n"/>
      <c r="S422" s="110" t="n"/>
      <c r="T422" s="110" t="n"/>
      <c r="U422" s="110" t="n"/>
      <c r="V422" s="110" t="n"/>
      <c r="W422" s="110" t="n"/>
      <c r="X422" s="110" t="n"/>
      <c r="Y422" s="110" t="n"/>
      <c r="Z422" s="110" t="n"/>
      <c r="AA422" s="110" t="n">
        <v>2</v>
      </c>
      <c r="AB422" s="110" t="n"/>
      <c r="AC422" s="110" t="n"/>
      <c r="AD422" s="110" t="n"/>
      <c r="AE422" s="110" t="n"/>
      <c r="AF422" s="110" t="n"/>
      <c r="AG422" s="110" t="n"/>
      <c r="AH422" s="110" t="n"/>
      <c r="AI422" s="110" t="n"/>
      <c r="AJ422" s="110" t="n"/>
      <c r="AK422" s="110" t="n"/>
      <c r="AL422" s="110" t="n"/>
      <c r="AM422" s="110" t="n"/>
      <c r="AN422" s="110" t="n"/>
      <c r="AO422" s="110" t="n"/>
      <c r="AP422" s="110" t="n"/>
      <c r="AQ422" s="110" t="n"/>
      <c r="AR422" s="110" t="n"/>
      <c r="AS422" s="110" t="n"/>
      <c r="AT422" s="110" t="n"/>
      <c r="AU422" s="110" t="n"/>
      <c r="AV422" s="110" t="n"/>
      <c r="AW422" s="110" t="n"/>
      <c r="AX422" s="110" t="n"/>
      <c r="AY422" s="110" t="n"/>
      <c r="AZ422" s="110" t="n"/>
      <c r="BA422" s="110" t="n"/>
      <c r="BB422" s="110" t="n"/>
      <c r="BC422" t="inlineStr">
        <is>
          <t>ORIGINAL</t>
        </is>
      </c>
      <c r="BD422" t="n">
        <v>413</v>
      </c>
      <c r="BF422" s="109">
        <f>IF($BD422="","",SUMIF($BD$6:$BD$2000,$BD422,$J$6:$J$2000))</f>
        <v/>
      </c>
    </row>
    <row r="423" ht="19.5" customHeight="1">
      <c r="A423" s="96" t="inlineStr">
        <is>
          <t>PENDENTE</t>
        </is>
      </c>
      <c r="B423" s="26" t="inlineStr">
        <is>
          <t>RIACHUELO</t>
        </is>
      </c>
      <c r="C423" s="27" t="n">
        <v>511</v>
      </c>
      <c r="D423" s="26" t="inlineStr">
        <is>
          <t>NITERÓI PLAZA SH</t>
        </is>
      </c>
      <c r="E423" s="26" t="inlineStr">
        <is>
          <t>NITEROI</t>
        </is>
      </c>
      <c r="F423" s="27" t="inlineStr">
        <is>
          <t>RJ</t>
        </is>
      </c>
      <c r="G423" s="107" t="n">
        <v>46143</v>
      </c>
      <c r="H423" s="108">
        <f>IF($B423="","",SUM($K423:$AG423)+SUM($AS423:$BB423))</f>
        <v/>
      </c>
      <c r="I423" s="108">
        <f>IF($B423="","",SUM($AH423:$AL423))</f>
        <v/>
      </c>
      <c r="J423" s="109">
        <f>IF($B423="","",SUMPRODUCT($K423:$BB423,$K$2:$BB$2))</f>
        <v/>
      </c>
      <c r="K423" s="110" t="n">
        <v>2</v>
      </c>
      <c r="L423" s="110" t="n"/>
      <c r="M423" s="110" t="n"/>
      <c r="N423" s="110" t="n"/>
      <c r="O423" s="110" t="n"/>
      <c r="P423" s="110" t="n"/>
      <c r="Q423" s="110" t="n"/>
      <c r="R423" s="110" t="n"/>
      <c r="S423" s="110" t="n"/>
      <c r="T423" s="110" t="n"/>
      <c r="U423" s="110" t="n"/>
      <c r="V423" s="110" t="n"/>
      <c r="W423" s="110" t="n"/>
      <c r="X423" s="110" t="n"/>
      <c r="Y423" s="110" t="n"/>
      <c r="Z423" s="110" t="n"/>
      <c r="AA423" s="110" t="n">
        <v>2</v>
      </c>
      <c r="AB423" s="110" t="n"/>
      <c r="AC423" s="110" t="n"/>
      <c r="AD423" s="110" t="n"/>
      <c r="AE423" s="110" t="n"/>
      <c r="AF423" s="110" t="n"/>
      <c r="AG423" s="110" t="n"/>
      <c r="AH423" s="110" t="n"/>
      <c r="AI423" s="110" t="n"/>
      <c r="AJ423" s="110" t="n"/>
      <c r="AK423" s="110" t="n"/>
      <c r="AL423" s="110" t="n"/>
      <c r="AM423" s="110" t="n"/>
      <c r="AN423" s="110" t="n"/>
      <c r="AO423" s="110" t="n"/>
      <c r="AP423" s="110" t="n"/>
      <c r="AQ423" s="110" t="n"/>
      <c r="AR423" s="110" t="n"/>
      <c r="AS423" s="110" t="n"/>
      <c r="AT423" s="110" t="n"/>
      <c r="AU423" s="110" t="n"/>
      <c r="AV423" s="110" t="n"/>
      <c r="AW423" s="110" t="n"/>
      <c r="AX423" s="110" t="n"/>
      <c r="AY423" s="110" t="n"/>
      <c r="AZ423" s="110" t="n"/>
      <c r="BA423" s="110" t="n"/>
      <c r="BB423" s="110" t="n"/>
      <c r="BC423" t="inlineStr">
        <is>
          <t>ORIGINAL</t>
        </is>
      </c>
      <c r="BD423" t="n">
        <v>414</v>
      </c>
      <c r="BF423" s="109">
        <f>IF($BD423="","",SUMIF($BD$6:$BD$2000,$BD423,$J$6:$J$2000))</f>
        <v/>
      </c>
    </row>
    <row r="424" ht="19.5" customHeight="1">
      <c r="A424" s="96" t="inlineStr">
        <is>
          <t>PENDENTE</t>
        </is>
      </c>
      <c r="B424" s="26" t="inlineStr">
        <is>
          <t>RIACHUELO</t>
        </is>
      </c>
      <c r="C424" s="27" t="n">
        <v>513</v>
      </c>
      <c r="D424" s="26" t="inlineStr">
        <is>
          <t>SC JOINVILLE GARDEN SH CARTERS</t>
        </is>
      </c>
      <c r="E424" s="26" t="inlineStr">
        <is>
          <t>JOINVILLE</t>
        </is>
      </c>
      <c r="F424" s="27" t="inlineStr">
        <is>
          <t>SC</t>
        </is>
      </c>
      <c r="G424" s="107" t="n">
        <v>46266</v>
      </c>
      <c r="H424" s="108">
        <f>IF($B424="","",SUM($K424:$AG424)+SUM($AS424:$BB424))</f>
        <v/>
      </c>
      <c r="I424" s="108">
        <f>IF($B424="","",SUM($AH424:$AL424))</f>
        <v/>
      </c>
      <c r="J424" s="109">
        <f>IF($B424="","",SUMPRODUCT($K424:$BB424,$K$2:$BB$2))</f>
        <v/>
      </c>
      <c r="K424" s="110" t="n"/>
      <c r="L424" s="110" t="n"/>
      <c r="M424" s="110" t="n"/>
      <c r="N424" s="110" t="n"/>
      <c r="O424" s="110" t="n"/>
      <c r="P424" s="110" t="n"/>
      <c r="Q424" s="110" t="n"/>
      <c r="R424" s="110" t="n"/>
      <c r="S424" s="110" t="n"/>
      <c r="T424" s="110" t="n">
        <v>1</v>
      </c>
      <c r="U424" s="110" t="n"/>
      <c r="V424" s="110" t="n"/>
      <c r="W424" s="110" t="n"/>
      <c r="X424" s="110" t="n"/>
      <c r="Y424" s="110" t="n"/>
      <c r="Z424" s="110" t="n"/>
      <c r="AA424" s="110" t="n">
        <v>2</v>
      </c>
      <c r="AB424" s="110" t="n"/>
      <c r="AC424" s="110" t="n"/>
      <c r="AD424" s="110" t="n"/>
      <c r="AE424" s="110" t="n"/>
      <c r="AF424" s="110" t="n"/>
      <c r="AG424" s="110" t="n"/>
      <c r="AH424" s="110" t="n"/>
      <c r="AI424" s="110" t="n"/>
      <c r="AJ424" s="110" t="n"/>
      <c r="AK424" s="110" t="n"/>
      <c r="AL424" s="110" t="n"/>
      <c r="AM424" s="110" t="n"/>
      <c r="AN424" s="110" t="n"/>
      <c r="AO424" s="110" t="n"/>
      <c r="AP424" s="110" t="n"/>
      <c r="AQ424" s="110" t="n"/>
      <c r="AR424" s="110" t="n"/>
      <c r="AS424" s="110" t="n"/>
      <c r="AT424" s="110" t="n"/>
      <c r="AU424" s="110" t="n"/>
      <c r="AV424" s="110" t="n"/>
      <c r="AW424" s="110" t="n"/>
      <c r="AX424" s="110" t="n"/>
      <c r="AY424" s="110" t="n"/>
      <c r="AZ424" s="110" t="n"/>
      <c r="BA424" s="110" t="n"/>
      <c r="BB424" s="110" t="n"/>
      <c r="BC424" t="inlineStr">
        <is>
          <t>ORIGINAL</t>
        </is>
      </c>
      <c r="BD424" t="n">
        <v>415</v>
      </c>
      <c r="BF424" s="109">
        <f>IF($BD424="","",SUMIF($BD$6:$BD$2000,$BD424,$J$6:$J$2000))</f>
        <v/>
      </c>
    </row>
    <row r="425" ht="19.5" customHeight="1">
      <c r="A425" s="96" t="inlineStr">
        <is>
          <t>PENDENTE</t>
        </is>
      </c>
      <c r="B425" s="26" t="inlineStr">
        <is>
          <t>RIACHUELO</t>
        </is>
      </c>
      <c r="C425" s="27" t="n">
        <v>514</v>
      </c>
      <c r="D425" s="26" t="inlineStr">
        <is>
          <t xml:space="preserve">CURITIBA BATEL SH [CARTER'S] </t>
        </is>
      </c>
      <c r="E425" s="26" t="inlineStr">
        <is>
          <t>CURITIBA</t>
        </is>
      </c>
      <c r="F425" s="27" t="inlineStr">
        <is>
          <t>PR</t>
        </is>
      </c>
      <c r="G425" s="107" t="n">
        <v>46054</v>
      </c>
      <c r="H425" s="108">
        <f>IF($B425="","",SUM($K425:$AG425)+SUM($AS425:$BB425))</f>
        <v/>
      </c>
      <c r="I425" s="108">
        <f>IF($B425="","",SUM($AH425:$AL425))</f>
        <v/>
      </c>
      <c r="J425" s="109">
        <f>IF($B425="","",SUMPRODUCT($K425:$BB425,$K$2:$BB$2))</f>
        <v/>
      </c>
      <c r="K425" s="110" t="n">
        <v>1</v>
      </c>
      <c r="L425" s="110" t="n"/>
      <c r="M425" s="110" t="n">
        <v>2</v>
      </c>
      <c r="N425" s="110" t="n"/>
      <c r="O425" s="110" t="n"/>
      <c r="P425" s="110" t="n"/>
      <c r="Q425" s="110" t="n"/>
      <c r="R425" s="110" t="n"/>
      <c r="S425" s="110" t="n"/>
      <c r="T425" s="110" t="n"/>
      <c r="U425" s="110" t="n"/>
      <c r="V425" s="110" t="n"/>
      <c r="W425" s="110" t="n"/>
      <c r="X425" s="110" t="n"/>
      <c r="Y425" s="110" t="n"/>
      <c r="Z425" s="110" t="n"/>
      <c r="AA425" s="110" t="n">
        <v>1</v>
      </c>
      <c r="AB425" s="110" t="n"/>
      <c r="AC425" s="110" t="n"/>
      <c r="AD425" s="110" t="n"/>
      <c r="AE425" s="110" t="n"/>
      <c r="AF425" s="110" t="n"/>
      <c r="AG425" s="110" t="n"/>
      <c r="AH425" s="110" t="n"/>
      <c r="AI425" s="110" t="n"/>
      <c r="AJ425" s="110" t="n"/>
      <c r="AK425" s="110" t="n"/>
      <c r="AL425" s="110" t="n"/>
      <c r="AM425" s="110" t="n"/>
      <c r="AN425" s="110" t="n"/>
      <c r="AO425" s="110" t="n"/>
      <c r="AP425" s="110" t="n"/>
      <c r="AQ425" s="110" t="n"/>
      <c r="AR425" s="110" t="n"/>
      <c r="AS425" s="110" t="n"/>
      <c r="AT425" s="110" t="n"/>
      <c r="AU425" s="110" t="n"/>
      <c r="AV425" s="110" t="n"/>
      <c r="AW425" s="110" t="n"/>
      <c r="AX425" s="110" t="n"/>
      <c r="AY425" s="110" t="n"/>
      <c r="AZ425" s="110" t="n"/>
      <c r="BA425" s="110" t="n"/>
      <c r="BB425" s="110" t="n"/>
      <c r="BC425" t="inlineStr">
        <is>
          <t>ORIGINAL</t>
        </is>
      </c>
      <c r="BD425" t="n">
        <v>416</v>
      </c>
      <c r="BF425" s="109">
        <f>IF($BD425="","",SUMIF($BD$6:$BD$2000,$BD425,$J$6:$J$2000))</f>
        <v/>
      </c>
    </row>
    <row r="426" ht="19.5" customHeight="1">
      <c r="A426" s="96" t="inlineStr">
        <is>
          <t>PENDENTE</t>
        </is>
      </c>
      <c r="B426" s="26" t="inlineStr">
        <is>
          <t>RIACHUELO</t>
        </is>
      </c>
      <c r="C426" s="27" t="n">
        <v>516</v>
      </c>
      <c r="D426" s="26" t="inlineStr">
        <is>
          <t>RIO BOTAFOGO PRAIA SH</t>
        </is>
      </c>
      <c r="E426" s="26" t="inlineStr">
        <is>
          <t>RIO DE JANEIRO</t>
        </is>
      </c>
      <c r="F426" s="27" t="inlineStr">
        <is>
          <t>RJ</t>
        </is>
      </c>
      <c r="G426" s="107" t="n">
        <v>46235</v>
      </c>
      <c r="H426" s="108">
        <f>IF($B426="","",SUM($K426:$AG426)+SUM($AS426:$BB426))</f>
        <v/>
      </c>
      <c r="I426" s="108">
        <f>IF($B426="","",SUM($AH426:$AL426))</f>
        <v/>
      </c>
      <c r="J426" s="109">
        <f>IF($B426="","",SUMPRODUCT($K426:$BB426,$K$2:$BB$2))</f>
        <v/>
      </c>
      <c r="K426" s="110" t="n"/>
      <c r="L426" s="110" t="n"/>
      <c r="M426" s="110" t="n"/>
      <c r="N426" s="110" t="n"/>
      <c r="O426" s="110" t="n"/>
      <c r="P426" s="110" t="n"/>
      <c r="Q426" s="110" t="n"/>
      <c r="R426" s="110" t="n"/>
      <c r="S426" s="110" t="n"/>
      <c r="T426" s="110" t="n"/>
      <c r="U426" s="110" t="n">
        <v>11</v>
      </c>
      <c r="V426" s="110" t="n"/>
      <c r="W426" s="110" t="n"/>
      <c r="X426" s="110" t="n"/>
      <c r="Y426" s="110" t="n"/>
      <c r="Z426" s="110" t="n"/>
      <c r="AA426" s="110" t="n">
        <v>1</v>
      </c>
      <c r="AB426" s="110" t="n"/>
      <c r="AC426" s="110" t="n"/>
      <c r="AD426" s="110" t="n"/>
      <c r="AE426" s="110" t="n"/>
      <c r="AF426" s="110" t="n"/>
      <c r="AG426" s="110" t="n"/>
      <c r="AH426" s="110" t="n">
        <v>8</v>
      </c>
      <c r="AI426" s="110" t="n"/>
      <c r="AJ426" s="110" t="n"/>
      <c r="AK426" s="110" t="n"/>
      <c r="AL426" s="110" t="n"/>
      <c r="AM426" s="110" t="n"/>
      <c r="AN426" s="110" t="n"/>
      <c r="AO426" s="110" t="n"/>
      <c r="AP426" s="110" t="n"/>
      <c r="AQ426" s="110" t="n"/>
      <c r="AR426" s="110" t="n"/>
      <c r="AS426" s="110" t="n"/>
      <c r="AT426" s="110" t="n"/>
      <c r="AU426" s="110" t="n"/>
      <c r="AV426" s="110" t="n"/>
      <c r="AW426" s="110" t="n"/>
      <c r="AX426" s="110" t="n"/>
      <c r="AY426" s="110" t="n"/>
      <c r="AZ426" s="110" t="n"/>
      <c r="BA426" s="110" t="n"/>
      <c r="BB426" s="110" t="n"/>
      <c r="BC426" t="inlineStr">
        <is>
          <t>ORIGINAL</t>
        </is>
      </c>
      <c r="BD426" t="n">
        <v>417</v>
      </c>
      <c r="BF426" s="109">
        <f>IF($BD426="","",SUMIF($BD$6:$BD$2000,$BD426,$J$6:$J$2000))</f>
        <v/>
      </c>
    </row>
    <row r="427" ht="19.5" customHeight="1">
      <c r="A427" s="96" t="inlineStr">
        <is>
          <t>PENDENTE</t>
        </is>
      </c>
      <c r="B427" s="26" t="inlineStr">
        <is>
          <t>RIACHUELO</t>
        </is>
      </c>
      <c r="C427" s="27" t="n">
        <v>517</v>
      </c>
      <c r="D427" s="26" t="inlineStr">
        <is>
          <t>PÁTIO SAVASSI</t>
        </is>
      </c>
      <c r="E427" s="26" t="inlineStr">
        <is>
          <t>BELO HORIZONTE</t>
        </is>
      </c>
      <c r="F427" s="27" t="inlineStr">
        <is>
          <t>MG</t>
        </is>
      </c>
      <c r="G427" s="107" t="n">
        <v>46388</v>
      </c>
      <c r="H427" s="108">
        <f>IF($B427="","",SUM($K427:$AG427)+SUM($AS427:$BB427))</f>
        <v/>
      </c>
      <c r="I427" s="108">
        <f>IF($B427="","",SUM($AH427:$AL427))</f>
        <v/>
      </c>
      <c r="J427" s="109">
        <f>IF($B427="","",SUMPRODUCT($K427:$BB427,$K$2:$BB$2))</f>
        <v/>
      </c>
      <c r="K427" s="110" t="n"/>
      <c r="L427" s="110" t="n"/>
      <c r="M427" s="110" t="n"/>
      <c r="N427" s="110" t="n"/>
      <c r="O427" s="110" t="n"/>
      <c r="P427" s="110" t="n"/>
      <c r="Q427" s="110" t="n"/>
      <c r="R427" s="110" t="n"/>
      <c r="S427" s="110" t="n"/>
      <c r="T427" s="110" t="n"/>
      <c r="U427" s="110" t="n">
        <v>10</v>
      </c>
      <c r="V427" s="110" t="n"/>
      <c r="W427" s="110" t="n"/>
      <c r="X427" s="110" t="n"/>
      <c r="Y427" s="110" t="n"/>
      <c r="Z427" s="110" t="n"/>
      <c r="AA427" s="110" t="n">
        <v>1</v>
      </c>
      <c r="AB427" s="110" t="n"/>
      <c r="AC427" s="110" t="n"/>
      <c r="AD427" s="110" t="n"/>
      <c r="AE427" s="110" t="n"/>
      <c r="AF427" s="110" t="n"/>
      <c r="AG427" s="110" t="n"/>
      <c r="AH427" s="110" t="n">
        <v>8</v>
      </c>
      <c r="AI427" s="110" t="n"/>
      <c r="AJ427" s="110" t="n"/>
      <c r="AK427" s="110" t="n"/>
      <c r="AL427" s="110" t="n"/>
      <c r="AM427" s="110" t="n"/>
      <c r="AN427" s="110" t="n"/>
      <c r="AO427" s="110" t="n"/>
      <c r="AP427" s="110" t="n"/>
      <c r="AQ427" s="110" t="n"/>
      <c r="AR427" s="110" t="n"/>
      <c r="AS427" s="110" t="n"/>
      <c r="AT427" s="110" t="n"/>
      <c r="AU427" s="110" t="n"/>
      <c r="AV427" s="110" t="n"/>
      <c r="AW427" s="110" t="n"/>
      <c r="AX427" s="110" t="n"/>
      <c r="AY427" s="110" t="n"/>
      <c r="AZ427" s="110" t="n"/>
      <c r="BA427" s="110" t="n"/>
      <c r="BB427" s="110" t="n"/>
      <c r="BC427" t="inlineStr">
        <is>
          <t>ORIGINAL</t>
        </is>
      </c>
      <c r="BD427" t="n">
        <v>418</v>
      </c>
      <c r="BF427" s="109">
        <f>IF($BD427="","",SUMIF($BD$6:$BD$2000,$BD427,$J$6:$J$2000))</f>
        <v/>
      </c>
    </row>
    <row r="428" ht="19.5" customHeight="1">
      <c r="A428" s="96" t="inlineStr">
        <is>
          <t>PENDENTE</t>
        </is>
      </c>
      <c r="B428" s="26" t="inlineStr">
        <is>
          <t>RIACHUELO</t>
        </is>
      </c>
      <c r="C428" s="27" t="n">
        <v>521</v>
      </c>
      <c r="D428" s="26" t="inlineStr">
        <is>
          <t>MARINGA CATUAI SH CARTER'S</t>
        </is>
      </c>
      <c r="E428" s="26" t="inlineStr">
        <is>
          <t>MARINGÁ</t>
        </is>
      </c>
      <c r="F428" s="27" t="inlineStr">
        <is>
          <t>PR</t>
        </is>
      </c>
      <c r="G428" s="107" t="n">
        <v>46419</v>
      </c>
      <c r="H428" s="108">
        <f>IF($B428="","",SUM($K428:$AG428)+SUM($AS428:$BB428))</f>
        <v/>
      </c>
      <c r="I428" s="108">
        <f>IF($B428="","",SUM($AH428:$AL428))</f>
        <v/>
      </c>
      <c r="J428" s="109">
        <f>IF($B428="","",SUMPRODUCT($K428:$BB428,$K$2:$BB$2))</f>
        <v/>
      </c>
      <c r="K428" s="110" t="n"/>
      <c r="L428" s="110" t="n"/>
      <c r="M428" s="110" t="n"/>
      <c r="N428" s="110" t="n"/>
      <c r="O428" s="110" t="n"/>
      <c r="P428" s="110" t="n"/>
      <c r="Q428" s="110" t="n"/>
      <c r="R428" s="110" t="n"/>
      <c r="S428" s="110" t="n"/>
      <c r="T428" s="110" t="n"/>
      <c r="U428" s="110" t="n">
        <v>4</v>
      </c>
      <c r="V428" s="110" t="n"/>
      <c r="W428" s="110" t="n"/>
      <c r="X428" s="110" t="n"/>
      <c r="Y428" s="110" t="n"/>
      <c r="Z428" s="110" t="n"/>
      <c r="AA428" s="110" t="n"/>
      <c r="AB428" s="110" t="n"/>
      <c r="AC428" s="110" t="n"/>
      <c r="AD428" s="110" t="n"/>
      <c r="AE428" s="110" t="n"/>
      <c r="AF428" s="110" t="n"/>
      <c r="AG428" s="110" t="n"/>
      <c r="AH428" s="110" t="n"/>
      <c r="AI428" s="110" t="n"/>
      <c r="AJ428" s="110" t="n"/>
      <c r="AK428" s="110" t="n"/>
      <c r="AL428" s="110" t="n"/>
      <c r="AM428" s="110" t="n"/>
      <c r="AN428" s="110" t="n"/>
      <c r="AO428" s="110" t="n"/>
      <c r="AP428" s="110" t="n"/>
      <c r="AQ428" s="110" t="n"/>
      <c r="AR428" s="110" t="n"/>
      <c r="AS428" s="110" t="n"/>
      <c r="AT428" s="110" t="n"/>
      <c r="AU428" s="110" t="n"/>
      <c r="AV428" s="110" t="n"/>
      <c r="AW428" s="110" t="n"/>
      <c r="AX428" s="110" t="n"/>
      <c r="AY428" s="110" t="n"/>
      <c r="AZ428" s="110" t="n"/>
      <c r="BA428" s="110" t="n"/>
      <c r="BB428" s="110" t="n"/>
      <c r="BC428" t="inlineStr">
        <is>
          <t>ORIGINAL</t>
        </is>
      </c>
      <c r="BD428" t="n">
        <v>419</v>
      </c>
      <c r="BF428" s="109">
        <f>IF($BD428="","",SUMIF($BD$6:$BD$2000,$BD428,$J$6:$J$2000))</f>
        <v/>
      </c>
    </row>
    <row r="429" ht="19.5" customHeight="1">
      <c r="A429" s="96" t="inlineStr">
        <is>
          <t>PENDENTE</t>
        </is>
      </c>
      <c r="B429" s="26" t="inlineStr">
        <is>
          <t>RIACHUELO</t>
        </is>
      </c>
      <c r="C429" s="27" t="n">
        <v>522</v>
      </c>
      <c r="D429" s="26" t="inlineStr">
        <is>
          <t>UBERABA SH CARTER'S</t>
        </is>
      </c>
      <c r="E429" s="26" t="inlineStr">
        <is>
          <t>UBERABA</t>
        </is>
      </c>
      <c r="F429" s="27" t="inlineStr">
        <is>
          <t>MG</t>
        </is>
      </c>
      <c r="G429" s="107" t="n">
        <v>46203</v>
      </c>
      <c r="H429" s="108">
        <f>IF($B429="","",SUM($K429:$AG429)+SUM($AS429:$BB429))</f>
        <v/>
      </c>
      <c r="I429" s="108">
        <f>IF($B429="","",SUM($AH429:$AL429))</f>
        <v/>
      </c>
      <c r="J429" s="109">
        <f>IF($B429="","",SUMPRODUCT($K429:$BB429,$K$2:$BB$2))</f>
        <v/>
      </c>
      <c r="K429" s="110" t="n">
        <v>1</v>
      </c>
      <c r="L429" s="110" t="n"/>
      <c r="M429" s="110" t="n">
        <v>2</v>
      </c>
      <c r="N429" s="110" t="n"/>
      <c r="O429" s="110" t="n"/>
      <c r="P429" s="110" t="n"/>
      <c r="Q429" s="110" t="n"/>
      <c r="R429" s="110" t="n"/>
      <c r="S429" s="110" t="n"/>
      <c r="T429" s="110" t="n"/>
      <c r="U429" s="110" t="n"/>
      <c r="V429" s="110" t="n"/>
      <c r="W429" s="110" t="n"/>
      <c r="X429" s="110" t="n"/>
      <c r="Y429" s="110" t="n"/>
      <c r="Z429" s="110" t="n"/>
      <c r="AA429" s="110" t="n">
        <v>1</v>
      </c>
      <c r="AB429" s="110" t="n"/>
      <c r="AC429" s="110" t="n"/>
      <c r="AD429" s="110" t="n"/>
      <c r="AE429" s="110" t="n"/>
      <c r="AF429" s="110" t="n"/>
      <c r="AG429" s="110" t="n"/>
      <c r="AH429" s="110" t="n"/>
      <c r="AI429" s="110" t="n"/>
      <c r="AJ429" s="110" t="n"/>
      <c r="AK429" s="110" t="n"/>
      <c r="AL429" s="110" t="n"/>
      <c r="AM429" s="110" t="n"/>
      <c r="AN429" s="110" t="n"/>
      <c r="AO429" s="110" t="n"/>
      <c r="AP429" s="110" t="n"/>
      <c r="AQ429" s="110" t="n"/>
      <c r="AR429" s="110" t="n"/>
      <c r="AS429" s="110" t="n"/>
      <c r="AT429" s="110" t="n"/>
      <c r="AU429" s="110" t="n"/>
      <c r="AV429" s="110" t="n"/>
      <c r="AW429" s="110" t="n"/>
      <c r="AX429" s="110" t="n"/>
      <c r="AY429" s="110" t="n"/>
      <c r="AZ429" s="110" t="n"/>
      <c r="BA429" s="110" t="n"/>
      <c r="BB429" s="110" t="n"/>
      <c r="BC429" t="inlineStr">
        <is>
          <t>ORIGINAL</t>
        </is>
      </c>
      <c r="BD429" t="n">
        <v>420</v>
      </c>
      <c r="BF429" s="109">
        <f>IF($BD429="","",SUMIF($BD$6:$BD$2000,$BD429,$J$6:$J$2000))</f>
        <v/>
      </c>
    </row>
    <row r="430" ht="19.5" customHeight="1">
      <c r="A430" s="96" t="inlineStr">
        <is>
          <t>PENDENTE</t>
        </is>
      </c>
      <c r="B430" s="26" t="inlineStr">
        <is>
          <t>RIACHUELO</t>
        </is>
      </c>
      <c r="C430" s="27" t="n">
        <v>523</v>
      </c>
      <c r="D430" s="26" t="inlineStr">
        <is>
          <t>OUTLET PREMIUM IMIGRANTES CARTER'S</t>
        </is>
      </c>
      <c r="E430" s="26" t="inlineStr">
        <is>
          <t>SÃO BERNARDO DO CAMPO</t>
        </is>
      </c>
      <c r="F430" s="27" t="inlineStr">
        <is>
          <t>SP</t>
        </is>
      </c>
      <c r="G430" s="107" t="n">
        <v>46204</v>
      </c>
      <c r="H430" s="108">
        <f>IF($B430="","",SUM($K430:$AG430)+SUM($AS430:$BB430))</f>
        <v/>
      </c>
      <c r="I430" s="108">
        <f>IF($B430="","",SUM($AH430:$AL430))</f>
        <v/>
      </c>
      <c r="J430" s="109">
        <f>IF($B430="","",SUMPRODUCT($K430:$BB430,$K$2:$BB$2))</f>
        <v/>
      </c>
      <c r="K430" s="110" t="n">
        <v>1</v>
      </c>
      <c r="L430" s="110" t="n"/>
      <c r="M430" s="110" t="n">
        <v>2</v>
      </c>
      <c r="N430" s="110" t="n"/>
      <c r="O430" s="110" t="n"/>
      <c r="P430" s="110" t="n"/>
      <c r="Q430" s="110" t="n"/>
      <c r="R430" s="110" t="n"/>
      <c r="S430" s="110" t="n"/>
      <c r="T430" s="110" t="n"/>
      <c r="U430" s="110" t="n"/>
      <c r="V430" s="110" t="n"/>
      <c r="W430" s="110" t="n"/>
      <c r="X430" s="110" t="n"/>
      <c r="Y430" s="110" t="n"/>
      <c r="Z430" s="110" t="n"/>
      <c r="AA430" s="110" t="n"/>
      <c r="AB430" s="110" t="n"/>
      <c r="AC430" s="110" t="n"/>
      <c r="AD430" s="110" t="n"/>
      <c r="AE430" s="110" t="n"/>
      <c r="AF430" s="110" t="n"/>
      <c r="AG430" s="110" t="n"/>
      <c r="AH430" s="110" t="n"/>
      <c r="AI430" s="110" t="n"/>
      <c r="AJ430" s="110" t="n"/>
      <c r="AK430" s="110" t="n"/>
      <c r="AL430" s="110" t="n"/>
      <c r="AM430" s="110" t="n"/>
      <c r="AN430" s="110" t="n"/>
      <c r="AO430" s="110" t="n"/>
      <c r="AP430" s="110" t="n"/>
      <c r="AQ430" s="110" t="n"/>
      <c r="AR430" s="110" t="n"/>
      <c r="AS430" s="110" t="n"/>
      <c r="AT430" s="110" t="n"/>
      <c r="AU430" s="110" t="n"/>
      <c r="AV430" s="110" t="n"/>
      <c r="AW430" s="110" t="n"/>
      <c r="AX430" s="110" t="n"/>
      <c r="AY430" s="110" t="n"/>
      <c r="AZ430" s="110" t="n"/>
      <c r="BA430" s="110" t="n"/>
      <c r="BB430" s="110" t="n"/>
      <c r="BC430" t="inlineStr">
        <is>
          <t>ORIGINAL</t>
        </is>
      </c>
      <c r="BD430" t="n">
        <v>421</v>
      </c>
      <c r="BF430" s="109">
        <f>IF($BD430="","",SUMIF($BD$6:$BD$2000,$BD430,$J$6:$J$2000))</f>
        <v/>
      </c>
    </row>
    <row r="431" ht="19.5" customHeight="1">
      <c r="A431" s="96" t="inlineStr">
        <is>
          <t>PENDENTE</t>
        </is>
      </c>
      <c r="B431" s="26" t="inlineStr">
        <is>
          <t>RIACHUELO</t>
        </is>
      </c>
      <c r="C431" s="27" t="n">
        <v>524</v>
      </c>
      <c r="D431" s="26" t="inlineStr">
        <is>
          <t>BRASÍLIA SH CARTER'S</t>
        </is>
      </c>
      <c r="E431" s="26" t="inlineStr">
        <is>
          <t>BRASILIA</t>
        </is>
      </c>
      <c r="F431" s="27" t="inlineStr">
        <is>
          <t>DF</t>
        </is>
      </c>
      <c r="G431" s="107" t="n">
        <v>46204</v>
      </c>
      <c r="H431" s="108">
        <f>IF($B431="","",SUM($K431:$AG431)+SUM($AS431:$BB431))</f>
        <v/>
      </c>
      <c r="I431" s="108">
        <f>IF($B431="","",SUM($AH431:$AL431))</f>
        <v/>
      </c>
      <c r="J431" s="109">
        <f>IF($B431="","",SUMPRODUCT($K431:$BB431,$K$2:$BB$2))</f>
        <v/>
      </c>
      <c r="K431" s="110" t="n">
        <v>2</v>
      </c>
      <c r="L431" s="110" t="n"/>
      <c r="M431" s="110" t="n">
        <v>2</v>
      </c>
      <c r="N431" s="110" t="n"/>
      <c r="O431" s="110" t="n"/>
      <c r="P431" s="110" t="n"/>
      <c r="Q431" s="110" t="n"/>
      <c r="R431" s="110" t="n"/>
      <c r="S431" s="110" t="n"/>
      <c r="T431" s="110" t="n"/>
      <c r="U431" s="110" t="n"/>
      <c r="V431" s="110" t="n"/>
      <c r="W431" s="110" t="n"/>
      <c r="X431" s="110" t="n"/>
      <c r="Y431" s="110" t="n"/>
      <c r="Z431" s="110" t="n"/>
      <c r="AA431" s="110" t="n">
        <v>2</v>
      </c>
      <c r="AB431" s="110" t="n"/>
      <c r="AC431" s="110" t="n"/>
      <c r="AD431" s="110" t="n"/>
      <c r="AE431" s="110" t="n"/>
      <c r="AF431" s="110" t="n"/>
      <c r="AG431" s="110" t="n"/>
      <c r="AH431" s="110" t="n"/>
      <c r="AI431" s="110" t="n"/>
      <c r="AJ431" s="110" t="n"/>
      <c r="AK431" s="110" t="n"/>
      <c r="AL431" s="110" t="n"/>
      <c r="AM431" s="110" t="n"/>
      <c r="AN431" s="110" t="n"/>
      <c r="AO431" s="110" t="n"/>
      <c r="AP431" s="110" t="n"/>
      <c r="AQ431" s="110" t="n"/>
      <c r="AR431" s="110" t="n"/>
      <c r="AS431" s="110" t="n"/>
      <c r="AT431" s="110" t="n"/>
      <c r="AU431" s="110" t="n"/>
      <c r="AV431" s="110" t="n"/>
      <c r="AW431" s="110" t="n"/>
      <c r="AX431" s="110" t="n"/>
      <c r="AY431" s="110" t="n"/>
      <c r="AZ431" s="110" t="n"/>
      <c r="BA431" s="110" t="n"/>
      <c r="BB431" s="110" t="n"/>
      <c r="BC431" t="inlineStr">
        <is>
          <t>ORIGINAL</t>
        </is>
      </c>
      <c r="BD431" t="n">
        <v>422</v>
      </c>
      <c r="BF431" s="109">
        <f>IF($BD431="","",SUMIF($BD$6:$BD$2000,$BD431,$J$6:$J$2000))</f>
        <v/>
      </c>
    </row>
    <row r="432" ht="19.5" customHeight="1">
      <c r="A432" s="96" t="inlineStr">
        <is>
          <t>PENDENTE</t>
        </is>
      </c>
      <c r="B432" s="26" t="inlineStr">
        <is>
          <t>RIACHUELO</t>
        </is>
      </c>
      <c r="C432" s="27" t="n">
        <v>525</v>
      </c>
      <c r="D432" s="26" t="inlineStr">
        <is>
          <t>PIRACICABA SH CARTER'S</t>
        </is>
      </c>
      <c r="E432" s="26" t="inlineStr">
        <is>
          <t>PIRACICABA</t>
        </is>
      </c>
      <c r="F432" s="27" t="inlineStr">
        <is>
          <t>SP</t>
        </is>
      </c>
      <c r="G432" s="107" t="n">
        <v>46204</v>
      </c>
      <c r="H432" s="108">
        <f>IF($B432="","",SUM($K432:$AG432)+SUM($AS432:$BB432))</f>
        <v/>
      </c>
      <c r="I432" s="108">
        <f>IF($B432="","",SUM($AH432:$AL432))</f>
        <v/>
      </c>
      <c r="J432" s="109">
        <f>IF($B432="","",SUMPRODUCT($K432:$BB432,$K$2:$BB$2))</f>
        <v/>
      </c>
      <c r="K432" s="110" t="n">
        <v>2</v>
      </c>
      <c r="L432" s="110" t="n"/>
      <c r="M432" s="110" t="n">
        <v>2</v>
      </c>
      <c r="N432" s="110" t="n"/>
      <c r="O432" s="110" t="n"/>
      <c r="P432" s="110" t="n"/>
      <c r="Q432" s="110" t="n"/>
      <c r="R432" s="110" t="n"/>
      <c r="S432" s="110" t="n"/>
      <c r="T432" s="110" t="n"/>
      <c r="U432" s="110" t="n"/>
      <c r="V432" s="110" t="n"/>
      <c r="W432" s="110" t="n"/>
      <c r="X432" s="110" t="n"/>
      <c r="Y432" s="110" t="n"/>
      <c r="Z432" s="110" t="n"/>
      <c r="AA432" s="110" t="n">
        <v>1</v>
      </c>
      <c r="AB432" s="110" t="n"/>
      <c r="AC432" s="110" t="n"/>
      <c r="AD432" s="110" t="n"/>
      <c r="AE432" s="110" t="n"/>
      <c r="AF432" s="110" t="n"/>
      <c r="AG432" s="110" t="n"/>
      <c r="AH432" s="110" t="n"/>
      <c r="AI432" s="110" t="n"/>
      <c r="AJ432" s="110" t="n"/>
      <c r="AK432" s="110" t="n"/>
      <c r="AL432" s="110" t="n"/>
      <c r="AM432" s="110" t="n"/>
      <c r="AN432" s="110" t="n"/>
      <c r="AO432" s="110" t="n"/>
      <c r="AP432" s="110" t="n"/>
      <c r="AQ432" s="110" t="n"/>
      <c r="AR432" s="110" t="n"/>
      <c r="AS432" s="110" t="n"/>
      <c r="AT432" s="110" t="n"/>
      <c r="AU432" s="110" t="n"/>
      <c r="AV432" s="110" t="n"/>
      <c r="AW432" s="110" t="n"/>
      <c r="AX432" s="110" t="n"/>
      <c r="AY432" s="110" t="n"/>
      <c r="AZ432" s="110" t="n"/>
      <c r="BA432" s="110" t="n"/>
      <c r="BB432" s="110" t="n"/>
      <c r="BC432" t="inlineStr">
        <is>
          <t>ORIGINAL</t>
        </is>
      </c>
      <c r="BD432" t="n">
        <v>423</v>
      </c>
      <c r="BF432" s="109">
        <f>IF($BD432="","",SUMIF($BD$6:$BD$2000,$BD432,$J$6:$J$2000))</f>
        <v/>
      </c>
    </row>
    <row r="433" ht="19.5" customHeight="1">
      <c r="A433" s="96" t="inlineStr">
        <is>
          <t>PENDENTE</t>
        </is>
      </c>
      <c r="B433" s="26" t="inlineStr">
        <is>
          <t>RIACHUELO</t>
        </is>
      </c>
      <c r="C433" s="27" t="n">
        <v>526</v>
      </c>
      <c r="D433" s="26" t="inlineStr">
        <is>
          <t>CURITIBA PALLADIUM SH CARTER'S</t>
        </is>
      </c>
      <c r="E433" s="26" t="inlineStr">
        <is>
          <t>CURITIBA</t>
        </is>
      </c>
      <c r="F433" s="27" t="inlineStr">
        <is>
          <t>PR</t>
        </is>
      </c>
      <c r="G433" s="107" t="n">
        <v>46054</v>
      </c>
      <c r="H433" s="108">
        <f>IF($B433="","",SUM($K433:$AG433)+SUM($AS433:$BB433))</f>
        <v/>
      </c>
      <c r="I433" s="108">
        <f>IF($B433="","",SUM($AH433:$AL433))</f>
        <v/>
      </c>
      <c r="J433" s="109">
        <f>IF($B433="","",SUMPRODUCT($K433:$BB433,$K$2:$BB$2))</f>
        <v/>
      </c>
      <c r="K433" s="110" t="n">
        <v>1</v>
      </c>
      <c r="L433" s="110" t="n"/>
      <c r="M433" s="110" t="n">
        <v>2</v>
      </c>
      <c r="N433" s="110" t="n"/>
      <c r="O433" s="110" t="n"/>
      <c r="P433" s="110" t="n"/>
      <c r="Q433" s="110" t="n"/>
      <c r="R433" s="110" t="n"/>
      <c r="S433" s="110" t="n"/>
      <c r="T433" s="110" t="n"/>
      <c r="U433" s="110" t="n"/>
      <c r="V433" s="110" t="n"/>
      <c r="W433" s="110" t="n"/>
      <c r="X433" s="110" t="n"/>
      <c r="Y433" s="110" t="n"/>
      <c r="Z433" s="110" t="n"/>
      <c r="AA433" s="110" t="n">
        <v>1</v>
      </c>
      <c r="AB433" s="110" t="n"/>
      <c r="AC433" s="110" t="n"/>
      <c r="AD433" s="110" t="n"/>
      <c r="AE433" s="110" t="n"/>
      <c r="AF433" s="110" t="n"/>
      <c r="AG433" s="110" t="n"/>
      <c r="AH433" s="110" t="n"/>
      <c r="AI433" s="110" t="n"/>
      <c r="AJ433" s="110" t="n"/>
      <c r="AK433" s="110" t="n"/>
      <c r="AL433" s="110" t="n"/>
      <c r="AM433" s="110" t="n"/>
      <c r="AN433" s="110" t="n"/>
      <c r="AO433" s="110" t="n"/>
      <c r="AP433" s="110" t="n"/>
      <c r="AQ433" s="110" t="n"/>
      <c r="AR433" s="110" t="n"/>
      <c r="AS433" s="110" t="n"/>
      <c r="AT433" s="110" t="n"/>
      <c r="AU433" s="110" t="n"/>
      <c r="AV433" s="110" t="n"/>
      <c r="AW433" s="110" t="n"/>
      <c r="AX433" s="110" t="n"/>
      <c r="AY433" s="110" t="n"/>
      <c r="AZ433" s="110" t="n"/>
      <c r="BA433" s="110" t="n"/>
      <c r="BB433" s="110" t="n"/>
      <c r="BC433" t="inlineStr">
        <is>
          <t>ORIGINAL</t>
        </is>
      </c>
      <c r="BD433" t="n">
        <v>424</v>
      </c>
      <c r="BF433" s="109">
        <f>IF($BD433="","",SUMIF($BD$6:$BD$2000,$BD433,$J$6:$J$2000))</f>
        <v/>
      </c>
    </row>
    <row r="434" ht="19.5" customHeight="1">
      <c r="A434" s="96" t="inlineStr">
        <is>
          <t>PENDENTE</t>
        </is>
      </c>
      <c r="B434" s="26" t="inlineStr">
        <is>
          <t>RIACHUELO</t>
        </is>
      </c>
      <c r="C434" s="27" t="n">
        <v>527</v>
      </c>
      <c r="D434" s="26" t="inlineStr">
        <is>
          <t>CUIABA PANTANAL SH CARTER'S</t>
        </is>
      </c>
      <c r="E434" s="26" t="inlineStr">
        <is>
          <t>CUIABÁ</t>
        </is>
      </c>
      <c r="F434" s="27" t="inlineStr">
        <is>
          <t>MT</t>
        </is>
      </c>
      <c r="G434" s="107" t="n">
        <v>46266</v>
      </c>
      <c r="H434" s="108">
        <f>IF($B434="","",SUM($K434:$AG434)+SUM($AS434:$BB434))</f>
        <v/>
      </c>
      <c r="I434" s="108">
        <f>IF($B434="","",SUM($AH434:$AL434))</f>
        <v/>
      </c>
      <c r="J434" s="109">
        <f>IF($B434="","",SUMPRODUCT($K434:$BB434,$K$2:$BB$2))</f>
        <v/>
      </c>
      <c r="K434" s="110" t="n">
        <v>2</v>
      </c>
      <c r="L434" s="110" t="n"/>
      <c r="M434" s="110" t="n">
        <v>1</v>
      </c>
      <c r="N434" s="110" t="n"/>
      <c r="O434" s="110" t="n"/>
      <c r="P434" s="110" t="n"/>
      <c r="Q434" s="110" t="n"/>
      <c r="R434" s="110" t="n"/>
      <c r="S434" s="110" t="n"/>
      <c r="T434" s="110" t="n"/>
      <c r="U434" s="110" t="n"/>
      <c r="V434" s="110" t="n"/>
      <c r="W434" s="110" t="n"/>
      <c r="X434" s="110" t="n"/>
      <c r="Y434" s="110" t="n"/>
      <c r="Z434" s="110" t="n"/>
      <c r="AA434" s="110" t="n">
        <v>2</v>
      </c>
      <c r="AB434" s="110" t="n"/>
      <c r="AC434" s="110" t="n"/>
      <c r="AD434" s="110" t="n"/>
      <c r="AE434" s="110" t="n"/>
      <c r="AF434" s="110" t="n"/>
      <c r="AG434" s="110" t="n"/>
      <c r="AH434" s="110" t="n"/>
      <c r="AI434" s="110" t="n"/>
      <c r="AJ434" s="110" t="n"/>
      <c r="AK434" s="110" t="n"/>
      <c r="AL434" s="110" t="n"/>
      <c r="AM434" s="110" t="n"/>
      <c r="AN434" s="110" t="n"/>
      <c r="AO434" s="110" t="n"/>
      <c r="AP434" s="110" t="n"/>
      <c r="AQ434" s="110" t="n"/>
      <c r="AR434" s="110" t="n"/>
      <c r="AS434" s="110" t="n"/>
      <c r="AT434" s="110" t="n"/>
      <c r="AU434" s="110" t="n"/>
      <c r="AV434" s="110" t="n"/>
      <c r="AW434" s="110" t="n"/>
      <c r="AX434" s="110" t="n"/>
      <c r="AY434" s="110" t="n"/>
      <c r="AZ434" s="110" t="n"/>
      <c r="BA434" s="110" t="n"/>
      <c r="BB434" s="110" t="n"/>
      <c r="BC434" t="inlineStr">
        <is>
          <t>ORIGINAL</t>
        </is>
      </c>
      <c r="BD434" t="n">
        <v>425</v>
      </c>
      <c r="BF434" s="109">
        <f>IF($BD434="","",SUMIF($BD$6:$BD$2000,$BD434,$J$6:$J$2000))</f>
        <v/>
      </c>
    </row>
    <row r="435" ht="19.5" customHeight="1">
      <c r="A435" s="96" t="inlineStr">
        <is>
          <t>PENDENTE</t>
        </is>
      </c>
      <c r="B435" s="26" t="inlineStr">
        <is>
          <t>RIACHUELO</t>
        </is>
      </c>
      <c r="C435" s="27" t="n">
        <v>528</v>
      </c>
      <c r="D435" s="26" t="inlineStr">
        <is>
          <t>SPA SP MARKET SH CARTER'S</t>
        </is>
      </c>
      <c r="E435" s="26" t="inlineStr">
        <is>
          <t>SÃO PAULO</t>
        </is>
      </c>
      <c r="F435" s="27" t="inlineStr">
        <is>
          <t>SP</t>
        </is>
      </c>
      <c r="G435" s="107" t="n">
        <v>46296</v>
      </c>
      <c r="H435" s="108">
        <f>IF($B435="","",SUM($K435:$AG435)+SUM($AS435:$BB435))</f>
        <v/>
      </c>
      <c r="I435" s="108">
        <f>IF($B435="","",SUM($AH435:$AL435))</f>
        <v/>
      </c>
      <c r="J435" s="109">
        <f>IF($B435="","",SUMPRODUCT($K435:$BB435,$K$2:$BB$2))</f>
        <v/>
      </c>
      <c r="K435" s="110" t="n"/>
      <c r="L435" s="110" t="n"/>
      <c r="M435" s="110" t="n"/>
      <c r="N435" s="110" t="n"/>
      <c r="O435" s="110" t="n"/>
      <c r="P435" s="110" t="n"/>
      <c r="Q435" s="110" t="n"/>
      <c r="R435" s="110" t="n"/>
      <c r="S435" s="110" t="n"/>
      <c r="T435" s="110" t="n"/>
      <c r="U435" s="110" t="n">
        <v>3</v>
      </c>
      <c r="V435" s="110" t="n"/>
      <c r="W435" s="110" t="n"/>
      <c r="X435" s="110" t="n"/>
      <c r="Y435" s="110" t="n"/>
      <c r="Z435" s="110" t="n"/>
      <c r="AA435" s="110" t="n">
        <v>1</v>
      </c>
      <c r="AB435" s="110" t="n"/>
      <c r="AC435" s="110" t="n"/>
      <c r="AD435" s="110" t="n"/>
      <c r="AE435" s="110" t="n"/>
      <c r="AF435" s="110" t="n"/>
      <c r="AG435" s="110" t="n"/>
      <c r="AH435" s="110" t="n"/>
      <c r="AI435" s="110" t="n"/>
      <c r="AJ435" s="110" t="n"/>
      <c r="AK435" s="110" t="n"/>
      <c r="AL435" s="110" t="n"/>
      <c r="AM435" s="110" t="n"/>
      <c r="AN435" s="110" t="n"/>
      <c r="AO435" s="110" t="n"/>
      <c r="AP435" s="110" t="n"/>
      <c r="AQ435" s="110" t="n"/>
      <c r="AR435" s="110" t="n"/>
      <c r="AS435" s="110" t="n"/>
      <c r="AT435" s="110" t="n"/>
      <c r="AU435" s="110" t="n"/>
      <c r="AV435" s="110" t="n"/>
      <c r="AW435" s="110" t="n"/>
      <c r="AX435" s="110" t="n"/>
      <c r="AY435" s="110" t="n"/>
      <c r="AZ435" s="110" t="n"/>
      <c r="BA435" s="110" t="n"/>
      <c r="BB435" s="110" t="n"/>
      <c r="BC435" t="inlineStr">
        <is>
          <t>ORIGINAL</t>
        </is>
      </c>
      <c r="BD435" t="n">
        <v>426</v>
      </c>
      <c r="BF435" s="109">
        <f>IF($BD435="","",SUMIF($BD$6:$BD$2000,$BD435,$J$6:$J$2000))</f>
        <v/>
      </c>
    </row>
    <row r="436" ht="19.5" customHeight="1">
      <c r="A436" s="96" t="inlineStr">
        <is>
          <t>PENDENTE</t>
        </is>
      </c>
      <c r="B436" s="26" t="inlineStr">
        <is>
          <t>RIACHUELO</t>
        </is>
      </c>
      <c r="C436" s="27" t="n">
        <v>529</v>
      </c>
      <c r="D436" s="26" t="inlineStr">
        <is>
          <t>SPA PLAZA SUL SH CARTER'S</t>
        </is>
      </c>
      <c r="E436" s="26" t="inlineStr">
        <is>
          <t>SÃO PAULO</t>
        </is>
      </c>
      <c r="F436" s="27" t="inlineStr">
        <is>
          <t>SP</t>
        </is>
      </c>
      <c r="G436" s="107" t="n">
        <v>46296</v>
      </c>
      <c r="H436" s="108">
        <f>IF($B436="","",SUM($K436:$AG436)+SUM($AS436:$BB436))</f>
        <v/>
      </c>
      <c r="I436" s="108">
        <f>IF($B436="","",SUM($AH436:$AL436))</f>
        <v/>
      </c>
      <c r="J436" s="109">
        <f>IF($B436="","",SUMPRODUCT($K436:$BB436,$K$2:$BB$2))</f>
        <v/>
      </c>
      <c r="K436" s="110" t="n">
        <v>1</v>
      </c>
      <c r="L436" s="110" t="n"/>
      <c r="M436" s="110" t="n">
        <v>1</v>
      </c>
      <c r="N436" s="110" t="n"/>
      <c r="O436" s="110" t="n"/>
      <c r="P436" s="110" t="n"/>
      <c r="Q436" s="110" t="n"/>
      <c r="R436" s="110" t="n"/>
      <c r="S436" s="110" t="n"/>
      <c r="T436" s="110" t="n"/>
      <c r="U436" s="110" t="n"/>
      <c r="V436" s="110" t="n"/>
      <c r="W436" s="110" t="n"/>
      <c r="X436" s="110" t="n"/>
      <c r="Y436" s="110" t="n"/>
      <c r="Z436" s="110" t="n"/>
      <c r="AA436" s="110" t="n">
        <v>2</v>
      </c>
      <c r="AB436" s="110" t="n"/>
      <c r="AC436" s="110" t="n"/>
      <c r="AD436" s="110" t="n"/>
      <c r="AE436" s="110" t="n"/>
      <c r="AF436" s="110" t="n"/>
      <c r="AG436" s="110" t="n"/>
      <c r="AH436" s="110" t="n"/>
      <c r="AI436" s="110" t="n"/>
      <c r="AJ436" s="110" t="n"/>
      <c r="AK436" s="110" t="n"/>
      <c r="AL436" s="110" t="n"/>
      <c r="AM436" s="110" t="n"/>
      <c r="AN436" s="110" t="n"/>
      <c r="AO436" s="110" t="n"/>
      <c r="AP436" s="110" t="n"/>
      <c r="AQ436" s="110" t="n"/>
      <c r="AR436" s="110" t="n"/>
      <c r="AS436" s="110" t="n"/>
      <c r="AT436" s="110" t="n"/>
      <c r="AU436" s="110" t="n"/>
      <c r="AV436" s="110" t="n"/>
      <c r="AW436" s="110" t="n"/>
      <c r="AX436" s="110" t="n"/>
      <c r="AY436" s="110" t="n"/>
      <c r="AZ436" s="110" t="n"/>
      <c r="BA436" s="110" t="n"/>
      <c r="BB436" s="110" t="n"/>
      <c r="BC436" t="inlineStr">
        <is>
          <t>ORIGINAL</t>
        </is>
      </c>
      <c r="BD436" t="n">
        <v>427</v>
      </c>
      <c r="BF436" s="109">
        <f>IF($BD436="","",SUMIF($BD$6:$BD$2000,$BD436,$J$6:$J$2000))</f>
        <v/>
      </c>
    </row>
    <row r="437" ht="19.5" customHeight="1">
      <c r="A437" s="96" t="inlineStr">
        <is>
          <t>PENDENTE</t>
        </is>
      </c>
      <c r="B437" s="26" t="inlineStr">
        <is>
          <t>RIACHUELO</t>
        </is>
      </c>
      <c r="C437" s="27" t="n">
        <v>532</v>
      </c>
      <c r="D437" s="26" t="inlineStr">
        <is>
          <t>GUARULHOS INTERNACIONAL SH FANLAB</t>
        </is>
      </c>
      <c r="E437" s="26" t="inlineStr">
        <is>
          <t>GUARULHOS</t>
        </is>
      </c>
      <c r="F437" s="27" t="inlineStr">
        <is>
          <t>SP</t>
        </is>
      </c>
      <c r="G437" s="107" t="n">
        <v>46296</v>
      </c>
      <c r="H437" s="108">
        <f>IF($B437="","",SUM($K437:$AG437)+SUM($AS437:$BB437))</f>
        <v/>
      </c>
      <c r="I437" s="108">
        <f>IF($B437="","",SUM($AH437:$AL437))</f>
        <v/>
      </c>
      <c r="J437" s="109">
        <f>IF($B437="","",SUMPRODUCT($K437:$BB437,$K$2:$BB$2))</f>
        <v/>
      </c>
      <c r="K437" s="110" t="n"/>
      <c r="L437" s="110" t="n"/>
      <c r="M437" s="110" t="n"/>
      <c r="N437" s="110" t="n"/>
      <c r="O437" s="110" t="n"/>
      <c r="P437" s="110" t="n"/>
      <c r="Q437" s="110" t="n"/>
      <c r="R437" s="110" t="n"/>
      <c r="S437" s="110" t="n"/>
      <c r="T437" s="110" t="n"/>
      <c r="U437" s="110" t="n">
        <v>3</v>
      </c>
      <c r="V437" s="110" t="n"/>
      <c r="W437" s="110" t="n"/>
      <c r="X437" s="110" t="n"/>
      <c r="Y437" s="110" t="n"/>
      <c r="Z437" s="110" t="n"/>
      <c r="AA437" s="110" t="n"/>
      <c r="AB437" s="110" t="n"/>
      <c r="AC437" s="110" t="n"/>
      <c r="AD437" s="110" t="n"/>
      <c r="AE437" s="110" t="n"/>
      <c r="AF437" s="110" t="n"/>
      <c r="AG437" s="110" t="n"/>
      <c r="AH437" s="110" t="n"/>
      <c r="AI437" s="110" t="n"/>
      <c r="AJ437" s="110" t="n"/>
      <c r="AK437" s="110" t="n"/>
      <c r="AL437" s="110" t="n"/>
      <c r="AM437" s="110" t="n"/>
      <c r="AN437" s="110" t="n"/>
      <c r="AO437" s="110" t="n"/>
      <c r="AP437" s="110" t="n"/>
      <c r="AQ437" s="110" t="n"/>
      <c r="AR437" s="110" t="n"/>
      <c r="AS437" s="110" t="n"/>
      <c r="AT437" s="110" t="n"/>
      <c r="AU437" s="110" t="n"/>
      <c r="AV437" s="110" t="n"/>
      <c r="AW437" s="110" t="n"/>
      <c r="AX437" s="110" t="n"/>
      <c r="AY437" s="110" t="n"/>
      <c r="AZ437" s="110" t="n"/>
      <c r="BA437" s="110" t="n"/>
      <c r="BB437" s="110" t="n"/>
      <c r="BC437" t="inlineStr">
        <is>
          <t>ORIGINAL</t>
        </is>
      </c>
      <c r="BD437" t="n">
        <v>428</v>
      </c>
      <c r="BF437" s="109">
        <f>IF($BD437="","",SUMIF($BD$6:$BD$2000,$BD437,$J$6:$J$2000))</f>
        <v/>
      </c>
    </row>
    <row r="438" ht="19.5" customHeight="1">
      <c r="A438" s="96" t="inlineStr">
        <is>
          <t>PENDENTE</t>
        </is>
      </c>
      <c r="B438" s="26" t="inlineStr">
        <is>
          <t>RIACHUELO</t>
        </is>
      </c>
      <c r="C438" s="27" t="n">
        <v>533</v>
      </c>
      <c r="D438" s="26" t="inlineStr">
        <is>
          <t>SPA MOOCA PLAZA SH FANLAB</t>
        </is>
      </c>
      <c r="E438" s="26" t="inlineStr">
        <is>
          <t>SÃO PAULO</t>
        </is>
      </c>
      <c r="F438" s="27" t="inlineStr">
        <is>
          <t>SP</t>
        </is>
      </c>
      <c r="G438" s="107" t="n">
        <v>46296</v>
      </c>
      <c r="H438" s="108">
        <f>IF($B438="","",SUM($K438:$AG438)+SUM($AS438:$BB438))</f>
        <v/>
      </c>
      <c r="I438" s="108">
        <f>IF($B438="","",SUM($AH438:$AL438))</f>
        <v/>
      </c>
      <c r="J438" s="109">
        <f>IF($B438="","",SUMPRODUCT($K438:$BB438,$K$2:$BB$2))</f>
        <v/>
      </c>
      <c r="K438" s="110" t="n"/>
      <c r="L438" s="110" t="n"/>
      <c r="M438" s="110" t="n"/>
      <c r="N438" s="110" t="n"/>
      <c r="O438" s="110" t="n"/>
      <c r="P438" s="110" t="n"/>
      <c r="Q438" s="110" t="n"/>
      <c r="R438" s="110" t="n"/>
      <c r="S438" s="110" t="n"/>
      <c r="T438" s="110" t="n"/>
      <c r="U438" s="110" t="n">
        <v>4</v>
      </c>
      <c r="V438" s="110" t="n"/>
      <c r="W438" s="110" t="n"/>
      <c r="X438" s="110" t="n"/>
      <c r="Y438" s="110" t="n"/>
      <c r="Z438" s="110" t="n"/>
      <c r="AA438" s="110" t="n"/>
      <c r="AB438" s="110" t="n"/>
      <c r="AC438" s="110" t="n"/>
      <c r="AD438" s="110" t="n"/>
      <c r="AE438" s="110" t="n"/>
      <c r="AF438" s="110" t="n"/>
      <c r="AG438" s="110" t="n"/>
      <c r="AH438" s="110" t="n"/>
      <c r="AI438" s="110" t="n"/>
      <c r="AJ438" s="110" t="n"/>
      <c r="AK438" s="110" t="n"/>
      <c r="AL438" s="110" t="n"/>
      <c r="AM438" s="110" t="n"/>
      <c r="AN438" s="110" t="n"/>
      <c r="AO438" s="110" t="n"/>
      <c r="AP438" s="110" t="n"/>
      <c r="AQ438" s="110" t="n"/>
      <c r="AR438" s="110" t="n"/>
      <c r="AS438" s="110" t="n"/>
      <c r="AT438" s="110" t="n"/>
      <c r="AU438" s="110" t="n"/>
      <c r="AV438" s="110" t="n"/>
      <c r="AW438" s="110" t="n"/>
      <c r="AX438" s="110" t="n"/>
      <c r="AY438" s="110" t="n"/>
      <c r="AZ438" s="110" t="n"/>
      <c r="BA438" s="110" t="n"/>
      <c r="BB438" s="110" t="n"/>
      <c r="BC438" t="inlineStr">
        <is>
          <t>ORIGINAL</t>
        </is>
      </c>
      <c r="BD438" t="n">
        <v>429</v>
      </c>
      <c r="BF438" s="109">
        <f>IF($BD438="","",SUMIF($BD$6:$BD$2000,$BD438,$J$6:$J$2000))</f>
        <v/>
      </c>
    </row>
    <row r="439" ht="19.5" customHeight="1">
      <c r="A439" s="96" t="inlineStr">
        <is>
          <t>PENDENTE</t>
        </is>
      </c>
      <c r="B439" s="26" t="inlineStr">
        <is>
          <t>RIACHUELO</t>
        </is>
      </c>
      <c r="C439" s="27" t="n">
        <v>534</v>
      </c>
      <c r="D439" s="26" t="inlineStr">
        <is>
          <t>SAO ROQUE CATARINA OUTLET FANLAB</t>
        </is>
      </c>
      <c r="E439" s="26" t="inlineStr">
        <is>
          <t>SÃO ROQUE</t>
        </is>
      </c>
      <c r="F439" s="27" t="inlineStr">
        <is>
          <t>SP</t>
        </is>
      </c>
      <c r="G439" s="107" t="n">
        <v>46266</v>
      </c>
      <c r="H439" s="108">
        <f>IF($B439="","",SUM($K439:$AG439)+SUM($AS439:$BB439))</f>
        <v/>
      </c>
      <c r="I439" s="108">
        <f>IF($B439="","",SUM($AH439:$AL439))</f>
        <v/>
      </c>
      <c r="J439" s="109">
        <f>IF($B439="","",SUMPRODUCT($K439:$BB439,$K$2:$BB$2))</f>
        <v/>
      </c>
      <c r="K439" s="110" t="n">
        <v>2</v>
      </c>
      <c r="L439" s="110" t="n"/>
      <c r="M439" s="110" t="n">
        <v>1</v>
      </c>
      <c r="N439" s="110" t="n"/>
      <c r="O439" s="110" t="n"/>
      <c r="P439" s="110" t="n"/>
      <c r="Q439" s="110" t="n"/>
      <c r="R439" s="110" t="n"/>
      <c r="S439" s="110" t="n"/>
      <c r="T439" s="110" t="n"/>
      <c r="U439" s="110" t="n"/>
      <c r="V439" s="110" t="n"/>
      <c r="W439" s="110" t="n"/>
      <c r="X439" s="110" t="n"/>
      <c r="Y439" s="110" t="n"/>
      <c r="Z439" s="110" t="n"/>
      <c r="AA439" s="110" t="n">
        <v>1</v>
      </c>
      <c r="AB439" s="110" t="n"/>
      <c r="AC439" s="110" t="n"/>
      <c r="AD439" s="110" t="n"/>
      <c r="AE439" s="110" t="n"/>
      <c r="AF439" s="110" t="n"/>
      <c r="AG439" s="110" t="n"/>
      <c r="AH439" s="110" t="n"/>
      <c r="AI439" s="110" t="n"/>
      <c r="AJ439" s="110" t="n"/>
      <c r="AK439" s="110" t="n"/>
      <c r="AL439" s="110" t="n"/>
      <c r="AM439" s="110" t="n"/>
      <c r="AN439" s="110" t="n"/>
      <c r="AO439" s="110" t="n"/>
      <c r="AP439" s="110" t="n"/>
      <c r="AQ439" s="110" t="n"/>
      <c r="AR439" s="110" t="n"/>
      <c r="AS439" s="110" t="n"/>
      <c r="AT439" s="110" t="n"/>
      <c r="AU439" s="110" t="n"/>
      <c r="AV439" s="110" t="n"/>
      <c r="AW439" s="110" t="n"/>
      <c r="AX439" s="110" t="n"/>
      <c r="AY439" s="110" t="n"/>
      <c r="AZ439" s="110" t="n"/>
      <c r="BA439" s="110" t="n"/>
      <c r="BB439" s="110" t="n"/>
      <c r="BC439" t="inlineStr">
        <is>
          <t>ORIGINAL</t>
        </is>
      </c>
      <c r="BD439" t="n">
        <v>430</v>
      </c>
      <c r="BF439" s="109">
        <f>IF($BD439="","",SUMIF($BD$6:$BD$2000,$BD439,$J$6:$J$2000))</f>
        <v/>
      </c>
    </row>
    <row r="440" ht="19.5" customHeight="1">
      <c r="A440" s="96" t="inlineStr">
        <is>
          <t>PENDENTE</t>
        </is>
      </c>
      <c r="B440" s="26" t="inlineStr">
        <is>
          <t>RIACHUELO</t>
        </is>
      </c>
      <c r="C440" s="27" t="n">
        <v>535</v>
      </c>
      <c r="D440" s="26" t="inlineStr">
        <is>
          <t>SP JUNDIAÍ MAX SH</t>
        </is>
      </c>
      <c r="E440" s="26" t="inlineStr">
        <is>
          <t>JUNDIAÍ</t>
        </is>
      </c>
      <c r="F440" s="27" t="inlineStr">
        <is>
          <t>SP</t>
        </is>
      </c>
      <c r="G440" s="107" t="n">
        <v>46296</v>
      </c>
      <c r="H440" s="108">
        <f>IF($B440="","",SUM($K440:$AG440)+SUM($AS440:$BB440))</f>
        <v/>
      </c>
      <c r="I440" s="108">
        <f>IF($B440="","",SUM($AH440:$AL440))</f>
        <v/>
      </c>
      <c r="J440" s="109">
        <f>IF($B440="","",SUMPRODUCT($K440:$BB440,$K$2:$BB$2))</f>
        <v/>
      </c>
      <c r="K440" s="110" t="n">
        <v>9</v>
      </c>
      <c r="L440" s="110" t="n"/>
      <c r="M440" s="110" t="n"/>
      <c r="N440" s="110" t="n"/>
      <c r="O440" s="110" t="n"/>
      <c r="P440" s="110" t="n"/>
      <c r="Q440" s="110" t="n"/>
      <c r="R440" s="110" t="n"/>
      <c r="S440" s="110" t="n"/>
      <c r="T440" s="110" t="n"/>
      <c r="U440" s="110" t="n"/>
      <c r="V440" s="110" t="n"/>
      <c r="W440" s="110" t="n"/>
      <c r="X440" s="110" t="n"/>
      <c r="Y440" s="110" t="n"/>
      <c r="Z440" s="110" t="n"/>
      <c r="AA440" s="110" t="n">
        <v>6</v>
      </c>
      <c r="AB440" s="110" t="n"/>
      <c r="AC440" s="110" t="n"/>
      <c r="AD440" s="110" t="n"/>
      <c r="AE440" s="110" t="n"/>
      <c r="AF440" s="110" t="n"/>
      <c r="AG440" s="110" t="n"/>
      <c r="AH440" s="110" t="n">
        <v>10</v>
      </c>
      <c r="AI440" s="110" t="n"/>
      <c r="AJ440" s="110" t="n"/>
      <c r="AK440" s="110" t="n"/>
      <c r="AL440" s="110" t="n"/>
      <c r="AM440" s="110" t="n"/>
      <c r="AN440" s="110" t="n"/>
      <c r="AO440" s="110" t="n"/>
      <c r="AP440" s="110" t="n"/>
      <c r="AQ440" s="110" t="n"/>
      <c r="AR440" s="110" t="n"/>
      <c r="AS440" s="110" t="n"/>
      <c r="AT440" s="110" t="n"/>
      <c r="AU440" s="110" t="n"/>
      <c r="AV440" s="110" t="n"/>
      <c r="AW440" s="110" t="n"/>
      <c r="AX440" s="110" t="n"/>
      <c r="AY440" s="110" t="n"/>
      <c r="AZ440" s="110" t="n"/>
      <c r="BA440" s="110" t="n"/>
      <c r="BB440" s="110" t="n"/>
      <c r="BC440" t="inlineStr">
        <is>
          <t>ORIGINAL</t>
        </is>
      </c>
      <c r="BD440" t="n">
        <v>431</v>
      </c>
      <c r="BF440" s="109">
        <f>IF($BD440="","",SUMIF($BD$6:$BD$2000,$BD440,$J$6:$J$2000))</f>
        <v/>
      </c>
    </row>
    <row r="441" ht="19.5" customHeight="1">
      <c r="A441" s="96" t="inlineStr">
        <is>
          <t>PENDENTE</t>
        </is>
      </c>
      <c r="B441" s="26" t="inlineStr">
        <is>
          <t>RIACHUELO</t>
        </is>
      </c>
      <c r="C441" s="27" t="n">
        <v>537</v>
      </c>
      <c r="D441" s="26" t="inlineStr">
        <is>
          <t>PR PONTA GROSSA PLAZA SH</t>
        </is>
      </c>
      <c r="E441" s="26" t="inlineStr">
        <is>
          <t>PONTA GROSSA</t>
        </is>
      </c>
      <c r="F441" s="27" t="inlineStr">
        <is>
          <t>PR</t>
        </is>
      </c>
      <c r="G441" s="107" t="n">
        <v>46296</v>
      </c>
      <c r="H441" s="108">
        <f>IF($B441="","",SUM($K441:$AG441)+SUM($AS441:$BB441))</f>
        <v/>
      </c>
      <c r="I441" s="108">
        <f>IF($B441="","",SUM($AH441:$AL441))</f>
        <v/>
      </c>
      <c r="J441" s="109">
        <f>IF($B441="","",SUMPRODUCT($K441:$BB441,$K$2:$BB$2))</f>
        <v/>
      </c>
      <c r="K441" s="110" t="n"/>
      <c r="L441" s="110" t="n"/>
      <c r="M441" s="110" t="n"/>
      <c r="N441" s="110" t="n"/>
      <c r="O441" s="110" t="n"/>
      <c r="P441" s="110" t="n"/>
      <c r="Q441" s="110" t="n"/>
      <c r="R441" s="110" t="n"/>
      <c r="S441" s="110" t="n"/>
      <c r="T441" s="110" t="n">
        <v>7</v>
      </c>
      <c r="U441" s="110" t="n"/>
      <c r="V441" s="110" t="n"/>
      <c r="W441" s="110" t="n"/>
      <c r="X441" s="110" t="n"/>
      <c r="Y441" s="110" t="n"/>
      <c r="Z441" s="110" t="n"/>
      <c r="AA441" s="110" t="n">
        <v>5</v>
      </c>
      <c r="AB441" s="110" t="n"/>
      <c r="AC441" s="110" t="n"/>
      <c r="AD441" s="110" t="n"/>
      <c r="AE441" s="110" t="n"/>
      <c r="AF441" s="110" t="n"/>
      <c r="AG441" s="110" t="n"/>
      <c r="AH441" s="110" t="n">
        <v>8</v>
      </c>
      <c r="AI441" s="110" t="n"/>
      <c r="AJ441" s="110" t="n"/>
      <c r="AK441" s="110" t="n"/>
      <c r="AL441" s="110" t="n"/>
      <c r="AM441" s="110" t="n"/>
      <c r="AN441" s="110" t="n"/>
      <c r="AO441" s="110" t="n"/>
      <c r="AP441" s="110" t="n"/>
      <c r="AQ441" s="110" t="n"/>
      <c r="AR441" s="110" t="n"/>
      <c r="AS441" s="110" t="n"/>
      <c r="AT441" s="110" t="n"/>
      <c r="AU441" s="110" t="n"/>
      <c r="AV441" s="110" t="n"/>
      <c r="AW441" s="110" t="n"/>
      <c r="AX441" s="110" t="n"/>
      <c r="AY441" s="110" t="n"/>
      <c r="AZ441" s="110" t="n"/>
      <c r="BA441" s="110" t="n"/>
      <c r="BB441" s="110" t="n"/>
      <c r="BC441" t="inlineStr">
        <is>
          <t>ORIGINAL</t>
        </is>
      </c>
      <c r="BD441" t="n">
        <v>432</v>
      </c>
      <c r="BF441" s="109">
        <f>IF($BD441="","",SUMIF($BD$6:$BD$2000,$BD441,$J$6:$J$2000))</f>
        <v/>
      </c>
    </row>
    <row r="442" ht="19.5" customHeight="1">
      <c r="A442" s="96" t="inlineStr">
        <is>
          <t>PENDENTE</t>
        </is>
      </c>
      <c r="B442" s="26" t="inlineStr">
        <is>
          <t>RIACHUELO</t>
        </is>
      </c>
      <c r="C442" s="27" t="n">
        <v>538</v>
      </c>
      <c r="D442" s="26" t="inlineStr">
        <is>
          <t xml:space="preserve"> MG CONTAGEM SÓ MARCAS OUTLET [CARTER'S]</t>
        </is>
      </c>
      <c r="E442" s="26" t="inlineStr">
        <is>
          <t>CONTAGEM</t>
        </is>
      </c>
      <c r="F442" s="27" t="inlineStr">
        <is>
          <t>MG</t>
        </is>
      </c>
      <c r="G442" s="107" t="n">
        <v>46082</v>
      </c>
      <c r="H442" s="108">
        <f>IF($B442="","",SUM($K442:$AG442)+SUM($AS442:$BB442))</f>
        <v/>
      </c>
      <c r="I442" s="108">
        <f>IF($B442="","",SUM($AH442:$AL442))</f>
        <v/>
      </c>
      <c r="J442" s="109">
        <f>IF($B442="","",SUMPRODUCT($K442:$BB442,$K$2:$BB$2))</f>
        <v/>
      </c>
      <c r="K442" s="110" t="n">
        <v>2</v>
      </c>
      <c r="L442" s="110" t="n"/>
      <c r="M442" s="110" t="n">
        <v>2</v>
      </c>
      <c r="N442" s="110" t="n"/>
      <c r="O442" s="110" t="n"/>
      <c r="P442" s="110" t="n"/>
      <c r="Q442" s="110" t="n"/>
      <c r="R442" s="110" t="n"/>
      <c r="S442" s="110" t="n"/>
      <c r="T442" s="110" t="n"/>
      <c r="U442" s="110" t="n"/>
      <c r="V442" s="110" t="n"/>
      <c r="W442" s="110" t="n"/>
      <c r="X442" s="110" t="n"/>
      <c r="Y442" s="110" t="n"/>
      <c r="Z442" s="110" t="n"/>
      <c r="AA442" s="110" t="n"/>
      <c r="AB442" s="110" t="n"/>
      <c r="AC442" s="110" t="n"/>
      <c r="AD442" s="110" t="n"/>
      <c r="AE442" s="110" t="n"/>
      <c r="AF442" s="110" t="n"/>
      <c r="AG442" s="110" t="n"/>
      <c r="AH442" s="110" t="n"/>
      <c r="AI442" s="110" t="n"/>
      <c r="AJ442" s="110" t="n"/>
      <c r="AK442" s="110" t="n"/>
      <c r="AL442" s="110" t="n"/>
      <c r="AM442" s="110" t="n"/>
      <c r="AN442" s="110" t="n"/>
      <c r="AO442" s="110" t="n"/>
      <c r="AP442" s="110" t="n"/>
      <c r="AQ442" s="110" t="n"/>
      <c r="AR442" s="110" t="n"/>
      <c r="AS442" s="110" t="n"/>
      <c r="AT442" s="110" t="n"/>
      <c r="AU442" s="110" t="n"/>
      <c r="AV442" s="110" t="n"/>
      <c r="AW442" s="110" t="n"/>
      <c r="AX442" s="110" t="n"/>
      <c r="AY442" s="110" t="n"/>
      <c r="AZ442" s="110" t="n"/>
      <c r="BA442" s="110" t="n"/>
      <c r="BB442" s="110" t="n"/>
      <c r="BC442" t="inlineStr">
        <is>
          <t>ORIGINAL</t>
        </is>
      </c>
      <c r="BD442" t="n">
        <v>433</v>
      </c>
      <c r="BF442" s="109">
        <f>IF($BD442="","",SUMIF($BD$6:$BD$2000,$BD442,$J$6:$J$2000))</f>
        <v/>
      </c>
    </row>
    <row r="443" ht="19.5" customHeight="1">
      <c r="A443" s="96" t="inlineStr">
        <is>
          <t>PENDENTE</t>
        </is>
      </c>
      <c r="B443" s="26" t="inlineStr">
        <is>
          <t>RIACHUELO</t>
        </is>
      </c>
      <c r="C443" s="27" t="n">
        <v>539</v>
      </c>
      <c r="D443" s="26" t="inlineStr">
        <is>
          <t>539 SP TAMBORÉ SH [FANLAB]</t>
        </is>
      </c>
      <c r="E443" s="26" t="inlineStr">
        <is>
          <t>TAMBORÉ</t>
        </is>
      </c>
      <c r="F443" s="27" t="inlineStr">
        <is>
          <t>SP</t>
        </is>
      </c>
      <c r="G443" s="107" t="n">
        <v>46082</v>
      </c>
      <c r="H443" s="108">
        <f>IF($B443="","",SUM($K443:$AG443)+SUM($AS443:$BB443))</f>
        <v/>
      </c>
      <c r="I443" s="108">
        <f>IF($B443="","",SUM($AH443:$AL443))</f>
        <v/>
      </c>
      <c r="J443" s="109">
        <f>IF($B443="","",SUMPRODUCT($K443:$BB443,$K$2:$BB$2))</f>
        <v/>
      </c>
      <c r="K443" s="110" t="n">
        <v>1</v>
      </c>
      <c r="L443" s="110" t="n"/>
      <c r="M443" s="110" t="n">
        <v>2</v>
      </c>
      <c r="N443" s="110" t="n"/>
      <c r="O443" s="110" t="n"/>
      <c r="P443" s="110" t="n"/>
      <c r="Q443" s="110" t="n"/>
      <c r="R443" s="110" t="n"/>
      <c r="S443" s="110" t="n"/>
      <c r="T443" s="110" t="n"/>
      <c r="U443" s="110" t="n"/>
      <c r="V443" s="110" t="n"/>
      <c r="W443" s="110" t="n"/>
      <c r="X443" s="110" t="n"/>
      <c r="Y443" s="110" t="n"/>
      <c r="Z443" s="110" t="n"/>
      <c r="AA443" s="110" t="n">
        <v>1</v>
      </c>
      <c r="AB443" s="110" t="n"/>
      <c r="AC443" s="110" t="n"/>
      <c r="AD443" s="110" t="n"/>
      <c r="AE443" s="110" t="n"/>
      <c r="AF443" s="110" t="n"/>
      <c r="AG443" s="110" t="n"/>
      <c r="AH443" s="110" t="n"/>
      <c r="AI443" s="110" t="n"/>
      <c r="AJ443" s="110" t="n"/>
      <c r="AK443" s="110" t="n"/>
      <c r="AL443" s="110" t="n"/>
      <c r="AM443" s="110" t="n"/>
      <c r="AN443" s="110" t="n"/>
      <c r="AO443" s="110" t="n"/>
      <c r="AP443" s="110" t="n"/>
      <c r="AQ443" s="110" t="n"/>
      <c r="AR443" s="110" t="n"/>
      <c r="AS443" s="110" t="n"/>
      <c r="AT443" s="110" t="n"/>
      <c r="AU443" s="110" t="n"/>
      <c r="AV443" s="110" t="n"/>
      <c r="AW443" s="110" t="n"/>
      <c r="AX443" s="110" t="n"/>
      <c r="AY443" s="110" t="n"/>
      <c r="AZ443" s="110" t="n"/>
      <c r="BA443" s="110" t="n"/>
      <c r="BB443" s="110" t="n"/>
      <c r="BC443" t="inlineStr">
        <is>
          <t>ORIGINAL</t>
        </is>
      </c>
      <c r="BD443" t="n">
        <v>434</v>
      </c>
      <c r="BF443" s="109">
        <f>IF($BD443="","",SUMIF($BD$6:$BD$2000,$BD443,$J$6:$J$2000))</f>
        <v/>
      </c>
    </row>
    <row r="444" ht="19.5" customHeight="1">
      <c r="A444" s="96" t="inlineStr">
        <is>
          <t>PENDENTE</t>
        </is>
      </c>
      <c r="B444" s="26" t="inlineStr">
        <is>
          <t>RIACHUELO</t>
        </is>
      </c>
      <c r="C444" s="27" t="n">
        <v>540</v>
      </c>
      <c r="D444" s="26" t="inlineStr">
        <is>
          <t>SP BARUERI IGUATEMI ALPHAVILLE SH [CARTER'S]</t>
        </is>
      </c>
      <c r="E444" s="26" t="inlineStr">
        <is>
          <t>BARUERI</t>
        </is>
      </c>
      <c r="F444" s="27" t="inlineStr">
        <is>
          <t>SP</t>
        </is>
      </c>
      <c r="G444" s="107" t="n">
        <v>46082</v>
      </c>
      <c r="H444" s="108">
        <f>IF($B444="","",SUM($K444:$AG444)+SUM($AS444:$BB444))</f>
        <v/>
      </c>
      <c r="I444" s="108">
        <f>IF($B444="","",SUM($AH444:$AL444))</f>
        <v/>
      </c>
      <c r="J444" s="109">
        <f>IF($B444="","",SUMPRODUCT($K444:$BB444,$K$2:$BB$2))</f>
        <v/>
      </c>
      <c r="K444" s="110" t="n">
        <v>1</v>
      </c>
      <c r="L444" s="110" t="n"/>
      <c r="M444" s="110" t="n">
        <v>2</v>
      </c>
      <c r="N444" s="110" t="n"/>
      <c r="O444" s="110" t="n"/>
      <c r="P444" s="110" t="n"/>
      <c r="Q444" s="110" t="n"/>
      <c r="R444" s="110" t="n"/>
      <c r="S444" s="110" t="n"/>
      <c r="T444" s="110" t="n"/>
      <c r="U444" s="110" t="n"/>
      <c r="V444" s="110" t="n"/>
      <c r="W444" s="110" t="n"/>
      <c r="X444" s="110" t="n"/>
      <c r="Y444" s="110" t="n"/>
      <c r="Z444" s="110" t="n"/>
      <c r="AA444" s="110" t="n"/>
      <c r="AB444" s="110" t="n"/>
      <c r="AC444" s="110" t="n"/>
      <c r="AD444" s="110" t="n"/>
      <c r="AE444" s="110" t="n"/>
      <c r="AF444" s="110" t="n"/>
      <c r="AG444" s="110" t="n"/>
      <c r="AH444" s="110" t="n"/>
      <c r="AI444" s="110" t="n"/>
      <c r="AJ444" s="110" t="n"/>
      <c r="AK444" s="110" t="n"/>
      <c r="AL444" s="110" t="n"/>
      <c r="AM444" s="110" t="n"/>
      <c r="AN444" s="110" t="n"/>
      <c r="AO444" s="110" t="n"/>
      <c r="AP444" s="110" t="n"/>
      <c r="AQ444" s="110" t="n"/>
      <c r="AR444" s="110" t="n"/>
      <c r="AS444" s="110" t="n"/>
      <c r="AT444" s="110" t="n"/>
      <c r="AU444" s="110" t="n"/>
      <c r="AV444" s="110" t="n"/>
      <c r="AW444" s="110" t="n"/>
      <c r="AX444" s="110" t="n"/>
      <c r="AY444" s="110" t="n"/>
      <c r="AZ444" s="110" t="n"/>
      <c r="BA444" s="110" t="n"/>
      <c r="BB444" s="110" t="n"/>
      <c r="BC444" t="inlineStr">
        <is>
          <t>ORIGINAL</t>
        </is>
      </c>
      <c r="BD444" t="n">
        <v>435</v>
      </c>
      <c r="BF444" s="109">
        <f>IF($BD444="","",SUMIF($BD$6:$BD$2000,$BD444,$J$6:$J$2000))</f>
        <v/>
      </c>
    </row>
    <row r="445" ht="19.5" customHeight="1">
      <c r="A445" s="96" t="inlineStr">
        <is>
          <t>PENDENTE</t>
        </is>
      </c>
      <c r="B445" s="26" t="inlineStr">
        <is>
          <t>RIACHUELO</t>
        </is>
      </c>
      <c r="C445" s="27" t="n">
        <v>541</v>
      </c>
      <c r="D445" s="26" t="inlineStr">
        <is>
          <t>RIBERÃO PRETO IGUATEMI SH CARTES</t>
        </is>
      </c>
      <c r="E445" s="26" t="inlineStr">
        <is>
          <t>RIBEIRAO PRETO</t>
        </is>
      </c>
      <c r="F445" s="27" t="inlineStr">
        <is>
          <t>SP</t>
        </is>
      </c>
      <c r="G445" s="107" t="n">
        <v>46388</v>
      </c>
      <c r="H445" s="108">
        <f>IF($B445="","",SUM($K445:$AG445)+SUM($AS445:$BB445))</f>
        <v/>
      </c>
      <c r="I445" s="108">
        <f>IF($B445="","",SUM($AH445:$AL445))</f>
        <v/>
      </c>
      <c r="J445" s="109">
        <f>IF($B445="","",SUMPRODUCT($K445:$BB445,$K$2:$BB$2))</f>
        <v/>
      </c>
      <c r="K445" s="110" t="n">
        <v>1</v>
      </c>
      <c r="L445" s="110" t="n"/>
      <c r="M445" s="110" t="n"/>
      <c r="N445" s="110" t="n"/>
      <c r="O445" s="110" t="n"/>
      <c r="P445" s="110" t="n"/>
      <c r="Q445" s="110" t="n"/>
      <c r="R445" s="110" t="n"/>
      <c r="S445" s="110" t="n"/>
      <c r="T445" s="110" t="n">
        <v>1</v>
      </c>
      <c r="U445" s="110" t="n"/>
      <c r="V445" s="110" t="n"/>
      <c r="W445" s="110" t="n"/>
      <c r="X445" s="110" t="n"/>
      <c r="Y445" s="110" t="n"/>
      <c r="Z445" s="110" t="n"/>
      <c r="AA445" s="110" t="n">
        <v>1</v>
      </c>
      <c r="AB445" s="110" t="n"/>
      <c r="AC445" s="110" t="n"/>
      <c r="AD445" s="110" t="n"/>
      <c r="AE445" s="110" t="n"/>
      <c r="AF445" s="110" t="n"/>
      <c r="AG445" s="110" t="n"/>
      <c r="AH445" s="110" t="n"/>
      <c r="AI445" s="110" t="n"/>
      <c r="AJ445" s="110" t="n"/>
      <c r="AK445" s="110" t="n"/>
      <c r="AL445" s="110" t="n"/>
      <c r="AM445" s="110" t="n"/>
      <c r="AN445" s="110" t="n"/>
      <c r="AO445" s="110" t="n"/>
      <c r="AP445" s="110" t="n"/>
      <c r="AQ445" s="110" t="n"/>
      <c r="AR445" s="110" t="n"/>
      <c r="AS445" s="110" t="n"/>
      <c r="AT445" s="110" t="n"/>
      <c r="AU445" s="110" t="n"/>
      <c r="AV445" s="110" t="n"/>
      <c r="AW445" s="110" t="n"/>
      <c r="AX445" s="110" t="n"/>
      <c r="AY445" s="110" t="n"/>
      <c r="AZ445" s="110" t="n"/>
      <c r="BA445" s="110" t="n"/>
      <c r="BB445" s="110" t="n"/>
      <c r="BC445" t="inlineStr">
        <is>
          <t>ORIGINAL</t>
        </is>
      </c>
      <c r="BD445" t="n">
        <v>436</v>
      </c>
      <c r="BF445" s="109">
        <f>IF($BD445="","",SUMIF($BD$6:$BD$2000,$BD445,$J$6:$J$2000))</f>
        <v/>
      </c>
    </row>
    <row r="446" ht="19.5" customHeight="1">
      <c r="A446" s="96" t="inlineStr">
        <is>
          <t>PENDENTE</t>
        </is>
      </c>
      <c r="B446" s="26" t="inlineStr">
        <is>
          <t>RIACHUELO</t>
        </is>
      </c>
      <c r="C446" s="27" t="n">
        <v>542</v>
      </c>
      <c r="D446" s="26" t="inlineStr">
        <is>
          <t>GO GOIANIA FLAMBOYANT SH [CARTER'S]</t>
        </is>
      </c>
      <c r="E446" s="26" t="inlineStr">
        <is>
          <t>GOIANIA</t>
        </is>
      </c>
      <c r="F446" s="27" t="inlineStr">
        <is>
          <t>GO</t>
        </is>
      </c>
      <c r="G446" s="107" t="n">
        <v>46419</v>
      </c>
      <c r="H446" s="108">
        <f>IF($B446="","",SUM($K446:$AG446)+SUM($AS446:$BB446))</f>
        <v/>
      </c>
      <c r="I446" s="108">
        <f>IF($B446="","",SUM($AH446:$AL446))</f>
        <v/>
      </c>
      <c r="J446" s="109">
        <f>IF($B446="","",SUMPRODUCT($K446:$BB446,$K$2:$BB$2))</f>
        <v/>
      </c>
      <c r="K446" s="110" t="n">
        <v>1</v>
      </c>
      <c r="L446" s="110" t="n"/>
      <c r="M446" s="110" t="n">
        <v>2</v>
      </c>
      <c r="N446" s="110" t="n"/>
      <c r="O446" s="110" t="n"/>
      <c r="P446" s="110" t="n"/>
      <c r="Q446" s="110" t="n"/>
      <c r="R446" s="110" t="n"/>
      <c r="S446" s="110" t="n"/>
      <c r="T446" s="110" t="n"/>
      <c r="U446" s="110" t="n"/>
      <c r="V446" s="110" t="n"/>
      <c r="W446" s="110" t="n"/>
      <c r="X446" s="110" t="n"/>
      <c r="Y446" s="110" t="n"/>
      <c r="Z446" s="110" t="n"/>
      <c r="AA446" s="110" t="n">
        <v>1</v>
      </c>
      <c r="AB446" s="110" t="n"/>
      <c r="AC446" s="110" t="n"/>
      <c r="AD446" s="110" t="n"/>
      <c r="AE446" s="110" t="n"/>
      <c r="AF446" s="110" t="n"/>
      <c r="AG446" s="110" t="n"/>
      <c r="AH446" s="110" t="n"/>
      <c r="AI446" s="110" t="n"/>
      <c r="AJ446" s="110" t="n"/>
      <c r="AK446" s="110" t="n"/>
      <c r="AL446" s="110" t="n"/>
      <c r="AM446" s="110" t="n"/>
      <c r="AN446" s="110" t="n"/>
      <c r="AO446" s="110" t="n"/>
      <c r="AP446" s="110" t="n"/>
      <c r="AQ446" s="110" t="n"/>
      <c r="AR446" s="110" t="n"/>
      <c r="AS446" s="110" t="n"/>
      <c r="AT446" s="110" t="n"/>
      <c r="AU446" s="110" t="n"/>
      <c r="AV446" s="110" t="n"/>
      <c r="AW446" s="110" t="n"/>
      <c r="AX446" s="110" t="n"/>
      <c r="AY446" s="110" t="n"/>
      <c r="AZ446" s="110" t="n"/>
      <c r="BA446" s="110" t="n"/>
      <c r="BB446" s="110" t="n"/>
      <c r="BC446" t="inlineStr">
        <is>
          <t>ORIGINAL</t>
        </is>
      </c>
      <c r="BD446" t="n">
        <v>437</v>
      </c>
      <c r="BF446" s="109">
        <f>IF($BD446="","",SUMIF($BD$6:$BD$2000,$BD446,$J$6:$J$2000))</f>
        <v/>
      </c>
    </row>
    <row r="447" ht="19.5" customHeight="1">
      <c r="A447" s="96" t="inlineStr">
        <is>
          <t>PENDENTE</t>
        </is>
      </c>
      <c r="B447" s="26" t="inlineStr">
        <is>
          <t>RIACHUELO</t>
        </is>
      </c>
      <c r="C447" s="27" t="n">
        <v>543</v>
      </c>
      <c r="D447" s="26" t="inlineStr">
        <is>
          <t>543 TO ARAGUAIANA LAGO CENTER SH</t>
        </is>
      </c>
      <c r="E447" s="26" t="inlineStr">
        <is>
          <t>ARAGUAIANA</t>
        </is>
      </c>
      <c r="F447" s="27" t="inlineStr">
        <is>
          <t>TO</t>
        </is>
      </c>
      <c r="G447" s="107" t="n">
        <v>46143</v>
      </c>
      <c r="H447" s="108">
        <f>IF($B447="","",SUM($K447:$AG447)+SUM($AS447:$BB447))</f>
        <v/>
      </c>
      <c r="I447" s="108">
        <f>IF($B447="","",SUM($AH447:$AL447))</f>
        <v/>
      </c>
      <c r="J447" s="109">
        <f>IF($B447="","",SUMPRODUCT($K447:$BB447,$K$2:$BB$2))</f>
        <v/>
      </c>
      <c r="K447" s="110" t="n">
        <v>9</v>
      </c>
      <c r="L447" s="110" t="n"/>
      <c r="M447" s="110" t="n"/>
      <c r="N447" s="110" t="n"/>
      <c r="O447" s="110" t="n"/>
      <c r="P447" s="110" t="n"/>
      <c r="Q447" s="110" t="n"/>
      <c r="R447" s="110" t="n"/>
      <c r="S447" s="110" t="n"/>
      <c r="T447" s="110" t="n"/>
      <c r="U447" s="110" t="n"/>
      <c r="V447" s="110" t="n"/>
      <c r="W447" s="110" t="n"/>
      <c r="X447" s="110" t="n"/>
      <c r="Y447" s="110" t="n"/>
      <c r="Z447" s="110" t="n"/>
      <c r="AA447" s="110" t="n">
        <v>9</v>
      </c>
      <c r="AB447" s="110" t="n"/>
      <c r="AC447" s="110" t="n"/>
      <c r="AD447" s="110" t="n"/>
      <c r="AE447" s="110" t="n"/>
      <c r="AF447" s="110" t="n"/>
      <c r="AG447" s="110" t="n"/>
      <c r="AH447" s="110" t="n">
        <v>10</v>
      </c>
      <c r="AI447" s="110" t="n"/>
      <c r="AJ447" s="110" t="n"/>
      <c r="AK447" s="110" t="n"/>
      <c r="AL447" s="110" t="n"/>
      <c r="AM447" s="110" t="n"/>
      <c r="AN447" s="110" t="n"/>
      <c r="AO447" s="110" t="n"/>
      <c r="AP447" s="110" t="n"/>
      <c r="AQ447" s="110" t="n"/>
      <c r="AR447" s="110" t="n"/>
      <c r="AS447" s="110" t="n"/>
      <c r="AT447" s="110" t="n"/>
      <c r="AU447" s="110" t="n"/>
      <c r="AV447" s="110" t="n"/>
      <c r="AW447" s="110" t="n"/>
      <c r="AX447" s="110" t="n"/>
      <c r="AY447" s="110" t="n"/>
      <c r="AZ447" s="110" t="n"/>
      <c r="BA447" s="110" t="n"/>
      <c r="BB447" s="110" t="n"/>
      <c r="BC447" t="inlineStr">
        <is>
          <t>ORIGINAL</t>
        </is>
      </c>
      <c r="BD447" t="n">
        <v>438</v>
      </c>
      <c r="BF447" s="109">
        <f>IF($BD447="","",SUMIF($BD$6:$BD$2000,$BD447,$J$6:$J$2000))</f>
        <v/>
      </c>
    </row>
    <row r="448" ht="19.5" customHeight="1">
      <c r="A448" s="96" t="inlineStr">
        <is>
          <t>PENDENTE</t>
        </is>
      </c>
      <c r="B448" s="26" t="inlineStr">
        <is>
          <t>RIACHUELO</t>
        </is>
      </c>
      <c r="C448" s="27" t="n">
        <v>544</v>
      </c>
      <c r="D448" s="26" t="inlineStr">
        <is>
          <t>SP SANTO ANDRÉ GRAND PLAZA SH</t>
        </is>
      </c>
      <c r="E448" s="26" t="inlineStr">
        <is>
          <t>SANTO ANDRE</t>
        </is>
      </c>
      <c r="F448" s="27" t="inlineStr">
        <is>
          <t>SP</t>
        </is>
      </c>
      <c r="G448" s="107" t="n">
        <v>46082</v>
      </c>
      <c r="H448" s="108">
        <f>IF($B448="","",SUM($K448:$AG448)+SUM($AS448:$BB448))</f>
        <v/>
      </c>
      <c r="I448" s="108">
        <f>IF($B448="","",SUM($AH448:$AL448))</f>
        <v/>
      </c>
      <c r="J448" s="109">
        <f>IF($B448="","",SUMPRODUCT($K448:$BB448,$K$2:$BB$2))</f>
        <v/>
      </c>
      <c r="K448" s="110" t="n">
        <v>1</v>
      </c>
      <c r="L448" s="110" t="n"/>
      <c r="M448" s="110" t="n">
        <v>2</v>
      </c>
      <c r="N448" s="110" t="n"/>
      <c r="O448" s="110" t="n"/>
      <c r="P448" s="110" t="n"/>
      <c r="Q448" s="110" t="n"/>
      <c r="R448" s="110" t="n"/>
      <c r="S448" s="110" t="n"/>
      <c r="T448" s="110" t="n"/>
      <c r="U448" s="110" t="n"/>
      <c r="V448" s="110" t="n"/>
      <c r="W448" s="110" t="n"/>
      <c r="X448" s="110" t="n"/>
      <c r="Y448" s="110" t="n"/>
      <c r="Z448" s="110" t="n"/>
      <c r="AA448" s="110" t="n"/>
      <c r="AB448" s="110" t="n"/>
      <c r="AC448" s="110" t="n"/>
      <c r="AD448" s="110" t="n"/>
      <c r="AE448" s="110" t="n"/>
      <c r="AF448" s="110" t="n"/>
      <c r="AG448" s="110" t="n"/>
      <c r="AH448" s="110" t="n"/>
      <c r="AI448" s="110" t="n"/>
      <c r="AJ448" s="110" t="n"/>
      <c r="AK448" s="110" t="n"/>
      <c r="AL448" s="110" t="n"/>
      <c r="AM448" s="110" t="n"/>
      <c r="AN448" s="110" t="n"/>
      <c r="AO448" s="110" t="n"/>
      <c r="AP448" s="110" t="n"/>
      <c r="AQ448" s="110" t="n"/>
      <c r="AR448" s="110" t="n"/>
      <c r="AS448" s="110" t="n"/>
      <c r="AT448" s="110" t="n"/>
      <c r="AU448" s="110" t="n"/>
      <c r="AV448" s="110" t="n"/>
      <c r="AW448" s="110" t="n"/>
      <c r="AX448" s="110" t="n"/>
      <c r="AY448" s="110" t="n"/>
      <c r="AZ448" s="110" t="n"/>
      <c r="BA448" s="110" t="n"/>
      <c r="BB448" s="110" t="n"/>
      <c r="BC448" t="inlineStr">
        <is>
          <t>ORIGINAL</t>
        </is>
      </c>
      <c r="BD448" t="n">
        <v>439</v>
      </c>
      <c r="BF448" s="109">
        <f>IF($BD448="","",SUMIF($BD$6:$BD$2000,$BD448,$J$6:$J$2000))</f>
        <v/>
      </c>
    </row>
    <row r="449" ht="19.5" customHeight="1">
      <c r="A449" s="96" t="inlineStr">
        <is>
          <t>PENDENTE</t>
        </is>
      </c>
      <c r="B449" s="26" t="inlineStr">
        <is>
          <t>RIACHUELO</t>
        </is>
      </c>
      <c r="C449" s="27" t="n">
        <v>545</v>
      </c>
      <c r="D449" s="26" t="inlineStr">
        <is>
          <t>PB PARAIBA JOÃO PESSOA MANAIRA SH</t>
        </is>
      </c>
      <c r="E449" s="26" t="inlineStr">
        <is>
          <t>JOÃO PESSOA</t>
        </is>
      </c>
      <c r="F449" s="27" t="inlineStr">
        <is>
          <t>PB</t>
        </is>
      </c>
      <c r="G449" s="107" t="n">
        <v>46143</v>
      </c>
      <c r="H449" s="108">
        <f>IF($B449="","",SUM($K449:$AG449)+SUM($AS449:$BB449))</f>
        <v/>
      </c>
      <c r="I449" s="108">
        <f>IF($B449="","",SUM($AH449:$AL449))</f>
        <v/>
      </c>
      <c r="J449" s="109">
        <f>IF($B449="","",SUMPRODUCT($K449:$BB449,$K$2:$BB$2))</f>
        <v/>
      </c>
      <c r="K449" s="110" t="n">
        <v>1</v>
      </c>
      <c r="L449" s="110" t="n"/>
      <c r="M449" s="110" t="n">
        <v>2</v>
      </c>
      <c r="N449" s="110" t="n"/>
      <c r="O449" s="110" t="n"/>
      <c r="P449" s="110" t="n"/>
      <c r="Q449" s="110" t="n"/>
      <c r="R449" s="110" t="n"/>
      <c r="S449" s="110" t="n"/>
      <c r="T449" s="110" t="n"/>
      <c r="U449" s="110" t="n"/>
      <c r="V449" s="110" t="n"/>
      <c r="W449" s="110" t="n"/>
      <c r="X449" s="110" t="n"/>
      <c r="Y449" s="110" t="n"/>
      <c r="Z449" s="110" t="n"/>
      <c r="AA449" s="110" t="n">
        <v>1</v>
      </c>
      <c r="AB449" s="110" t="n"/>
      <c r="AC449" s="110" t="n"/>
      <c r="AD449" s="110" t="n"/>
      <c r="AE449" s="110" t="n"/>
      <c r="AF449" s="110" t="n"/>
      <c r="AG449" s="110" t="n"/>
      <c r="AH449" s="110" t="n"/>
      <c r="AI449" s="110" t="n"/>
      <c r="AJ449" s="110" t="n"/>
      <c r="AK449" s="110" t="n"/>
      <c r="AL449" s="110" t="n"/>
      <c r="AM449" s="110" t="n"/>
      <c r="AN449" s="110" t="n"/>
      <c r="AO449" s="110" t="n"/>
      <c r="AP449" s="110" t="n"/>
      <c r="AQ449" s="110" t="n"/>
      <c r="AR449" s="110" t="n"/>
      <c r="AS449" s="110" t="n"/>
      <c r="AT449" s="110" t="n"/>
      <c r="AU449" s="110" t="n"/>
      <c r="AV449" s="110" t="n"/>
      <c r="AW449" s="110" t="n"/>
      <c r="AX449" s="110" t="n"/>
      <c r="AY449" s="110" t="n"/>
      <c r="AZ449" s="110" t="n"/>
      <c r="BA449" s="110" t="n"/>
      <c r="BB449" s="110" t="n"/>
      <c r="BC449" t="inlineStr">
        <is>
          <t>ORIGINAL</t>
        </is>
      </c>
      <c r="BD449" t="n">
        <v>440</v>
      </c>
      <c r="BF449" s="109">
        <f>IF($BD449="","",SUMIF($BD$6:$BD$2000,$BD449,$J$6:$J$2000))</f>
        <v/>
      </c>
    </row>
    <row r="450" ht="19.5" customHeight="1">
      <c r="A450" s="96" t="inlineStr">
        <is>
          <t>PENDENTE</t>
        </is>
      </c>
      <c r="B450" s="26" t="inlineStr">
        <is>
          <t>RIACHUELO</t>
        </is>
      </c>
      <c r="C450" s="27" t="n">
        <v>546</v>
      </c>
      <c r="D450" s="26" t="inlineStr">
        <is>
          <t>JUNDIAI SH CARTERS</t>
        </is>
      </c>
      <c r="E450" s="26" t="inlineStr">
        <is>
          <t>JUNDIAÍ</t>
        </is>
      </c>
      <c r="F450" s="27" t="inlineStr">
        <is>
          <t>SP</t>
        </is>
      </c>
      <c r="G450" s="107" t="n">
        <v>46143</v>
      </c>
      <c r="H450" s="108">
        <f>IF($B450="","",SUM($K450:$AG450)+SUM($AS450:$BB450))</f>
        <v/>
      </c>
      <c r="I450" s="108">
        <f>IF($B450="","",SUM($AH450:$AL450))</f>
        <v/>
      </c>
      <c r="J450" s="109">
        <f>IF($B450="","",SUMPRODUCT($K450:$BB450,$K$2:$BB$2))</f>
        <v/>
      </c>
      <c r="K450" s="110" t="n">
        <v>1</v>
      </c>
      <c r="L450" s="110" t="n"/>
      <c r="M450" s="110" t="n">
        <v>2</v>
      </c>
      <c r="N450" s="110" t="n"/>
      <c r="O450" s="110" t="n"/>
      <c r="P450" s="110" t="n"/>
      <c r="Q450" s="110" t="n"/>
      <c r="R450" s="110" t="n"/>
      <c r="S450" s="110" t="n"/>
      <c r="T450" s="110" t="n"/>
      <c r="U450" s="110" t="n"/>
      <c r="V450" s="110" t="n"/>
      <c r="W450" s="110" t="n"/>
      <c r="X450" s="110" t="n"/>
      <c r="Y450" s="110" t="n"/>
      <c r="Z450" s="110" t="n"/>
      <c r="AA450" s="110" t="n">
        <v>2</v>
      </c>
      <c r="AB450" s="110" t="n"/>
      <c r="AC450" s="110" t="n"/>
      <c r="AD450" s="110" t="n"/>
      <c r="AE450" s="110" t="n"/>
      <c r="AF450" s="110" t="n"/>
      <c r="AG450" s="110" t="n"/>
      <c r="AH450" s="110" t="n"/>
      <c r="AI450" s="110" t="n"/>
      <c r="AJ450" s="110" t="n"/>
      <c r="AK450" s="110" t="n"/>
      <c r="AL450" s="110" t="n"/>
      <c r="AM450" s="110" t="n"/>
      <c r="AN450" s="110" t="n"/>
      <c r="AO450" s="110" t="n"/>
      <c r="AP450" s="110" t="n"/>
      <c r="AQ450" s="110" t="n"/>
      <c r="AR450" s="110" t="n"/>
      <c r="AS450" s="110" t="n"/>
      <c r="AT450" s="110" t="n"/>
      <c r="AU450" s="110" t="n"/>
      <c r="AV450" s="110" t="n"/>
      <c r="AW450" s="110" t="n"/>
      <c r="AX450" s="110" t="n"/>
      <c r="AY450" s="110" t="n"/>
      <c r="AZ450" s="110" t="n"/>
      <c r="BA450" s="110" t="n"/>
      <c r="BB450" s="110" t="n"/>
      <c r="BC450" t="inlineStr">
        <is>
          <t>ORIGINAL</t>
        </is>
      </c>
      <c r="BD450" t="n">
        <v>441</v>
      </c>
      <c r="BF450" s="109">
        <f>IF($BD450="","",SUMIF($BD$6:$BD$2000,$BD450,$J$6:$J$2000))</f>
        <v/>
      </c>
    </row>
    <row r="451" ht="19.5" customHeight="1">
      <c r="A451" s="96" t="inlineStr">
        <is>
          <t>PENDENTE</t>
        </is>
      </c>
      <c r="B451" s="26" t="inlineStr">
        <is>
          <t>RIACHUELO</t>
        </is>
      </c>
      <c r="C451" s="27" t="n">
        <v>547</v>
      </c>
      <c r="D451" s="26" t="inlineStr">
        <is>
          <t>SP CAMPINAS DOM PEDRO SH FANLAB</t>
        </is>
      </c>
      <c r="E451" s="26" t="inlineStr">
        <is>
          <t>CAMPINAS</t>
        </is>
      </c>
      <c r="F451" s="27" t="inlineStr">
        <is>
          <t>SP</t>
        </is>
      </c>
      <c r="G451" s="107" t="n">
        <v>46082</v>
      </c>
      <c r="H451" s="108">
        <f>IF($B451="","",SUM($K451:$AG451)+SUM($AS451:$BB451))</f>
        <v/>
      </c>
      <c r="I451" s="108">
        <f>IF($B451="","",SUM($AH451:$AL451))</f>
        <v/>
      </c>
      <c r="J451" s="109">
        <f>IF($B451="","",SUMPRODUCT($K451:$BB451,$K$2:$BB$2))</f>
        <v/>
      </c>
      <c r="K451" s="110" t="n"/>
      <c r="L451" s="110" t="n"/>
      <c r="M451" s="110" t="n"/>
      <c r="N451" s="110" t="n"/>
      <c r="O451" s="110" t="n"/>
      <c r="P451" s="110" t="n"/>
      <c r="Q451" s="110" t="n"/>
      <c r="R451" s="110" t="n"/>
      <c r="S451" s="110" t="n"/>
      <c r="T451" s="110" t="n"/>
      <c r="U451" s="110" t="n">
        <v>4</v>
      </c>
      <c r="V451" s="110" t="n"/>
      <c r="W451" s="110" t="n"/>
      <c r="X451" s="110" t="n"/>
      <c r="Y451" s="110" t="n"/>
      <c r="Z451" s="110" t="n"/>
      <c r="AA451" s="110" t="n"/>
      <c r="AB451" s="110" t="n"/>
      <c r="AC451" s="110" t="n"/>
      <c r="AD451" s="110" t="n"/>
      <c r="AE451" s="110" t="n"/>
      <c r="AF451" s="110" t="n"/>
      <c r="AG451" s="110" t="n"/>
      <c r="AH451" s="110" t="n"/>
      <c r="AI451" s="110" t="n"/>
      <c r="AJ451" s="110" t="n"/>
      <c r="AK451" s="110" t="n"/>
      <c r="AL451" s="110" t="n"/>
      <c r="AM451" s="110" t="n"/>
      <c r="AN451" s="110" t="n"/>
      <c r="AO451" s="110" t="n"/>
      <c r="AP451" s="110" t="n"/>
      <c r="AQ451" s="110" t="n"/>
      <c r="AR451" s="110" t="n"/>
      <c r="AS451" s="110" t="n"/>
      <c r="AT451" s="110" t="n"/>
      <c r="AU451" s="110" t="n"/>
      <c r="AV451" s="110" t="n"/>
      <c r="AW451" s="110" t="n"/>
      <c r="AX451" s="110" t="n"/>
      <c r="AY451" s="110" t="n"/>
      <c r="AZ451" s="110" t="n"/>
      <c r="BA451" s="110" t="n"/>
      <c r="BB451" s="110" t="n"/>
      <c r="BC451" t="inlineStr">
        <is>
          <t>ORIGINAL</t>
        </is>
      </c>
      <c r="BD451" t="n">
        <v>442</v>
      </c>
      <c r="BF451" s="109">
        <f>IF($BD451="","",SUMIF($BD$6:$BD$2000,$BD451,$J$6:$J$2000))</f>
        <v/>
      </c>
    </row>
    <row r="452" ht="19.5" customHeight="1">
      <c r="A452" s="96" t="inlineStr">
        <is>
          <t>PENDENTE</t>
        </is>
      </c>
      <c r="B452" s="26" t="inlineStr">
        <is>
          <t>RIACHUELO</t>
        </is>
      </c>
      <c r="C452" s="27" t="n">
        <v>548</v>
      </c>
      <c r="D452" s="26" t="inlineStr">
        <is>
          <t>SP SÃO CAETANO PARK SH CASA</t>
        </is>
      </c>
      <c r="E452" s="26" t="inlineStr">
        <is>
          <t>SÃO CAETANO</t>
        </is>
      </c>
      <c r="F452" s="27" t="inlineStr">
        <is>
          <t>SP</t>
        </is>
      </c>
      <c r="G452" s="107" t="n">
        <v>46145</v>
      </c>
      <c r="H452" s="108">
        <f>IF($B452="","",SUM($K452:$AG452)+SUM($AS452:$BB452))</f>
        <v/>
      </c>
      <c r="I452" s="108">
        <f>IF($B452="","",SUM($AH452:$AL452))</f>
        <v/>
      </c>
      <c r="J452" s="109">
        <f>IF($B452="","",SUMPRODUCT($K452:$BB452,$K$2:$BB$2))</f>
        <v/>
      </c>
      <c r="K452" s="110" t="n">
        <v>1</v>
      </c>
      <c r="L452" s="110" t="n"/>
      <c r="M452" s="110" t="n">
        <v>2</v>
      </c>
      <c r="N452" s="110" t="n"/>
      <c r="O452" s="110" t="n"/>
      <c r="P452" s="110" t="n"/>
      <c r="Q452" s="110" t="n"/>
      <c r="R452" s="110" t="n"/>
      <c r="S452" s="110" t="n"/>
      <c r="T452" s="110" t="n"/>
      <c r="U452" s="110" t="n"/>
      <c r="V452" s="110" t="n"/>
      <c r="W452" s="110" t="n"/>
      <c r="X452" s="110" t="n"/>
      <c r="Y452" s="110" t="n"/>
      <c r="Z452" s="110" t="n"/>
      <c r="AA452" s="110" t="n">
        <v>1</v>
      </c>
      <c r="AB452" s="110" t="n"/>
      <c r="AC452" s="110" t="n"/>
      <c r="AD452" s="110" t="n"/>
      <c r="AE452" s="110" t="n"/>
      <c r="AF452" s="110" t="n"/>
      <c r="AG452" s="110" t="n"/>
      <c r="AH452" s="110" t="n"/>
      <c r="AI452" s="110" t="n"/>
      <c r="AJ452" s="110" t="n"/>
      <c r="AK452" s="110" t="n"/>
      <c r="AL452" s="110" t="n"/>
      <c r="AM452" s="110" t="n"/>
      <c r="AN452" s="110" t="n"/>
      <c r="AO452" s="110" t="n"/>
      <c r="AP452" s="110" t="n"/>
      <c r="AQ452" s="110" t="n"/>
      <c r="AR452" s="110" t="n"/>
      <c r="AS452" s="110" t="n"/>
      <c r="AT452" s="110" t="n"/>
      <c r="AU452" s="110" t="n"/>
      <c r="AV452" s="110" t="n"/>
      <c r="AW452" s="110" t="n"/>
      <c r="AX452" s="110" t="n"/>
      <c r="AY452" s="110" t="n"/>
      <c r="AZ452" s="110" t="n"/>
      <c r="BA452" s="110" t="n"/>
      <c r="BB452" s="110" t="n"/>
      <c r="BC452" t="inlineStr">
        <is>
          <t>ORIGINAL</t>
        </is>
      </c>
      <c r="BD452" t="n">
        <v>443</v>
      </c>
      <c r="BF452" s="109">
        <f>IF($BD452="","",SUMIF($BD$6:$BD$2000,$BD452,$J$6:$J$2000))</f>
        <v/>
      </c>
    </row>
    <row r="453" ht="19.5" customHeight="1">
      <c r="A453" s="96" t="inlineStr">
        <is>
          <t>PENDENTE</t>
        </is>
      </c>
      <c r="B453" s="26" t="inlineStr">
        <is>
          <t>RIACHUELO</t>
        </is>
      </c>
      <c r="C453" s="27" t="n">
        <v>549</v>
      </c>
      <c r="D453" s="26" t="inlineStr">
        <is>
          <t>SC BLUMENAU NEUMARKT SH CARTERS</t>
        </is>
      </c>
      <c r="E453" s="26" t="inlineStr">
        <is>
          <t>BLUMENAU</t>
        </is>
      </c>
      <c r="F453" s="27" t="inlineStr">
        <is>
          <t>SC</t>
        </is>
      </c>
      <c r="G453" s="107" t="n">
        <v>46082</v>
      </c>
      <c r="H453" s="108">
        <f>IF($B453="","",SUM($K453:$AG453)+SUM($AS453:$BB453))</f>
        <v/>
      </c>
      <c r="I453" s="108">
        <f>IF($B453="","",SUM($AH453:$AL453))</f>
        <v/>
      </c>
      <c r="J453" s="109">
        <f>IF($B453="","",SUMPRODUCT($K453:$BB453,$K$2:$BB$2))</f>
        <v/>
      </c>
      <c r="K453" s="110" t="n">
        <v>1</v>
      </c>
      <c r="L453" s="110" t="n"/>
      <c r="M453" s="110" t="n">
        <v>2</v>
      </c>
      <c r="N453" s="110" t="n"/>
      <c r="O453" s="110" t="n"/>
      <c r="P453" s="110" t="n"/>
      <c r="Q453" s="110" t="n"/>
      <c r="R453" s="110" t="n"/>
      <c r="S453" s="110" t="n"/>
      <c r="T453" s="110" t="n"/>
      <c r="U453" s="110" t="n"/>
      <c r="V453" s="110" t="n"/>
      <c r="W453" s="110" t="n"/>
      <c r="X453" s="110" t="n"/>
      <c r="Y453" s="110" t="n"/>
      <c r="Z453" s="110" t="n"/>
      <c r="AA453" s="110" t="n">
        <v>1</v>
      </c>
      <c r="AB453" s="110" t="n"/>
      <c r="AC453" s="110" t="n"/>
      <c r="AD453" s="110" t="n"/>
      <c r="AE453" s="110" t="n"/>
      <c r="AF453" s="110" t="n"/>
      <c r="AG453" s="110" t="n"/>
      <c r="AH453" s="110" t="n"/>
      <c r="AI453" s="110" t="n"/>
      <c r="AJ453" s="110" t="n"/>
      <c r="AK453" s="110" t="n"/>
      <c r="AL453" s="110" t="n"/>
      <c r="AM453" s="110" t="n"/>
      <c r="AN453" s="110" t="n"/>
      <c r="AO453" s="110" t="n"/>
      <c r="AP453" s="110" t="n"/>
      <c r="AQ453" s="110" t="n"/>
      <c r="AR453" s="110" t="n"/>
      <c r="AS453" s="110" t="n"/>
      <c r="AT453" s="110" t="n"/>
      <c r="AU453" s="110" t="n"/>
      <c r="AV453" s="110" t="n"/>
      <c r="AW453" s="110" t="n"/>
      <c r="AX453" s="110" t="n"/>
      <c r="AY453" s="110" t="n"/>
      <c r="AZ453" s="110" t="n"/>
      <c r="BA453" s="110" t="n"/>
      <c r="BB453" s="110" t="n"/>
      <c r="BC453" t="inlineStr">
        <is>
          <t>ORIGINAL</t>
        </is>
      </c>
      <c r="BD453" t="n">
        <v>444</v>
      </c>
      <c r="BF453" s="109">
        <f>IF($BD453="","",SUMIF($BD$6:$BD$2000,$BD453,$J$6:$J$2000))</f>
        <v/>
      </c>
    </row>
    <row r="454" ht="19.5" customHeight="1">
      <c r="A454" s="96" t="inlineStr">
        <is>
          <t>PENDENTE</t>
        </is>
      </c>
      <c r="B454" s="26" t="inlineStr">
        <is>
          <t>RIACHUELO</t>
        </is>
      </c>
      <c r="C454" s="27" t="n">
        <v>551</v>
      </c>
      <c r="D454" s="26" t="inlineStr">
        <is>
          <t>RJ VOLTA REDONDA SIDER SH</t>
        </is>
      </c>
      <c r="E454" s="26" t="inlineStr">
        <is>
          <t>VOLTA REDONDA</t>
        </is>
      </c>
      <c r="F454" s="27" t="inlineStr">
        <is>
          <t>RJ</t>
        </is>
      </c>
      <c r="G454" s="107" t="n">
        <v>46266</v>
      </c>
      <c r="H454" s="108">
        <f>IF($B454="","",SUM($K454:$AG454)+SUM($AS454:$BB454))</f>
        <v/>
      </c>
      <c r="I454" s="108">
        <f>IF($B454="","",SUM($AH454:$AL454))</f>
        <v/>
      </c>
      <c r="J454" s="109">
        <f>IF($B454="","",SUMPRODUCT($K454:$BB454,$K$2:$BB$2))</f>
        <v/>
      </c>
      <c r="K454" s="110" t="n"/>
      <c r="L454" s="110" t="n"/>
      <c r="M454" s="110" t="n"/>
      <c r="N454" s="110" t="n"/>
      <c r="O454" s="110" t="n"/>
      <c r="P454" s="110" t="n"/>
      <c r="Q454" s="110" t="n"/>
      <c r="R454" s="110" t="n"/>
      <c r="S454" s="110" t="n"/>
      <c r="T454" s="110" t="n">
        <v>12</v>
      </c>
      <c r="U454" s="110" t="n"/>
      <c r="V454" s="110" t="n"/>
      <c r="W454" s="110" t="n"/>
      <c r="X454" s="110" t="n"/>
      <c r="Y454" s="110" t="n"/>
      <c r="Z454" s="110" t="n"/>
      <c r="AA454" s="110" t="n"/>
      <c r="AB454" s="110" t="n"/>
      <c r="AC454" s="110" t="n"/>
      <c r="AD454" s="110" t="n"/>
      <c r="AE454" s="110" t="n"/>
      <c r="AF454" s="110" t="n"/>
      <c r="AG454" s="110" t="n"/>
      <c r="AH454" s="110" t="n">
        <v>12</v>
      </c>
      <c r="AI454" s="110" t="n"/>
      <c r="AJ454" s="110" t="n"/>
      <c r="AK454" s="110" t="n"/>
      <c r="AL454" s="110" t="n"/>
      <c r="AM454" s="110" t="n"/>
      <c r="AN454" s="110" t="n"/>
      <c r="AO454" s="110" t="n"/>
      <c r="AP454" s="110" t="n"/>
      <c r="AQ454" s="110" t="n"/>
      <c r="AR454" s="110" t="n"/>
      <c r="AS454" s="110" t="n"/>
      <c r="AT454" s="110" t="n"/>
      <c r="AU454" s="110" t="n"/>
      <c r="AV454" s="110" t="n"/>
      <c r="AW454" s="110" t="n"/>
      <c r="AX454" s="110" t="n"/>
      <c r="AY454" s="110" t="n"/>
      <c r="AZ454" s="110" t="n"/>
      <c r="BA454" s="110" t="n"/>
      <c r="BB454" s="110" t="n"/>
      <c r="BC454" t="inlineStr">
        <is>
          <t>ORIGINAL</t>
        </is>
      </c>
      <c r="BD454" t="n">
        <v>445</v>
      </c>
      <c r="BF454" s="109">
        <f>IF($BD454="","",SUMIF($BD$6:$BD$2000,$BD454,$J$6:$J$2000))</f>
        <v/>
      </c>
    </row>
    <row r="455" ht="19.5" customHeight="1">
      <c r="A455" s="96" t="inlineStr">
        <is>
          <t>PENDENTE</t>
        </is>
      </c>
      <c r="B455" s="26" t="inlineStr">
        <is>
          <t>RIACHUELO</t>
        </is>
      </c>
      <c r="C455" s="27" t="n">
        <v>552</v>
      </c>
      <c r="D455" s="26" t="inlineStr">
        <is>
          <t>CE EUSÉBIO TERRAZO SH</t>
        </is>
      </c>
      <c r="E455" s="26" t="inlineStr">
        <is>
          <t>EUSÉBIO</t>
        </is>
      </c>
      <c r="F455" s="27" t="inlineStr">
        <is>
          <t>CE</t>
        </is>
      </c>
      <c r="G455" s="107" t="n">
        <v>46235</v>
      </c>
      <c r="H455" s="108">
        <f>IF($B455="","",SUM($K455:$AG455)+SUM($AS455:$BB455))</f>
        <v/>
      </c>
      <c r="I455" s="108">
        <f>IF($B455="","",SUM($AH455:$AL455))</f>
        <v/>
      </c>
      <c r="J455" s="109">
        <f>IF($B455="","",SUMPRODUCT($K455:$BB455,$K$2:$BB$2))</f>
        <v/>
      </c>
      <c r="K455" s="110" t="n"/>
      <c r="L455" s="110" t="n"/>
      <c r="M455" s="110" t="n"/>
      <c r="N455" s="110" t="n"/>
      <c r="O455" s="110" t="n"/>
      <c r="P455" s="110" t="n"/>
      <c r="Q455" s="110" t="n"/>
      <c r="R455" s="110" t="n"/>
      <c r="S455" s="110" t="n"/>
      <c r="T455" s="110" t="n"/>
      <c r="U455" s="110" t="n"/>
      <c r="V455" s="110" t="n"/>
      <c r="W455" s="110" t="n"/>
      <c r="X455" s="110" t="n"/>
      <c r="Y455" s="110" t="n"/>
      <c r="Z455" s="110" t="n"/>
      <c r="AA455" s="110" t="n">
        <v>3</v>
      </c>
      <c r="AB455" s="110" t="n"/>
      <c r="AC455" s="110" t="n"/>
      <c r="AD455" s="110" t="n"/>
      <c r="AE455" s="110" t="n"/>
      <c r="AF455" s="110" t="n"/>
      <c r="AG455" s="110" t="n"/>
      <c r="AH455" s="110" t="n">
        <v>16</v>
      </c>
      <c r="AI455" s="110" t="n"/>
      <c r="AJ455" s="110" t="n"/>
      <c r="AK455" s="110" t="n"/>
      <c r="AL455" s="110" t="n"/>
      <c r="AM455" s="110" t="n"/>
      <c r="AN455" s="110" t="n"/>
      <c r="AO455" s="110" t="n"/>
      <c r="AP455" s="110" t="n"/>
      <c r="AQ455" s="110" t="n"/>
      <c r="AR455" s="110" t="n"/>
      <c r="AS455" s="110" t="n"/>
      <c r="AT455" s="110" t="n"/>
      <c r="AU455" s="110" t="n"/>
      <c r="AV455" s="110" t="n"/>
      <c r="AW455" s="110" t="n"/>
      <c r="AX455" s="110" t="n"/>
      <c r="AY455" s="110" t="n"/>
      <c r="AZ455" s="110" t="n"/>
      <c r="BA455" s="110" t="n"/>
      <c r="BB455" s="110" t="n"/>
      <c r="BC455" t="inlineStr">
        <is>
          <t>ORIGINAL</t>
        </is>
      </c>
      <c r="BD455" t="n">
        <v>446</v>
      </c>
      <c r="BF455" s="109">
        <f>IF($BD455="","",SUMIF($BD$6:$BD$2000,$BD455,$J$6:$J$2000))</f>
        <v/>
      </c>
    </row>
    <row r="456">
      <c r="A456" s="96" t="inlineStr">
        <is>
          <t>PENDENTE</t>
        </is>
      </c>
      <c r="B456" s="26" t="inlineStr">
        <is>
          <t>RIACHUELO</t>
        </is>
      </c>
      <c r="C456" s="27" t="n">
        <v>554</v>
      </c>
      <c r="D456" s="26" t="inlineStr">
        <is>
          <t>SP SUZANO SH</t>
        </is>
      </c>
      <c r="E456" s="26" t="inlineStr">
        <is>
          <t>SUZANO</t>
        </is>
      </c>
      <c r="F456" s="27" t="inlineStr">
        <is>
          <t>SP</t>
        </is>
      </c>
      <c r="G456" s="107" t="n">
        <v>46296</v>
      </c>
      <c r="H456" s="108">
        <f>IF($B456="","",SUM($K456:$AG456)+SUM($AS456:$BB456))</f>
        <v/>
      </c>
      <c r="I456" s="108">
        <f>IF($B456="","",SUM($AH456:$AL456))</f>
        <v/>
      </c>
      <c r="J456" s="109">
        <f>IF($B456="","",SUMPRODUCT($K456:$BB456,$K$2:$BB$2))</f>
        <v/>
      </c>
      <c r="K456" s="110" t="n">
        <v>9</v>
      </c>
      <c r="L456" s="110" t="n"/>
      <c r="M456" s="110" t="n"/>
      <c r="N456" s="110" t="n"/>
      <c r="O456" s="110" t="n"/>
      <c r="P456" s="110" t="n"/>
      <c r="Q456" s="110" t="n"/>
      <c r="R456" s="110" t="n"/>
      <c r="S456" s="110" t="n"/>
      <c r="T456" s="110" t="n"/>
      <c r="U456" s="110" t="n"/>
      <c r="V456" s="110" t="n"/>
      <c r="W456" s="110" t="n"/>
      <c r="X456" s="110" t="n"/>
      <c r="Y456" s="110" t="n"/>
      <c r="Z456" s="110" t="n"/>
      <c r="AA456" s="110" t="n">
        <v>7</v>
      </c>
      <c r="AB456" s="110" t="n"/>
      <c r="AC456" s="110" t="n"/>
      <c r="AD456" s="110" t="n"/>
      <c r="AE456" s="110" t="n"/>
      <c r="AF456" s="110" t="n"/>
      <c r="AG456" s="110" t="n"/>
      <c r="AH456" s="110" t="n">
        <v>16</v>
      </c>
      <c r="AI456" s="110" t="n"/>
      <c r="AJ456" s="110" t="n"/>
      <c r="AK456" s="110" t="n"/>
      <c r="AL456" s="110" t="n"/>
      <c r="AM456" s="110" t="n"/>
      <c r="AN456" s="110" t="n"/>
      <c r="AO456" s="110" t="n"/>
      <c r="AP456" s="110" t="n"/>
      <c r="AQ456" s="110" t="n"/>
      <c r="AR456" s="110" t="n"/>
      <c r="AS456" s="110" t="n"/>
      <c r="AT456" s="110" t="n"/>
      <c r="AU456" s="110" t="n"/>
      <c r="AV456" s="110" t="n"/>
      <c r="AW456" s="110" t="n"/>
      <c r="AX456" s="110" t="n"/>
      <c r="AY456" s="110" t="n"/>
      <c r="AZ456" s="110" t="n"/>
      <c r="BA456" s="110" t="n"/>
      <c r="BB456" s="110" t="n"/>
      <c r="BC456" t="inlineStr">
        <is>
          <t>ORIGINAL</t>
        </is>
      </c>
      <c r="BD456" t="n">
        <v>447</v>
      </c>
      <c r="BF456" s="109">
        <f>IF($BD456="","",SUMIF($BD$6:$BD$2000,$BD456,$J$6:$J$2000))</f>
        <v/>
      </c>
    </row>
    <row r="457">
      <c r="A457" s="96" t="inlineStr">
        <is>
          <t>PENDENTE</t>
        </is>
      </c>
      <c r="B457" s="26" t="inlineStr">
        <is>
          <t>RIACHUELO</t>
        </is>
      </c>
      <c r="C457" s="27" t="n">
        <v>555</v>
      </c>
      <c r="D457" s="26" t="inlineStr">
        <is>
          <t>AL MACEIO PARQUE SH [CASA]</t>
        </is>
      </c>
      <c r="E457" s="26" t="inlineStr">
        <is>
          <t>MACEIO</t>
        </is>
      </c>
      <c r="F457" s="27" t="inlineStr">
        <is>
          <t>AL</t>
        </is>
      </c>
      <c r="G457" s="107" t="n">
        <v>46297</v>
      </c>
      <c r="H457" s="108">
        <f>IF($B457="","",SUM($K457:$AG457)+SUM($AS457:$BB457))</f>
        <v/>
      </c>
      <c r="I457" s="108">
        <f>IF($B457="","",SUM($AH457:$AL457))</f>
        <v/>
      </c>
      <c r="J457" s="109">
        <f>IF($B457="","",SUMPRODUCT($K457:$BB457,$K$2:$BB$2))</f>
        <v/>
      </c>
      <c r="K457" s="110" t="n">
        <v>2</v>
      </c>
      <c r="L457" s="110" t="n"/>
      <c r="M457" s="110" t="n">
        <v>2</v>
      </c>
      <c r="N457" s="110" t="n"/>
      <c r="O457" s="110" t="n"/>
      <c r="P457" s="110" t="n"/>
      <c r="Q457" s="110" t="n"/>
      <c r="R457" s="110" t="n"/>
      <c r="S457" s="110" t="n"/>
      <c r="T457" s="110" t="n"/>
      <c r="U457" s="110" t="n"/>
      <c r="V457" s="110" t="n"/>
      <c r="W457" s="110" t="n"/>
      <c r="X457" s="110" t="n"/>
      <c r="Y457" s="110" t="n"/>
      <c r="Z457" s="110" t="n"/>
      <c r="AA457" s="110" t="n">
        <v>2</v>
      </c>
      <c r="AB457" s="110" t="n"/>
      <c r="AC457" s="110" t="n"/>
      <c r="AD457" s="110" t="n"/>
      <c r="AE457" s="110" t="n"/>
      <c r="AF457" s="110" t="n"/>
      <c r="AG457" s="110" t="n"/>
      <c r="AH457" s="110" t="n"/>
      <c r="AI457" s="110" t="n"/>
      <c r="AJ457" s="110" t="n"/>
      <c r="AK457" s="110" t="n"/>
      <c r="AL457" s="110" t="n"/>
      <c r="AM457" s="110" t="n"/>
      <c r="AN457" s="110" t="n"/>
      <c r="AO457" s="110" t="n"/>
      <c r="AP457" s="110" t="n"/>
      <c r="AQ457" s="110" t="n"/>
      <c r="AR457" s="110" t="n"/>
      <c r="AS457" s="110" t="n"/>
      <c r="AT457" s="110" t="n"/>
      <c r="AU457" s="110" t="n"/>
      <c r="AV457" s="110" t="n"/>
      <c r="AW457" s="110" t="n"/>
      <c r="AX457" s="110" t="n"/>
      <c r="AY457" s="110" t="n"/>
      <c r="AZ457" s="110" t="n"/>
      <c r="BA457" s="110" t="n"/>
      <c r="BB457" s="110" t="n"/>
      <c r="BC457" t="inlineStr">
        <is>
          <t>ORIGINAL</t>
        </is>
      </c>
      <c r="BD457" t="n">
        <v>448</v>
      </c>
      <c r="BF457" s="109">
        <f>IF($BD457="","",SUMIF($BD$6:$BD$2000,$BD457,$J$6:$J$2000))</f>
        <v/>
      </c>
    </row>
    <row r="458">
      <c r="A458" s="96" t="inlineStr">
        <is>
          <t>PENDENTE</t>
        </is>
      </c>
      <c r="B458" s="26" t="inlineStr">
        <is>
          <t>RIACHUELO</t>
        </is>
      </c>
      <c r="C458" s="27" t="n">
        <v>557</v>
      </c>
      <c r="D458" s="26" t="inlineStr">
        <is>
          <t>SP SAO JOSE CAMPOS VALE SUL SH [CASA]</t>
        </is>
      </c>
      <c r="E458" s="26" t="inlineStr">
        <is>
          <t>SÃO JOSÉ DOS CAMPOS</t>
        </is>
      </c>
      <c r="F458" s="27" t="inlineStr">
        <is>
          <t>SP</t>
        </is>
      </c>
      <c r="G458" s="107" t="n">
        <v>46298</v>
      </c>
      <c r="H458" s="108">
        <f>IF($B458="","",SUM($K458:$AG458)+SUM($AS458:$BB458))</f>
        <v/>
      </c>
      <c r="I458" s="108">
        <f>IF($B458="","",SUM($AH458:$AL458))</f>
        <v/>
      </c>
      <c r="J458" s="109">
        <f>IF($B458="","",SUMPRODUCT($K458:$BB458,$K$2:$BB$2))</f>
        <v/>
      </c>
      <c r="K458" s="110" t="n">
        <v>1</v>
      </c>
      <c r="L458" s="110" t="n"/>
      <c r="M458" s="110" t="n">
        <v>4</v>
      </c>
      <c r="N458" s="110" t="n"/>
      <c r="O458" s="110" t="n"/>
      <c r="P458" s="110" t="n"/>
      <c r="Q458" s="110" t="n"/>
      <c r="R458" s="110" t="n"/>
      <c r="S458" s="110" t="n"/>
      <c r="T458" s="110" t="n"/>
      <c r="U458" s="110" t="n"/>
      <c r="V458" s="110" t="n"/>
      <c r="W458" s="110" t="n"/>
      <c r="X458" s="110" t="n"/>
      <c r="Y458" s="110" t="n"/>
      <c r="Z458" s="110" t="n"/>
      <c r="AA458" s="110" t="n">
        <v>1</v>
      </c>
      <c r="AB458" s="110" t="n"/>
      <c r="AC458" s="110" t="n"/>
      <c r="AD458" s="110" t="n"/>
      <c r="AE458" s="110" t="n"/>
      <c r="AF458" s="110" t="n"/>
      <c r="AG458" s="110" t="n"/>
      <c r="AH458" s="110" t="n"/>
      <c r="AI458" s="110" t="n"/>
      <c r="AJ458" s="110" t="n"/>
      <c r="AK458" s="110" t="n"/>
      <c r="AL458" s="110" t="n"/>
      <c r="AM458" s="110" t="n"/>
      <c r="AN458" s="110" t="n"/>
      <c r="AO458" s="110" t="n"/>
      <c r="AP458" s="110" t="n"/>
      <c r="AQ458" s="110" t="n"/>
      <c r="AR458" s="110" t="n"/>
      <c r="AS458" s="110" t="n"/>
      <c r="AT458" s="110" t="n"/>
      <c r="AU458" s="110" t="n"/>
      <c r="AV458" s="110" t="n"/>
      <c r="AW458" s="110" t="n"/>
      <c r="AX458" s="110" t="n"/>
      <c r="AY458" s="110" t="n"/>
      <c r="AZ458" s="110" t="n"/>
      <c r="BA458" s="110" t="n"/>
      <c r="BB458" s="110" t="n"/>
      <c r="BC458" t="inlineStr">
        <is>
          <t>ORIGINAL</t>
        </is>
      </c>
      <c r="BD458" t="n">
        <v>449</v>
      </c>
      <c r="BF458" s="109">
        <f>IF($BD458="","",SUMIF($BD$6:$BD$2000,$BD458,$J$6:$J$2000))</f>
        <v/>
      </c>
    </row>
    <row r="459">
      <c r="A459" s="96" t="inlineStr">
        <is>
          <t>PENDENTE</t>
        </is>
      </c>
      <c r="B459" s="26" t="inlineStr">
        <is>
          <t>RIACHUELO</t>
        </is>
      </c>
      <c r="C459" s="27" t="n">
        <v>600</v>
      </c>
      <c r="D459" s="26" t="inlineStr">
        <is>
          <t xml:space="preserve">SP RUA DOS PINHEIROS CT [TEMP]  </t>
        </is>
      </c>
      <c r="E459" s="26" t="inlineStr">
        <is>
          <t>SÃO PAULO</t>
        </is>
      </c>
      <c r="F459" s="27" t="inlineStr">
        <is>
          <t>SP</t>
        </is>
      </c>
      <c r="G459" s="107" t="n">
        <v>46299</v>
      </c>
      <c r="H459" s="108">
        <f>IF($B459="","",SUM($K459:$AG459)+SUM($AS459:$BB459))</f>
        <v/>
      </c>
      <c r="I459" s="108">
        <f>IF($B459="","",SUM($AH459:$AL459))</f>
        <v/>
      </c>
      <c r="J459" s="109">
        <f>IF($B459="","",SUMPRODUCT($K459:$BB459,$K$2:$BB$2))</f>
        <v/>
      </c>
      <c r="K459" s="110" t="n">
        <v>3</v>
      </c>
      <c r="L459" s="110" t="n"/>
      <c r="M459" s="110" t="n"/>
      <c r="N459" s="110" t="n"/>
      <c r="O459" s="110" t="n"/>
      <c r="P459" s="110" t="n"/>
      <c r="Q459" s="110" t="n"/>
      <c r="R459" s="110" t="n"/>
      <c r="S459" s="110" t="n"/>
      <c r="T459" s="110" t="n"/>
      <c r="U459" s="110" t="n"/>
      <c r="V459" s="110" t="n"/>
      <c r="W459" s="110" t="n"/>
      <c r="X459" s="110" t="n"/>
      <c r="Y459" s="110" t="n"/>
      <c r="Z459" s="110" t="n"/>
      <c r="AA459" s="110" t="n">
        <v>2</v>
      </c>
      <c r="AB459" s="110" t="n"/>
      <c r="AC459" s="110" t="n"/>
      <c r="AD459" s="110" t="n"/>
      <c r="AE459" s="110" t="n"/>
      <c r="AF459" s="110" t="n"/>
      <c r="AG459" s="110" t="n"/>
      <c r="AH459" s="110" t="n"/>
      <c r="AI459" s="110" t="n"/>
      <c r="AJ459" s="110" t="n"/>
      <c r="AK459" s="110" t="n"/>
      <c r="AL459" s="110" t="n"/>
      <c r="AM459" s="110" t="n"/>
      <c r="AN459" s="110" t="n"/>
      <c r="AO459" s="110" t="n"/>
      <c r="AP459" s="110" t="n"/>
      <c r="AQ459" s="110" t="n"/>
      <c r="AR459" s="110" t="n"/>
      <c r="AS459" s="110" t="n"/>
      <c r="AT459" s="110" t="n"/>
      <c r="AU459" s="110" t="n"/>
      <c r="AV459" s="110" t="n"/>
      <c r="AW459" s="110" t="n"/>
      <c r="AX459" s="110" t="n"/>
      <c r="AY459" s="110" t="n"/>
      <c r="AZ459" s="110" t="n"/>
      <c r="BA459" s="110" t="n"/>
      <c r="BB459" s="110" t="n"/>
      <c r="BC459" t="inlineStr">
        <is>
          <t>ORIGINAL</t>
        </is>
      </c>
      <c r="BD459" t="n">
        <v>450</v>
      </c>
      <c r="BF459" s="109">
        <f>IF($BD459="","",SUMIF($BD$6:$BD$2000,$BD459,$J$6:$J$2000))</f>
        <v/>
      </c>
    </row>
    <row r="460">
      <c r="B460" s="39" t="n"/>
      <c r="C460" s="39" t="n"/>
      <c r="D460" s="40" t="n"/>
      <c r="E460" s="39" t="n"/>
      <c r="F460" s="39" t="n"/>
      <c r="G460" s="112" t="n"/>
      <c r="H460" s="42" t="n"/>
      <c r="I460" s="42" t="n"/>
      <c r="J460" s="113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9" t="n"/>
      <c r="X460" s="39" t="n"/>
      <c r="Y460" s="39" t="n"/>
      <c r="Z460" s="39" t="n"/>
      <c r="AA460" s="39" t="n"/>
      <c r="AB460" s="39" t="n"/>
      <c r="AC460" s="39" t="n"/>
      <c r="AD460" s="39" t="n"/>
      <c r="AE460" s="39" t="n"/>
      <c r="AF460" s="39" t="n"/>
      <c r="AG460" s="39" t="n"/>
      <c r="AH460" s="39" t="n"/>
      <c r="AI460" s="39" t="n"/>
      <c r="AJ460" s="39" t="n"/>
      <c r="AK460" s="39" t="n"/>
      <c r="AL460" s="39" t="n"/>
      <c r="AM460" s="44" t="n"/>
      <c r="AN460" s="44" t="n"/>
      <c r="AO460" s="44" t="n"/>
      <c r="AP460" s="44" t="n"/>
      <c r="AQ460" s="44" t="n"/>
      <c r="AR460" s="44" t="n"/>
      <c r="AS460" s="45" t="n"/>
      <c r="AT460" s="45" t="n"/>
      <c r="AU460" s="45" t="n"/>
    </row>
    <row r="461">
      <c r="B461" s="39" t="n"/>
      <c r="C461" s="39" t="n"/>
      <c r="D461" s="40" t="n"/>
      <c r="E461" s="39" t="n"/>
      <c r="F461" s="39" t="n"/>
      <c r="G461" s="112" t="n"/>
      <c r="H461" s="42" t="n"/>
      <c r="I461" s="42" t="n"/>
      <c r="J461" s="113" t="n"/>
      <c r="K461" s="39" t="n"/>
      <c r="L461" s="39" t="n"/>
      <c r="M461" s="39" t="n"/>
      <c r="N461" s="39" t="n"/>
      <c r="O461" s="39" t="n"/>
      <c r="P461" s="39" t="n"/>
      <c r="Q461" s="39" t="n"/>
      <c r="R461" s="39" t="n"/>
      <c r="S461" s="39" t="n"/>
      <c r="T461" s="39" t="n"/>
      <c r="U461" s="39" t="n"/>
      <c r="V461" s="39" t="n"/>
      <c r="W461" s="39" t="n"/>
      <c r="X461" s="39" t="n"/>
      <c r="Y461" s="39" t="n"/>
      <c r="Z461" s="39" t="n"/>
      <c r="AA461" s="39" t="n"/>
      <c r="AB461" s="39" t="n"/>
      <c r="AC461" s="39" t="n"/>
      <c r="AD461" s="39" t="n"/>
      <c r="AE461" s="39" t="n"/>
      <c r="AF461" s="39" t="n"/>
      <c r="AG461" s="39" t="n"/>
      <c r="AH461" s="39" t="n"/>
      <c r="AI461" s="39" t="n"/>
      <c r="AJ461" s="39" t="n"/>
      <c r="AK461" s="39" t="n"/>
      <c r="AL461" s="39" t="n"/>
      <c r="AM461" s="44" t="n"/>
      <c r="AN461" s="44" t="n"/>
      <c r="AO461" s="44" t="n"/>
      <c r="AP461" s="44" t="n"/>
      <c r="AQ461" s="44" t="n"/>
      <c r="AR461" s="44" t="n"/>
      <c r="AS461" s="45" t="n"/>
      <c r="AT461" s="45" t="n"/>
      <c r="AU461" s="45" t="n"/>
    </row>
    <row r="462">
      <c r="B462" s="39" t="n"/>
      <c r="C462" s="39" t="n"/>
      <c r="D462" s="40" t="n"/>
      <c r="E462" s="39" t="n"/>
      <c r="F462" s="39" t="n"/>
      <c r="G462" s="112" t="n"/>
      <c r="H462" s="42" t="n"/>
      <c r="I462" s="42" t="n"/>
      <c r="J462" s="113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9" t="n"/>
      <c r="X462" s="39" t="n"/>
      <c r="Y462" s="39" t="n"/>
      <c r="Z462" s="39" t="n"/>
      <c r="AA462" s="39" t="n"/>
      <c r="AB462" s="39" t="n"/>
      <c r="AC462" s="39" t="n"/>
      <c r="AD462" s="39" t="n"/>
      <c r="AE462" s="39" t="n"/>
      <c r="AF462" s="39" t="n"/>
      <c r="AG462" s="39" t="n"/>
      <c r="AH462" s="39" t="n"/>
      <c r="AI462" s="39" t="n"/>
      <c r="AJ462" s="39" t="n"/>
      <c r="AK462" s="39" t="n"/>
      <c r="AL462" s="39" t="n"/>
      <c r="AM462" s="44" t="n"/>
      <c r="AN462" s="44" t="n"/>
      <c r="AO462" s="44" t="n"/>
      <c r="AP462" s="44" t="n"/>
      <c r="AQ462" s="44" t="n"/>
      <c r="AR462" s="44" t="n"/>
      <c r="AS462" s="45" t="n"/>
      <c r="AT462" s="45" t="n"/>
      <c r="AU462" s="45" t="n"/>
    </row>
    <row r="463">
      <c r="B463" s="39" t="n"/>
      <c r="C463" s="39" t="n"/>
      <c r="D463" s="40" t="n"/>
      <c r="E463" s="39" t="n"/>
      <c r="F463" s="39" t="n"/>
      <c r="G463" s="112" t="n"/>
      <c r="H463" s="42" t="n"/>
      <c r="I463" s="42" t="n"/>
      <c r="J463" s="113" t="n"/>
      <c r="K463" s="39" t="n"/>
      <c r="L463" s="39" t="n"/>
      <c r="M463" s="39" t="n"/>
      <c r="N463" s="39" t="n"/>
      <c r="O463" s="39" t="n"/>
      <c r="P463" s="39" t="n"/>
      <c r="Q463" s="39" t="n"/>
      <c r="R463" s="39" t="n"/>
      <c r="S463" s="39" t="n"/>
      <c r="T463" s="39" t="n"/>
      <c r="U463" s="39" t="n"/>
      <c r="V463" s="39" t="n"/>
      <c r="W463" s="39" t="n"/>
      <c r="X463" s="39" t="n"/>
      <c r="Y463" s="39" t="n"/>
      <c r="Z463" s="39" t="n"/>
      <c r="AA463" s="39" t="n"/>
      <c r="AB463" s="39" t="n"/>
      <c r="AC463" s="39" t="n"/>
      <c r="AD463" s="39" t="n"/>
      <c r="AE463" s="39" t="n"/>
      <c r="AF463" s="39" t="n"/>
      <c r="AG463" s="39" t="n"/>
      <c r="AH463" s="39" t="n"/>
      <c r="AI463" s="39" t="n"/>
      <c r="AJ463" s="39" t="n"/>
      <c r="AK463" s="39" t="n"/>
      <c r="AL463" s="39" t="n"/>
      <c r="AM463" s="44" t="n"/>
      <c r="AN463" s="44" t="n"/>
      <c r="AO463" s="44" t="n"/>
      <c r="AP463" s="44" t="n"/>
      <c r="AQ463" s="44" t="n"/>
      <c r="AR463" s="44" t="n"/>
      <c r="AS463" s="45" t="n"/>
      <c r="AT463" s="45" t="n"/>
      <c r="AU463" s="45" t="n"/>
    </row>
    <row r="464">
      <c r="B464" s="39" t="n"/>
      <c r="C464" s="39" t="n"/>
      <c r="D464" s="40" t="n"/>
      <c r="E464" s="39" t="n"/>
      <c r="F464" s="39" t="n"/>
      <c r="G464" s="112" t="n"/>
      <c r="H464" s="42" t="n"/>
      <c r="I464" s="42" t="n"/>
      <c r="J464" s="113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9" t="n"/>
      <c r="X464" s="39" t="n"/>
      <c r="Y464" s="39" t="n"/>
      <c r="Z464" s="39" t="n"/>
      <c r="AA464" s="39" t="n"/>
      <c r="AB464" s="39" t="n"/>
      <c r="AC464" s="39" t="n"/>
      <c r="AD464" s="39" t="n"/>
      <c r="AE464" s="39" t="n"/>
      <c r="AF464" s="39" t="n"/>
      <c r="AG464" s="39" t="n"/>
      <c r="AH464" s="39" t="n"/>
      <c r="AI464" s="39" t="n"/>
      <c r="AJ464" s="39" t="n"/>
      <c r="AK464" s="39" t="n"/>
      <c r="AL464" s="39" t="n"/>
      <c r="AM464" s="44" t="n"/>
      <c r="AN464" s="44" t="n"/>
      <c r="AO464" s="44" t="n"/>
      <c r="AP464" s="44" t="n"/>
      <c r="AQ464" s="44" t="n"/>
      <c r="AR464" s="44" t="n"/>
      <c r="AS464" s="45" t="n"/>
      <c r="AT464" s="45" t="n"/>
      <c r="AU464" s="45" t="n"/>
    </row>
    <row r="465">
      <c r="B465" s="39" t="n"/>
      <c r="C465" s="39" t="n"/>
      <c r="D465" s="40" t="n"/>
      <c r="E465" s="39" t="n"/>
      <c r="F465" s="39" t="n"/>
      <c r="G465" s="112" t="n"/>
      <c r="H465" s="42" t="n"/>
      <c r="I465" s="42" t="n"/>
      <c r="J465" s="113" t="n"/>
      <c r="K465" s="39" t="n"/>
      <c r="L465" s="39" t="n"/>
      <c r="M465" s="39" t="n"/>
      <c r="N465" s="39" t="n"/>
      <c r="O465" s="39" t="n"/>
      <c r="P465" s="39" t="n"/>
      <c r="Q465" s="39" t="n"/>
      <c r="R465" s="39" t="n"/>
      <c r="S465" s="39" t="n"/>
      <c r="T465" s="39" t="n"/>
      <c r="U465" s="39" t="n"/>
      <c r="V465" s="39" t="n"/>
      <c r="W465" s="39" t="n"/>
      <c r="X465" s="39" t="n"/>
      <c r="Y465" s="39" t="n"/>
      <c r="Z465" s="39" t="n"/>
      <c r="AA465" s="39" t="n"/>
      <c r="AB465" s="39" t="n"/>
      <c r="AC465" s="39" t="n"/>
      <c r="AD465" s="39" t="n"/>
      <c r="AE465" s="39" t="n"/>
      <c r="AF465" s="39" t="n"/>
      <c r="AG465" s="39" t="n"/>
      <c r="AH465" s="39" t="n"/>
      <c r="AI465" s="39" t="n"/>
      <c r="AJ465" s="39" t="n"/>
      <c r="AK465" s="39" t="n"/>
      <c r="AL465" s="39" t="n"/>
      <c r="AM465" s="44" t="n"/>
      <c r="AN465" s="44" t="n"/>
      <c r="AO465" s="44" t="n"/>
      <c r="AP465" s="44" t="n"/>
      <c r="AQ465" s="44" t="n"/>
      <c r="AR465" s="44" t="n"/>
      <c r="AS465" s="45" t="n"/>
      <c r="AT465" s="45" t="n"/>
      <c r="AU465" s="45" t="n"/>
    </row>
    <row r="466">
      <c r="B466" s="39" t="n"/>
      <c r="C466" s="39" t="n"/>
      <c r="D466" s="40" t="n"/>
      <c r="E466" s="39" t="n"/>
      <c r="F466" s="39" t="n"/>
      <c r="G466" s="112" t="n"/>
      <c r="H466" s="42" t="n"/>
      <c r="I466" s="42" t="n"/>
      <c r="J466" s="113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9" t="n"/>
      <c r="X466" s="39" t="n"/>
      <c r="Y466" s="39" t="n"/>
      <c r="Z466" s="39" t="n"/>
      <c r="AA466" s="39" t="n"/>
      <c r="AB466" s="39" t="n"/>
      <c r="AC466" s="39" t="n"/>
      <c r="AD466" s="39" t="n"/>
      <c r="AE466" s="39" t="n"/>
      <c r="AF466" s="39" t="n"/>
      <c r="AG466" s="39" t="n"/>
      <c r="AH466" s="39" t="n"/>
      <c r="AI466" s="39" t="n"/>
      <c r="AJ466" s="39" t="n"/>
      <c r="AK466" s="39" t="n"/>
      <c r="AL466" s="39" t="n"/>
      <c r="AM466" s="44" t="n"/>
      <c r="AN466" s="44" t="n"/>
      <c r="AO466" s="44" t="n"/>
      <c r="AP466" s="44" t="n"/>
      <c r="AQ466" s="44" t="n"/>
      <c r="AR466" s="44" t="n"/>
      <c r="AS466" s="45" t="n"/>
      <c r="AT466" s="45" t="n"/>
      <c r="AU466" s="45" t="n"/>
    </row>
    <row r="467">
      <c r="B467" s="39" t="n"/>
      <c r="C467" s="39" t="n"/>
      <c r="D467" s="40" t="n"/>
      <c r="E467" s="39" t="n"/>
      <c r="F467" s="39" t="n"/>
      <c r="G467" s="112" t="n"/>
      <c r="H467" s="42" t="n"/>
      <c r="I467" s="42" t="n"/>
      <c r="J467" s="113" t="n"/>
      <c r="K467" s="39" t="n"/>
      <c r="L467" s="39" t="n"/>
      <c r="M467" s="39" t="n"/>
      <c r="N467" s="39" t="n"/>
      <c r="O467" s="39" t="n"/>
      <c r="P467" s="39" t="n"/>
      <c r="Q467" s="39" t="n"/>
      <c r="R467" s="39" t="n"/>
      <c r="S467" s="39" t="n"/>
      <c r="T467" s="39" t="n"/>
      <c r="U467" s="39" t="n"/>
      <c r="V467" s="39" t="n"/>
      <c r="W467" s="39" t="n"/>
      <c r="X467" s="39" t="n"/>
      <c r="Y467" s="39" t="n"/>
      <c r="Z467" s="39" t="n"/>
      <c r="AA467" s="39" t="n"/>
      <c r="AB467" s="39" t="n"/>
      <c r="AC467" s="39" t="n"/>
      <c r="AD467" s="39" t="n"/>
      <c r="AE467" s="39" t="n"/>
      <c r="AF467" s="39" t="n"/>
      <c r="AG467" s="39" t="n"/>
      <c r="AH467" s="39" t="n"/>
      <c r="AI467" s="39" t="n"/>
      <c r="AJ467" s="39" t="n"/>
      <c r="AK467" s="39" t="n"/>
      <c r="AL467" s="39" t="n"/>
      <c r="AM467" s="44" t="n"/>
      <c r="AN467" s="44" t="n"/>
      <c r="AO467" s="44" t="n"/>
      <c r="AP467" s="44" t="n"/>
      <c r="AQ467" s="44" t="n"/>
      <c r="AR467" s="44" t="n"/>
      <c r="AS467" s="45" t="n"/>
      <c r="AT467" s="45" t="n"/>
      <c r="AU467" s="45" t="n"/>
    </row>
    <row r="468">
      <c r="B468" s="39" t="n"/>
      <c r="C468" s="39" t="n"/>
      <c r="D468" s="40" t="n"/>
      <c r="E468" s="39" t="n"/>
      <c r="F468" s="39" t="n"/>
      <c r="G468" s="112" t="n"/>
      <c r="H468" s="42" t="n"/>
      <c r="I468" s="42" t="n"/>
      <c r="J468" s="113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9" t="n"/>
      <c r="X468" s="39" t="n"/>
      <c r="Y468" s="39" t="n"/>
      <c r="Z468" s="39" t="n"/>
      <c r="AA468" s="39" t="n"/>
      <c r="AB468" s="39" t="n"/>
      <c r="AC468" s="39" t="n"/>
      <c r="AD468" s="39" t="n"/>
      <c r="AE468" s="39" t="n"/>
      <c r="AF468" s="39" t="n"/>
      <c r="AG468" s="39" t="n"/>
      <c r="AH468" s="39" t="n"/>
      <c r="AI468" s="39" t="n"/>
      <c r="AJ468" s="39" t="n"/>
      <c r="AK468" s="39" t="n"/>
      <c r="AL468" s="39" t="n"/>
      <c r="AM468" s="44" t="n"/>
      <c r="AN468" s="44" t="n"/>
      <c r="AO468" s="44" t="n"/>
      <c r="AP468" s="44" t="n"/>
      <c r="AQ468" s="44" t="n"/>
      <c r="AR468" s="44" t="n"/>
      <c r="AS468" s="45" t="n"/>
      <c r="AT468" s="45" t="n"/>
      <c r="AU468" s="45" t="n"/>
    </row>
    <row r="469">
      <c r="B469" s="39" t="n"/>
      <c r="C469" s="39" t="n"/>
      <c r="D469" s="40" t="n"/>
      <c r="E469" s="39" t="n"/>
      <c r="F469" s="39" t="n"/>
      <c r="G469" s="112" t="n"/>
      <c r="H469" s="42" t="n"/>
      <c r="I469" s="42" t="n"/>
      <c r="J469" s="113" t="n"/>
      <c r="K469" s="39" t="n"/>
      <c r="L469" s="39" t="n"/>
      <c r="M469" s="39" t="n"/>
      <c r="N469" s="39" t="n"/>
      <c r="O469" s="39" t="n"/>
      <c r="P469" s="39" t="n"/>
      <c r="Q469" s="39" t="n"/>
      <c r="R469" s="39" t="n"/>
      <c r="S469" s="39" t="n"/>
      <c r="T469" s="39" t="n"/>
      <c r="U469" s="39" t="n"/>
      <c r="V469" s="39" t="n"/>
      <c r="W469" s="39" t="n"/>
      <c r="X469" s="39" t="n"/>
      <c r="Y469" s="39" t="n"/>
      <c r="Z469" s="39" t="n"/>
      <c r="AA469" s="39" t="n"/>
      <c r="AB469" s="39" t="n"/>
      <c r="AC469" s="39" t="n"/>
      <c r="AD469" s="39" t="n"/>
      <c r="AE469" s="39" t="n"/>
      <c r="AF469" s="39" t="n"/>
      <c r="AG469" s="39" t="n"/>
      <c r="AH469" s="39" t="n"/>
      <c r="AI469" s="39" t="n"/>
      <c r="AJ469" s="39" t="n"/>
      <c r="AK469" s="39" t="n"/>
      <c r="AL469" s="39" t="n"/>
      <c r="AM469" s="44" t="n"/>
      <c r="AN469" s="44" t="n"/>
      <c r="AO469" s="44" t="n"/>
      <c r="AP469" s="44" t="n"/>
      <c r="AQ469" s="44" t="n"/>
      <c r="AR469" s="44" t="n"/>
      <c r="AS469" s="45" t="n"/>
      <c r="AT469" s="45" t="n"/>
      <c r="AU469" s="45" t="n"/>
    </row>
    <row r="470">
      <c r="B470" s="39" t="n"/>
      <c r="C470" s="39" t="n"/>
      <c r="D470" s="40" t="n"/>
      <c r="E470" s="39" t="n"/>
      <c r="F470" s="39" t="n"/>
      <c r="G470" s="112" t="n"/>
      <c r="H470" s="42" t="n"/>
      <c r="I470" s="42" t="n"/>
      <c r="J470" s="113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9" t="n"/>
      <c r="X470" s="39" t="n"/>
      <c r="Y470" s="39" t="n"/>
      <c r="Z470" s="39" t="n"/>
      <c r="AA470" s="39" t="n"/>
      <c r="AB470" s="39" t="n"/>
      <c r="AC470" s="39" t="n"/>
      <c r="AD470" s="39" t="n"/>
      <c r="AE470" s="39" t="n"/>
      <c r="AF470" s="39" t="n"/>
      <c r="AG470" s="39" t="n"/>
      <c r="AH470" s="39" t="n"/>
      <c r="AI470" s="39" t="n"/>
      <c r="AJ470" s="39" t="n"/>
      <c r="AK470" s="39" t="n"/>
      <c r="AL470" s="39" t="n"/>
      <c r="AM470" s="44" t="n"/>
      <c r="AN470" s="44" t="n"/>
      <c r="AO470" s="44" t="n"/>
      <c r="AP470" s="44" t="n"/>
      <c r="AQ470" s="44" t="n"/>
      <c r="AR470" s="44" t="n"/>
      <c r="AS470" s="45" t="n"/>
      <c r="AT470" s="45" t="n"/>
      <c r="AU470" s="45" t="n"/>
    </row>
    <row r="471">
      <c r="B471" s="39" t="n"/>
      <c r="C471" s="39" t="n"/>
      <c r="D471" s="40" t="n"/>
      <c r="E471" s="39" t="n"/>
      <c r="F471" s="39" t="n"/>
      <c r="G471" s="112" t="n"/>
      <c r="H471" s="42" t="n"/>
      <c r="I471" s="42" t="n"/>
      <c r="J471" s="113" t="n"/>
      <c r="K471" s="39" t="n"/>
      <c r="L471" s="39" t="n"/>
      <c r="M471" s="39" t="n"/>
      <c r="N471" s="39" t="n"/>
      <c r="O471" s="39" t="n"/>
      <c r="P471" s="39" t="n"/>
      <c r="Q471" s="39" t="n"/>
      <c r="R471" s="39" t="n"/>
      <c r="S471" s="39" t="n"/>
      <c r="T471" s="39" t="n"/>
      <c r="U471" s="39" t="n"/>
      <c r="V471" s="39" t="n"/>
      <c r="W471" s="39" t="n"/>
      <c r="X471" s="39" t="n"/>
      <c r="Y471" s="39" t="n"/>
      <c r="Z471" s="39" t="n"/>
      <c r="AA471" s="39" t="n"/>
      <c r="AB471" s="39" t="n"/>
      <c r="AC471" s="39" t="n"/>
      <c r="AD471" s="39" t="n"/>
      <c r="AE471" s="39" t="n"/>
      <c r="AF471" s="39" t="n"/>
      <c r="AG471" s="39" t="n"/>
      <c r="AH471" s="39" t="n"/>
      <c r="AI471" s="39" t="n"/>
      <c r="AJ471" s="39" t="n"/>
      <c r="AK471" s="39" t="n"/>
      <c r="AL471" s="39" t="n"/>
      <c r="AM471" s="44" t="n"/>
      <c r="AN471" s="44" t="n"/>
      <c r="AO471" s="44" t="n"/>
      <c r="AP471" s="44" t="n"/>
      <c r="AQ471" s="44" t="n"/>
      <c r="AR471" s="44" t="n"/>
      <c r="AS471" s="45" t="n"/>
      <c r="AT471" s="45" t="n"/>
      <c r="AU471" s="45" t="n"/>
    </row>
    <row r="472">
      <c r="B472" s="39" t="n"/>
      <c r="C472" s="39" t="n"/>
      <c r="D472" s="40" t="n"/>
      <c r="E472" s="39" t="n"/>
      <c r="F472" s="39" t="n"/>
      <c r="G472" s="112" t="n"/>
      <c r="H472" s="42" t="n"/>
      <c r="I472" s="42" t="n"/>
      <c r="J472" s="113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9" t="n"/>
      <c r="X472" s="39" t="n"/>
      <c r="Y472" s="39" t="n"/>
      <c r="Z472" s="39" t="n"/>
      <c r="AA472" s="39" t="n"/>
      <c r="AB472" s="39" t="n"/>
      <c r="AC472" s="39" t="n"/>
      <c r="AD472" s="39" t="n"/>
      <c r="AE472" s="39" t="n"/>
      <c r="AF472" s="39" t="n"/>
      <c r="AG472" s="39" t="n"/>
      <c r="AH472" s="39" t="n"/>
      <c r="AI472" s="39" t="n"/>
      <c r="AJ472" s="39" t="n"/>
      <c r="AK472" s="39" t="n"/>
      <c r="AL472" s="39" t="n"/>
      <c r="AM472" s="44" t="n"/>
      <c r="AN472" s="44" t="n"/>
      <c r="AO472" s="44" t="n"/>
      <c r="AP472" s="44" t="n"/>
      <c r="AQ472" s="44" t="n"/>
      <c r="AR472" s="44" t="n"/>
      <c r="AS472" s="45" t="n"/>
      <c r="AT472" s="45" t="n"/>
      <c r="AU472" s="45" t="n"/>
    </row>
    <row r="473">
      <c r="B473" s="39" t="n"/>
      <c r="C473" s="39" t="n"/>
      <c r="D473" s="40" t="n"/>
      <c r="E473" s="39" t="n"/>
      <c r="F473" s="39" t="n"/>
      <c r="G473" s="112" t="n"/>
      <c r="H473" s="42" t="n"/>
      <c r="I473" s="42" t="n"/>
      <c r="J473" s="113" t="n"/>
      <c r="K473" s="39" t="n"/>
      <c r="L473" s="39" t="n"/>
      <c r="M473" s="39" t="n"/>
      <c r="N473" s="39" t="n"/>
      <c r="O473" s="39" t="n"/>
      <c r="P473" s="39" t="n"/>
      <c r="Q473" s="39" t="n"/>
      <c r="R473" s="39" t="n"/>
      <c r="S473" s="39" t="n"/>
      <c r="T473" s="39" t="n"/>
      <c r="U473" s="39" t="n"/>
      <c r="V473" s="39" t="n"/>
      <c r="W473" s="39" t="n"/>
      <c r="X473" s="39" t="n"/>
      <c r="Y473" s="39" t="n"/>
      <c r="Z473" s="39" t="n"/>
      <c r="AA473" s="39" t="n"/>
      <c r="AB473" s="39" t="n"/>
      <c r="AC473" s="39" t="n"/>
      <c r="AD473" s="39" t="n"/>
      <c r="AE473" s="39" t="n"/>
      <c r="AF473" s="39" t="n"/>
      <c r="AG473" s="39" t="n"/>
      <c r="AH473" s="39" t="n"/>
      <c r="AI473" s="39" t="n"/>
      <c r="AJ473" s="39" t="n"/>
      <c r="AK473" s="39" t="n"/>
      <c r="AL473" s="39" t="n"/>
      <c r="AM473" s="44" t="n"/>
      <c r="AN473" s="44" t="n"/>
      <c r="AO473" s="44" t="n"/>
      <c r="AP473" s="44" t="n"/>
      <c r="AQ473" s="44" t="n"/>
      <c r="AR473" s="44" t="n"/>
      <c r="AS473" s="45" t="n"/>
      <c r="AT473" s="45" t="n"/>
      <c r="AU473" s="45" t="n"/>
    </row>
    <row r="474">
      <c r="B474" s="39" t="n"/>
      <c r="C474" s="39" t="n"/>
      <c r="D474" s="40" t="n"/>
      <c r="E474" s="39" t="n"/>
      <c r="F474" s="39" t="n"/>
      <c r="G474" s="112" t="n"/>
      <c r="H474" s="42" t="n"/>
      <c r="I474" s="42" t="n"/>
      <c r="J474" s="113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9" t="n"/>
      <c r="X474" s="39" t="n"/>
      <c r="Y474" s="39" t="n"/>
      <c r="Z474" s="39" t="n"/>
      <c r="AA474" s="39" t="n"/>
      <c r="AB474" s="39" t="n"/>
      <c r="AC474" s="39" t="n"/>
      <c r="AD474" s="39" t="n"/>
      <c r="AE474" s="39" t="n"/>
      <c r="AF474" s="39" t="n"/>
      <c r="AG474" s="39" t="n"/>
      <c r="AH474" s="39" t="n"/>
      <c r="AI474" s="39" t="n"/>
      <c r="AJ474" s="39" t="n"/>
      <c r="AK474" s="39" t="n"/>
      <c r="AL474" s="39" t="n"/>
      <c r="AM474" s="44" t="n"/>
      <c r="AN474" s="44" t="n"/>
      <c r="AO474" s="44" t="n"/>
      <c r="AP474" s="44" t="n"/>
      <c r="AQ474" s="44" t="n"/>
      <c r="AR474" s="44" t="n"/>
      <c r="AS474" s="45" t="n"/>
      <c r="AT474" s="45" t="n"/>
      <c r="AU474" s="45" t="n"/>
    </row>
    <row r="475">
      <c r="B475" s="39" t="n"/>
      <c r="C475" s="39" t="n"/>
      <c r="D475" s="40" t="n"/>
      <c r="E475" s="39" t="n"/>
      <c r="F475" s="39" t="n"/>
      <c r="G475" s="112" t="n"/>
      <c r="H475" s="42" t="n"/>
      <c r="I475" s="42" t="n"/>
      <c r="J475" s="113" t="n"/>
      <c r="K475" s="39" t="n"/>
      <c r="L475" s="39" t="n"/>
      <c r="M475" s="39" t="n"/>
      <c r="N475" s="39" t="n"/>
      <c r="O475" s="39" t="n"/>
      <c r="P475" s="39" t="n"/>
      <c r="Q475" s="39" t="n"/>
      <c r="R475" s="39" t="n"/>
      <c r="S475" s="39" t="n"/>
      <c r="T475" s="39" t="n"/>
      <c r="U475" s="39" t="n"/>
      <c r="V475" s="39" t="n"/>
      <c r="W475" s="39" t="n"/>
      <c r="X475" s="39" t="n"/>
      <c r="Y475" s="39" t="n"/>
      <c r="Z475" s="39" t="n"/>
      <c r="AA475" s="39" t="n"/>
      <c r="AB475" s="39" t="n"/>
      <c r="AC475" s="39" t="n"/>
      <c r="AD475" s="39" t="n"/>
      <c r="AE475" s="39" t="n"/>
      <c r="AF475" s="39" t="n"/>
      <c r="AG475" s="39" t="n"/>
      <c r="AH475" s="39" t="n"/>
      <c r="AI475" s="39" t="n"/>
      <c r="AJ475" s="39" t="n"/>
      <c r="AK475" s="39" t="n"/>
      <c r="AL475" s="39" t="n"/>
      <c r="AM475" s="44" t="n"/>
      <c r="AN475" s="44" t="n"/>
      <c r="AO475" s="44" t="n"/>
      <c r="AP475" s="44" t="n"/>
      <c r="AQ475" s="44" t="n"/>
      <c r="AR475" s="44" t="n"/>
      <c r="AS475" s="45" t="n"/>
      <c r="AT475" s="45" t="n"/>
      <c r="AU475" s="45" t="n"/>
    </row>
    <row r="476">
      <c r="B476" s="39" t="n"/>
      <c r="C476" s="39" t="n"/>
      <c r="D476" s="40" t="n"/>
      <c r="E476" s="39" t="n"/>
      <c r="F476" s="39" t="n"/>
      <c r="G476" s="112" t="n"/>
      <c r="H476" s="42" t="n"/>
      <c r="I476" s="42" t="n"/>
      <c r="J476" s="113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9" t="n"/>
      <c r="X476" s="39" t="n"/>
      <c r="Y476" s="39" t="n"/>
      <c r="Z476" s="39" t="n"/>
      <c r="AA476" s="39" t="n"/>
      <c r="AB476" s="39" t="n"/>
      <c r="AC476" s="39" t="n"/>
      <c r="AD476" s="39" t="n"/>
      <c r="AE476" s="39" t="n"/>
      <c r="AF476" s="39" t="n"/>
      <c r="AG476" s="39" t="n"/>
      <c r="AH476" s="39" t="n"/>
      <c r="AI476" s="39" t="n"/>
      <c r="AJ476" s="39" t="n"/>
      <c r="AK476" s="39" t="n"/>
      <c r="AL476" s="39" t="n"/>
      <c r="AM476" s="44" t="n"/>
      <c r="AN476" s="44" t="n"/>
      <c r="AO476" s="44" t="n"/>
      <c r="AP476" s="44" t="n"/>
      <c r="AQ476" s="44" t="n"/>
      <c r="AR476" s="44" t="n"/>
      <c r="AS476" s="45" t="n"/>
      <c r="AT476" s="45" t="n"/>
      <c r="AU476" s="45" t="n"/>
    </row>
    <row r="477">
      <c r="B477" s="39" t="n"/>
      <c r="C477" s="39" t="n"/>
      <c r="D477" s="40" t="n"/>
      <c r="E477" s="39" t="n"/>
      <c r="F477" s="39" t="n"/>
      <c r="G477" s="112" t="n"/>
      <c r="H477" s="42" t="n"/>
      <c r="I477" s="42" t="n"/>
      <c r="J477" s="113" t="n"/>
      <c r="K477" s="39" t="n"/>
      <c r="L477" s="39" t="n"/>
      <c r="M477" s="39" t="n"/>
      <c r="N477" s="39" t="n"/>
      <c r="O477" s="39" t="n"/>
      <c r="P477" s="39" t="n"/>
      <c r="Q477" s="39" t="n"/>
      <c r="R477" s="39" t="n"/>
      <c r="S477" s="39" t="n"/>
      <c r="T477" s="39" t="n"/>
      <c r="U477" s="39" t="n"/>
      <c r="V477" s="39" t="n"/>
      <c r="W477" s="39" t="n"/>
      <c r="X477" s="39" t="n"/>
      <c r="Y477" s="39" t="n"/>
      <c r="Z477" s="39" t="n"/>
      <c r="AA477" s="39" t="n"/>
      <c r="AB477" s="39" t="n"/>
      <c r="AC477" s="39" t="n"/>
      <c r="AD477" s="39" t="n"/>
      <c r="AE477" s="39" t="n"/>
      <c r="AF477" s="39" t="n"/>
      <c r="AG477" s="39" t="n"/>
      <c r="AH477" s="39" t="n"/>
      <c r="AI477" s="39" t="n"/>
      <c r="AJ477" s="39" t="n"/>
      <c r="AK477" s="39" t="n"/>
      <c r="AL477" s="39" t="n"/>
      <c r="AM477" s="44" t="n"/>
      <c r="AN477" s="44" t="n"/>
      <c r="AO477" s="44" t="n"/>
      <c r="AP477" s="44" t="n"/>
      <c r="AQ477" s="44" t="n"/>
      <c r="AR477" s="44" t="n"/>
      <c r="AS477" s="45" t="n"/>
      <c r="AT477" s="45" t="n"/>
      <c r="AU477" s="45" t="n"/>
    </row>
    <row r="478">
      <c r="B478" s="39" t="n"/>
      <c r="C478" s="39" t="n"/>
      <c r="D478" s="40" t="n"/>
      <c r="E478" s="39" t="n"/>
      <c r="F478" s="39" t="n"/>
      <c r="G478" s="112" t="n"/>
      <c r="H478" s="42" t="n"/>
      <c r="I478" s="42" t="n"/>
      <c r="J478" s="113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9" t="n"/>
      <c r="X478" s="39" t="n"/>
      <c r="Y478" s="39" t="n"/>
      <c r="Z478" s="39" t="n"/>
      <c r="AA478" s="39" t="n"/>
      <c r="AB478" s="39" t="n"/>
      <c r="AC478" s="39" t="n"/>
      <c r="AD478" s="39" t="n"/>
      <c r="AE478" s="39" t="n"/>
      <c r="AF478" s="39" t="n"/>
      <c r="AG478" s="39" t="n"/>
      <c r="AH478" s="39" t="n"/>
      <c r="AI478" s="39" t="n"/>
      <c r="AJ478" s="39" t="n"/>
      <c r="AK478" s="39" t="n"/>
      <c r="AL478" s="39" t="n"/>
      <c r="AM478" s="44" t="n"/>
      <c r="AN478" s="44" t="n"/>
      <c r="AO478" s="44" t="n"/>
      <c r="AP478" s="44" t="n"/>
      <c r="AQ478" s="44" t="n"/>
      <c r="AR478" s="44" t="n"/>
      <c r="AS478" s="45" t="n"/>
      <c r="AT478" s="45" t="n"/>
      <c r="AU478" s="45" t="n"/>
    </row>
    <row r="479">
      <c r="B479" s="39" t="n"/>
      <c r="C479" s="39" t="n"/>
      <c r="D479" s="40" t="n"/>
      <c r="E479" s="39" t="n"/>
      <c r="F479" s="39" t="n"/>
      <c r="G479" s="112" t="n"/>
      <c r="H479" s="42" t="n"/>
      <c r="I479" s="42" t="n"/>
      <c r="J479" s="113" t="n"/>
      <c r="K479" s="39" t="n"/>
      <c r="L479" s="39" t="n"/>
      <c r="M479" s="39" t="n"/>
      <c r="N479" s="39" t="n"/>
      <c r="O479" s="39" t="n"/>
      <c r="P479" s="39" t="n"/>
      <c r="Q479" s="39" t="n"/>
      <c r="R479" s="39" t="n"/>
      <c r="S479" s="39" t="n"/>
      <c r="T479" s="39" t="n"/>
      <c r="U479" s="39" t="n"/>
      <c r="V479" s="39" t="n"/>
      <c r="W479" s="39" t="n"/>
      <c r="X479" s="39" t="n"/>
      <c r="Y479" s="39" t="n"/>
      <c r="Z479" s="39" t="n"/>
      <c r="AA479" s="39" t="n"/>
      <c r="AB479" s="39" t="n"/>
      <c r="AC479" s="39" t="n"/>
      <c r="AD479" s="39" t="n"/>
      <c r="AE479" s="39" t="n"/>
      <c r="AF479" s="39" t="n"/>
      <c r="AG479" s="39" t="n"/>
      <c r="AH479" s="39" t="n"/>
      <c r="AI479" s="39" t="n"/>
      <c r="AJ479" s="39" t="n"/>
      <c r="AK479" s="39" t="n"/>
      <c r="AL479" s="39" t="n"/>
      <c r="AM479" s="44" t="n"/>
      <c r="AN479" s="44" t="n"/>
      <c r="AO479" s="44" t="n"/>
      <c r="AP479" s="44" t="n"/>
      <c r="AQ479" s="44" t="n"/>
      <c r="AR479" s="44" t="n"/>
      <c r="AS479" s="45" t="n"/>
      <c r="AT479" s="45" t="n"/>
      <c r="AU479" s="45" t="n"/>
    </row>
    <row r="480">
      <c r="B480" s="39" t="n"/>
      <c r="C480" s="39" t="n"/>
      <c r="D480" s="40" t="n"/>
      <c r="E480" s="39" t="n"/>
      <c r="F480" s="39" t="n"/>
      <c r="G480" s="112" t="n"/>
      <c r="H480" s="42" t="n"/>
      <c r="I480" s="42" t="n"/>
      <c r="J480" s="113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9" t="n"/>
      <c r="X480" s="39" t="n"/>
      <c r="Y480" s="39" t="n"/>
      <c r="Z480" s="39" t="n"/>
      <c r="AA480" s="39" t="n"/>
      <c r="AB480" s="39" t="n"/>
      <c r="AC480" s="39" t="n"/>
      <c r="AD480" s="39" t="n"/>
      <c r="AE480" s="39" t="n"/>
      <c r="AF480" s="39" t="n"/>
      <c r="AG480" s="39" t="n"/>
      <c r="AH480" s="39" t="n"/>
      <c r="AI480" s="39" t="n"/>
      <c r="AJ480" s="39" t="n"/>
      <c r="AK480" s="39" t="n"/>
      <c r="AL480" s="39" t="n"/>
      <c r="AM480" s="44" t="n"/>
      <c r="AN480" s="44" t="n"/>
      <c r="AO480" s="44" t="n"/>
      <c r="AP480" s="44" t="n"/>
      <c r="AQ480" s="44" t="n"/>
      <c r="AR480" s="44" t="n"/>
      <c r="AS480" s="45" t="n"/>
      <c r="AT480" s="45" t="n"/>
      <c r="AU480" s="45" t="n"/>
    </row>
    <row r="481">
      <c r="B481" s="39" t="n"/>
      <c r="C481" s="39" t="n"/>
      <c r="D481" s="40" t="n"/>
      <c r="E481" s="39" t="n"/>
      <c r="F481" s="39" t="n"/>
      <c r="G481" s="112" t="n"/>
      <c r="H481" s="42" t="n"/>
      <c r="I481" s="42" t="n"/>
      <c r="J481" s="113" t="n"/>
      <c r="K481" s="39" t="n"/>
      <c r="L481" s="39" t="n"/>
      <c r="M481" s="39" t="n"/>
      <c r="N481" s="39" t="n"/>
      <c r="O481" s="39" t="n"/>
      <c r="P481" s="39" t="n"/>
      <c r="Q481" s="39" t="n"/>
      <c r="R481" s="39" t="n"/>
      <c r="S481" s="39" t="n"/>
      <c r="T481" s="39" t="n"/>
      <c r="U481" s="39" t="n"/>
      <c r="V481" s="39" t="n"/>
      <c r="W481" s="39" t="n"/>
      <c r="X481" s="39" t="n"/>
      <c r="Y481" s="39" t="n"/>
      <c r="Z481" s="39" t="n"/>
      <c r="AA481" s="39" t="n"/>
      <c r="AB481" s="39" t="n"/>
      <c r="AC481" s="39" t="n"/>
      <c r="AD481" s="39" t="n"/>
      <c r="AE481" s="39" t="n"/>
      <c r="AF481" s="39" t="n"/>
      <c r="AG481" s="39" t="n"/>
      <c r="AH481" s="39" t="n"/>
      <c r="AI481" s="39" t="n"/>
      <c r="AJ481" s="39" t="n"/>
      <c r="AK481" s="39" t="n"/>
      <c r="AL481" s="39" t="n"/>
      <c r="AM481" s="44" t="n"/>
      <c r="AN481" s="44" t="n"/>
      <c r="AO481" s="44" t="n"/>
      <c r="AP481" s="44" t="n"/>
      <c r="AQ481" s="44" t="n"/>
      <c r="AR481" s="44" t="n"/>
      <c r="AS481" s="45" t="n"/>
      <c r="AT481" s="45" t="n"/>
      <c r="AU481" s="45" t="n"/>
    </row>
    <row r="482">
      <c r="B482" s="39" t="n"/>
      <c r="C482" s="39" t="n"/>
      <c r="D482" s="40" t="n"/>
      <c r="E482" s="39" t="n"/>
      <c r="F482" s="39" t="n"/>
      <c r="G482" s="112" t="n"/>
      <c r="H482" s="42" t="n"/>
      <c r="I482" s="42" t="n"/>
      <c r="J482" s="113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9" t="n"/>
      <c r="X482" s="39" t="n"/>
      <c r="Y482" s="39" t="n"/>
      <c r="Z482" s="39" t="n"/>
      <c r="AA482" s="39" t="n"/>
      <c r="AB482" s="39" t="n"/>
      <c r="AC482" s="39" t="n"/>
      <c r="AD482" s="39" t="n"/>
      <c r="AE482" s="39" t="n"/>
      <c r="AF482" s="39" t="n"/>
      <c r="AG482" s="39" t="n"/>
      <c r="AH482" s="39" t="n"/>
      <c r="AI482" s="39" t="n"/>
      <c r="AJ482" s="39" t="n"/>
      <c r="AK482" s="39" t="n"/>
      <c r="AL482" s="39" t="n"/>
      <c r="AM482" s="44" t="n"/>
      <c r="AN482" s="44" t="n"/>
      <c r="AO482" s="44" t="n"/>
      <c r="AP482" s="44" t="n"/>
      <c r="AQ482" s="44" t="n"/>
      <c r="AR482" s="44" t="n"/>
      <c r="AS482" s="45" t="n"/>
      <c r="AT482" s="45" t="n"/>
      <c r="AU482" s="45" t="n"/>
    </row>
    <row r="483">
      <c r="B483" s="39" t="n"/>
      <c r="C483" s="39" t="n"/>
      <c r="D483" s="40" t="n"/>
      <c r="E483" s="39" t="n"/>
      <c r="F483" s="39" t="n"/>
      <c r="G483" s="112" t="n"/>
      <c r="H483" s="42" t="n"/>
      <c r="I483" s="42" t="n"/>
      <c r="J483" s="113" t="n"/>
      <c r="K483" s="39" t="n"/>
      <c r="L483" s="39" t="n"/>
      <c r="M483" s="39" t="n"/>
      <c r="N483" s="39" t="n"/>
      <c r="O483" s="39" t="n"/>
      <c r="P483" s="39" t="n"/>
      <c r="Q483" s="39" t="n"/>
      <c r="R483" s="39" t="n"/>
      <c r="S483" s="39" t="n"/>
      <c r="T483" s="39" t="n"/>
      <c r="U483" s="39" t="n"/>
      <c r="V483" s="39" t="n"/>
      <c r="W483" s="39" t="n"/>
      <c r="X483" s="39" t="n"/>
      <c r="Y483" s="39" t="n"/>
      <c r="Z483" s="39" t="n"/>
      <c r="AA483" s="39" t="n"/>
      <c r="AB483" s="39" t="n"/>
      <c r="AC483" s="39" t="n"/>
      <c r="AD483" s="39" t="n"/>
      <c r="AE483" s="39" t="n"/>
      <c r="AF483" s="39" t="n"/>
      <c r="AG483" s="39" t="n"/>
      <c r="AH483" s="39" t="n"/>
      <c r="AI483" s="39" t="n"/>
      <c r="AJ483" s="39" t="n"/>
      <c r="AK483" s="39" t="n"/>
      <c r="AL483" s="39" t="n"/>
      <c r="AM483" s="44" t="n"/>
      <c r="AN483" s="44" t="n"/>
      <c r="AO483" s="44" t="n"/>
      <c r="AP483" s="44" t="n"/>
      <c r="AQ483" s="44" t="n"/>
      <c r="AR483" s="44" t="n"/>
      <c r="AS483" s="45" t="n"/>
      <c r="AT483" s="45" t="n"/>
      <c r="AU483" s="45" t="n"/>
    </row>
    <row r="484">
      <c r="B484" s="39" t="n"/>
      <c r="C484" s="39" t="n"/>
      <c r="D484" s="40" t="n"/>
      <c r="E484" s="39" t="n"/>
      <c r="F484" s="39" t="n"/>
      <c r="G484" s="112" t="n"/>
      <c r="H484" s="42" t="n"/>
      <c r="I484" s="42" t="n"/>
      <c r="J484" s="113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9" t="n"/>
      <c r="X484" s="39" t="n"/>
      <c r="Y484" s="39" t="n"/>
      <c r="Z484" s="39" t="n"/>
      <c r="AA484" s="39" t="n"/>
      <c r="AB484" s="39" t="n"/>
      <c r="AC484" s="39" t="n"/>
      <c r="AD484" s="39" t="n"/>
      <c r="AE484" s="39" t="n"/>
      <c r="AF484" s="39" t="n"/>
      <c r="AG484" s="39" t="n"/>
      <c r="AH484" s="39" t="n"/>
      <c r="AI484" s="39" t="n"/>
      <c r="AJ484" s="39" t="n"/>
      <c r="AK484" s="39" t="n"/>
      <c r="AL484" s="39" t="n"/>
      <c r="AM484" s="44" t="n"/>
      <c r="AN484" s="44" t="n"/>
      <c r="AO484" s="44" t="n"/>
      <c r="AP484" s="44" t="n"/>
      <c r="AQ484" s="44" t="n"/>
      <c r="AR484" s="44" t="n"/>
      <c r="AS484" s="45" t="n"/>
      <c r="AT484" s="45" t="n"/>
      <c r="AU484" s="45" t="n"/>
    </row>
    <row r="485">
      <c r="B485" s="39" t="n"/>
      <c r="C485" s="39" t="n"/>
      <c r="D485" s="40" t="n"/>
      <c r="E485" s="39" t="n"/>
      <c r="F485" s="39" t="n"/>
      <c r="G485" s="112" t="n"/>
      <c r="H485" s="42" t="n"/>
      <c r="I485" s="42" t="n"/>
      <c r="J485" s="113" t="n"/>
      <c r="K485" s="39" t="n"/>
      <c r="L485" s="39" t="n"/>
      <c r="M485" s="39" t="n"/>
      <c r="N485" s="39" t="n"/>
      <c r="O485" s="39" t="n"/>
      <c r="P485" s="39" t="n"/>
      <c r="Q485" s="39" t="n"/>
      <c r="R485" s="39" t="n"/>
      <c r="S485" s="39" t="n"/>
      <c r="T485" s="39" t="n"/>
      <c r="U485" s="39" t="n"/>
      <c r="V485" s="39" t="n"/>
      <c r="W485" s="39" t="n"/>
      <c r="X485" s="39" t="n"/>
      <c r="Y485" s="39" t="n"/>
      <c r="Z485" s="39" t="n"/>
      <c r="AA485" s="39" t="n"/>
      <c r="AB485" s="39" t="n"/>
      <c r="AC485" s="39" t="n"/>
      <c r="AD485" s="39" t="n"/>
      <c r="AE485" s="39" t="n"/>
      <c r="AF485" s="39" t="n"/>
      <c r="AG485" s="39" t="n"/>
      <c r="AH485" s="39" t="n"/>
      <c r="AI485" s="39" t="n"/>
      <c r="AJ485" s="39" t="n"/>
      <c r="AK485" s="39" t="n"/>
      <c r="AL485" s="39" t="n"/>
      <c r="AM485" s="44" t="n"/>
      <c r="AN485" s="44" t="n"/>
      <c r="AO485" s="44" t="n"/>
      <c r="AP485" s="44" t="n"/>
      <c r="AQ485" s="44" t="n"/>
      <c r="AR485" s="44" t="n"/>
      <c r="AS485" s="45" t="n"/>
      <c r="AT485" s="45" t="n"/>
      <c r="AU485" s="45" t="n"/>
    </row>
    <row r="486">
      <c r="B486" s="39" t="n"/>
      <c r="C486" s="39" t="n"/>
      <c r="D486" s="40" t="n"/>
      <c r="E486" s="39" t="n"/>
      <c r="F486" s="39" t="n"/>
      <c r="G486" s="112" t="n"/>
      <c r="H486" s="42" t="n"/>
      <c r="I486" s="42" t="n"/>
      <c r="J486" s="113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9" t="n"/>
      <c r="X486" s="39" t="n"/>
      <c r="Y486" s="39" t="n"/>
      <c r="Z486" s="39" t="n"/>
      <c r="AA486" s="39" t="n"/>
      <c r="AB486" s="39" t="n"/>
      <c r="AC486" s="39" t="n"/>
      <c r="AD486" s="39" t="n"/>
      <c r="AE486" s="39" t="n"/>
      <c r="AF486" s="39" t="n"/>
      <c r="AG486" s="39" t="n"/>
      <c r="AH486" s="39" t="n"/>
      <c r="AI486" s="39" t="n"/>
      <c r="AJ486" s="39" t="n"/>
      <c r="AK486" s="39" t="n"/>
      <c r="AL486" s="39" t="n"/>
      <c r="AM486" s="44" t="n"/>
      <c r="AN486" s="44" t="n"/>
      <c r="AO486" s="44" t="n"/>
      <c r="AP486" s="44" t="n"/>
      <c r="AQ486" s="44" t="n"/>
      <c r="AR486" s="44" t="n"/>
      <c r="AS486" s="45" t="n"/>
      <c r="AT486" s="45" t="n"/>
      <c r="AU486" s="45" t="n"/>
    </row>
    <row r="487">
      <c r="B487" s="39" t="n"/>
      <c r="C487" s="39" t="n"/>
      <c r="D487" s="40" t="n"/>
      <c r="E487" s="39" t="n"/>
      <c r="F487" s="39" t="n"/>
      <c r="G487" s="112" t="n"/>
      <c r="H487" s="42" t="n"/>
      <c r="I487" s="42" t="n"/>
      <c r="J487" s="113" t="n"/>
      <c r="K487" s="39" t="n"/>
      <c r="L487" s="39" t="n"/>
      <c r="M487" s="39" t="n"/>
      <c r="N487" s="39" t="n"/>
      <c r="O487" s="39" t="n"/>
      <c r="P487" s="39" t="n"/>
      <c r="Q487" s="39" t="n"/>
      <c r="R487" s="39" t="n"/>
      <c r="S487" s="39" t="n"/>
      <c r="T487" s="39" t="n"/>
      <c r="U487" s="39" t="n"/>
      <c r="V487" s="39" t="n"/>
      <c r="W487" s="39" t="n"/>
      <c r="X487" s="39" t="n"/>
      <c r="Y487" s="39" t="n"/>
      <c r="Z487" s="39" t="n"/>
      <c r="AA487" s="39" t="n"/>
      <c r="AB487" s="39" t="n"/>
      <c r="AC487" s="39" t="n"/>
      <c r="AD487" s="39" t="n"/>
      <c r="AE487" s="39" t="n"/>
      <c r="AF487" s="39" t="n"/>
      <c r="AG487" s="39" t="n"/>
      <c r="AH487" s="39" t="n"/>
      <c r="AI487" s="39" t="n"/>
      <c r="AJ487" s="39" t="n"/>
      <c r="AK487" s="39" t="n"/>
      <c r="AL487" s="39" t="n"/>
      <c r="AM487" s="44" t="n"/>
      <c r="AN487" s="44" t="n"/>
      <c r="AO487" s="44" t="n"/>
      <c r="AP487" s="44" t="n"/>
      <c r="AQ487" s="44" t="n"/>
      <c r="AR487" s="44" t="n"/>
      <c r="AS487" s="45" t="n"/>
      <c r="AT487" s="45" t="n"/>
      <c r="AU487" s="45" t="n"/>
    </row>
    <row r="488">
      <c r="B488" s="39" t="n"/>
      <c r="C488" s="39" t="n"/>
      <c r="D488" s="40" t="n"/>
      <c r="E488" s="39" t="n"/>
      <c r="F488" s="39" t="n"/>
      <c r="G488" s="112" t="n"/>
      <c r="H488" s="42" t="n"/>
      <c r="I488" s="42" t="n"/>
      <c r="J488" s="113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9" t="n"/>
      <c r="X488" s="39" t="n"/>
      <c r="Y488" s="39" t="n"/>
      <c r="Z488" s="39" t="n"/>
      <c r="AA488" s="39" t="n"/>
      <c r="AB488" s="39" t="n"/>
      <c r="AC488" s="39" t="n"/>
      <c r="AD488" s="39" t="n"/>
      <c r="AE488" s="39" t="n"/>
      <c r="AF488" s="39" t="n"/>
      <c r="AG488" s="39" t="n"/>
      <c r="AH488" s="39" t="n"/>
      <c r="AI488" s="39" t="n"/>
      <c r="AJ488" s="39" t="n"/>
      <c r="AK488" s="39" t="n"/>
      <c r="AL488" s="39" t="n"/>
      <c r="AM488" s="44" t="n"/>
      <c r="AN488" s="44" t="n"/>
      <c r="AO488" s="44" t="n"/>
      <c r="AP488" s="44" t="n"/>
      <c r="AQ488" s="44" t="n"/>
      <c r="AR488" s="44" t="n"/>
      <c r="AS488" s="45" t="n"/>
      <c r="AT488" s="45" t="n"/>
      <c r="AU488" s="45" t="n"/>
    </row>
    <row r="489">
      <c r="B489" s="39" t="n"/>
      <c r="C489" s="39" t="n"/>
      <c r="D489" s="40" t="n"/>
      <c r="E489" s="39" t="n"/>
      <c r="F489" s="39" t="n"/>
      <c r="G489" s="112" t="n"/>
      <c r="H489" s="42" t="n"/>
      <c r="I489" s="42" t="n"/>
      <c r="J489" s="113" t="n"/>
      <c r="K489" s="39" t="n"/>
      <c r="L489" s="39" t="n"/>
      <c r="M489" s="39" t="n"/>
      <c r="N489" s="39" t="n"/>
      <c r="O489" s="39" t="n"/>
      <c r="P489" s="39" t="n"/>
      <c r="Q489" s="39" t="n"/>
      <c r="R489" s="39" t="n"/>
      <c r="S489" s="39" t="n"/>
      <c r="T489" s="39" t="n"/>
      <c r="U489" s="39" t="n"/>
      <c r="V489" s="39" t="n"/>
      <c r="W489" s="39" t="n"/>
      <c r="X489" s="39" t="n"/>
      <c r="Y489" s="39" t="n"/>
      <c r="Z489" s="39" t="n"/>
      <c r="AA489" s="39" t="n"/>
      <c r="AB489" s="39" t="n"/>
      <c r="AC489" s="39" t="n"/>
      <c r="AD489" s="39" t="n"/>
      <c r="AE489" s="39" t="n"/>
      <c r="AF489" s="39" t="n"/>
      <c r="AG489" s="39" t="n"/>
      <c r="AH489" s="39" t="n"/>
      <c r="AI489" s="39" t="n"/>
      <c r="AJ489" s="39" t="n"/>
      <c r="AK489" s="39" t="n"/>
      <c r="AL489" s="39" t="n"/>
      <c r="AM489" s="44" t="n"/>
      <c r="AN489" s="44" t="n"/>
      <c r="AO489" s="44" t="n"/>
      <c r="AP489" s="44" t="n"/>
      <c r="AQ489" s="44" t="n"/>
      <c r="AR489" s="44" t="n"/>
      <c r="AS489" s="45" t="n"/>
      <c r="AT489" s="45" t="n"/>
      <c r="AU489" s="45" t="n"/>
    </row>
    <row r="490">
      <c r="B490" s="39" t="n"/>
      <c r="C490" s="39" t="n"/>
      <c r="D490" s="40" t="n"/>
      <c r="E490" s="39" t="n"/>
      <c r="F490" s="39" t="n"/>
      <c r="G490" s="112" t="n"/>
      <c r="H490" s="42" t="n"/>
      <c r="I490" s="42" t="n"/>
      <c r="J490" s="113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9" t="n"/>
      <c r="X490" s="39" t="n"/>
      <c r="Y490" s="39" t="n"/>
      <c r="Z490" s="39" t="n"/>
      <c r="AA490" s="39" t="n"/>
      <c r="AB490" s="39" t="n"/>
      <c r="AC490" s="39" t="n"/>
      <c r="AD490" s="39" t="n"/>
      <c r="AE490" s="39" t="n"/>
      <c r="AF490" s="39" t="n"/>
      <c r="AG490" s="39" t="n"/>
      <c r="AH490" s="39" t="n"/>
      <c r="AI490" s="39" t="n"/>
      <c r="AJ490" s="39" t="n"/>
      <c r="AK490" s="39" t="n"/>
      <c r="AL490" s="39" t="n"/>
      <c r="AM490" s="44" t="n"/>
      <c r="AN490" s="44" t="n"/>
      <c r="AO490" s="44" t="n"/>
      <c r="AP490" s="44" t="n"/>
      <c r="AQ490" s="44" t="n"/>
      <c r="AR490" s="44" t="n"/>
      <c r="AS490" s="45" t="n"/>
      <c r="AT490" s="45" t="n"/>
      <c r="AU490" s="45" t="n"/>
    </row>
    <row r="491">
      <c r="B491" s="39" t="n"/>
      <c r="C491" s="39" t="n"/>
      <c r="D491" s="40" t="n"/>
      <c r="E491" s="39" t="n"/>
      <c r="F491" s="39" t="n"/>
      <c r="G491" s="112" t="n"/>
      <c r="H491" s="42" t="n"/>
      <c r="I491" s="42" t="n"/>
      <c r="J491" s="113" t="n"/>
      <c r="K491" s="39" t="n"/>
      <c r="L491" s="39" t="n"/>
      <c r="M491" s="39" t="n"/>
      <c r="N491" s="39" t="n"/>
      <c r="O491" s="39" t="n"/>
      <c r="P491" s="39" t="n"/>
      <c r="Q491" s="39" t="n"/>
      <c r="R491" s="39" t="n"/>
      <c r="S491" s="39" t="n"/>
      <c r="T491" s="39" t="n"/>
      <c r="U491" s="39" t="n"/>
      <c r="V491" s="39" t="n"/>
      <c r="W491" s="39" t="n"/>
      <c r="X491" s="39" t="n"/>
      <c r="Y491" s="39" t="n"/>
      <c r="Z491" s="39" t="n"/>
      <c r="AA491" s="39" t="n"/>
      <c r="AB491" s="39" t="n"/>
      <c r="AC491" s="39" t="n"/>
      <c r="AD491" s="39" t="n"/>
      <c r="AE491" s="39" t="n"/>
      <c r="AF491" s="39" t="n"/>
      <c r="AG491" s="39" t="n"/>
      <c r="AH491" s="39" t="n"/>
      <c r="AI491" s="39" t="n"/>
      <c r="AJ491" s="39" t="n"/>
      <c r="AK491" s="39" t="n"/>
      <c r="AL491" s="39" t="n"/>
      <c r="AM491" s="44" t="n"/>
      <c r="AN491" s="44" t="n"/>
      <c r="AO491" s="44" t="n"/>
      <c r="AP491" s="44" t="n"/>
      <c r="AQ491" s="44" t="n"/>
      <c r="AR491" s="44" t="n"/>
      <c r="AS491" s="45" t="n"/>
      <c r="AT491" s="45" t="n"/>
      <c r="AU491" s="45" t="n"/>
    </row>
    <row r="492">
      <c r="B492" s="39" t="n"/>
      <c r="C492" s="39" t="n"/>
      <c r="D492" s="40" t="n"/>
      <c r="E492" s="39" t="n"/>
      <c r="F492" s="39" t="n"/>
      <c r="G492" s="112" t="n"/>
      <c r="H492" s="42" t="n"/>
      <c r="I492" s="42" t="n"/>
      <c r="J492" s="113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9" t="n"/>
      <c r="X492" s="39" t="n"/>
      <c r="Y492" s="39" t="n"/>
      <c r="Z492" s="39" t="n"/>
      <c r="AA492" s="39" t="n"/>
      <c r="AB492" s="39" t="n"/>
      <c r="AC492" s="39" t="n"/>
      <c r="AD492" s="39" t="n"/>
      <c r="AE492" s="39" t="n"/>
      <c r="AF492" s="39" t="n"/>
      <c r="AG492" s="39" t="n"/>
      <c r="AH492" s="39" t="n"/>
      <c r="AI492" s="39" t="n"/>
      <c r="AJ492" s="39" t="n"/>
      <c r="AK492" s="39" t="n"/>
      <c r="AL492" s="39" t="n"/>
      <c r="AM492" s="44" t="n"/>
      <c r="AN492" s="44" t="n"/>
      <c r="AO492" s="44" t="n"/>
      <c r="AP492" s="44" t="n"/>
      <c r="AQ492" s="44" t="n"/>
      <c r="AR492" s="44" t="n"/>
      <c r="AS492" s="45" t="n"/>
      <c r="AT492" s="45" t="n"/>
      <c r="AU492" s="45" t="n"/>
    </row>
    <row r="493">
      <c r="B493" s="39" t="n"/>
      <c r="C493" s="39" t="n"/>
      <c r="D493" s="40" t="n"/>
      <c r="E493" s="39" t="n"/>
      <c r="F493" s="39" t="n"/>
      <c r="G493" s="112" t="n"/>
      <c r="H493" s="42" t="n"/>
      <c r="I493" s="42" t="n"/>
      <c r="J493" s="113" t="n"/>
      <c r="K493" s="39" t="n"/>
      <c r="L493" s="39" t="n"/>
      <c r="M493" s="39" t="n"/>
      <c r="N493" s="39" t="n"/>
      <c r="O493" s="39" t="n"/>
      <c r="P493" s="39" t="n"/>
      <c r="Q493" s="39" t="n"/>
      <c r="R493" s="39" t="n"/>
      <c r="S493" s="39" t="n"/>
      <c r="T493" s="39" t="n"/>
      <c r="U493" s="39" t="n"/>
      <c r="V493" s="39" t="n"/>
      <c r="W493" s="39" t="n"/>
      <c r="X493" s="39" t="n"/>
      <c r="Y493" s="39" t="n"/>
      <c r="Z493" s="39" t="n"/>
      <c r="AA493" s="39" t="n"/>
      <c r="AB493" s="39" t="n"/>
      <c r="AC493" s="39" t="n"/>
      <c r="AD493" s="39" t="n"/>
      <c r="AE493" s="39" t="n"/>
      <c r="AF493" s="39" t="n"/>
      <c r="AG493" s="39" t="n"/>
      <c r="AH493" s="39" t="n"/>
      <c r="AI493" s="39" t="n"/>
      <c r="AJ493" s="39" t="n"/>
      <c r="AK493" s="39" t="n"/>
      <c r="AL493" s="39" t="n"/>
      <c r="AM493" s="44" t="n"/>
      <c r="AN493" s="44" t="n"/>
      <c r="AO493" s="44" t="n"/>
      <c r="AP493" s="44" t="n"/>
      <c r="AQ493" s="44" t="n"/>
      <c r="AR493" s="44" t="n"/>
      <c r="AS493" s="45" t="n"/>
      <c r="AT493" s="45" t="n"/>
      <c r="AU493" s="45" t="n"/>
    </row>
    <row r="494">
      <c r="B494" s="39" t="n"/>
      <c r="C494" s="39" t="n"/>
      <c r="D494" s="40" t="n"/>
      <c r="E494" s="39" t="n"/>
      <c r="F494" s="39" t="n"/>
      <c r="G494" s="112" t="n"/>
      <c r="H494" s="42" t="n"/>
      <c r="I494" s="42" t="n"/>
      <c r="J494" s="113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9" t="n"/>
      <c r="X494" s="39" t="n"/>
      <c r="Y494" s="39" t="n"/>
      <c r="Z494" s="39" t="n"/>
      <c r="AA494" s="39" t="n"/>
      <c r="AB494" s="39" t="n"/>
      <c r="AC494" s="39" t="n"/>
      <c r="AD494" s="39" t="n"/>
      <c r="AE494" s="39" t="n"/>
      <c r="AF494" s="39" t="n"/>
      <c r="AG494" s="39" t="n"/>
      <c r="AH494" s="39" t="n"/>
      <c r="AI494" s="39" t="n"/>
      <c r="AJ494" s="39" t="n"/>
      <c r="AK494" s="39" t="n"/>
      <c r="AL494" s="39" t="n"/>
      <c r="AM494" s="44" t="n"/>
      <c r="AN494" s="44" t="n"/>
      <c r="AO494" s="44" t="n"/>
      <c r="AP494" s="44" t="n"/>
      <c r="AQ494" s="44" t="n"/>
      <c r="AR494" s="44" t="n"/>
      <c r="AS494" s="45" t="n"/>
      <c r="AT494" s="45" t="n"/>
      <c r="AU494" s="45" t="n"/>
    </row>
    <row r="495">
      <c r="B495" s="39" t="n"/>
      <c r="C495" s="39" t="n"/>
      <c r="D495" s="40" t="n"/>
      <c r="E495" s="39" t="n"/>
      <c r="F495" s="39" t="n"/>
      <c r="G495" s="112" t="n"/>
      <c r="H495" s="42" t="n"/>
      <c r="I495" s="42" t="n"/>
      <c r="J495" s="113" t="n"/>
      <c r="K495" s="39" t="n"/>
      <c r="L495" s="39" t="n"/>
      <c r="M495" s="39" t="n"/>
      <c r="N495" s="39" t="n"/>
      <c r="O495" s="39" t="n"/>
      <c r="P495" s="39" t="n"/>
      <c r="Q495" s="39" t="n"/>
      <c r="R495" s="39" t="n"/>
      <c r="S495" s="39" t="n"/>
      <c r="T495" s="39" t="n"/>
      <c r="U495" s="39" t="n"/>
      <c r="V495" s="39" t="n"/>
      <c r="W495" s="39" t="n"/>
      <c r="X495" s="39" t="n"/>
      <c r="Y495" s="39" t="n"/>
      <c r="Z495" s="39" t="n"/>
      <c r="AA495" s="39" t="n"/>
      <c r="AB495" s="39" t="n"/>
      <c r="AC495" s="39" t="n"/>
      <c r="AD495" s="39" t="n"/>
      <c r="AE495" s="39" t="n"/>
      <c r="AF495" s="39" t="n"/>
      <c r="AG495" s="39" t="n"/>
      <c r="AH495" s="39" t="n"/>
      <c r="AI495" s="39" t="n"/>
      <c r="AJ495" s="39" t="n"/>
      <c r="AK495" s="39" t="n"/>
      <c r="AL495" s="39" t="n"/>
      <c r="AM495" s="44" t="n"/>
      <c r="AN495" s="44" t="n"/>
      <c r="AO495" s="44" t="n"/>
      <c r="AP495" s="44" t="n"/>
      <c r="AQ495" s="44" t="n"/>
      <c r="AR495" s="44" t="n"/>
      <c r="AS495" s="45" t="n"/>
      <c r="AT495" s="45" t="n"/>
      <c r="AU495" s="45" t="n"/>
    </row>
    <row r="496">
      <c r="B496" s="39" t="n"/>
      <c r="C496" s="39" t="n"/>
      <c r="D496" s="40" t="n"/>
      <c r="E496" s="39" t="n"/>
      <c r="F496" s="39" t="n"/>
      <c r="G496" s="112" t="n"/>
      <c r="H496" s="42" t="n"/>
      <c r="I496" s="42" t="n"/>
      <c r="J496" s="113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9" t="n"/>
      <c r="X496" s="39" t="n"/>
      <c r="Y496" s="39" t="n"/>
      <c r="Z496" s="39" t="n"/>
      <c r="AA496" s="39" t="n"/>
      <c r="AB496" s="39" t="n"/>
      <c r="AC496" s="39" t="n"/>
      <c r="AD496" s="39" t="n"/>
      <c r="AE496" s="39" t="n"/>
      <c r="AF496" s="39" t="n"/>
      <c r="AG496" s="39" t="n"/>
      <c r="AH496" s="39" t="n"/>
      <c r="AI496" s="39" t="n"/>
      <c r="AJ496" s="39" t="n"/>
      <c r="AK496" s="39" t="n"/>
      <c r="AL496" s="39" t="n"/>
      <c r="AM496" s="44" t="n"/>
      <c r="AN496" s="44" t="n"/>
      <c r="AO496" s="44" t="n"/>
      <c r="AP496" s="44" t="n"/>
      <c r="AQ496" s="44" t="n"/>
      <c r="AR496" s="44" t="n"/>
      <c r="AS496" s="45" t="n"/>
      <c r="AT496" s="45" t="n"/>
      <c r="AU496" s="45" t="n"/>
    </row>
    <row r="497">
      <c r="B497" s="39" t="n"/>
      <c r="C497" s="39" t="n"/>
      <c r="D497" s="40" t="n"/>
      <c r="E497" s="39" t="n"/>
      <c r="F497" s="39" t="n"/>
      <c r="G497" s="112" t="n"/>
      <c r="H497" s="42" t="n"/>
      <c r="I497" s="42" t="n"/>
      <c r="J497" s="113" t="n"/>
      <c r="K497" s="39" t="n"/>
      <c r="L497" s="39" t="n"/>
      <c r="M497" s="39" t="n"/>
      <c r="N497" s="39" t="n"/>
      <c r="O497" s="39" t="n"/>
      <c r="P497" s="39" t="n"/>
      <c r="Q497" s="39" t="n"/>
      <c r="R497" s="39" t="n"/>
      <c r="S497" s="39" t="n"/>
      <c r="T497" s="39" t="n"/>
      <c r="U497" s="39" t="n"/>
      <c r="V497" s="39" t="n"/>
      <c r="W497" s="39" t="n"/>
      <c r="X497" s="39" t="n"/>
      <c r="Y497" s="39" t="n"/>
      <c r="Z497" s="39" t="n"/>
      <c r="AA497" s="39" t="n"/>
      <c r="AB497" s="39" t="n"/>
      <c r="AC497" s="39" t="n"/>
      <c r="AD497" s="39" t="n"/>
      <c r="AE497" s="39" t="n"/>
      <c r="AF497" s="39" t="n"/>
      <c r="AG497" s="39" t="n"/>
      <c r="AH497" s="39" t="n"/>
      <c r="AI497" s="39" t="n"/>
      <c r="AJ497" s="39" t="n"/>
      <c r="AK497" s="39" t="n"/>
      <c r="AL497" s="39" t="n"/>
      <c r="AM497" s="44" t="n"/>
      <c r="AN497" s="44" t="n"/>
      <c r="AO497" s="44" t="n"/>
      <c r="AP497" s="44" t="n"/>
      <c r="AQ497" s="44" t="n"/>
      <c r="AR497" s="44" t="n"/>
      <c r="AS497" s="45" t="n"/>
      <c r="AT497" s="45" t="n"/>
      <c r="AU497" s="45" t="n"/>
    </row>
    <row r="498">
      <c r="B498" s="39" t="n"/>
      <c r="C498" s="39" t="n"/>
      <c r="D498" s="40" t="n"/>
      <c r="E498" s="39" t="n"/>
      <c r="F498" s="39" t="n"/>
      <c r="G498" s="112" t="n"/>
      <c r="H498" s="42" t="n"/>
      <c r="I498" s="42" t="n"/>
      <c r="J498" s="113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9" t="n"/>
      <c r="X498" s="39" t="n"/>
      <c r="Y498" s="39" t="n"/>
      <c r="Z498" s="39" t="n"/>
      <c r="AA498" s="39" t="n"/>
      <c r="AB498" s="39" t="n"/>
      <c r="AC498" s="39" t="n"/>
      <c r="AD498" s="39" t="n"/>
      <c r="AE498" s="39" t="n"/>
      <c r="AF498" s="39" t="n"/>
      <c r="AG498" s="39" t="n"/>
      <c r="AH498" s="39" t="n"/>
      <c r="AI498" s="39" t="n"/>
      <c r="AJ498" s="39" t="n"/>
      <c r="AK498" s="39" t="n"/>
      <c r="AL498" s="39" t="n"/>
      <c r="AM498" s="44" t="n"/>
      <c r="AN498" s="44" t="n"/>
      <c r="AO498" s="44" t="n"/>
      <c r="AP498" s="44" t="n"/>
      <c r="AQ498" s="44" t="n"/>
      <c r="AR498" s="44" t="n"/>
      <c r="AS498" s="45" t="n"/>
      <c r="AT498" s="45" t="n"/>
      <c r="AU498" s="45" t="n"/>
    </row>
    <row r="499">
      <c r="B499" s="39" t="n"/>
      <c r="C499" s="39" t="n"/>
      <c r="D499" s="40" t="n"/>
      <c r="E499" s="39" t="n"/>
      <c r="F499" s="39" t="n"/>
      <c r="G499" s="112" t="n"/>
      <c r="H499" s="42" t="n"/>
      <c r="I499" s="42" t="n"/>
      <c r="J499" s="113" t="n"/>
      <c r="K499" s="39" t="n"/>
      <c r="L499" s="39" t="n"/>
      <c r="M499" s="39" t="n"/>
      <c r="N499" s="39" t="n"/>
      <c r="O499" s="39" t="n"/>
      <c r="P499" s="39" t="n"/>
      <c r="Q499" s="39" t="n"/>
      <c r="R499" s="39" t="n"/>
      <c r="S499" s="39" t="n"/>
      <c r="T499" s="39" t="n"/>
      <c r="U499" s="39" t="n"/>
      <c r="V499" s="39" t="n"/>
      <c r="W499" s="39" t="n"/>
      <c r="X499" s="39" t="n"/>
      <c r="Y499" s="39" t="n"/>
      <c r="Z499" s="39" t="n"/>
      <c r="AA499" s="39" t="n"/>
      <c r="AB499" s="39" t="n"/>
      <c r="AC499" s="39" t="n"/>
      <c r="AD499" s="39" t="n"/>
      <c r="AE499" s="39" t="n"/>
      <c r="AF499" s="39" t="n"/>
      <c r="AG499" s="39" t="n"/>
      <c r="AH499" s="39" t="n"/>
      <c r="AI499" s="39" t="n"/>
      <c r="AJ499" s="39" t="n"/>
      <c r="AK499" s="39" t="n"/>
      <c r="AL499" s="39" t="n"/>
      <c r="AM499" s="44" t="n"/>
      <c r="AN499" s="44" t="n"/>
      <c r="AO499" s="44" t="n"/>
      <c r="AP499" s="44" t="n"/>
      <c r="AQ499" s="44" t="n"/>
      <c r="AR499" s="44" t="n"/>
      <c r="AS499" s="45" t="n"/>
      <c r="AT499" s="45" t="n"/>
      <c r="AU499" s="45" t="n"/>
    </row>
    <row r="500">
      <c r="B500" s="39" t="n"/>
      <c r="C500" s="39" t="n"/>
      <c r="D500" s="40" t="n"/>
      <c r="E500" s="39" t="n"/>
      <c r="F500" s="39" t="n"/>
      <c r="G500" s="112" t="n"/>
      <c r="H500" s="42" t="n"/>
      <c r="I500" s="42" t="n"/>
      <c r="J500" s="113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9" t="n"/>
      <c r="X500" s="39" t="n"/>
      <c r="Y500" s="39" t="n"/>
      <c r="Z500" s="39" t="n"/>
      <c r="AA500" s="39" t="n"/>
      <c r="AB500" s="39" t="n"/>
      <c r="AC500" s="39" t="n"/>
      <c r="AD500" s="39" t="n"/>
      <c r="AE500" s="39" t="n"/>
      <c r="AF500" s="39" t="n"/>
      <c r="AG500" s="39" t="n"/>
      <c r="AH500" s="39" t="n"/>
      <c r="AI500" s="39" t="n"/>
      <c r="AJ500" s="39" t="n"/>
      <c r="AK500" s="39" t="n"/>
      <c r="AL500" s="39" t="n"/>
      <c r="AM500" s="44" t="n"/>
      <c r="AN500" s="44" t="n"/>
      <c r="AO500" s="44" t="n"/>
      <c r="AP500" s="44" t="n"/>
      <c r="AQ500" s="44" t="n"/>
      <c r="AR500" s="44" t="n"/>
      <c r="AS500" s="45" t="n"/>
      <c r="AT500" s="45" t="n"/>
      <c r="AU500" s="45" t="n"/>
    </row>
    <row r="501">
      <c r="B501" s="39" t="n"/>
      <c r="C501" s="39" t="n"/>
      <c r="D501" s="40" t="n"/>
      <c r="E501" s="39" t="n"/>
      <c r="F501" s="39" t="n"/>
      <c r="G501" s="112" t="n"/>
      <c r="H501" s="42" t="n"/>
      <c r="I501" s="42" t="n"/>
      <c r="J501" s="113" t="n"/>
      <c r="K501" s="39" t="n"/>
      <c r="L501" s="39" t="n"/>
      <c r="M501" s="39" t="n"/>
      <c r="N501" s="39" t="n"/>
      <c r="O501" s="39" t="n"/>
      <c r="P501" s="39" t="n"/>
      <c r="Q501" s="39" t="n"/>
      <c r="R501" s="39" t="n"/>
      <c r="S501" s="39" t="n"/>
      <c r="T501" s="39" t="n"/>
      <c r="U501" s="39" t="n"/>
      <c r="V501" s="39" t="n"/>
      <c r="W501" s="39" t="n"/>
      <c r="X501" s="39" t="n"/>
      <c r="Y501" s="39" t="n"/>
      <c r="Z501" s="39" t="n"/>
      <c r="AA501" s="39" t="n"/>
      <c r="AB501" s="39" t="n"/>
      <c r="AC501" s="39" t="n"/>
      <c r="AD501" s="39" t="n"/>
      <c r="AE501" s="39" t="n"/>
      <c r="AF501" s="39" t="n"/>
      <c r="AG501" s="39" t="n"/>
      <c r="AH501" s="39" t="n"/>
      <c r="AI501" s="39" t="n"/>
      <c r="AJ501" s="39" t="n"/>
      <c r="AK501" s="39" t="n"/>
      <c r="AL501" s="39" t="n"/>
      <c r="AM501" s="44" t="n"/>
      <c r="AN501" s="44" t="n"/>
      <c r="AO501" s="44" t="n"/>
      <c r="AP501" s="44" t="n"/>
      <c r="AQ501" s="44" t="n"/>
      <c r="AR501" s="44" t="n"/>
      <c r="AS501" s="45" t="n"/>
      <c r="AT501" s="45" t="n"/>
      <c r="AU501" s="45" t="n"/>
    </row>
    <row r="502">
      <c r="B502" s="39" t="n"/>
      <c r="C502" s="39" t="n"/>
      <c r="D502" s="40" t="n"/>
      <c r="E502" s="39" t="n"/>
      <c r="F502" s="39" t="n"/>
      <c r="G502" s="112" t="n"/>
      <c r="H502" s="42" t="n"/>
      <c r="I502" s="42" t="n"/>
      <c r="J502" s="113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9" t="n"/>
      <c r="X502" s="39" t="n"/>
      <c r="Y502" s="39" t="n"/>
      <c r="Z502" s="39" t="n"/>
      <c r="AA502" s="39" t="n"/>
      <c r="AB502" s="39" t="n"/>
      <c r="AC502" s="39" t="n"/>
      <c r="AD502" s="39" t="n"/>
      <c r="AE502" s="39" t="n"/>
      <c r="AF502" s="39" t="n"/>
      <c r="AG502" s="39" t="n"/>
      <c r="AH502" s="39" t="n"/>
      <c r="AI502" s="39" t="n"/>
      <c r="AJ502" s="39" t="n"/>
      <c r="AK502" s="39" t="n"/>
      <c r="AL502" s="39" t="n"/>
      <c r="AM502" s="44" t="n"/>
      <c r="AN502" s="44" t="n"/>
      <c r="AO502" s="44" t="n"/>
      <c r="AP502" s="44" t="n"/>
      <c r="AQ502" s="44" t="n"/>
      <c r="AR502" s="44" t="n"/>
      <c r="AS502" s="45" t="n"/>
      <c r="AT502" s="45" t="n"/>
      <c r="AU502" s="45" t="n"/>
    </row>
    <row r="503">
      <c r="B503" s="39" t="n"/>
      <c r="C503" s="39" t="n"/>
      <c r="D503" s="40" t="n"/>
      <c r="E503" s="39" t="n"/>
      <c r="F503" s="39" t="n"/>
      <c r="G503" s="112" t="n"/>
      <c r="H503" s="42" t="n"/>
      <c r="I503" s="42" t="n"/>
      <c r="J503" s="113" t="n"/>
      <c r="K503" s="39" t="n"/>
      <c r="L503" s="39" t="n"/>
      <c r="M503" s="39" t="n"/>
      <c r="N503" s="39" t="n"/>
      <c r="O503" s="39" t="n"/>
      <c r="P503" s="39" t="n"/>
      <c r="Q503" s="39" t="n"/>
      <c r="R503" s="39" t="n"/>
      <c r="S503" s="39" t="n"/>
      <c r="T503" s="39" t="n"/>
      <c r="U503" s="39" t="n"/>
      <c r="V503" s="39" t="n"/>
      <c r="W503" s="39" t="n"/>
      <c r="X503" s="39" t="n"/>
      <c r="Y503" s="39" t="n"/>
      <c r="Z503" s="39" t="n"/>
      <c r="AA503" s="39" t="n"/>
      <c r="AB503" s="39" t="n"/>
      <c r="AC503" s="39" t="n"/>
      <c r="AD503" s="39" t="n"/>
      <c r="AE503" s="39" t="n"/>
      <c r="AF503" s="39" t="n"/>
      <c r="AG503" s="39" t="n"/>
      <c r="AH503" s="39" t="n"/>
      <c r="AI503" s="39" t="n"/>
      <c r="AJ503" s="39" t="n"/>
      <c r="AK503" s="39" t="n"/>
      <c r="AL503" s="39" t="n"/>
      <c r="AM503" s="44" t="n"/>
      <c r="AN503" s="44" t="n"/>
      <c r="AO503" s="44" t="n"/>
      <c r="AP503" s="44" t="n"/>
      <c r="AQ503" s="44" t="n"/>
      <c r="AR503" s="44" t="n"/>
      <c r="AS503" s="45" t="n"/>
      <c r="AT503" s="45" t="n"/>
      <c r="AU503" s="45" t="n"/>
    </row>
    <row r="504">
      <c r="B504" s="39" t="n"/>
      <c r="C504" s="39" t="n"/>
      <c r="D504" s="40" t="n"/>
      <c r="E504" s="39" t="n"/>
      <c r="F504" s="39" t="n"/>
      <c r="G504" s="112" t="n"/>
      <c r="H504" s="42" t="n"/>
      <c r="I504" s="42" t="n"/>
      <c r="J504" s="113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9" t="n"/>
      <c r="X504" s="39" t="n"/>
      <c r="Y504" s="39" t="n"/>
      <c r="Z504" s="39" t="n"/>
      <c r="AA504" s="39" t="n"/>
      <c r="AB504" s="39" t="n"/>
      <c r="AC504" s="39" t="n"/>
      <c r="AD504" s="39" t="n"/>
      <c r="AE504" s="39" t="n"/>
      <c r="AF504" s="39" t="n"/>
      <c r="AG504" s="39" t="n"/>
      <c r="AH504" s="39" t="n"/>
      <c r="AI504" s="39" t="n"/>
      <c r="AJ504" s="39" t="n"/>
      <c r="AK504" s="39" t="n"/>
      <c r="AL504" s="39" t="n"/>
      <c r="AM504" s="44" t="n"/>
      <c r="AN504" s="44" t="n"/>
      <c r="AO504" s="44" t="n"/>
      <c r="AP504" s="44" t="n"/>
      <c r="AQ504" s="44" t="n"/>
      <c r="AR504" s="44" t="n"/>
      <c r="AS504" s="45" t="n"/>
      <c r="AT504" s="45" t="n"/>
      <c r="AU504" s="45" t="n"/>
    </row>
    <row r="505">
      <c r="B505" s="39" t="n"/>
      <c r="C505" s="39" t="n"/>
      <c r="D505" s="40" t="n"/>
      <c r="E505" s="39" t="n"/>
      <c r="F505" s="39" t="n"/>
      <c r="G505" s="112" t="n"/>
      <c r="H505" s="42" t="n"/>
      <c r="I505" s="42" t="n"/>
      <c r="J505" s="113" t="n"/>
      <c r="K505" s="39" t="n"/>
      <c r="L505" s="39" t="n"/>
      <c r="M505" s="39" t="n"/>
      <c r="N505" s="39" t="n"/>
      <c r="O505" s="39" t="n"/>
      <c r="P505" s="39" t="n"/>
      <c r="Q505" s="39" t="n"/>
      <c r="R505" s="39" t="n"/>
      <c r="S505" s="39" t="n"/>
      <c r="T505" s="39" t="n"/>
      <c r="U505" s="39" t="n"/>
      <c r="V505" s="39" t="n"/>
      <c r="W505" s="39" t="n"/>
      <c r="X505" s="39" t="n"/>
      <c r="Y505" s="39" t="n"/>
      <c r="Z505" s="39" t="n"/>
      <c r="AA505" s="39" t="n"/>
      <c r="AB505" s="39" t="n"/>
      <c r="AC505" s="39" t="n"/>
      <c r="AD505" s="39" t="n"/>
      <c r="AE505" s="39" t="n"/>
      <c r="AF505" s="39" t="n"/>
      <c r="AG505" s="39" t="n"/>
      <c r="AH505" s="39" t="n"/>
      <c r="AI505" s="39" t="n"/>
      <c r="AJ505" s="39" t="n"/>
      <c r="AK505" s="39" t="n"/>
      <c r="AL505" s="39" t="n"/>
      <c r="AM505" s="44" t="n"/>
      <c r="AN505" s="44" t="n"/>
      <c r="AO505" s="44" t="n"/>
      <c r="AP505" s="44" t="n"/>
      <c r="AQ505" s="44" t="n"/>
      <c r="AR505" s="44" t="n"/>
      <c r="AS505" s="45" t="n"/>
      <c r="AT505" s="45" t="n"/>
      <c r="AU505" s="45" t="n"/>
    </row>
    <row r="506">
      <c r="B506" s="39" t="n"/>
      <c r="C506" s="39" t="n"/>
      <c r="D506" s="40" t="n"/>
      <c r="E506" s="39" t="n"/>
      <c r="F506" s="39" t="n"/>
      <c r="G506" s="112" t="n"/>
      <c r="H506" s="42" t="n"/>
      <c r="I506" s="42" t="n"/>
      <c r="J506" s="113" t="n"/>
      <c r="K506" s="39" t="n"/>
      <c r="L506" s="39" t="n"/>
      <c r="M506" s="39" t="n"/>
      <c r="N506" s="39" t="n"/>
      <c r="O506" s="39" t="n"/>
      <c r="P506" s="39" t="n"/>
      <c r="Q506" s="39" t="n"/>
      <c r="R506" s="39" t="n"/>
      <c r="S506" s="39" t="n"/>
      <c r="T506" s="39" t="n"/>
      <c r="U506" s="39" t="n"/>
      <c r="V506" s="39" t="n"/>
      <c r="W506" s="39" t="n"/>
      <c r="X506" s="39" t="n"/>
      <c r="Y506" s="39" t="n"/>
      <c r="Z506" s="39" t="n"/>
      <c r="AA506" s="39" t="n"/>
      <c r="AB506" s="39" t="n"/>
      <c r="AC506" s="39" t="n"/>
      <c r="AD506" s="39" t="n"/>
      <c r="AE506" s="39" t="n"/>
      <c r="AF506" s="39" t="n"/>
      <c r="AG506" s="39" t="n"/>
      <c r="AH506" s="39" t="n"/>
      <c r="AI506" s="39" t="n"/>
      <c r="AJ506" s="39" t="n"/>
      <c r="AK506" s="39" t="n"/>
      <c r="AL506" s="39" t="n"/>
      <c r="AM506" s="44" t="n"/>
      <c r="AN506" s="44" t="n"/>
      <c r="AO506" s="44" t="n"/>
      <c r="AP506" s="44" t="n"/>
      <c r="AQ506" s="44" t="n"/>
      <c r="AR506" s="44" t="n"/>
      <c r="AS506" s="45" t="n"/>
      <c r="AT506" s="45" t="n"/>
      <c r="AU506" s="45" t="n"/>
    </row>
    <row r="507">
      <c r="B507" s="39" t="n"/>
      <c r="C507" s="39" t="n"/>
      <c r="D507" s="40" t="n"/>
      <c r="E507" s="39" t="n"/>
      <c r="F507" s="39" t="n"/>
      <c r="G507" s="112" t="n"/>
      <c r="H507" s="42" t="n"/>
      <c r="I507" s="42" t="n"/>
      <c r="J507" s="113" t="n"/>
      <c r="K507" s="39" t="n"/>
      <c r="L507" s="39" t="n"/>
      <c r="M507" s="39" t="n"/>
      <c r="N507" s="39" t="n"/>
      <c r="O507" s="39" t="n"/>
      <c r="P507" s="39" t="n"/>
      <c r="Q507" s="39" t="n"/>
      <c r="R507" s="39" t="n"/>
      <c r="S507" s="39" t="n"/>
      <c r="T507" s="39" t="n"/>
      <c r="U507" s="39" t="n"/>
      <c r="V507" s="39" t="n"/>
      <c r="W507" s="39" t="n"/>
      <c r="X507" s="39" t="n"/>
      <c r="Y507" s="39" t="n"/>
      <c r="Z507" s="39" t="n"/>
      <c r="AA507" s="39" t="n"/>
      <c r="AB507" s="39" t="n"/>
      <c r="AC507" s="39" t="n"/>
      <c r="AD507" s="39" t="n"/>
      <c r="AE507" s="39" t="n"/>
      <c r="AF507" s="39" t="n"/>
      <c r="AG507" s="39" t="n"/>
      <c r="AH507" s="39" t="n"/>
      <c r="AI507" s="39" t="n"/>
      <c r="AJ507" s="39" t="n"/>
      <c r="AK507" s="39" t="n"/>
      <c r="AL507" s="39" t="n"/>
      <c r="AM507" s="44" t="n"/>
      <c r="AN507" s="44" t="n"/>
      <c r="AO507" s="44" t="n"/>
      <c r="AP507" s="44" t="n"/>
      <c r="AQ507" s="44" t="n"/>
      <c r="AR507" s="44" t="n"/>
      <c r="AS507" s="45" t="n"/>
      <c r="AT507" s="45" t="n"/>
      <c r="AU507" s="45" t="n"/>
    </row>
    <row r="508">
      <c r="B508" s="39" t="n"/>
      <c r="C508" s="39" t="n"/>
      <c r="D508" s="40" t="n"/>
      <c r="E508" s="39" t="n"/>
      <c r="F508" s="39" t="n"/>
      <c r="G508" s="112" t="n"/>
      <c r="H508" s="42" t="n"/>
      <c r="I508" s="42" t="n"/>
      <c r="J508" s="113" t="n"/>
      <c r="K508" s="39" t="n"/>
      <c r="L508" s="39" t="n"/>
      <c r="M508" s="39" t="n"/>
      <c r="N508" s="39" t="n"/>
      <c r="O508" s="39" t="n"/>
      <c r="P508" s="39" t="n"/>
      <c r="Q508" s="39" t="n"/>
      <c r="R508" s="39" t="n"/>
      <c r="S508" s="39" t="n"/>
      <c r="T508" s="39" t="n"/>
      <c r="U508" s="39" t="n"/>
      <c r="V508" s="39" t="n"/>
      <c r="W508" s="39" t="n"/>
      <c r="X508" s="39" t="n"/>
      <c r="Y508" s="39" t="n"/>
      <c r="Z508" s="39" t="n"/>
      <c r="AA508" s="39" t="n"/>
      <c r="AB508" s="39" t="n"/>
      <c r="AC508" s="39" t="n"/>
      <c r="AD508" s="39" t="n"/>
      <c r="AE508" s="39" t="n"/>
      <c r="AF508" s="39" t="n"/>
      <c r="AG508" s="39" t="n"/>
      <c r="AH508" s="39" t="n"/>
      <c r="AI508" s="39" t="n"/>
      <c r="AJ508" s="39" t="n"/>
      <c r="AK508" s="39" t="n"/>
      <c r="AL508" s="39" t="n"/>
      <c r="AM508" s="44" t="n"/>
      <c r="AN508" s="44" t="n"/>
      <c r="AO508" s="44" t="n"/>
      <c r="AP508" s="44" t="n"/>
      <c r="AQ508" s="44" t="n"/>
      <c r="AR508" s="44" t="n"/>
      <c r="AS508" s="45" t="n"/>
      <c r="AT508" s="45" t="n"/>
      <c r="AU508" s="45" t="n"/>
    </row>
    <row r="509">
      <c r="B509" s="39" t="n"/>
      <c r="C509" s="39" t="n"/>
      <c r="D509" s="40" t="n"/>
      <c r="E509" s="39" t="n"/>
      <c r="F509" s="39" t="n"/>
      <c r="G509" s="112" t="n"/>
      <c r="H509" s="42" t="n"/>
      <c r="I509" s="42" t="n"/>
      <c r="J509" s="113" t="n"/>
      <c r="K509" s="39" t="n"/>
      <c r="L509" s="39" t="n"/>
      <c r="M509" s="39" t="n"/>
      <c r="N509" s="39" t="n"/>
      <c r="O509" s="39" t="n"/>
      <c r="P509" s="39" t="n"/>
      <c r="Q509" s="39" t="n"/>
      <c r="R509" s="39" t="n"/>
      <c r="S509" s="39" t="n"/>
      <c r="T509" s="39" t="n"/>
      <c r="U509" s="39" t="n"/>
      <c r="V509" s="39" t="n"/>
      <c r="W509" s="39" t="n"/>
      <c r="X509" s="39" t="n"/>
      <c r="Y509" s="39" t="n"/>
      <c r="Z509" s="39" t="n"/>
      <c r="AA509" s="39" t="n"/>
      <c r="AB509" s="39" t="n"/>
      <c r="AC509" s="39" t="n"/>
      <c r="AD509" s="39" t="n"/>
      <c r="AE509" s="39" t="n"/>
      <c r="AF509" s="39" t="n"/>
      <c r="AG509" s="39" t="n"/>
      <c r="AH509" s="39" t="n"/>
      <c r="AI509" s="39" t="n"/>
      <c r="AJ509" s="39" t="n"/>
      <c r="AK509" s="39" t="n"/>
      <c r="AL509" s="39" t="n"/>
      <c r="AM509" s="44" t="n"/>
      <c r="AN509" s="44" t="n"/>
      <c r="AO509" s="44" t="n"/>
      <c r="AP509" s="44" t="n"/>
      <c r="AQ509" s="44" t="n"/>
      <c r="AR509" s="44" t="n"/>
      <c r="AS509" s="45" t="n"/>
      <c r="AT509" s="45" t="n"/>
      <c r="AU509" s="45" t="n"/>
    </row>
    <row r="510">
      <c r="B510" s="39" t="n"/>
      <c r="C510" s="39" t="n"/>
      <c r="D510" s="40" t="n"/>
      <c r="E510" s="39" t="n"/>
      <c r="F510" s="39" t="n"/>
      <c r="G510" s="112" t="n"/>
      <c r="H510" s="42" t="n"/>
      <c r="I510" s="42" t="n"/>
      <c r="J510" s="113" t="n"/>
      <c r="K510" s="39" t="n"/>
      <c r="L510" s="39" t="n"/>
      <c r="M510" s="39" t="n"/>
      <c r="N510" s="39" t="n"/>
      <c r="O510" s="39" t="n"/>
      <c r="P510" s="39" t="n"/>
      <c r="Q510" s="39" t="n"/>
      <c r="R510" s="39" t="n"/>
      <c r="S510" s="39" t="n"/>
      <c r="T510" s="39" t="n"/>
      <c r="U510" s="39" t="n"/>
      <c r="V510" s="39" t="n"/>
      <c r="W510" s="39" t="n"/>
      <c r="X510" s="39" t="n"/>
      <c r="Y510" s="39" t="n"/>
      <c r="Z510" s="39" t="n"/>
      <c r="AA510" s="39" t="n"/>
      <c r="AB510" s="39" t="n"/>
      <c r="AC510" s="39" t="n"/>
      <c r="AD510" s="39" t="n"/>
      <c r="AE510" s="39" t="n"/>
      <c r="AF510" s="39" t="n"/>
      <c r="AG510" s="39" t="n"/>
      <c r="AH510" s="39" t="n"/>
      <c r="AI510" s="39" t="n"/>
      <c r="AJ510" s="39" t="n"/>
      <c r="AK510" s="39" t="n"/>
      <c r="AL510" s="39" t="n"/>
      <c r="AM510" s="44" t="n"/>
      <c r="AN510" s="44" t="n"/>
      <c r="AO510" s="44" t="n"/>
      <c r="AP510" s="44" t="n"/>
      <c r="AQ510" s="44" t="n"/>
      <c r="AR510" s="44" t="n"/>
      <c r="AS510" s="45" t="n"/>
      <c r="AT510" s="45" t="n"/>
      <c r="AU510" s="45" t="n"/>
    </row>
    <row r="511">
      <c r="B511" s="39" t="n"/>
      <c r="C511" s="39" t="n"/>
      <c r="D511" s="40" t="n"/>
      <c r="E511" s="39" t="n"/>
      <c r="F511" s="39" t="n"/>
      <c r="G511" s="112" t="n"/>
      <c r="H511" s="42" t="n"/>
      <c r="I511" s="42" t="n"/>
      <c r="J511" s="113" t="n"/>
      <c r="K511" s="39" t="n"/>
      <c r="L511" s="39" t="n"/>
      <c r="M511" s="39" t="n"/>
      <c r="N511" s="39" t="n"/>
      <c r="O511" s="39" t="n"/>
      <c r="P511" s="39" t="n"/>
      <c r="Q511" s="39" t="n"/>
      <c r="R511" s="39" t="n"/>
      <c r="S511" s="39" t="n"/>
      <c r="T511" s="39" t="n"/>
      <c r="U511" s="39" t="n"/>
      <c r="V511" s="39" t="n"/>
      <c r="W511" s="39" t="n"/>
      <c r="X511" s="39" t="n"/>
      <c r="Y511" s="39" t="n"/>
      <c r="Z511" s="39" t="n"/>
      <c r="AA511" s="39" t="n"/>
      <c r="AB511" s="39" t="n"/>
      <c r="AC511" s="39" t="n"/>
      <c r="AD511" s="39" t="n"/>
      <c r="AE511" s="39" t="n"/>
      <c r="AF511" s="39" t="n"/>
      <c r="AG511" s="39" t="n"/>
      <c r="AH511" s="39" t="n"/>
      <c r="AI511" s="39" t="n"/>
      <c r="AJ511" s="39" t="n"/>
      <c r="AK511" s="39" t="n"/>
      <c r="AL511" s="39" t="n"/>
      <c r="AM511" s="44" t="n"/>
      <c r="AN511" s="44" t="n"/>
      <c r="AO511" s="44" t="n"/>
      <c r="AP511" s="44" t="n"/>
      <c r="AQ511" s="44" t="n"/>
      <c r="AR511" s="44" t="n"/>
      <c r="AS511" s="45" t="n"/>
      <c r="AT511" s="45" t="n"/>
      <c r="AU511" s="45" t="n"/>
    </row>
    <row r="512">
      <c r="B512" s="39" t="n"/>
      <c r="C512" s="39" t="n"/>
      <c r="D512" s="40" t="n"/>
      <c r="E512" s="39" t="n"/>
      <c r="F512" s="39" t="n"/>
      <c r="G512" s="112" t="n"/>
      <c r="H512" s="42" t="n"/>
      <c r="I512" s="42" t="n"/>
      <c r="J512" s="113" t="n"/>
      <c r="K512" s="39" t="n"/>
      <c r="L512" s="39" t="n"/>
      <c r="M512" s="39" t="n"/>
      <c r="N512" s="39" t="n"/>
      <c r="O512" s="39" t="n"/>
      <c r="P512" s="39" t="n"/>
      <c r="Q512" s="39" t="n"/>
      <c r="R512" s="39" t="n"/>
      <c r="S512" s="39" t="n"/>
      <c r="T512" s="39" t="n"/>
      <c r="U512" s="39" t="n"/>
      <c r="V512" s="39" t="n"/>
      <c r="W512" s="39" t="n"/>
      <c r="X512" s="39" t="n"/>
      <c r="Y512" s="39" t="n"/>
      <c r="Z512" s="39" t="n"/>
      <c r="AA512" s="39" t="n"/>
      <c r="AB512" s="39" t="n"/>
      <c r="AC512" s="39" t="n"/>
      <c r="AD512" s="39" t="n"/>
      <c r="AE512" s="39" t="n"/>
      <c r="AF512" s="39" t="n"/>
      <c r="AG512" s="39" t="n"/>
      <c r="AH512" s="39" t="n"/>
      <c r="AI512" s="39" t="n"/>
      <c r="AJ512" s="39" t="n"/>
      <c r="AK512" s="39" t="n"/>
      <c r="AL512" s="39" t="n"/>
      <c r="AM512" s="44" t="n"/>
      <c r="AN512" s="44" t="n"/>
      <c r="AO512" s="44" t="n"/>
      <c r="AP512" s="44" t="n"/>
      <c r="AQ512" s="44" t="n"/>
      <c r="AR512" s="44" t="n"/>
      <c r="AS512" s="45" t="n"/>
      <c r="AT512" s="45" t="n"/>
      <c r="AU512" s="45" t="n"/>
    </row>
    <row r="513">
      <c r="B513" s="39" t="n"/>
      <c r="C513" s="39" t="n"/>
      <c r="D513" s="40" t="n"/>
      <c r="E513" s="39" t="n"/>
      <c r="F513" s="39" t="n"/>
      <c r="G513" s="112" t="n"/>
      <c r="H513" s="42" t="n"/>
      <c r="I513" s="42" t="n"/>
      <c r="J513" s="113" t="n"/>
      <c r="K513" s="39" t="n"/>
      <c r="L513" s="39" t="n"/>
      <c r="M513" s="39" t="n"/>
      <c r="N513" s="39" t="n"/>
      <c r="O513" s="39" t="n"/>
      <c r="P513" s="39" t="n"/>
      <c r="Q513" s="39" t="n"/>
      <c r="R513" s="39" t="n"/>
      <c r="S513" s="39" t="n"/>
      <c r="T513" s="39" t="n"/>
      <c r="U513" s="39" t="n"/>
      <c r="V513" s="39" t="n"/>
      <c r="W513" s="39" t="n"/>
      <c r="X513" s="39" t="n"/>
      <c r="Y513" s="39" t="n"/>
      <c r="Z513" s="39" t="n"/>
      <c r="AA513" s="39" t="n"/>
      <c r="AB513" s="39" t="n"/>
      <c r="AC513" s="39" t="n"/>
      <c r="AD513" s="39" t="n"/>
      <c r="AE513" s="39" t="n"/>
      <c r="AF513" s="39" t="n"/>
      <c r="AG513" s="39" t="n"/>
      <c r="AH513" s="39" t="n"/>
      <c r="AI513" s="39" t="n"/>
      <c r="AJ513" s="39" t="n"/>
      <c r="AK513" s="39" t="n"/>
      <c r="AL513" s="39" t="n"/>
      <c r="AM513" s="44" t="n"/>
      <c r="AN513" s="44" t="n"/>
      <c r="AO513" s="44" t="n"/>
      <c r="AP513" s="44" t="n"/>
      <c r="AQ513" s="44" t="n"/>
      <c r="AR513" s="44" t="n"/>
      <c r="AS513" s="45" t="n"/>
      <c r="AT513" s="45" t="n"/>
      <c r="AU513" s="45" t="n"/>
    </row>
    <row r="514">
      <c r="B514" s="39" t="n"/>
      <c r="C514" s="39" t="n"/>
      <c r="D514" s="40" t="n"/>
      <c r="E514" s="39" t="n"/>
      <c r="F514" s="39" t="n"/>
      <c r="G514" s="112" t="n"/>
      <c r="H514" s="42" t="n"/>
      <c r="I514" s="42" t="n"/>
      <c r="J514" s="113" t="n"/>
      <c r="K514" s="39" t="n"/>
      <c r="L514" s="39" t="n"/>
      <c r="M514" s="39" t="n"/>
      <c r="N514" s="39" t="n"/>
      <c r="O514" s="39" t="n"/>
      <c r="P514" s="39" t="n"/>
      <c r="Q514" s="39" t="n"/>
      <c r="R514" s="39" t="n"/>
      <c r="S514" s="39" t="n"/>
      <c r="T514" s="39" t="n"/>
      <c r="U514" s="39" t="n"/>
      <c r="V514" s="39" t="n"/>
      <c r="W514" s="39" t="n"/>
      <c r="X514" s="39" t="n"/>
      <c r="Y514" s="39" t="n"/>
      <c r="Z514" s="39" t="n"/>
      <c r="AA514" s="39" t="n"/>
      <c r="AB514" s="39" t="n"/>
      <c r="AC514" s="39" t="n"/>
      <c r="AD514" s="39" t="n"/>
      <c r="AE514" s="39" t="n"/>
      <c r="AF514" s="39" t="n"/>
      <c r="AG514" s="39" t="n"/>
      <c r="AH514" s="39" t="n"/>
      <c r="AI514" s="39" t="n"/>
      <c r="AJ514" s="39" t="n"/>
      <c r="AK514" s="39" t="n"/>
      <c r="AL514" s="39" t="n"/>
      <c r="AM514" s="44" t="n"/>
      <c r="AN514" s="44" t="n"/>
      <c r="AO514" s="44" t="n"/>
      <c r="AP514" s="44" t="n"/>
      <c r="AQ514" s="44" t="n"/>
      <c r="AR514" s="44" t="n"/>
      <c r="AS514" s="45" t="n"/>
      <c r="AT514" s="45" t="n"/>
      <c r="AU514" s="45" t="n"/>
    </row>
    <row r="515">
      <c r="B515" s="39" t="n"/>
      <c r="C515" s="39" t="n"/>
      <c r="D515" s="40" t="n"/>
      <c r="E515" s="39" t="n"/>
      <c r="F515" s="39" t="n"/>
      <c r="G515" s="112" t="n"/>
      <c r="H515" s="42" t="n"/>
      <c r="I515" s="42" t="n"/>
      <c r="J515" s="113" t="n"/>
      <c r="K515" s="39" t="n"/>
      <c r="L515" s="39" t="n"/>
      <c r="M515" s="39" t="n"/>
      <c r="N515" s="39" t="n"/>
      <c r="O515" s="39" t="n"/>
      <c r="P515" s="39" t="n"/>
      <c r="Q515" s="39" t="n"/>
      <c r="R515" s="39" t="n"/>
      <c r="S515" s="39" t="n"/>
      <c r="T515" s="39" t="n"/>
      <c r="U515" s="39" t="n"/>
      <c r="V515" s="39" t="n"/>
      <c r="W515" s="39" t="n"/>
      <c r="X515" s="39" t="n"/>
      <c r="Y515" s="39" t="n"/>
      <c r="Z515" s="39" t="n"/>
      <c r="AA515" s="39" t="n"/>
      <c r="AB515" s="39" t="n"/>
      <c r="AC515" s="39" t="n"/>
      <c r="AD515" s="39" t="n"/>
      <c r="AE515" s="39" t="n"/>
      <c r="AF515" s="39" t="n"/>
      <c r="AG515" s="39" t="n"/>
      <c r="AH515" s="39" t="n"/>
      <c r="AI515" s="39" t="n"/>
      <c r="AJ515" s="39" t="n"/>
      <c r="AK515" s="39" t="n"/>
      <c r="AL515" s="39" t="n"/>
      <c r="AM515" s="44" t="n"/>
      <c r="AN515" s="44" t="n"/>
      <c r="AO515" s="44" t="n"/>
      <c r="AP515" s="44" t="n"/>
      <c r="AQ515" s="44" t="n"/>
      <c r="AR515" s="44" t="n"/>
      <c r="AS515" s="45" t="n"/>
      <c r="AT515" s="45" t="n"/>
      <c r="AU515" s="45" t="n"/>
    </row>
    <row r="516">
      <c r="B516" s="39" t="n"/>
      <c r="C516" s="39" t="n"/>
      <c r="D516" s="40" t="n"/>
      <c r="E516" s="39" t="n"/>
      <c r="F516" s="39" t="n"/>
      <c r="G516" s="112" t="n"/>
      <c r="H516" s="42" t="n"/>
      <c r="I516" s="42" t="n"/>
      <c r="J516" s="113" t="n"/>
      <c r="K516" s="39" t="n"/>
      <c r="L516" s="39" t="n"/>
      <c r="M516" s="39" t="n"/>
      <c r="N516" s="39" t="n"/>
      <c r="O516" s="39" t="n"/>
      <c r="P516" s="39" t="n"/>
      <c r="Q516" s="39" t="n"/>
      <c r="R516" s="39" t="n"/>
      <c r="S516" s="39" t="n"/>
      <c r="T516" s="39" t="n"/>
      <c r="U516" s="39" t="n"/>
      <c r="V516" s="39" t="n"/>
      <c r="W516" s="39" t="n"/>
      <c r="X516" s="39" t="n"/>
      <c r="Y516" s="39" t="n"/>
      <c r="Z516" s="39" t="n"/>
      <c r="AA516" s="39" t="n"/>
      <c r="AB516" s="39" t="n"/>
      <c r="AC516" s="39" t="n"/>
      <c r="AD516" s="39" t="n"/>
      <c r="AE516" s="39" t="n"/>
      <c r="AF516" s="39" t="n"/>
      <c r="AG516" s="39" t="n"/>
      <c r="AH516" s="39" t="n"/>
      <c r="AI516" s="39" t="n"/>
      <c r="AJ516" s="39" t="n"/>
      <c r="AK516" s="39" t="n"/>
      <c r="AL516" s="39" t="n"/>
      <c r="AM516" s="44" t="n"/>
      <c r="AN516" s="44" t="n"/>
      <c r="AO516" s="44" t="n"/>
      <c r="AP516" s="44" t="n"/>
      <c r="AQ516" s="44" t="n"/>
      <c r="AR516" s="44" t="n"/>
      <c r="AS516" s="45" t="n"/>
      <c r="AT516" s="45" t="n"/>
      <c r="AU516" s="45" t="n"/>
    </row>
    <row r="517">
      <c r="B517" s="39" t="n"/>
      <c r="C517" s="39" t="n"/>
      <c r="D517" s="40" t="n"/>
      <c r="E517" s="39" t="n"/>
      <c r="F517" s="39" t="n"/>
      <c r="G517" s="112" t="n"/>
      <c r="H517" s="42" t="n"/>
      <c r="I517" s="42" t="n"/>
      <c r="J517" s="113" t="n"/>
      <c r="K517" s="39" t="n"/>
      <c r="L517" s="39" t="n"/>
      <c r="M517" s="39" t="n"/>
      <c r="N517" s="39" t="n"/>
      <c r="O517" s="39" t="n"/>
      <c r="P517" s="39" t="n"/>
      <c r="Q517" s="39" t="n"/>
      <c r="R517" s="39" t="n"/>
      <c r="S517" s="39" t="n"/>
      <c r="T517" s="39" t="n"/>
      <c r="U517" s="39" t="n"/>
      <c r="V517" s="39" t="n"/>
      <c r="W517" s="39" t="n"/>
      <c r="X517" s="39" t="n"/>
      <c r="Y517" s="39" t="n"/>
      <c r="Z517" s="39" t="n"/>
      <c r="AA517" s="39" t="n"/>
      <c r="AB517" s="39" t="n"/>
      <c r="AC517" s="39" t="n"/>
      <c r="AD517" s="39" t="n"/>
      <c r="AE517" s="39" t="n"/>
      <c r="AF517" s="39" t="n"/>
      <c r="AG517" s="39" t="n"/>
      <c r="AH517" s="39" t="n"/>
      <c r="AI517" s="39" t="n"/>
      <c r="AJ517" s="39" t="n"/>
      <c r="AK517" s="39" t="n"/>
      <c r="AL517" s="39" t="n"/>
      <c r="AM517" s="44" t="n"/>
      <c r="AN517" s="44" t="n"/>
      <c r="AO517" s="44" t="n"/>
      <c r="AP517" s="44" t="n"/>
      <c r="AQ517" s="44" t="n"/>
      <c r="AR517" s="44" t="n"/>
      <c r="AS517" s="45" t="n"/>
      <c r="AT517" s="45" t="n"/>
      <c r="AU517" s="45" t="n"/>
    </row>
    <row r="518">
      <c r="B518" s="39" t="n"/>
      <c r="C518" s="39" t="n"/>
      <c r="D518" s="40" t="n"/>
      <c r="E518" s="39" t="n"/>
      <c r="F518" s="39" t="n"/>
      <c r="G518" s="112" t="n"/>
      <c r="H518" s="42" t="n"/>
      <c r="I518" s="42" t="n"/>
      <c r="J518" s="113" t="n"/>
      <c r="K518" s="39" t="n"/>
      <c r="L518" s="39" t="n"/>
      <c r="M518" s="39" t="n"/>
      <c r="N518" s="39" t="n"/>
      <c r="O518" s="39" t="n"/>
      <c r="P518" s="39" t="n"/>
      <c r="Q518" s="39" t="n"/>
      <c r="R518" s="39" t="n"/>
      <c r="S518" s="39" t="n"/>
      <c r="T518" s="39" t="n"/>
      <c r="U518" s="39" t="n"/>
      <c r="V518" s="39" t="n"/>
      <c r="W518" s="39" t="n"/>
      <c r="X518" s="39" t="n"/>
      <c r="Y518" s="39" t="n"/>
      <c r="Z518" s="39" t="n"/>
      <c r="AA518" s="39" t="n"/>
      <c r="AB518" s="39" t="n"/>
      <c r="AC518" s="39" t="n"/>
      <c r="AD518" s="39" t="n"/>
      <c r="AE518" s="39" t="n"/>
      <c r="AF518" s="39" t="n"/>
      <c r="AG518" s="39" t="n"/>
      <c r="AH518" s="39" t="n"/>
      <c r="AI518" s="39" t="n"/>
      <c r="AJ518" s="39" t="n"/>
      <c r="AK518" s="39" t="n"/>
      <c r="AL518" s="39" t="n"/>
      <c r="AM518" s="44" t="n"/>
      <c r="AN518" s="44" t="n"/>
      <c r="AO518" s="44" t="n"/>
      <c r="AP518" s="44" t="n"/>
      <c r="AQ518" s="44" t="n"/>
      <c r="AR518" s="44" t="n"/>
      <c r="AS518" s="45" t="n"/>
      <c r="AT518" s="45" t="n"/>
      <c r="AU518" s="45" t="n"/>
    </row>
    <row r="519">
      <c r="B519" s="39" t="n"/>
      <c r="C519" s="39" t="n"/>
      <c r="D519" s="40" t="n"/>
      <c r="E519" s="39" t="n"/>
      <c r="F519" s="39" t="n"/>
      <c r="G519" s="112" t="n"/>
      <c r="H519" s="42" t="n"/>
      <c r="I519" s="42" t="n"/>
      <c r="J519" s="113" t="n"/>
      <c r="K519" s="39" t="n"/>
      <c r="L519" s="39" t="n"/>
      <c r="M519" s="39" t="n"/>
      <c r="N519" s="39" t="n"/>
      <c r="O519" s="39" t="n"/>
      <c r="P519" s="39" t="n"/>
      <c r="Q519" s="39" t="n"/>
      <c r="R519" s="39" t="n"/>
      <c r="S519" s="39" t="n"/>
      <c r="T519" s="39" t="n"/>
      <c r="U519" s="39" t="n"/>
      <c r="V519" s="39" t="n"/>
      <c r="W519" s="39" t="n"/>
      <c r="X519" s="39" t="n"/>
      <c r="Y519" s="39" t="n"/>
      <c r="Z519" s="39" t="n"/>
      <c r="AA519" s="39" t="n"/>
      <c r="AB519" s="39" t="n"/>
      <c r="AC519" s="39" t="n"/>
      <c r="AD519" s="39" t="n"/>
      <c r="AE519" s="39" t="n"/>
      <c r="AF519" s="39" t="n"/>
      <c r="AG519" s="39" t="n"/>
      <c r="AH519" s="39" t="n"/>
      <c r="AI519" s="39" t="n"/>
      <c r="AJ519" s="39" t="n"/>
      <c r="AK519" s="39" t="n"/>
      <c r="AL519" s="39" t="n"/>
      <c r="AM519" s="44" t="n"/>
      <c r="AN519" s="44" t="n"/>
      <c r="AO519" s="44" t="n"/>
      <c r="AP519" s="44" t="n"/>
      <c r="AQ519" s="44" t="n"/>
      <c r="AR519" s="44" t="n"/>
      <c r="AS519" s="45" t="n"/>
      <c r="AT519" s="45" t="n"/>
      <c r="AU519" s="45" t="n"/>
    </row>
    <row r="520">
      <c r="B520" s="39" t="n"/>
      <c r="C520" s="39" t="n"/>
      <c r="D520" s="40" t="n"/>
      <c r="E520" s="39" t="n"/>
      <c r="F520" s="39" t="n"/>
      <c r="G520" s="112" t="n"/>
      <c r="H520" s="42" t="n"/>
      <c r="I520" s="42" t="n"/>
      <c r="J520" s="113" t="n"/>
      <c r="K520" s="39" t="n"/>
      <c r="L520" s="39" t="n"/>
      <c r="M520" s="39" t="n"/>
      <c r="N520" s="39" t="n"/>
      <c r="O520" s="39" t="n"/>
      <c r="P520" s="39" t="n"/>
      <c r="Q520" s="39" t="n"/>
      <c r="R520" s="39" t="n"/>
      <c r="S520" s="39" t="n"/>
      <c r="T520" s="39" t="n"/>
      <c r="U520" s="39" t="n"/>
      <c r="V520" s="39" t="n"/>
      <c r="W520" s="39" t="n"/>
      <c r="X520" s="39" t="n"/>
      <c r="Y520" s="39" t="n"/>
      <c r="Z520" s="39" t="n"/>
      <c r="AA520" s="39" t="n"/>
      <c r="AB520" s="39" t="n"/>
      <c r="AC520" s="39" t="n"/>
      <c r="AD520" s="39" t="n"/>
      <c r="AE520" s="39" t="n"/>
      <c r="AF520" s="39" t="n"/>
      <c r="AG520" s="39" t="n"/>
      <c r="AH520" s="39" t="n"/>
      <c r="AI520" s="39" t="n"/>
      <c r="AJ520" s="39" t="n"/>
      <c r="AK520" s="39" t="n"/>
      <c r="AL520" s="39" t="n"/>
      <c r="AM520" s="44" t="n"/>
      <c r="AN520" s="44" t="n"/>
      <c r="AO520" s="44" t="n"/>
      <c r="AP520" s="44" t="n"/>
      <c r="AQ520" s="44" t="n"/>
      <c r="AR520" s="44" t="n"/>
      <c r="AS520" s="45" t="n"/>
      <c r="AT520" s="45" t="n"/>
      <c r="AU520" s="45" t="n"/>
    </row>
    <row r="521">
      <c r="B521" s="39" t="n"/>
      <c r="C521" s="39" t="n"/>
      <c r="D521" s="40" t="n"/>
      <c r="E521" s="39" t="n"/>
      <c r="F521" s="39" t="n"/>
      <c r="G521" s="112" t="n"/>
      <c r="H521" s="42" t="n"/>
      <c r="I521" s="42" t="n"/>
      <c r="J521" s="113" t="n"/>
      <c r="K521" s="39" t="n"/>
      <c r="L521" s="39" t="n"/>
      <c r="M521" s="39" t="n"/>
      <c r="N521" s="39" t="n"/>
      <c r="O521" s="39" t="n"/>
      <c r="P521" s="39" t="n"/>
      <c r="Q521" s="39" t="n"/>
      <c r="R521" s="39" t="n"/>
      <c r="S521" s="39" t="n"/>
      <c r="T521" s="39" t="n"/>
      <c r="U521" s="39" t="n"/>
      <c r="V521" s="39" t="n"/>
      <c r="W521" s="39" t="n"/>
      <c r="X521" s="39" t="n"/>
      <c r="Y521" s="39" t="n"/>
      <c r="Z521" s="39" t="n"/>
      <c r="AA521" s="39" t="n"/>
      <c r="AB521" s="39" t="n"/>
      <c r="AC521" s="39" t="n"/>
      <c r="AD521" s="39" t="n"/>
      <c r="AE521" s="39" t="n"/>
      <c r="AF521" s="39" t="n"/>
      <c r="AG521" s="39" t="n"/>
      <c r="AH521" s="39" t="n"/>
      <c r="AI521" s="39" t="n"/>
      <c r="AJ521" s="39" t="n"/>
      <c r="AK521" s="39" t="n"/>
      <c r="AL521" s="39" t="n"/>
      <c r="AM521" s="44" t="n"/>
      <c r="AN521" s="44" t="n"/>
      <c r="AO521" s="44" t="n"/>
      <c r="AP521" s="44" t="n"/>
      <c r="AQ521" s="44" t="n"/>
      <c r="AR521" s="44" t="n"/>
      <c r="AS521" s="45" t="n"/>
      <c r="AT521" s="45" t="n"/>
      <c r="AU521" s="45" t="n"/>
    </row>
    <row r="522">
      <c r="B522" s="39" t="n"/>
      <c r="C522" s="39" t="n"/>
      <c r="D522" s="40" t="n"/>
      <c r="E522" s="39" t="n"/>
      <c r="F522" s="39" t="n"/>
      <c r="G522" s="112" t="n"/>
      <c r="H522" s="42" t="n"/>
      <c r="I522" s="42" t="n"/>
      <c r="J522" s="113" t="n"/>
      <c r="K522" s="39" t="n"/>
      <c r="L522" s="39" t="n"/>
      <c r="M522" s="39" t="n"/>
      <c r="N522" s="39" t="n"/>
      <c r="O522" s="39" t="n"/>
      <c r="P522" s="39" t="n"/>
      <c r="Q522" s="39" t="n"/>
      <c r="R522" s="39" t="n"/>
      <c r="S522" s="39" t="n"/>
      <c r="T522" s="39" t="n"/>
      <c r="U522" s="39" t="n"/>
      <c r="V522" s="39" t="n"/>
      <c r="W522" s="39" t="n"/>
      <c r="X522" s="39" t="n"/>
      <c r="Y522" s="39" t="n"/>
      <c r="Z522" s="39" t="n"/>
      <c r="AA522" s="39" t="n"/>
      <c r="AB522" s="39" t="n"/>
      <c r="AC522" s="39" t="n"/>
      <c r="AD522" s="39" t="n"/>
      <c r="AE522" s="39" t="n"/>
      <c r="AF522" s="39" t="n"/>
      <c r="AG522" s="39" t="n"/>
      <c r="AH522" s="39" t="n"/>
      <c r="AI522" s="39" t="n"/>
      <c r="AJ522" s="39" t="n"/>
      <c r="AK522" s="39" t="n"/>
      <c r="AL522" s="39" t="n"/>
      <c r="AM522" s="44" t="n"/>
      <c r="AN522" s="44" t="n"/>
      <c r="AO522" s="44" t="n"/>
      <c r="AP522" s="44" t="n"/>
      <c r="AQ522" s="44" t="n"/>
      <c r="AR522" s="44" t="n"/>
      <c r="AS522" s="45" t="n"/>
      <c r="AT522" s="45" t="n"/>
      <c r="AU522" s="45" t="n"/>
    </row>
    <row r="523">
      <c r="B523" s="39" t="n"/>
      <c r="C523" s="39" t="n"/>
      <c r="D523" s="40" t="n"/>
      <c r="E523" s="39" t="n"/>
      <c r="F523" s="39" t="n"/>
      <c r="G523" s="112" t="n"/>
      <c r="H523" s="42" t="n"/>
      <c r="I523" s="42" t="n"/>
      <c r="J523" s="113" t="n"/>
      <c r="K523" s="39" t="n"/>
      <c r="L523" s="39" t="n"/>
      <c r="M523" s="39" t="n"/>
      <c r="N523" s="39" t="n"/>
      <c r="O523" s="39" t="n"/>
      <c r="P523" s="39" t="n"/>
      <c r="Q523" s="39" t="n"/>
      <c r="R523" s="39" t="n"/>
      <c r="S523" s="39" t="n"/>
      <c r="T523" s="39" t="n"/>
      <c r="U523" s="39" t="n"/>
      <c r="V523" s="39" t="n"/>
      <c r="W523" s="39" t="n"/>
      <c r="X523" s="39" t="n"/>
      <c r="Y523" s="39" t="n"/>
      <c r="Z523" s="39" t="n"/>
      <c r="AA523" s="39" t="n"/>
      <c r="AB523" s="39" t="n"/>
      <c r="AC523" s="39" t="n"/>
      <c r="AD523" s="39" t="n"/>
      <c r="AE523" s="39" t="n"/>
      <c r="AF523" s="39" t="n"/>
      <c r="AG523" s="39" t="n"/>
      <c r="AH523" s="39" t="n"/>
      <c r="AI523" s="39" t="n"/>
      <c r="AJ523" s="39" t="n"/>
      <c r="AK523" s="39" t="n"/>
      <c r="AL523" s="39" t="n"/>
      <c r="AM523" s="44" t="n"/>
      <c r="AN523" s="44" t="n"/>
      <c r="AO523" s="44" t="n"/>
      <c r="AP523" s="44" t="n"/>
      <c r="AQ523" s="44" t="n"/>
      <c r="AR523" s="44" t="n"/>
      <c r="AS523" s="45" t="n"/>
      <c r="AT523" s="45" t="n"/>
      <c r="AU523" s="45" t="n"/>
    </row>
    <row r="524">
      <c r="B524" s="39" t="n"/>
      <c r="C524" s="39" t="n"/>
      <c r="D524" s="40" t="n"/>
      <c r="E524" s="39" t="n"/>
      <c r="F524" s="39" t="n"/>
      <c r="G524" s="112" t="n"/>
      <c r="H524" s="42" t="n"/>
      <c r="I524" s="42" t="n"/>
      <c r="J524" s="113" t="n"/>
      <c r="K524" s="39" t="n"/>
      <c r="L524" s="39" t="n"/>
      <c r="M524" s="39" t="n"/>
      <c r="N524" s="39" t="n"/>
      <c r="O524" s="39" t="n"/>
      <c r="P524" s="39" t="n"/>
      <c r="Q524" s="39" t="n"/>
      <c r="R524" s="39" t="n"/>
      <c r="S524" s="39" t="n"/>
      <c r="T524" s="39" t="n"/>
      <c r="U524" s="39" t="n"/>
      <c r="V524" s="39" t="n"/>
      <c r="W524" s="39" t="n"/>
      <c r="X524" s="39" t="n"/>
      <c r="Y524" s="39" t="n"/>
      <c r="Z524" s="39" t="n"/>
      <c r="AA524" s="39" t="n"/>
      <c r="AB524" s="39" t="n"/>
      <c r="AC524" s="39" t="n"/>
      <c r="AD524" s="39" t="n"/>
      <c r="AE524" s="39" t="n"/>
      <c r="AF524" s="39" t="n"/>
      <c r="AG524" s="39" t="n"/>
      <c r="AH524" s="39" t="n"/>
      <c r="AI524" s="39" t="n"/>
      <c r="AJ524" s="39" t="n"/>
      <c r="AK524" s="39" t="n"/>
      <c r="AL524" s="39" t="n"/>
      <c r="AM524" s="44" t="n"/>
      <c r="AN524" s="44" t="n"/>
      <c r="AO524" s="44" t="n"/>
      <c r="AP524" s="44" t="n"/>
      <c r="AQ524" s="44" t="n"/>
      <c r="AR524" s="44" t="n"/>
      <c r="AS524" s="45" t="n"/>
      <c r="AT524" s="45" t="n"/>
      <c r="AU524" s="45" t="n"/>
    </row>
    <row r="525">
      <c r="B525" s="39" t="n"/>
      <c r="C525" s="39" t="n"/>
      <c r="D525" s="40" t="n"/>
      <c r="E525" s="39" t="n"/>
      <c r="F525" s="39" t="n"/>
      <c r="G525" s="112" t="n"/>
      <c r="H525" s="42" t="n"/>
      <c r="I525" s="42" t="n"/>
      <c r="J525" s="113" t="n"/>
      <c r="K525" s="39" t="n"/>
      <c r="L525" s="39" t="n"/>
      <c r="M525" s="39" t="n"/>
      <c r="N525" s="39" t="n"/>
      <c r="O525" s="39" t="n"/>
      <c r="P525" s="39" t="n"/>
      <c r="Q525" s="39" t="n"/>
      <c r="R525" s="39" t="n"/>
      <c r="S525" s="39" t="n"/>
      <c r="T525" s="39" t="n"/>
      <c r="U525" s="39" t="n"/>
      <c r="V525" s="39" t="n"/>
      <c r="W525" s="39" t="n"/>
      <c r="X525" s="39" t="n"/>
      <c r="Y525" s="39" t="n"/>
      <c r="Z525" s="39" t="n"/>
      <c r="AA525" s="39" t="n"/>
      <c r="AB525" s="39" t="n"/>
      <c r="AC525" s="39" t="n"/>
      <c r="AD525" s="39" t="n"/>
      <c r="AE525" s="39" t="n"/>
      <c r="AF525" s="39" t="n"/>
      <c r="AG525" s="39" t="n"/>
      <c r="AH525" s="39" t="n"/>
      <c r="AI525" s="39" t="n"/>
      <c r="AJ525" s="39" t="n"/>
      <c r="AK525" s="39" t="n"/>
      <c r="AL525" s="39" t="n"/>
      <c r="AM525" s="44" t="n"/>
      <c r="AN525" s="44" t="n"/>
      <c r="AO525" s="44" t="n"/>
      <c r="AP525" s="44" t="n"/>
      <c r="AQ525" s="44" t="n"/>
      <c r="AR525" s="44" t="n"/>
      <c r="AS525" s="45" t="n"/>
      <c r="AT525" s="45" t="n"/>
      <c r="AU525" s="45" t="n"/>
    </row>
    <row r="526">
      <c r="B526" s="39" t="n"/>
      <c r="C526" s="39" t="n"/>
      <c r="D526" s="40" t="n"/>
      <c r="E526" s="39" t="n"/>
      <c r="F526" s="39" t="n"/>
      <c r="G526" s="112" t="n"/>
      <c r="H526" s="42" t="n"/>
      <c r="I526" s="42" t="n"/>
      <c r="J526" s="113" t="n"/>
      <c r="K526" s="39" t="n"/>
      <c r="L526" s="39" t="n"/>
      <c r="M526" s="39" t="n"/>
      <c r="N526" s="39" t="n"/>
      <c r="O526" s="39" t="n"/>
      <c r="P526" s="39" t="n"/>
      <c r="Q526" s="39" t="n"/>
      <c r="R526" s="39" t="n"/>
      <c r="S526" s="39" t="n"/>
      <c r="T526" s="39" t="n"/>
      <c r="U526" s="39" t="n"/>
      <c r="V526" s="39" t="n"/>
      <c r="W526" s="39" t="n"/>
      <c r="X526" s="39" t="n"/>
      <c r="Y526" s="39" t="n"/>
      <c r="Z526" s="39" t="n"/>
      <c r="AA526" s="39" t="n"/>
      <c r="AB526" s="39" t="n"/>
      <c r="AC526" s="39" t="n"/>
      <c r="AD526" s="39" t="n"/>
      <c r="AE526" s="39" t="n"/>
      <c r="AF526" s="39" t="n"/>
      <c r="AG526" s="39" t="n"/>
      <c r="AH526" s="39" t="n"/>
      <c r="AI526" s="39" t="n"/>
      <c r="AJ526" s="39" t="n"/>
      <c r="AK526" s="39" t="n"/>
      <c r="AL526" s="39" t="n"/>
      <c r="AM526" s="44" t="n"/>
      <c r="AN526" s="44" t="n"/>
      <c r="AO526" s="44" t="n"/>
      <c r="AP526" s="44" t="n"/>
      <c r="AQ526" s="44" t="n"/>
      <c r="AR526" s="44" t="n"/>
      <c r="AS526" s="45" t="n"/>
      <c r="AT526" s="45" t="n"/>
      <c r="AU526" s="45" t="n"/>
    </row>
    <row r="527">
      <c r="B527" s="39" t="n"/>
      <c r="C527" s="39" t="n"/>
      <c r="D527" s="40" t="n"/>
      <c r="E527" s="39" t="n"/>
      <c r="F527" s="39" t="n"/>
      <c r="G527" s="112" t="n"/>
      <c r="H527" s="42" t="n"/>
      <c r="I527" s="42" t="n"/>
      <c r="J527" s="113" t="n"/>
      <c r="K527" s="39" t="n"/>
      <c r="L527" s="39" t="n"/>
      <c r="M527" s="39" t="n"/>
      <c r="N527" s="39" t="n"/>
      <c r="O527" s="39" t="n"/>
      <c r="P527" s="39" t="n"/>
      <c r="Q527" s="39" t="n"/>
      <c r="R527" s="39" t="n"/>
      <c r="S527" s="39" t="n"/>
      <c r="T527" s="39" t="n"/>
      <c r="U527" s="39" t="n"/>
      <c r="V527" s="39" t="n"/>
      <c r="W527" s="39" t="n"/>
      <c r="X527" s="39" t="n"/>
      <c r="Y527" s="39" t="n"/>
      <c r="Z527" s="39" t="n"/>
      <c r="AA527" s="39" t="n"/>
      <c r="AB527" s="39" t="n"/>
      <c r="AC527" s="39" t="n"/>
      <c r="AD527" s="39" t="n"/>
      <c r="AE527" s="39" t="n"/>
      <c r="AF527" s="39" t="n"/>
      <c r="AG527" s="39" t="n"/>
      <c r="AH527" s="39" t="n"/>
      <c r="AI527" s="39" t="n"/>
      <c r="AJ527" s="39" t="n"/>
      <c r="AK527" s="39" t="n"/>
      <c r="AL527" s="39" t="n"/>
      <c r="AM527" s="44" t="n"/>
      <c r="AN527" s="44" t="n"/>
      <c r="AO527" s="44" t="n"/>
      <c r="AP527" s="44" t="n"/>
      <c r="AQ527" s="44" t="n"/>
      <c r="AR527" s="44" t="n"/>
      <c r="AS527" s="45" t="n"/>
      <c r="AT527" s="45" t="n"/>
      <c r="AU527" s="45" t="n"/>
    </row>
    <row r="528">
      <c r="B528" s="39" t="n"/>
      <c r="C528" s="39" t="n"/>
      <c r="D528" s="40" t="n"/>
      <c r="E528" s="39" t="n"/>
      <c r="F528" s="39" t="n"/>
      <c r="G528" s="112" t="n"/>
      <c r="H528" s="42" t="n"/>
      <c r="I528" s="42" t="n"/>
      <c r="J528" s="113" t="n"/>
      <c r="K528" s="39" t="n"/>
      <c r="L528" s="39" t="n"/>
      <c r="M528" s="39" t="n"/>
      <c r="N528" s="39" t="n"/>
      <c r="O528" s="39" t="n"/>
      <c r="P528" s="39" t="n"/>
      <c r="Q528" s="39" t="n"/>
      <c r="R528" s="39" t="n"/>
      <c r="S528" s="39" t="n"/>
      <c r="T528" s="39" t="n"/>
      <c r="U528" s="39" t="n"/>
      <c r="V528" s="39" t="n"/>
      <c r="W528" s="39" t="n"/>
      <c r="X528" s="39" t="n"/>
      <c r="Y528" s="39" t="n"/>
      <c r="Z528" s="39" t="n"/>
      <c r="AA528" s="39" t="n"/>
      <c r="AB528" s="39" t="n"/>
      <c r="AC528" s="39" t="n"/>
      <c r="AD528" s="39" t="n"/>
      <c r="AE528" s="39" t="n"/>
      <c r="AF528" s="39" t="n"/>
      <c r="AG528" s="39" t="n"/>
      <c r="AH528" s="39" t="n"/>
      <c r="AI528" s="39" t="n"/>
      <c r="AJ528" s="39" t="n"/>
      <c r="AK528" s="39" t="n"/>
      <c r="AL528" s="39" t="n"/>
      <c r="AM528" s="44" t="n"/>
      <c r="AN528" s="44" t="n"/>
      <c r="AO528" s="44" t="n"/>
      <c r="AP528" s="44" t="n"/>
      <c r="AQ528" s="44" t="n"/>
      <c r="AR528" s="44" t="n"/>
      <c r="AS528" s="45" t="n"/>
      <c r="AT528" s="45" t="n"/>
      <c r="AU528" s="45" t="n"/>
    </row>
    <row r="529">
      <c r="B529" s="39" t="n"/>
      <c r="C529" s="39" t="n"/>
      <c r="D529" s="40" t="n"/>
      <c r="E529" s="39" t="n"/>
      <c r="F529" s="39" t="n"/>
      <c r="G529" s="112" t="n"/>
      <c r="H529" s="42" t="n"/>
      <c r="I529" s="42" t="n"/>
      <c r="J529" s="113" t="n"/>
      <c r="K529" s="39" t="n"/>
      <c r="L529" s="39" t="n"/>
      <c r="M529" s="39" t="n"/>
      <c r="N529" s="39" t="n"/>
      <c r="O529" s="39" t="n"/>
      <c r="P529" s="39" t="n"/>
      <c r="Q529" s="39" t="n"/>
      <c r="R529" s="39" t="n"/>
      <c r="S529" s="39" t="n"/>
      <c r="T529" s="39" t="n"/>
      <c r="U529" s="39" t="n"/>
      <c r="V529" s="39" t="n"/>
      <c r="W529" s="39" t="n"/>
      <c r="X529" s="39" t="n"/>
      <c r="Y529" s="39" t="n"/>
      <c r="Z529" s="39" t="n"/>
      <c r="AA529" s="39" t="n"/>
      <c r="AB529" s="39" t="n"/>
      <c r="AC529" s="39" t="n"/>
      <c r="AD529" s="39" t="n"/>
      <c r="AE529" s="39" t="n"/>
      <c r="AF529" s="39" t="n"/>
      <c r="AG529" s="39" t="n"/>
      <c r="AH529" s="39" t="n"/>
      <c r="AI529" s="39" t="n"/>
      <c r="AJ529" s="39" t="n"/>
      <c r="AK529" s="39" t="n"/>
      <c r="AL529" s="39" t="n"/>
      <c r="AM529" s="44" t="n"/>
      <c r="AN529" s="44" t="n"/>
      <c r="AO529" s="44" t="n"/>
      <c r="AP529" s="44" t="n"/>
      <c r="AQ529" s="44" t="n"/>
      <c r="AR529" s="44" t="n"/>
      <c r="AS529" s="45" t="n"/>
      <c r="AT529" s="45" t="n"/>
      <c r="AU529" s="45" t="n"/>
    </row>
    <row r="530">
      <c r="B530" s="39" t="n"/>
      <c r="C530" s="39" t="n"/>
      <c r="D530" s="40" t="n"/>
      <c r="E530" s="39" t="n"/>
      <c r="F530" s="39" t="n"/>
      <c r="G530" s="112" t="n"/>
      <c r="H530" s="42" t="n"/>
      <c r="I530" s="42" t="n"/>
      <c r="J530" s="113" t="n"/>
      <c r="K530" s="39" t="n"/>
      <c r="L530" s="39" t="n"/>
      <c r="M530" s="39" t="n"/>
      <c r="N530" s="39" t="n"/>
      <c r="O530" s="39" t="n"/>
      <c r="P530" s="39" t="n"/>
      <c r="Q530" s="39" t="n"/>
      <c r="R530" s="39" t="n"/>
      <c r="S530" s="39" t="n"/>
      <c r="T530" s="39" t="n"/>
      <c r="U530" s="39" t="n"/>
      <c r="V530" s="39" t="n"/>
      <c r="W530" s="39" t="n"/>
      <c r="X530" s="39" t="n"/>
      <c r="Y530" s="39" t="n"/>
      <c r="Z530" s="39" t="n"/>
      <c r="AA530" s="39" t="n"/>
      <c r="AB530" s="39" t="n"/>
      <c r="AC530" s="39" t="n"/>
      <c r="AD530" s="39" t="n"/>
      <c r="AE530" s="39" t="n"/>
      <c r="AF530" s="39" t="n"/>
      <c r="AG530" s="39" t="n"/>
      <c r="AH530" s="39" t="n"/>
      <c r="AI530" s="39" t="n"/>
      <c r="AJ530" s="39" t="n"/>
      <c r="AK530" s="39" t="n"/>
      <c r="AL530" s="39" t="n"/>
      <c r="AM530" s="44" t="n"/>
      <c r="AN530" s="44" t="n"/>
      <c r="AO530" s="44" t="n"/>
      <c r="AP530" s="44" t="n"/>
      <c r="AQ530" s="44" t="n"/>
      <c r="AR530" s="44" t="n"/>
      <c r="AS530" s="45" t="n"/>
      <c r="AT530" s="45" t="n"/>
      <c r="AU530" s="45" t="n"/>
    </row>
    <row r="531">
      <c r="B531" s="39" t="n"/>
      <c r="C531" s="39" t="n"/>
      <c r="D531" s="40" t="n"/>
      <c r="E531" s="39" t="n"/>
      <c r="F531" s="39" t="n"/>
      <c r="G531" s="112" t="n"/>
      <c r="H531" s="42" t="n"/>
      <c r="I531" s="42" t="n"/>
      <c r="J531" s="113" t="n"/>
      <c r="K531" s="39" t="n"/>
      <c r="L531" s="39" t="n"/>
      <c r="M531" s="39" t="n"/>
      <c r="N531" s="39" t="n"/>
      <c r="O531" s="39" t="n"/>
      <c r="P531" s="39" t="n"/>
      <c r="Q531" s="39" t="n"/>
      <c r="R531" s="39" t="n"/>
      <c r="S531" s="39" t="n"/>
      <c r="T531" s="39" t="n"/>
      <c r="U531" s="39" t="n"/>
      <c r="V531" s="39" t="n"/>
      <c r="W531" s="39" t="n"/>
      <c r="X531" s="39" t="n"/>
      <c r="Y531" s="39" t="n"/>
      <c r="Z531" s="39" t="n"/>
      <c r="AA531" s="39" t="n"/>
      <c r="AB531" s="39" t="n"/>
      <c r="AC531" s="39" t="n"/>
      <c r="AD531" s="39" t="n"/>
      <c r="AE531" s="39" t="n"/>
      <c r="AF531" s="39" t="n"/>
      <c r="AG531" s="39" t="n"/>
      <c r="AH531" s="39" t="n"/>
      <c r="AI531" s="39" t="n"/>
      <c r="AJ531" s="39" t="n"/>
      <c r="AK531" s="39" t="n"/>
      <c r="AL531" s="39" t="n"/>
      <c r="AM531" s="44" t="n"/>
      <c r="AN531" s="44" t="n"/>
      <c r="AO531" s="44" t="n"/>
      <c r="AP531" s="44" t="n"/>
      <c r="AQ531" s="44" t="n"/>
      <c r="AR531" s="44" t="n"/>
      <c r="AS531" s="45" t="n"/>
      <c r="AT531" s="45" t="n"/>
      <c r="AU531" s="45" t="n"/>
    </row>
    <row r="532">
      <c r="B532" s="39" t="n"/>
      <c r="C532" s="39" t="n"/>
      <c r="D532" s="40" t="n"/>
      <c r="E532" s="39" t="n"/>
      <c r="F532" s="39" t="n"/>
      <c r="G532" s="112" t="n"/>
      <c r="H532" s="42" t="n"/>
      <c r="I532" s="42" t="n"/>
      <c r="J532" s="113" t="n"/>
      <c r="K532" s="39" t="n"/>
      <c r="L532" s="39" t="n"/>
      <c r="M532" s="39" t="n"/>
      <c r="N532" s="39" t="n"/>
      <c r="O532" s="39" t="n"/>
      <c r="P532" s="39" t="n"/>
      <c r="Q532" s="39" t="n"/>
      <c r="R532" s="39" t="n"/>
      <c r="S532" s="39" t="n"/>
      <c r="T532" s="39" t="n"/>
      <c r="U532" s="39" t="n"/>
      <c r="V532" s="39" t="n"/>
      <c r="W532" s="39" t="n"/>
      <c r="X532" s="39" t="n"/>
      <c r="Y532" s="39" t="n"/>
      <c r="Z532" s="39" t="n"/>
      <c r="AA532" s="39" t="n"/>
      <c r="AB532" s="39" t="n"/>
      <c r="AC532" s="39" t="n"/>
      <c r="AD532" s="39" t="n"/>
      <c r="AE532" s="39" t="n"/>
      <c r="AF532" s="39" t="n"/>
      <c r="AG532" s="39" t="n"/>
      <c r="AH532" s="39" t="n"/>
      <c r="AI532" s="39" t="n"/>
      <c r="AJ532" s="39" t="n"/>
      <c r="AK532" s="39" t="n"/>
      <c r="AL532" s="39" t="n"/>
      <c r="AM532" s="44" t="n"/>
      <c r="AN532" s="44" t="n"/>
      <c r="AO532" s="44" t="n"/>
      <c r="AP532" s="44" t="n"/>
      <c r="AQ532" s="44" t="n"/>
      <c r="AR532" s="44" t="n"/>
      <c r="AS532" s="45" t="n"/>
      <c r="AT532" s="45" t="n"/>
      <c r="AU532" s="45" t="n"/>
    </row>
    <row r="533">
      <c r="B533" s="39" t="n"/>
      <c r="C533" s="39" t="n"/>
      <c r="D533" s="40" t="n"/>
      <c r="E533" s="39" t="n"/>
      <c r="F533" s="39" t="n"/>
      <c r="G533" s="112" t="n"/>
      <c r="H533" s="42" t="n"/>
      <c r="I533" s="42" t="n"/>
      <c r="J533" s="113" t="n"/>
      <c r="K533" s="39" t="n"/>
      <c r="L533" s="39" t="n"/>
      <c r="M533" s="39" t="n"/>
      <c r="N533" s="39" t="n"/>
      <c r="O533" s="39" t="n"/>
      <c r="P533" s="39" t="n"/>
      <c r="Q533" s="39" t="n"/>
      <c r="R533" s="39" t="n"/>
      <c r="S533" s="39" t="n"/>
      <c r="T533" s="39" t="n"/>
      <c r="U533" s="39" t="n"/>
      <c r="V533" s="39" t="n"/>
      <c r="W533" s="39" t="n"/>
      <c r="X533" s="39" t="n"/>
      <c r="Y533" s="39" t="n"/>
      <c r="Z533" s="39" t="n"/>
      <c r="AA533" s="39" t="n"/>
      <c r="AB533" s="39" t="n"/>
      <c r="AC533" s="39" t="n"/>
      <c r="AD533" s="39" t="n"/>
      <c r="AE533" s="39" t="n"/>
      <c r="AF533" s="39" t="n"/>
      <c r="AG533" s="39" t="n"/>
      <c r="AH533" s="39" t="n"/>
      <c r="AI533" s="39" t="n"/>
      <c r="AJ533" s="39" t="n"/>
      <c r="AK533" s="39" t="n"/>
      <c r="AL533" s="39" t="n"/>
      <c r="AM533" s="44" t="n"/>
      <c r="AN533" s="44" t="n"/>
      <c r="AO533" s="44" t="n"/>
      <c r="AP533" s="44" t="n"/>
      <c r="AQ533" s="44" t="n"/>
      <c r="AR533" s="44" t="n"/>
      <c r="AS533" s="45" t="n"/>
      <c r="AT533" s="45" t="n"/>
      <c r="AU533" s="45" t="n"/>
    </row>
    <row r="534">
      <c r="B534" s="39" t="n"/>
      <c r="C534" s="39" t="n"/>
      <c r="D534" s="40" t="n"/>
      <c r="E534" s="39" t="n"/>
      <c r="F534" s="39" t="n"/>
      <c r="G534" s="112" t="n"/>
      <c r="H534" s="42" t="n"/>
      <c r="I534" s="42" t="n"/>
      <c r="J534" s="113" t="n"/>
      <c r="K534" s="39" t="n"/>
      <c r="L534" s="39" t="n"/>
      <c r="M534" s="39" t="n"/>
      <c r="N534" s="39" t="n"/>
      <c r="O534" s="39" t="n"/>
      <c r="P534" s="39" t="n"/>
      <c r="Q534" s="39" t="n"/>
      <c r="R534" s="39" t="n"/>
      <c r="S534" s="39" t="n"/>
      <c r="T534" s="39" t="n"/>
      <c r="U534" s="39" t="n"/>
      <c r="V534" s="39" t="n"/>
      <c r="W534" s="39" t="n"/>
      <c r="X534" s="39" t="n"/>
      <c r="Y534" s="39" t="n"/>
      <c r="Z534" s="39" t="n"/>
      <c r="AA534" s="39" t="n"/>
      <c r="AB534" s="39" t="n"/>
      <c r="AC534" s="39" t="n"/>
      <c r="AD534" s="39" t="n"/>
      <c r="AE534" s="39" t="n"/>
      <c r="AF534" s="39" t="n"/>
      <c r="AG534" s="39" t="n"/>
      <c r="AH534" s="39" t="n"/>
      <c r="AI534" s="39" t="n"/>
      <c r="AJ534" s="39" t="n"/>
      <c r="AK534" s="39" t="n"/>
      <c r="AL534" s="39" t="n"/>
      <c r="AM534" s="44" t="n"/>
      <c r="AN534" s="44" t="n"/>
      <c r="AO534" s="44" t="n"/>
      <c r="AP534" s="44" t="n"/>
      <c r="AQ534" s="44" t="n"/>
      <c r="AR534" s="44" t="n"/>
      <c r="AS534" s="45" t="n"/>
      <c r="AT534" s="45" t="n"/>
      <c r="AU534" s="45" t="n"/>
    </row>
    <row r="535">
      <c r="B535" s="39" t="n"/>
      <c r="C535" s="39" t="n"/>
      <c r="D535" s="40" t="n"/>
      <c r="E535" s="39" t="n"/>
      <c r="F535" s="39" t="n"/>
      <c r="G535" s="112" t="n"/>
      <c r="H535" s="42" t="n"/>
      <c r="I535" s="42" t="n"/>
      <c r="J535" s="113" t="n"/>
      <c r="K535" s="39" t="n"/>
      <c r="L535" s="39" t="n"/>
      <c r="M535" s="39" t="n"/>
      <c r="N535" s="39" t="n"/>
      <c r="O535" s="39" t="n"/>
      <c r="P535" s="39" t="n"/>
      <c r="Q535" s="39" t="n"/>
      <c r="R535" s="39" t="n"/>
      <c r="S535" s="39" t="n"/>
      <c r="T535" s="39" t="n"/>
      <c r="U535" s="39" t="n"/>
      <c r="V535" s="39" t="n"/>
      <c r="W535" s="39" t="n"/>
      <c r="X535" s="39" t="n"/>
      <c r="Y535" s="39" t="n"/>
      <c r="Z535" s="39" t="n"/>
      <c r="AA535" s="39" t="n"/>
      <c r="AB535" s="39" t="n"/>
      <c r="AC535" s="39" t="n"/>
      <c r="AD535" s="39" t="n"/>
      <c r="AE535" s="39" t="n"/>
      <c r="AF535" s="39" t="n"/>
      <c r="AG535" s="39" t="n"/>
      <c r="AH535" s="39" t="n"/>
      <c r="AI535" s="39" t="n"/>
      <c r="AJ535" s="39" t="n"/>
      <c r="AK535" s="39" t="n"/>
      <c r="AL535" s="39" t="n"/>
      <c r="AM535" s="44" t="n"/>
      <c r="AN535" s="44" t="n"/>
      <c r="AO535" s="44" t="n"/>
      <c r="AP535" s="44" t="n"/>
      <c r="AQ535" s="44" t="n"/>
      <c r="AR535" s="44" t="n"/>
      <c r="AS535" s="45" t="n"/>
      <c r="AT535" s="45" t="n"/>
      <c r="AU535" s="45" t="n"/>
    </row>
    <row r="536">
      <c r="B536" s="39" t="n"/>
      <c r="C536" s="39" t="n"/>
      <c r="D536" s="40" t="n"/>
      <c r="E536" s="39" t="n"/>
      <c r="F536" s="39" t="n"/>
      <c r="G536" s="112" t="n"/>
      <c r="H536" s="42" t="n"/>
      <c r="I536" s="42" t="n"/>
      <c r="J536" s="113" t="n"/>
      <c r="K536" s="39" t="n"/>
      <c r="L536" s="39" t="n"/>
      <c r="M536" s="39" t="n"/>
      <c r="N536" s="39" t="n"/>
      <c r="O536" s="39" t="n"/>
      <c r="P536" s="39" t="n"/>
      <c r="Q536" s="39" t="n"/>
      <c r="R536" s="39" t="n"/>
      <c r="S536" s="39" t="n"/>
      <c r="T536" s="39" t="n"/>
      <c r="U536" s="39" t="n"/>
      <c r="V536" s="39" t="n"/>
      <c r="W536" s="39" t="n"/>
      <c r="X536" s="39" t="n"/>
      <c r="Y536" s="39" t="n"/>
      <c r="Z536" s="39" t="n"/>
      <c r="AA536" s="39" t="n"/>
      <c r="AB536" s="39" t="n"/>
      <c r="AC536" s="39" t="n"/>
      <c r="AD536" s="39" t="n"/>
      <c r="AE536" s="39" t="n"/>
      <c r="AF536" s="39" t="n"/>
      <c r="AG536" s="39" t="n"/>
      <c r="AH536" s="39" t="n"/>
      <c r="AI536" s="39" t="n"/>
      <c r="AJ536" s="39" t="n"/>
      <c r="AK536" s="39" t="n"/>
      <c r="AL536" s="39" t="n"/>
      <c r="AM536" s="44" t="n"/>
      <c r="AN536" s="44" t="n"/>
      <c r="AO536" s="44" t="n"/>
      <c r="AP536" s="44" t="n"/>
      <c r="AQ536" s="44" t="n"/>
      <c r="AR536" s="44" t="n"/>
      <c r="AS536" s="45" t="n"/>
      <c r="AT536" s="45" t="n"/>
      <c r="AU536" s="45" t="n"/>
    </row>
    <row r="537">
      <c r="B537" s="39" t="n"/>
      <c r="C537" s="39" t="n"/>
      <c r="D537" s="40" t="n"/>
      <c r="E537" s="39" t="n"/>
      <c r="F537" s="39" t="n"/>
      <c r="G537" s="112" t="n"/>
      <c r="H537" s="42" t="n"/>
      <c r="I537" s="42" t="n"/>
      <c r="J537" s="113" t="n"/>
      <c r="K537" s="39" t="n"/>
      <c r="L537" s="39" t="n"/>
      <c r="M537" s="39" t="n"/>
      <c r="N537" s="39" t="n"/>
      <c r="O537" s="39" t="n"/>
      <c r="P537" s="39" t="n"/>
      <c r="Q537" s="39" t="n"/>
      <c r="R537" s="39" t="n"/>
      <c r="S537" s="39" t="n"/>
      <c r="T537" s="39" t="n"/>
      <c r="U537" s="39" t="n"/>
      <c r="V537" s="39" t="n"/>
      <c r="W537" s="39" t="n"/>
      <c r="X537" s="39" t="n"/>
      <c r="Y537" s="39" t="n"/>
      <c r="Z537" s="39" t="n"/>
      <c r="AA537" s="39" t="n"/>
      <c r="AB537" s="39" t="n"/>
      <c r="AC537" s="39" t="n"/>
      <c r="AD537" s="39" t="n"/>
      <c r="AE537" s="39" t="n"/>
      <c r="AF537" s="39" t="n"/>
      <c r="AG537" s="39" t="n"/>
      <c r="AH537" s="39" t="n"/>
      <c r="AI537" s="39" t="n"/>
      <c r="AJ537" s="39" t="n"/>
      <c r="AK537" s="39" t="n"/>
      <c r="AL537" s="39" t="n"/>
      <c r="AM537" s="44" t="n"/>
      <c r="AN537" s="44" t="n"/>
      <c r="AO537" s="44" t="n"/>
      <c r="AP537" s="44" t="n"/>
      <c r="AQ537" s="44" t="n"/>
      <c r="AR537" s="44" t="n"/>
      <c r="AS537" s="45" t="n"/>
      <c r="AT537" s="45" t="n"/>
      <c r="AU537" s="45" t="n"/>
    </row>
    <row r="538">
      <c r="B538" s="39" t="n"/>
      <c r="C538" s="39" t="n"/>
      <c r="D538" s="40" t="n"/>
      <c r="E538" s="39" t="n"/>
      <c r="F538" s="39" t="n"/>
      <c r="G538" s="112" t="n"/>
      <c r="H538" s="42" t="n"/>
      <c r="I538" s="42" t="n"/>
      <c r="J538" s="113" t="n"/>
      <c r="K538" s="39" t="n"/>
      <c r="L538" s="39" t="n"/>
      <c r="M538" s="39" t="n"/>
      <c r="N538" s="39" t="n"/>
      <c r="O538" s="39" t="n"/>
      <c r="P538" s="39" t="n"/>
      <c r="Q538" s="39" t="n"/>
      <c r="R538" s="39" t="n"/>
      <c r="S538" s="39" t="n"/>
      <c r="T538" s="39" t="n"/>
      <c r="U538" s="39" t="n"/>
      <c r="V538" s="39" t="n"/>
      <c r="W538" s="39" t="n"/>
      <c r="X538" s="39" t="n"/>
      <c r="Y538" s="39" t="n"/>
      <c r="Z538" s="39" t="n"/>
      <c r="AA538" s="39" t="n"/>
      <c r="AB538" s="39" t="n"/>
      <c r="AC538" s="39" t="n"/>
      <c r="AD538" s="39" t="n"/>
      <c r="AE538" s="39" t="n"/>
      <c r="AF538" s="39" t="n"/>
      <c r="AG538" s="39" t="n"/>
      <c r="AH538" s="39" t="n"/>
      <c r="AI538" s="39" t="n"/>
      <c r="AJ538" s="39" t="n"/>
      <c r="AK538" s="39" t="n"/>
      <c r="AL538" s="39" t="n"/>
      <c r="AM538" s="44" t="n"/>
      <c r="AN538" s="44" t="n"/>
      <c r="AO538" s="44" t="n"/>
      <c r="AP538" s="44" t="n"/>
      <c r="AQ538" s="44" t="n"/>
      <c r="AR538" s="44" t="n"/>
      <c r="AS538" s="45" t="n"/>
      <c r="AT538" s="45" t="n"/>
      <c r="AU538" s="45" t="n"/>
    </row>
    <row r="539">
      <c r="B539" s="39" t="n"/>
      <c r="C539" s="39" t="n"/>
      <c r="D539" s="40" t="n"/>
      <c r="E539" s="39" t="n"/>
      <c r="F539" s="39" t="n"/>
      <c r="G539" s="112" t="n"/>
      <c r="H539" s="42" t="n"/>
      <c r="I539" s="42" t="n"/>
      <c r="J539" s="113" t="n"/>
      <c r="K539" s="39" t="n"/>
      <c r="L539" s="39" t="n"/>
      <c r="M539" s="39" t="n"/>
      <c r="N539" s="39" t="n"/>
      <c r="O539" s="39" t="n"/>
      <c r="P539" s="39" t="n"/>
      <c r="Q539" s="39" t="n"/>
      <c r="R539" s="39" t="n"/>
      <c r="S539" s="39" t="n"/>
      <c r="T539" s="39" t="n"/>
      <c r="U539" s="39" t="n"/>
      <c r="V539" s="39" t="n"/>
      <c r="W539" s="39" t="n"/>
      <c r="X539" s="39" t="n"/>
      <c r="Y539" s="39" t="n"/>
      <c r="Z539" s="39" t="n"/>
      <c r="AA539" s="39" t="n"/>
      <c r="AB539" s="39" t="n"/>
      <c r="AC539" s="39" t="n"/>
      <c r="AD539" s="39" t="n"/>
      <c r="AE539" s="39" t="n"/>
      <c r="AF539" s="39" t="n"/>
      <c r="AG539" s="39" t="n"/>
      <c r="AH539" s="39" t="n"/>
      <c r="AI539" s="39" t="n"/>
      <c r="AJ539" s="39" t="n"/>
      <c r="AK539" s="39" t="n"/>
      <c r="AL539" s="39" t="n"/>
      <c r="AM539" s="44" t="n"/>
      <c r="AN539" s="44" t="n"/>
      <c r="AO539" s="44" t="n"/>
      <c r="AP539" s="44" t="n"/>
      <c r="AQ539" s="44" t="n"/>
      <c r="AR539" s="44" t="n"/>
      <c r="AS539" s="45" t="n"/>
      <c r="AT539" s="45" t="n"/>
      <c r="AU539" s="45" t="n"/>
    </row>
    <row r="540">
      <c r="B540" s="39" t="n"/>
      <c r="C540" s="39" t="n"/>
      <c r="D540" s="40" t="n"/>
      <c r="E540" s="39" t="n"/>
      <c r="F540" s="39" t="n"/>
      <c r="G540" s="112" t="n"/>
      <c r="H540" s="42" t="n"/>
      <c r="I540" s="42" t="n"/>
      <c r="J540" s="113" t="n"/>
      <c r="K540" s="39" t="n"/>
      <c r="L540" s="39" t="n"/>
      <c r="M540" s="39" t="n"/>
      <c r="N540" s="39" t="n"/>
      <c r="O540" s="39" t="n"/>
      <c r="P540" s="39" t="n"/>
      <c r="Q540" s="39" t="n"/>
      <c r="R540" s="39" t="n"/>
      <c r="S540" s="39" t="n"/>
      <c r="T540" s="39" t="n"/>
      <c r="U540" s="39" t="n"/>
      <c r="V540" s="39" t="n"/>
      <c r="W540" s="39" t="n"/>
      <c r="X540" s="39" t="n"/>
      <c r="Y540" s="39" t="n"/>
      <c r="Z540" s="39" t="n"/>
      <c r="AA540" s="39" t="n"/>
      <c r="AB540" s="39" t="n"/>
      <c r="AC540" s="39" t="n"/>
      <c r="AD540" s="39" t="n"/>
      <c r="AE540" s="39" t="n"/>
      <c r="AF540" s="39" t="n"/>
      <c r="AG540" s="39" t="n"/>
      <c r="AH540" s="39" t="n"/>
      <c r="AI540" s="39" t="n"/>
      <c r="AJ540" s="39" t="n"/>
      <c r="AK540" s="39" t="n"/>
      <c r="AL540" s="39" t="n"/>
      <c r="AM540" s="44" t="n"/>
      <c r="AN540" s="44" t="n"/>
      <c r="AO540" s="44" t="n"/>
      <c r="AP540" s="44" t="n"/>
      <c r="AQ540" s="44" t="n"/>
      <c r="AR540" s="44" t="n"/>
      <c r="AS540" s="45" t="n"/>
      <c r="AT540" s="45" t="n"/>
      <c r="AU540" s="45" t="n"/>
    </row>
    <row r="541">
      <c r="B541" s="39" t="n"/>
      <c r="C541" s="39" t="n"/>
      <c r="D541" s="40" t="n"/>
      <c r="E541" s="39" t="n"/>
      <c r="F541" s="39" t="n"/>
      <c r="G541" s="112" t="n"/>
      <c r="H541" s="42" t="n"/>
      <c r="I541" s="42" t="n"/>
      <c r="J541" s="113" t="n"/>
      <c r="K541" s="39" t="n"/>
      <c r="L541" s="39" t="n"/>
      <c r="M541" s="39" t="n"/>
      <c r="N541" s="39" t="n"/>
      <c r="O541" s="39" t="n"/>
      <c r="P541" s="39" t="n"/>
      <c r="Q541" s="39" t="n"/>
      <c r="R541" s="39" t="n"/>
      <c r="S541" s="39" t="n"/>
      <c r="T541" s="39" t="n"/>
      <c r="U541" s="39" t="n"/>
      <c r="V541" s="39" t="n"/>
      <c r="W541" s="39" t="n"/>
      <c r="X541" s="39" t="n"/>
      <c r="Y541" s="39" t="n"/>
      <c r="Z541" s="39" t="n"/>
      <c r="AA541" s="39" t="n"/>
      <c r="AB541" s="39" t="n"/>
      <c r="AC541" s="39" t="n"/>
      <c r="AD541" s="39" t="n"/>
      <c r="AE541" s="39" t="n"/>
      <c r="AF541" s="39" t="n"/>
      <c r="AG541" s="39" t="n"/>
      <c r="AH541" s="39" t="n"/>
      <c r="AI541" s="39" t="n"/>
      <c r="AJ541" s="39" t="n"/>
      <c r="AK541" s="39" t="n"/>
      <c r="AL541" s="39" t="n"/>
      <c r="AM541" s="44" t="n"/>
      <c r="AN541" s="44" t="n"/>
      <c r="AO541" s="44" t="n"/>
      <c r="AP541" s="44" t="n"/>
      <c r="AQ541" s="44" t="n"/>
      <c r="AR541" s="44" t="n"/>
      <c r="AS541" s="45" t="n"/>
      <c r="AT541" s="45" t="n"/>
      <c r="AU541" s="45" t="n"/>
    </row>
    <row r="542">
      <c r="B542" s="39" t="n"/>
      <c r="C542" s="39" t="n"/>
      <c r="D542" s="40" t="n"/>
      <c r="E542" s="39" t="n"/>
      <c r="F542" s="39" t="n"/>
      <c r="G542" s="112" t="n"/>
      <c r="H542" s="42" t="n"/>
      <c r="I542" s="42" t="n"/>
      <c r="J542" s="113" t="n"/>
      <c r="K542" s="39" t="n"/>
      <c r="L542" s="39" t="n"/>
      <c r="M542" s="39" t="n"/>
      <c r="N542" s="39" t="n"/>
      <c r="O542" s="39" t="n"/>
      <c r="P542" s="39" t="n"/>
      <c r="Q542" s="39" t="n"/>
      <c r="R542" s="39" t="n"/>
      <c r="S542" s="39" t="n"/>
      <c r="T542" s="39" t="n"/>
      <c r="U542" s="39" t="n"/>
      <c r="V542" s="39" t="n"/>
      <c r="W542" s="39" t="n"/>
      <c r="X542" s="39" t="n"/>
      <c r="Y542" s="39" t="n"/>
      <c r="Z542" s="39" t="n"/>
      <c r="AA542" s="39" t="n"/>
      <c r="AB542" s="39" t="n"/>
      <c r="AC542" s="39" t="n"/>
      <c r="AD542" s="39" t="n"/>
      <c r="AE542" s="39" t="n"/>
      <c r="AF542" s="39" t="n"/>
      <c r="AG542" s="39" t="n"/>
      <c r="AH542" s="39" t="n"/>
      <c r="AI542" s="39" t="n"/>
      <c r="AJ542" s="39" t="n"/>
      <c r="AK542" s="39" t="n"/>
      <c r="AL542" s="39" t="n"/>
      <c r="AM542" s="44" t="n"/>
      <c r="AN542" s="44" t="n"/>
      <c r="AO542" s="44" t="n"/>
      <c r="AP542" s="44" t="n"/>
      <c r="AQ542" s="44" t="n"/>
      <c r="AR542" s="44" t="n"/>
      <c r="AS542" s="45" t="n"/>
      <c r="AT542" s="45" t="n"/>
      <c r="AU542" s="45" t="n"/>
    </row>
    <row r="543">
      <c r="B543" s="39" t="n"/>
      <c r="C543" s="39" t="n"/>
      <c r="D543" s="40" t="n"/>
      <c r="E543" s="39" t="n"/>
      <c r="F543" s="39" t="n"/>
      <c r="G543" s="112" t="n"/>
      <c r="H543" s="42" t="n"/>
      <c r="I543" s="42" t="n"/>
      <c r="J543" s="113" t="n"/>
      <c r="K543" s="39" t="n"/>
      <c r="L543" s="39" t="n"/>
      <c r="M543" s="39" t="n"/>
      <c r="N543" s="39" t="n"/>
      <c r="O543" s="39" t="n"/>
      <c r="P543" s="39" t="n"/>
      <c r="Q543" s="39" t="n"/>
      <c r="R543" s="39" t="n"/>
      <c r="S543" s="39" t="n"/>
      <c r="T543" s="39" t="n"/>
      <c r="U543" s="39" t="n"/>
      <c r="V543" s="39" t="n"/>
      <c r="W543" s="39" t="n"/>
      <c r="X543" s="39" t="n"/>
      <c r="Y543" s="39" t="n"/>
      <c r="Z543" s="39" t="n"/>
      <c r="AA543" s="39" t="n"/>
      <c r="AB543" s="39" t="n"/>
      <c r="AC543" s="39" t="n"/>
      <c r="AD543" s="39" t="n"/>
      <c r="AE543" s="39" t="n"/>
      <c r="AF543" s="39" t="n"/>
      <c r="AG543" s="39" t="n"/>
      <c r="AH543" s="39" t="n"/>
      <c r="AI543" s="39" t="n"/>
      <c r="AJ543" s="39" t="n"/>
      <c r="AK543" s="39" t="n"/>
      <c r="AL543" s="39" t="n"/>
      <c r="AM543" s="44" t="n"/>
      <c r="AN543" s="44" t="n"/>
      <c r="AO543" s="44" t="n"/>
      <c r="AP543" s="44" t="n"/>
      <c r="AQ543" s="44" t="n"/>
      <c r="AR543" s="44" t="n"/>
      <c r="AS543" s="45" t="n"/>
      <c r="AT543" s="45" t="n"/>
      <c r="AU543" s="45" t="n"/>
    </row>
    <row r="544">
      <c r="B544" s="39" t="n"/>
      <c r="C544" s="39" t="n"/>
      <c r="D544" s="40" t="n"/>
      <c r="E544" s="39" t="n"/>
      <c r="F544" s="39" t="n"/>
      <c r="G544" s="112" t="n"/>
      <c r="H544" s="42" t="n"/>
      <c r="I544" s="42" t="n"/>
      <c r="J544" s="113" t="n"/>
      <c r="K544" s="39" t="n"/>
      <c r="L544" s="39" t="n"/>
      <c r="M544" s="39" t="n"/>
      <c r="N544" s="39" t="n"/>
      <c r="O544" s="39" t="n"/>
      <c r="P544" s="39" t="n"/>
      <c r="Q544" s="39" t="n"/>
      <c r="R544" s="39" t="n"/>
      <c r="S544" s="39" t="n"/>
      <c r="T544" s="39" t="n"/>
      <c r="U544" s="39" t="n"/>
      <c r="V544" s="39" t="n"/>
      <c r="W544" s="39" t="n"/>
      <c r="X544" s="39" t="n"/>
      <c r="Y544" s="39" t="n"/>
      <c r="Z544" s="39" t="n"/>
      <c r="AA544" s="39" t="n"/>
      <c r="AB544" s="39" t="n"/>
      <c r="AC544" s="39" t="n"/>
      <c r="AD544" s="39" t="n"/>
      <c r="AE544" s="39" t="n"/>
      <c r="AF544" s="39" t="n"/>
      <c r="AG544" s="39" t="n"/>
      <c r="AH544" s="39" t="n"/>
      <c r="AI544" s="39" t="n"/>
      <c r="AJ544" s="39" t="n"/>
      <c r="AK544" s="39" t="n"/>
      <c r="AL544" s="39" t="n"/>
      <c r="AM544" s="44" t="n"/>
      <c r="AN544" s="44" t="n"/>
      <c r="AO544" s="44" t="n"/>
      <c r="AP544" s="44" t="n"/>
      <c r="AQ544" s="44" t="n"/>
      <c r="AR544" s="44" t="n"/>
      <c r="AS544" s="45" t="n"/>
      <c r="AT544" s="45" t="n"/>
      <c r="AU544" s="45" t="n"/>
    </row>
    <row r="545">
      <c r="B545" s="39" t="n"/>
      <c r="C545" s="39" t="n"/>
      <c r="D545" s="40" t="n"/>
      <c r="E545" s="39" t="n"/>
      <c r="F545" s="39" t="n"/>
      <c r="G545" s="112" t="n"/>
      <c r="H545" s="42" t="n"/>
      <c r="I545" s="42" t="n"/>
      <c r="J545" s="113" t="n"/>
      <c r="K545" s="39" t="n"/>
      <c r="L545" s="39" t="n"/>
      <c r="M545" s="39" t="n"/>
      <c r="N545" s="39" t="n"/>
      <c r="O545" s="39" t="n"/>
      <c r="P545" s="39" t="n"/>
      <c r="Q545" s="39" t="n"/>
      <c r="R545" s="39" t="n"/>
      <c r="S545" s="39" t="n"/>
      <c r="T545" s="39" t="n"/>
      <c r="U545" s="39" t="n"/>
      <c r="V545" s="39" t="n"/>
      <c r="W545" s="39" t="n"/>
      <c r="X545" s="39" t="n"/>
      <c r="Y545" s="39" t="n"/>
      <c r="Z545" s="39" t="n"/>
      <c r="AA545" s="39" t="n"/>
      <c r="AB545" s="39" t="n"/>
      <c r="AC545" s="39" t="n"/>
      <c r="AD545" s="39" t="n"/>
      <c r="AE545" s="39" t="n"/>
      <c r="AF545" s="39" t="n"/>
      <c r="AG545" s="39" t="n"/>
      <c r="AH545" s="39" t="n"/>
      <c r="AI545" s="39" t="n"/>
      <c r="AJ545" s="39" t="n"/>
      <c r="AK545" s="39" t="n"/>
      <c r="AL545" s="39" t="n"/>
      <c r="AM545" s="44" t="n"/>
      <c r="AN545" s="44" t="n"/>
      <c r="AO545" s="44" t="n"/>
      <c r="AP545" s="44" t="n"/>
      <c r="AQ545" s="44" t="n"/>
      <c r="AR545" s="44" t="n"/>
      <c r="AS545" s="45" t="n"/>
      <c r="AT545" s="45" t="n"/>
      <c r="AU545" s="45" t="n"/>
    </row>
    <row r="546">
      <c r="B546" s="39" t="n"/>
      <c r="C546" s="39" t="n"/>
      <c r="D546" s="40" t="n"/>
      <c r="E546" s="39" t="n"/>
      <c r="F546" s="39" t="n"/>
      <c r="G546" s="112" t="n"/>
      <c r="H546" s="42" t="n"/>
      <c r="I546" s="42" t="n"/>
      <c r="J546" s="113" t="n"/>
      <c r="K546" s="39" t="n"/>
      <c r="L546" s="39" t="n"/>
      <c r="M546" s="39" t="n"/>
      <c r="N546" s="39" t="n"/>
      <c r="O546" s="39" t="n"/>
      <c r="P546" s="39" t="n"/>
      <c r="Q546" s="39" t="n"/>
      <c r="R546" s="39" t="n"/>
      <c r="S546" s="39" t="n"/>
      <c r="T546" s="39" t="n"/>
      <c r="U546" s="39" t="n"/>
      <c r="V546" s="39" t="n"/>
      <c r="W546" s="39" t="n"/>
      <c r="X546" s="39" t="n"/>
      <c r="Y546" s="39" t="n"/>
      <c r="Z546" s="39" t="n"/>
      <c r="AA546" s="39" t="n"/>
      <c r="AB546" s="39" t="n"/>
      <c r="AC546" s="39" t="n"/>
      <c r="AD546" s="39" t="n"/>
      <c r="AE546" s="39" t="n"/>
      <c r="AF546" s="39" t="n"/>
      <c r="AG546" s="39" t="n"/>
      <c r="AH546" s="39" t="n"/>
      <c r="AI546" s="39" t="n"/>
      <c r="AJ546" s="39" t="n"/>
      <c r="AK546" s="39" t="n"/>
      <c r="AL546" s="39" t="n"/>
      <c r="AM546" s="44" t="n"/>
      <c r="AN546" s="44" t="n"/>
      <c r="AO546" s="44" t="n"/>
      <c r="AP546" s="44" t="n"/>
      <c r="AQ546" s="44" t="n"/>
      <c r="AR546" s="44" t="n"/>
      <c r="AS546" s="45" t="n"/>
      <c r="AT546" s="45" t="n"/>
      <c r="AU546" s="45" t="n"/>
    </row>
    <row r="547">
      <c r="B547" s="39" t="n"/>
      <c r="C547" s="39" t="n"/>
      <c r="D547" s="40" t="n"/>
      <c r="E547" s="39" t="n"/>
      <c r="F547" s="39" t="n"/>
      <c r="G547" s="112" t="n"/>
      <c r="H547" s="42" t="n"/>
      <c r="I547" s="42" t="n"/>
      <c r="J547" s="113" t="n"/>
      <c r="K547" s="39" t="n"/>
      <c r="L547" s="39" t="n"/>
      <c r="M547" s="39" t="n"/>
      <c r="N547" s="39" t="n"/>
      <c r="O547" s="39" t="n"/>
      <c r="P547" s="39" t="n"/>
      <c r="Q547" s="39" t="n"/>
      <c r="R547" s="39" t="n"/>
      <c r="S547" s="39" t="n"/>
      <c r="T547" s="39" t="n"/>
      <c r="U547" s="39" t="n"/>
      <c r="V547" s="39" t="n"/>
      <c r="W547" s="39" t="n"/>
      <c r="X547" s="39" t="n"/>
      <c r="Y547" s="39" t="n"/>
      <c r="Z547" s="39" t="n"/>
      <c r="AA547" s="39" t="n"/>
      <c r="AB547" s="39" t="n"/>
      <c r="AC547" s="39" t="n"/>
      <c r="AD547" s="39" t="n"/>
      <c r="AE547" s="39" t="n"/>
      <c r="AF547" s="39" t="n"/>
      <c r="AG547" s="39" t="n"/>
      <c r="AH547" s="39" t="n"/>
      <c r="AI547" s="39" t="n"/>
      <c r="AJ547" s="39" t="n"/>
      <c r="AK547" s="39" t="n"/>
      <c r="AL547" s="39" t="n"/>
      <c r="AM547" s="44" t="n"/>
      <c r="AN547" s="44" t="n"/>
      <c r="AO547" s="44" t="n"/>
      <c r="AP547" s="44" t="n"/>
      <c r="AQ547" s="44" t="n"/>
      <c r="AR547" s="44" t="n"/>
      <c r="AS547" s="45" t="n"/>
      <c r="AT547" s="45" t="n"/>
      <c r="AU547" s="45" t="n"/>
    </row>
    <row r="548">
      <c r="B548" s="39" t="n"/>
      <c r="C548" s="39" t="n"/>
      <c r="D548" s="40" t="n"/>
      <c r="E548" s="39" t="n"/>
      <c r="F548" s="39" t="n"/>
      <c r="G548" s="112" t="n"/>
      <c r="H548" s="42" t="n"/>
      <c r="I548" s="42" t="n"/>
      <c r="J548" s="113" t="n"/>
      <c r="K548" s="39" t="n"/>
      <c r="L548" s="39" t="n"/>
      <c r="M548" s="39" t="n"/>
      <c r="N548" s="39" t="n"/>
      <c r="O548" s="39" t="n"/>
      <c r="P548" s="39" t="n"/>
      <c r="Q548" s="39" t="n"/>
      <c r="R548" s="39" t="n"/>
      <c r="S548" s="39" t="n"/>
      <c r="T548" s="39" t="n"/>
      <c r="U548" s="39" t="n"/>
      <c r="V548" s="39" t="n"/>
      <c r="W548" s="39" t="n"/>
      <c r="X548" s="39" t="n"/>
      <c r="Y548" s="39" t="n"/>
      <c r="Z548" s="39" t="n"/>
      <c r="AA548" s="39" t="n"/>
      <c r="AB548" s="39" t="n"/>
      <c r="AC548" s="39" t="n"/>
      <c r="AD548" s="39" t="n"/>
      <c r="AE548" s="39" t="n"/>
      <c r="AF548" s="39" t="n"/>
      <c r="AG548" s="39" t="n"/>
      <c r="AH548" s="39" t="n"/>
      <c r="AI548" s="39" t="n"/>
      <c r="AJ548" s="39" t="n"/>
      <c r="AK548" s="39" t="n"/>
      <c r="AL548" s="39" t="n"/>
      <c r="AM548" s="44" t="n"/>
      <c r="AN548" s="44" t="n"/>
      <c r="AO548" s="44" t="n"/>
      <c r="AP548" s="44" t="n"/>
      <c r="AQ548" s="44" t="n"/>
      <c r="AR548" s="44" t="n"/>
      <c r="AS548" s="45" t="n"/>
      <c r="AT548" s="45" t="n"/>
      <c r="AU548" s="45" t="n"/>
    </row>
    <row r="549">
      <c r="B549" s="39" t="n"/>
      <c r="C549" s="39" t="n"/>
      <c r="D549" s="40" t="n"/>
      <c r="E549" s="39" t="n"/>
      <c r="F549" s="39" t="n"/>
      <c r="G549" s="112" t="n"/>
      <c r="H549" s="42" t="n"/>
      <c r="I549" s="42" t="n"/>
      <c r="J549" s="113" t="n"/>
      <c r="K549" s="39" t="n"/>
      <c r="L549" s="39" t="n"/>
      <c r="M549" s="39" t="n"/>
      <c r="N549" s="39" t="n"/>
      <c r="O549" s="39" t="n"/>
      <c r="P549" s="39" t="n"/>
      <c r="Q549" s="39" t="n"/>
      <c r="R549" s="39" t="n"/>
      <c r="S549" s="39" t="n"/>
      <c r="T549" s="39" t="n"/>
      <c r="U549" s="39" t="n"/>
      <c r="V549" s="39" t="n"/>
      <c r="W549" s="39" t="n"/>
      <c r="X549" s="39" t="n"/>
      <c r="Y549" s="39" t="n"/>
      <c r="Z549" s="39" t="n"/>
      <c r="AA549" s="39" t="n"/>
      <c r="AB549" s="39" t="n"/>
      <c r="AC549" s="39" t="n"/>
      <c r="AD549" s="39" t="n"/>
      <c r="AE549" s="39" t="n"/>
      <c r="AF549" s="39" t="n"/>
      <c r="AG549" s="39" t="n"/>
      <c r="AH549" s="39" t="n"/>
      <c r="AI549" s="39" t="n"/>
      <c r="AJ549" s="39" t="n"/>
      <c r="AK549" s="39" t="n"/>
      <c r="AL549" s="39" t="n"/>
      <c r="AM549" s="44" t="n"/>
      <c r="AN549" s="44" t="n"/>
      <c r="AO549" s="44" t="n"/>
      <c r="AP549" s="44" t="n"/>
      <c r="AQ549" s="44" t="n"/>
      <c r="AR549" s="44" t="n"/>
      <c r="AS549" s="45" t="n"/>
      <c r="AT549" s="45" t="n"/>
      <c r="AU549" s="45" t="n"/>
    </row>
    <row r="550">
      <c r="B550" s="39" t="n"/>
      <c r="C550" s="39" t="n"/>
      <c r="D550" s="40" t="n"/>
      <c r="E550" s="39" t="n"/>
      <c r="F550" s="39" t="n"/>
      <c r="G550" s="112" t="n"/>
      <c r="H550" s="42" t="n"/>
      <c r="I550" s="42" t="n"/>
      <c r="J550" s="113" t="n"/>
      <c r="K550" s="39" t="n"/>
      <c r="L550" s="39" t="n"/>
      <c r="M550" s="39" t="n"/>
      <c r="N550" s="39" t="n"/>
      <c r="O550" s="39" t="n"/>
      <c r="P550" s="39" t="n"/>
      <c r="Q550" s="39" t="n"/>
      <c r="R550" s="39" t="n"/>
      <c r="S550" s="39" t="n"/>
      <c r="T550" s="39" t="n"/>
      <c r="U550" s="39" t="n"/>
      <c r="V550" s="39" t="n"/>
      <c r="W550" s="39" t="n"/>
      <c r="X550" s="39" t="n"/>
      <c r="Y550" s="39" t="n"/>
      <c r="Z550" s="39" t="n"/>
      <c r="AA550" s="39" t="n"/>
      <c r="AB550" s="39" t="n"/>
      <c r="AC550" s="39" t="n"/>
      <c r="AD550" s="39" t="n"/>
      <c r="AE550" s="39" t="n"/>
      <c r="AF550" s="39" t="n"/>
      <c r="AG550" s="39" t="n"/>
      <c r="AH550" s="39" t="n"/>
      <c r="AI550" s="39" t="n"/>
      <c r="AJ550" s="39" t="n"/>
      <c r="AK550" s="39" t="n"/>
      <c r="AL550" s="39" t="n"/>
      <c r="AM550" s="44" t="n"/>
      <c r="AN550" s="44" t="n"/>
      <c r="AO550" s="44" t="n"/>
      <c r="AP550" s="44" t="n"/>
      <c r="AQ550" s="44" t="n"/>
      <c r="AR550" s="44" t="n"/>
      <c r="AS550" s="45" t="n"/>
      <c r="AT550" s="45" t="n"/>
      <c r="AU550" s="45" t="n"/>
    </row>
    <row r="551">
      <c r="B551" s="39" t="n"/>
      <c r="C551" s="39" t="n"/>
      <c r="D551" s="40" t="n"/>
      <c r="E551" s="39" t="n"/>
      <c r="F551" s="39" t="n"/>
      <c r="G551" s="112" t="n"/>
      <c r="H551" s="42" t="n"/>
      <c r="I551" s="42" t="n"/>
      <c r="J551" s="113" t="n"/>
      <c r="K551" s="39" t="n"/>
      <c r="L551" s="39" t="n"/>
      <c r="M551" s="39" t="n"/>
      <c r="N551" s="39" t="n"/>
      <c r="O551" s="39" t="n"/>
      <c r="P551" s="39" t="n"/>
      <c r="Q551" s="39" t="n"/>
      <c r="R551" s="39" t="n"/>
      <c r="S551" s="39" t="n"/>
      <c r="T551" s="39" t="n"/>
      <c r="U551" s="39" t="n"/>
      <c r="V551" s="39" t="n"/>
      <c r="W551" s="39" t="n"/>
      <c r="X551" s="39" t="n"/>
      <c r="Y551" s="39" t="n"/>
      <c r="Z551" s="39" t="n"/>
      <c r="AA551" s="39" t="n"/>
      <c r="AB551" s="39" t="n"/>
      <c r="AC551" s="39" t="n"/>
      <c r="AD551" s="39" t="n"/>
      <c r="AE551" s="39" t="n"/>
      <c r="AF551" s="39" t="n"/>
      <c r="AG551" s="39" t="n"/>
      <c r="AH551" s="39" t="n"/>
      <c r="AI551" s="39" t="n"/>
      <c r="AJ551" s="39" t="n"/>
      <c r="AK551" s="39" t="n"/>
      <c r="AL551" s="39" t="n"/>
      <c r="AM551" s="44" t="n"/>
      <c r="AN551" s="44" t="n"/>
      <c r="AO551" s="44" t="n"/>
      <c r="AP551" s="44" t="n"/>
      <c r="AQ551" s="44" t="n"/>
      <c r="AR551" s="44" t="n"/>
      <c r="AS551" s="45" t="n"/>
      <c r="AT551" s="45" t="n"/>
      <c r="AU551" s="45" t="n"/>
    </row>
    <row r="552">
      <c r="B552" s="39" t="n"/>
      <c r="C552" s="39" t="n"/>
      <c r="D552" s="40" t="n"/>
      <c r="E552" s="39" t="n"/>
      <c r="F552" s="39" t="n"/>
      <c r="G552" s="112" t="n"/>
      <c r="H552" s="42" t="n"/>
      <c r="I552" s="42" t="n"/>
      <c r="J552" s="113" t="n"/>
      <c r="K552" s="39" t="n"/>
      <c r="L552" s="39" t="n"/>
      <c r="M552" s="39" t="n"/>
      <c r="N552" s="39" t="n"/>
      <c r="O552" s="39" t="n"/>
      <c r="P552" s="39" t="n"/>
      <c r="Q552" s="39" t="n"/>
      <c r="R552" s="39" t="n"/>
      <c r="S552" s="39" t="n"/>
      <c r="T552" s="39" t="n"/>
      <c r="U552" s="39" t="n"/>
      <c r="V552" s="39" t="n"/>
      <c r="W552" s="39" t="n"/>
      <c r="X552" s="39" t="n"/>
      <c r="Y552" s="39" t="n"/>
      <c r="Z552" s="39" t="n"/>
      <c r="AA552" s="39" t="n"/>
      <c r="AB552" s="39" t="n"/>
      <c r="AC552" s="39" t="n"/>
      <c r="AD552" s="39" t="n"/>
      <c r="AE552" s="39" t="n"/>
      <c r="AF552" s="39" t="n"/>
      <c r="AG552" s="39" t="n"/>
      <c r="AH552" s="39" t="n"/>
      <c r="AI552" s="39" t="n"/>
      <c r="AJ552" s="39" t="n"/>
      <c r="AK552" s="39" t="n"/>
      <c r="AL552" s="39" t="n"/>
      <c r="AM552" s="44" t="n"/>
      <c r="AN552" s="44" t="n"/>
      <c r="AO552" s="44" t="n"/>
      <c r="AP552" s="44" t="n"/>
      <c r="AQ552" s="44" t="n"/>
      <c r="AR552" s="44" t="n"/>
      <c r="AS552" s="45" t="n"/>
      <c r="AT552" s="45" t="n"/>
      <c r="AU552" s="45" t="n"/>
    </row>
    <row r="553">
      <c r="B553" s="39" t="n"/>
      <c r="C553" s="39" t="n"/>
      <c r="D553" s="40" t="n"/>
      <c r="E553" s="39" t="n"/>
      <c r="F553" s="39" t="n"/>
      <c r="G553" s="112" t="n"/>
      <c r="H553" s="42" t="n"/>
      <c r="I553" s="42" t="n"/>
      <c r="J553" s="113" t="n"/>
      <c r="K553" s="39" t="n"/>
      <c r="L553" s="39" t="n"/>
      <c r="M553" s="39" t="n"/>
      <c r="N553" s="39" t="n"/>
      <c r="O553" s="39" t="n"/>
      <c r="P553" s="39" t="n"/>
      <c r="Q553" s="39" t="n"/>
      <c r="R553" s="39" t="n"/>
      <c r="S553" s="39" t="n"/>
      <c r="T553" s="39" t="n"/>
      <c r="U553" s="39" t="n"/>
      <c r="V553" s="39" t="n"/>
      <c r="W553" s="39" t="n"/>
      <c r="X553" s="39" t="n"/>
      <c r="Y553" s="39" t="n"/>
      <c r="Z553" s="39" t="n"/>
      <c r="AA553" s="39" t="n"/>
      <c r="AB553" s="39" t="n"/>
      <c r="AC553" s="39" t="n"/>
      <c r="AD553" s="39" t="n"/>
      <c r="AE553" s="39" t="n"/>
      <c r="AF553" s="39" t="n"/>
      <c r="AG553" s="39" t="n"/>
      <c r="AH553" s="39" t="n"/>
      <c r="AI553" s="39" t="n"/>
      <c r="AJ553" s="39" t="n"/>
      <c r="AK553" s="39" t="n"/>
      <c r="AL553" s="39" t="n"/>
      <c r="AM553" s="44" t="n"/>
      <c r="AN553" s="44" t="n"/>
      <c r="AO553" s="44" t="n"/>
      <c r="AP553" s="44" t="n"/>
      <c r="AQ553" s="44" t="n"/>
      <c r="AR553" s="44" t="n"/>
      <c r="AS553" s="45" t="n"/>
      <c r="AT553" s="45" t="n"/>
      <c r="AU553" s="45" t="n"/>
    </row>
    <row r="554">
      <c r="B554" s="39" t="n"/>
      <c r="C554" s="39" t="n"/>
      <c r="D554" s="40" t="n"/>
      <c r="E554" s="39" t="n"/>
      <c r="F554" s="39" t="n"/>
      <c r="G554" s="112" t="n"/>
      <c r="H554" s="42" t="n"/>
      <c r="I554" s="42" t="n"/>
      <c r="J554" s="113" t="n"/>
      <c r="K554" s="39" t="n"/>
      <c r="L554" s="39" t="n"/>
      <c r="M554" s="39" t="n"/>
      <c r="N554" s="39" t="n"/>
      <c r="O554" s="39" t="n"/>
      <c r="P554" s="39" t="n"/>
      <c r="Q554" s="39" t="n"/>
      <c r="R554" s="39" t="n"/>
      <c r="S554" s="39" t="n"/>
      <c r="T554" s="39" t="n"/>
      <c r="U554" s="39" t="n"/>
      <c r="V554" s="39" t="n"/>
      <c r="W554" s="39" t="n"/>
      <c r="X554" s="39" t="n"/>
      <c r="Y554" s="39" t="n"/>
      <c r="Z554" s="39" t="n"/>
      <c r="AA554" s="39" t="n"/>
      <c r="AB554" s="39" t="n"/>
      <c r="AC554" s="39" t="n"/>
      <c r="AD554" s="39" t="n"/>
      <c r="AE554" s="39" t="n"/>
      <c r="AF554" s="39" t="n"/>
      <c r="AG554" s="39" t="n"/>
      <c r="AH554" s="39" t="n"/>
      <c r="AI554" s="39" t="n"/>
      <c r="AJ554" s="39" t="n"/>
      <c r="AK554" s="39" t="n"/>
      <c r="AL554" s="39" t="n"/>
      <c r="AM554" s="44" t="n"/>
      <c r="AN554" s="44" t="n"/>
      <c r="AO554" s="44" t="n"/>
      <c r="AP554" s="44" t="n"/>
      <c r="AQ554" s="44" t="n"/>
      <c r="AR554" s="44" t="n"/>
      <c r="AS554" s="45" t="n"/>
      <c r="AT554" s="45" t="n"/>
      <c r="AU554" s="45" t="n"/>
    </row>
    <row r="555">
      <c r="B555" s="39" t="n"/>
      <c r="C555" s="39" t="n"/>
      <c r="D555" s="40" t="n"/>
      <c r="E555" s="39" t="n"/>
      <c r="F555" s="39" t="n"/>
      <c r="G555" s="112" t="n"/>
      <c r="H555" s="42" t="n"/>
      <c r="I555" s="42" t="n"/>
      <c r="J555" s="113" t="n"/>
      <c r="K555" s="39" t="n"/>
      <c r="L555" s="39" t="n"/>
      <c r="M555" s="39" t="n"/>
      <c r="N555" s="39" t="n"/>
      <c r="O555" s="39" t="n"/>
      <c r="P555" s="39" t="n"/>
      <c r="Q555" s="39" t="n"/>
      <c r="R555" s="39" t="n"/>
      <c r="S555" s="39" t="n"/>
      <c r="T555" s="39" t="n"/>
      <c r="U555" s="39" t="n"/>
      <c r="V555" s="39" t="n"/>
      <c r="W555" s="39" t="n"/>
      <c r="X555" s="39" t="n"/>
      <c r="Y555" s="39" t="n"/>
      <c r="Z555" s="39" t="n"/>
      <c r="AA555" s="39" t="n"/>
      <c r="AB555" s="39" t="n"/>
      <c r="AC555" s="39" t="n"/>
      <c r="AD555" s="39" t="n"/>
      <c r="AE555" s="39" t="n"/>
      <c r="AF555" s="39" t="n"/>
      <c r="AG555" s="39" t="n"/>
      <c r="AH555" s="39" t="n"/>
      <c r="AI555" s="39" t="n"/>
      <c r="AJ555" s="39" t="n"/>
      <c r="AK555" s="39" t="n"/>
      <c r="AL555" s="39" t="n"/>
      <c r="AM555" s="44" t="n"/>
      <c r="AN555" s="44" t="n"/>
      <c r="AO555" s="44" t="n"/>
      <c r="AP555" s="44" t="n"/>
      <c r="AQ555" s="44" t="n"/>
      <c r="AR555" s="44" t="n"/>
      <c r="AS555" s="45" t="n"/>
      <c r="AT555" s="45" t="n"/>
      <c r="AU555" s="45" t="n"/>
    </row>
    <row r="556">
      <c r="B556" s="39" t="n"/>
      <c r="C556" s="39" t="n"/>
      <c r="D556" s="40" t="n"/>
      <c r="E556" s="39" t="n"/>
      <c r="F556" s="39" t="n"/>
      <c r="G556" s="112" t="n"/>
      <c r="H556" s="42" t="n"/>
      <c r="I556" s="42" t="n"/>
      <c r="J556" s="113" t="n"/>
      <c r="K556" s="39" t="n"/>
      <c r="L556" s="39" t="n"/>
      <c r="M556" s="39" t="n"/>
      <c r="N556" s="39" t="n"/>
      <c r="O556" s="39" t="n"/>
      <c r="P556" s="39" t="n"/>
      <c r="Q556" s="39" t="n"/>
      <c r="R556" s="39" t="n"/>
      <c r="S556" s="39" t="n"/>
      <c r="T556" s="39" t="n"/>
      <c r="U556" s="39" t="n"/>
      <c r="V556" s="39" t="n"/>
      <c r="W556" s="39" t="n"/>
      <c r="X556" s="39" t="n"/>
      <c r="Y556" s="39" t="n"/>
      <c r="Z556" s="39" t="n"/>
      <c r="AA556" s="39" t="n"/>
      <c r="AB556" s="39" t="n"/>
      <c r="AC556" s="39" t="n"/>
      <c r="AD556" s="39" t="n"/>
      <c r="AE556" s="39" t="n"/>
      <c r="AF556" s="39" t="n"/>
      <c r="AG556" s="39" t="n"/>
      <c r="AH556" s="39" t="n"/>
      <c r="AI556" s="39" t="n"/>
      <c r="AJ556" s="39" t="n"/>
      <c r="AK556" s="39" t="n"/>
      <c r="AL556" s="39" t="n"/>
      <c r="AM556" s="44" t="n"/>
      <c r="AN556" s="44" t="n"/>
      <c r="AO556" s="44" t="n"/>
      <c r="AP556" s="44" t="n"/>
      <c r="AQ556" s="44" t="n"/>
      <c r="AR556" s="44" t="n"/>
      <c r="AS556" s="45" t="n"/>
      <c r="AT556" s="45" t="n"/>
      <c r="AU556" s="45" t="n"/>
    </row>
    <row r="557">
      <c r="B557" s="39" t="n"/>
      <c r="C557" s="39" t="n"/>
      <c r="D557" s="40" t="n"/>
      <c r="E557" s="39" t="n"/>
      <c r="F557" s="39" t="n"/>
      <c r="G557" s="112" t="n"/>
      <c r="H557" s="42" t="n"/>
      <c r="I557" s="42" t="n"/>
      <c r="J557" s="113" t="n"/>
      <c r="K557" s="39" t="n"/>
      <c r="L557" s="39" t="n"/>
      <c r="M557" s="39" t="n"/>
      <c r="N557" s="39" t="n"/>
      <c r="O557" s="39" t="n"/>
      <c r="P557" s="39" t="n"/>
      <c r="Q557" s="39" t="n"/>
      <c r="R557" s="39" t="n"/>
      <c r="S557" s="39" t="n"/>
      <c r="T557" s="39" t="n"/>
      <c r="U557" s="39" t="n"/>
      <c r="V557" s="39" t="n"/>
      <c r="W557" s="39" t="n"/>
      <c r="X557" s="39" t="n"/>
      <c r="Y557" s="39" t="n"/>
      <c r="Z557" s="39" t="n"/>
      <c r="AA557" s="39" t="n"/>
      <c r="AB557" s="39" t="n"/>
      <c r="AC557" s="39" t="n"/>
      <c r="AD557" s="39" t="n"/>
      <c r="AE557" s="39" t="n"/>
      <c r="AF557" s="39" t="n"/>
      <c r="AG557" s="39" t="n"/>
      <c r="AH557" s="39" t="n"/>
      <c r="AI557" s="39" t="n"/>
      <c r="AJ557" s="39" t="n"/>
      <c r="AK557" s="39" t="n"/>
      <c r="AL557" s="39" t="n"/>
      <c r="AM557" s="44" t="n"/>
      <c r="AN557" s="44" t="n"/>
      <c r="AO557" s="44" t="n"/>
      <c r="AP557" s="44" t="n"/>
      <c r="AQ557" s="44" t="n"/>
      <c r="AR557" s="44" t="n"/>
      <c r="AS557" s="45" t="n"/>
      <c r="AT557" s="45" t="n"/>
      <c r="AU557" s="45" t="n"/>
    </row>
    <row r="558">
      <c r="B558" s="39" t="n"/>
      <c r="C558" s="39" t="n"/>
      <c r="D558" s="40" t="n"/>
      <c r="E558" s="39" t="n"/>
      <c r="F558" s="39" t="n"/>
      <c r="G558" s="112" t="n"/>
      <c r="H558" s="42" t="n"/>
      <c r="I558" s="42" t="n"/>
      <c r="J558" s="113" t="n"/>
      <c r="K558" s="39" t="n"/>
      <c r="L558" s="39" t="n"/>
      <c r="M558" s="39" t="n"/>
      <c r="N558" s="39" t="n"/>
      <c r="O558" s="39" t="n"/>
      <c r="P558" s="39" t="n"/>
      <c r="Q558" s="39" t="n"/>
      <c r="R558" s="39" t="n"/>
      <c r="S558" s="39" t="n"/>
      <c r="T558" s="39" t="n"/>
      <c r="U558" s="39" t="n"/>
      <c r="V558" s="39" t="n"/>
      <c r="W558" s="39" t="n"/>
      <c r="X558" s="39" t="n"/>
      <c r="Y558" s="39" t="n"/>
      <c r="Z558" s="39" t="n"/>
      <c r="AA558" s="39" t="n"/>
      <c r="AB558" s="39" t="n"/>
      <c r="AC558" s="39" t="n"/>
      <c r="AD558" s="39" t="n"/>
      <c r="AE558" s="39" t="n"/>
      <c r="AF558" s="39" t="n"/>
      <c r="AG558" s="39" t="n"/>
      <c r="AH558" s="39" t="n"/>
      <c r="AI558" s="39" t="n"/>
      <c r="AJ558" s="39" t="n"/>
      <c r="AK558" s="39" t="n"/>
      <c r="AL558" s="39" t="n"/>
      <c r="AM558" s="44" t="n"/>
      <c r="AN558" s="44" t="n"/>
      <c r="AO558" s="44" t="n"/>
      <c r="AP558" s="44" t="n"/>
      <c r="AQ558" s="44" t="n"/>
      <c r="AR558" s="44" t="n"/>
      <c r="AS558" s="45" t="n"/>
      <c r="AT558" s="45" t="n"/>
      <c r="AU558" s="45" t="n"/>
    </row>
    <row r="559">
      <c r="B559" s="39" t="n"/>
      <c r="C559" s="39" t="n"/>
      <c r="D559" s="40" t="n"/>
      <c r="E559" s="39" t="n"/>
      <c r="F559" s="39" t="n"/>
      <c r="G559" s="112" t="n"/>
      <c r="H559" s="42" t="n"/>
      <c r="I559" s="42" t="n"/>
      <c r="J559" s="113" t="n"/>
      <c r="K559" s="39" t="n"/>
      <c r="L559" s="39" t="n"/>
      <c r="M559" s="39" t="n"/>
      <c r="N559" s="39" t="n"/>
      <c r="O559" s="39" t="n"/>
      <c r="P559" s="39" t="n"/>
      <c r="Q559" s="39" t="n"/>
      <c r="R559" s="39" t="n"/>
      <c r="S559" s="39" t="n"/>
      <c r="T559" s="39" t="n"/>
      <c r="U559" s="39" t="n"/>
      <c r="V559" s="39" t="n"/>
      <c r="W559" s="39" t="n"/>
      <c r="X559" s="39" t="n"/>
      <c r="Y559" s="39" t="n"/>
      <c r="Z559" s="39" t="n"/>
      <c r="AA559" s="39" t="n"/>
      <c r="AB559" s="39" t="n"/>
      <c r="AC559" s="39" t="n"/>
      <c r="AD559" s="39" t="n"/>
      <c r="AE559" s="39" t="n"/>
      <c r="AF559" s="39" t="n"/>
      <c r="AG559" s="39" t="n"/>
      <c r="AH559" s="39" t="n"/>
      <c r="AI559" s="39" t="n"/>
      <c r="AJ559" s="39" t="n"/>
      <c r="AK559" s="39" t="n"/>
      <c r="AL559" s="39" t="n"/>
      <c r="AM559" s="44" t="n"/>
      <c r="AN559" s="44" t="n"/>
      <c r="AO559" s="44" t="n"/>
      <c r="AP559" s="44" t="n"/>
      <c r="AQ559" s="44" t="n"/>
      <c r="AR559" s="44" t="n"/>
      <c r="AS559" s="45" t="n"/>
      <c r="AT559" s="45" t="n"/>
      <c r="AU559" s="45" t="n"/>
    </row>
    <row r="560">
      <c r="B560" s="39" t="n"/>
      <c r="C560" s="39" t="n"/>
      <c r="D560" s="40" t="n"/>
      <c r="E560" s="39" t="n"/>
      <c r="F560" s="39" t="n"/>
      <c r="G560" s="112" t="n"/>
      <c r="H560" s="42" t="n"/>
      <c r="I560" s="42" t="n"/>
      <c r="J560" s="113" t="n"/>
      <c r="K560" s="39" t="n"/>
      <c r="L560" s="39" t="n"/>
      <c r="M560" s="39" t="n"/>
      <c r="N560" s="39" t="n"/>
      <c r="O560" s="39" t="n"/>
      <c r="P560" s="39" t="n"/>
      <c r="Q560" s="39" t="n"/>
      <c r="R560" s="39" t="n"/>
      <c r="S560" s="39" t="n"/>
      <c r="T560" s="39" t="n"/>
      <c r="U560" s="39" t="n"/>
      <c r="V560" s="39" t="n"/>
      <c r="W560" s="39" t="n"/>
      <c r="X560" s="39" t="n"/>
      <c r="Y560" s="39" t="n"/>
      <c r="Z560" s="39" t="n"/>
      <c r="AA560" s="39" t="n"/>
      <c r="AB560" s="39" t="n"/>
      <c r="AC560" s="39" t="n"/>
      <c r="AD560" s="39" t="n"/>
      <c r="AE560" s="39" t="n"/>
      <c r="AF560" s="39" t="n"/>
      <c r="AG560" s="39" t="n"/>
      <c r="AH560" s="39" t="n"/>
      <c r="AI560" s="39" t="n"/>
      <c r="AJ560" s="39" t="n"/>
      <c r="AK560" s="39" t="n"/>
      <c r="AL560" s="39" t="n"/>
      <c r="AM560" s="44" t="n"/>
      <c r="AN560" s="44" t="n"/>
      <c r="AO560" s="44" t="n"/>
      <c r="AP560" s="44" t="n"/>
      <c r="AQ560" s="44" t="n"/>
      <c r="AR560" s="44" t="n"/>
      <c r="AS560" s="45" t="n"/>
      <c r="AT560" s="45" t="n"/>
      <c r="AU560" s="45" t="n"/>
    </row>
    <row r="561">
      <c r="B561" s="39" t="n"/>
      <c r="C561" s="39" t="n"/>
      <c r="D561" s="40" t="n"/>
      <c r="E561" s="39" t="n"/>
      <c r="F561" s="39" t="n"/>
      <c r="G561" s="112" t="n"/>
      <c r="H561" s="42" t="n"/>
      <c r="I561" s="42" t="n"/>
      <c r="J561" s="113" t="n"/>
      <c r="K561" s="39" t="n"/>
      <c r="L561" s="39" t="n"/>
      <c r="M561" s="39" t="n"/>
      <c r="N561" s="39" t="n"/>
      <c r="O561" s="39" t="n"/>
      <c r="P561" s="39" t="n"/>
      <c r="Q561" s="39" t="n"/>
      <c r="R561" s="39" t="n"/>
      <c r="S561" s="39" t="n"/>
      <c r="T561" s="39" t="n"/>
      <c r="U561" s="39" t="n"/>
      <c r="V561" s="39" t="n"/>
      <c r="W561" s="39" t="n"/>
      <c r="X561" s="39" t="n"/>
      <c r="Y561" s="39" t="n"/>
      <c r="Z561" s="39" t="n"/>
      <c r="AA561" s="39" t="n"/>
      <c r="AB561" s="39" t="n"/>
      <c r="AC561" s="39" t="n"/>
      <c r="AD561" s="39" t="n"/>
      <c r="AE561" s="39" t="n"/>
      <c r="AF561" s="39" t="n"/>
      <c r="AG561" s="39" t="n"/>
      <c r="AH561" s="39" t="n"/>
      <c r="AI561" s="39" t="n"/>
      <c r="AJ561" s="39" t="n"/>
      <c r="AK561" s="39" t="n"/>
      <c r="AL561" s="39" t="n"/>
      <c r="AM561" s="44" t="n"/>
      <c r="AN561" s="44" t="n"/>
      <c r="AO561" s="44" t="n"/>
      <c r="AP561" s="44" t="n"/>
      <c r="AQ561" s="44" t="n"/>
      <c r="AR561" s="44" t="n"/>
      <c r="AS561" s="45" t="n"/>
      <c r="AT561" s="45" t="n"/>
      <c r="AU561" s="45" t="n"/>
    </row>
    <row r="562">
      <c r="B562" s="39" t="n"/>
      <c r="C562" s="39" t="n"/>
      <c r="D562" s="40" t="n"/>
      <c r="E562" s="39" t="n"/>
      <c r="F562" s="39" t="n"/>
      <c r="G562" s="112" t="n"/>
      <c r="H562" s="42" t="n"/>
      <c r="I562" s="42" t="n"/>
      <c r="J562" s="113" t="n"/>
      <c r="K562" s="39" t="n"/>
      <c r="L562" s="39" t="n"/>
      <c r="M562" s="39" t="n"/>
      <c r="N562" s="39" t="n"/>
      <c r="O562" s="39" t="n"/>
      <c r="P562" s="39" t="n"/>
      <c r="Q562" s="39" t="n"/>
      <c r="R562" s="39" t="n"/>
      <c r="S562" s="39" t="n"/>
      <c r="T562" s="39" t="n"/>
      <c r="U562" s="39" t="n"/>
      <c r="V562" s="39" t="n"/>
      <c r="W562" s="39" t="n"/>
      <c r="X562" s="39" t="n"/>
      <c r="Y562" s="39" t="n"/>
      <c r="Z562" s="39" t="n"/>
      <c r="AA562" s="39" t="n"/>
      <c r="AB562" s="39" t="n"/>
      <c r="AC562" s="39" t="n"/>
      <c r="AD562" s="39" t="n"/>
      <c r="AE562" s="39" t="n"/>
      <c r="AF562" s="39" t="n"/>
      <c r="AG562" s="39" t="n"/>
      <c r="AH562" s="39" t="n"/>
      <c r="AI562" s="39" t="n"/>
      <c r="AJ562" s="39" t="n"/>
      <c r="AK562" s="39" t="n"/>
      <c r="AL562" s="39" t="n"/>
      <c r="AM562" s="44" t="n"/>
      <c r="AN562" s="44" t="n"/>
      <c r="AO562" s="44" t="n"/>
      <c r="AP562" s="44" t="n"/>
      <c r="AQ562" s="44" t="n"/>
      <c r="AR562" s="44" t="n"/>
      <c r="AS562" s="45" t="n"/>
      <c r="AT562" s="45" t="n"/>
      <c r="AU562" s="45" t="n"/>
    </row>
    <row r="563">
      <c r="B563" s="39" t="n"/>
      <c r="C563" s="39" t="n"/>
      <c r="D563" s="40" t="n"/>
      <c r="E563" s="39" t="n"/>
      <c r="F563" s="39" t="n"/>
      <c r="G563" s="112" t="n"/>
      <c r="H563" s="42" t="n"/>
      <c r="I563" s="42" t="n"/>
      <c r="J563" s="113" t="n"/>
      <c r="K563" s="39" t="n"/>
      <c r="L563" s="39" t="n"/>
      <c r="M563" s="39" t="n"/>
      <c r="N563" s="39" t="n"/>
      <c r="O563" s="39" t="n"/>
      <c r="P563" s="39" t="n"/>
      <c r="Q563" s="39" t="n"/>
      <c r="R563" s="39" t="n"/>
      <c r="S563" s="39" t="n"/>
      <c r="T563" s="39" t="n"/>
      <c r="U563" s="39" t="n"/>
      <c r="V563" s="39" t="n"/>
      <c r="W563" s="39" t="n"/>
      <c r="X563" s="39" t="n"/>
      <c r="Y563" s="39" t="n"/>
      <c r="Z563" s="39" t="n"/>
      <c r="AA563" s="39" t="n"/>
      <c r="AB563" s="39" t="n"/>
      <c r="AC563" s="39" t="n"/>
      <c r="AD563" s="39" t="n"/>
      <c r="AE563" s="39" t="n"/>
      <c r="AF563" s="39" t="n"/>
      <c r="AG563" s="39" t="n"/>
      <c r="AH563" s="39" t="n"/>
      <c r="AI563" s="39" t="n"/>
      <c r="AJ563" s="39" t="n"/>
      <c r="AK563" s="39" t="n"/>
      <c r="AL563" s="39" t="n"/>
      <c r="AM563" s="44" t="n"/>
      <c r="AN563" s="44" t="n"/>
      <c r="AO563" s="44" t="n"/>
      <c r="AP563" s="44" t="n"/>
      <c r="AQ563" s="44" t="n"/>
      <c r="AR563" s="44" t="n"/>
      <c r="AS563" s="45" t="n"/>
      <c r="AT563" s="45" t="n"/>
      <c r="AU563" s="45" t="n"/>
    </row>
    <row r="564">
      <c r="B564" s="39" t="n"/>
      <c r="C564" s="39" t="n"/>
      <c r="D564" s="40" t="n"/>
      <c r="E564" s="39" t="n"/>
      <c r="F564" s="39" t="n"/>
      <c r="G564" s="112" t="n"/>
      <c r="H564" s="42" t="n"/>
      <c r="I564" s="42" t="n"/>
      <c r="J564" s="113" t="n"/>
      <c r="K564" s="39" t="n"/>
      <c r="L564" s="39" t="n"/>
      <c r="M564" s="39" t="n"/>
      <c r="N564" s="39" t="n"/>
      <c r="O564" s="39" t="n"/>
      <c r="P564" s="39" t="n"/>
      <c r="Q564" s="39" t="n"/>
      <c r="R564" s="39" t="n"/>
      <c r="S564" s="39" t="n"/>
      <c r="T564" s="39" t="n"/>
      <c r="U564" s="39" t="n"/>
      <c r="V564" s="39" t="n"/>
      <c r="W564" s="39" t="n"/>
      <c r="X564" s="39" t="n"/>
      <c r="Y564" s="39" t="n"/>
      <c r="Z564" s="39" t="n"/>
      <c r="AA564" s="39" t="n"/>
      <c r="AB564" s="39" t="n"/>
      <c r="AC564" s="39" t="n"/>
      <c r="AD564" s="39" t="n"/>
      <c r="AE564" s="39" t="n"/>
      <c r="AF564" s="39" t="n"/>
      <c r="AG564" s="39" t="n"/>
      <c r="AH564" s="39" t="n"/>
      <c r="AI564" s="39" t="n"/>
      <c r="AJ564" s="39" t="n"/>
      <c r="AK564" s="39" t="n"/>
      <c r="AL564" s="39" t="n"/>
      <c r="AM564" s="44" t="n"/>
      <c r="AN564" s="44" t="n"/>
      <c r="AO564" s="44" t="n"/>
      <c r="AP564" s="44" t="n"/>
      <c r="AQ564" s="44" t="n"/>
      <c r="AR564" s="44" t="n"/>
      <c r="AS564" s="45" t="n"/>
      <c r="AT564" s="45" t="n"/>
      <c r="AU564" s="45" t="n"/>
    </row>
    <row r="565">
      <c r="B565" s="39" t="n"/>
      <c r="C565" s="39" t="n"/>
      <c r="D565" s="40" t="n"/>
      <c r="E565" s="39" t="n"/>
      <c r="F565" s="39" t="n"/>
      <c r="G565" s="112" t="n"/>
      <c r="H565" s="42" t="n"/>
      <c r="I565" s="42" t="n"/>
      <c r="J565" s="113" t="n"/>
      <c r="K565" s="39" t="n"/>
      <c r="L565" s="39" t="n"/>
      <c r="M565" s="39" t="n"/>
      <c r="N565" s="39" t="n"/>
      <c r="O565" s="39" t="n"/>
      <c r="P565" s="39" t="n"/>
      <c r="Q565" s="39" t="n"/>
      <c r="R565" s="39" t="n"/>
      <c r="S565" s="39" t="n"/>
      <c r="T565" s="39" t="n"/>
      <c r="U565" s="39" t="n"/>
      <c r="V565" s="39" t="n"/>
      <c r="W565" s="39" t="n"/>
      <c r="X565" s="39" t="n"/>
      <c r="Y565" s="39" t="n"/>
      <c r="Z565" s="39" t="n"/>
      <c r="AA565" s="39" t="n"/>
      <c r="AB565" s="39" t="n"/>
      <c r="AC565" s="39" t="n"/>
      <c r="AD565" s="39" t="n"/>
      <c r="AE565" s="39" t="n"/>
      <c r="AF565" s="39" t="n"/>
      <c r="AG565" s="39" t="n"/>
      <c r="AH565" s="39" t="n"/>
      <c r="AI565" s="39" t="n"/>
      <c r="AJ565" s="39" t="n"/>
      <c r="AK565" s="39" t="n"/>
      <c r="AL565" s="39" t="n"/>
      <c r="AM565" s="44" t="n"/>
      <c r="AN565" s="44" t="n"/>
      <c r="AO565" s="44" t="n"/>
      <c r="AP565" s="44" t="n"/>
      <c r="AQ565" s="44" t="n"/>
      <c r="AR565" s="44" t="n"/>
      <c r="AS565" s="45" t="n"/>
      <c r="AT565" s="45" t="n"/>
      <c r="AU565" s="45" t="n"/>
    </row>
    <row r="566">
      <c r="B566" s="39" t="n"/>
      <c r="C566" s="39" t="n"/>
      <c r="D566" s="40" t="n"/>
      <c r="E566" s="39" t="n"/>
      <c r="F566" s="39" t="n"/>
      <c r="G566" s="112" t="n"/>
      <c r="H566" s="42" t="n"/>
      <c r="I566" s="42" t="n"/>
      <c r="J566" s="113" t="n"/>
      <c r="K566" s="39" t="n"/>
      <c r="L566" s="39" t="n"/>
      <c r="M566" s="39" t="n"/>
      <c r="N566" s="39" t="n"/>
      <c r="O566" s="39" t="n"/>
      <c r="P566" s="39" t="n"/>
      <c r="Q566" s="39" t="n"/>
      <c r="R566" s="39" t="n"/>
      <c r="S566" s="39" t="n"/>
      <c r="T566" s="39" t="n"/>
      <c r="U566" s="39" t="n"/>
      <c r="V566" s="39" t="n"/>
      <c r="W566" s="39" t="n"/>
      <c r="X566" s="39" t="n"/>
      <c r="Y566" s="39" t="n"/>
      <c r="Z566" s="39" t="n"/>
      <c r="AA566" s="39" t="n"/>
      <c r="AB566" s="39" t="n"/>
      <c r="AC566" s="39" t="n"/>
      <c r="AD566" s="39" t="n"/>
      <c r="AE566" s="39" t="n"/>
      <c r="AF566" s="39" t="n"/>
      <c r="AG566" s="39" t="n"/>
      <c r="AH566" s="39" t="n"/>
      <c r="AI566" s="39" t="n"/>
      <c r="AJ566" s="39" t="n"/>
      <c r="AK566" s="39" t="n"/>
      <c r="AL566" s="39" t="n"/>
      <c r="AM566" s="44" t="n"/>
      <c r="AN566" s="44" t="n"/>
      <c r="AO566" s="44" t="n"/>
      <c r="AP566" s="44" t="n"/>
      <c r="AQ566" s="44" t="n"/>
      <c r="AR566" s="44" t="n"/>
      <c r="AS566" s="45" t="n"/>
      <c r="AT566" s="45" t="n"/>
      <c r="AU566" s="45" t="n"/>
    </row>
    <row r="567">
      <c r="B567" s="39" t="n"/>
      <c r="C567" s="39" t="n"/>
      <c r="D567" s="40" t="n"/>
      <c r="E567" s="39" t="n"/>
      <c r="F567" s="39" t="n"/>
      <c r="G567" s="112" t="n"/>
      <c r="H567" s="42" t="n"/>
      <c r="I567" s="42" t="n"/>
      <c r="J567" s="113" t="n"/>
      <c r="K567" s="39" t="n"/>
      <c r="L567" s="39" t="n"/>
      <c r="M567" s="39" t="n"/>
      <c r="N567" s="39" t="n"/>
      <c r="O567" s="39" t="n"/>
      <c r="P567" s="39" t="n"/>
      <c r="Q567" s="39" t="n"/>
      <c r="R567" s="39" t="n"/>
      <c r="S567" s="39" t="n"/>
      <c r="T567" s="39" t="n"/>
      <c r="U567" s="39" t="n"/>
      <c r="V567" s="39" t="n"/>
      <c r="W567" s="39" t="n"/>
      <c r="X567" s="39" t="n"/>
      <c r="Y567" s="39" t="n"/>
      <c r="Z567" s="39" t="n"/>
      <c r="AA567" s="39" t="n"/>
      <c r="AB567" s="39" t="n"/>
      <c r="AC567" s="39" t="n"/>
      <c r="AD567" s="39" t="n"/>
      <c r="AE567" s="39" t="n"/>
      <c r="AF567" s="39" t="n"/>
      <c r="AG567" s="39" t="n"/>
      <c r="AH567" s="39" t="n"/>
      <c r="AI567" s="39" t="n"/>
      <c r="AJ567" s="39" t="n"/>
      <c r="AK567" s="39" t="n"/>
      <c r="AL567" s="39" t="n"/>
      <c r="AM567" s="44" t="n"/>
      <c r="AN567" s="44" t="n"/>
      <c r="AO567" s="44" t="n"/>
      <c r="AP567" s="44" t="n"/>
      <c r="AQ567" s="44" t="n"/>
      <c r="AR567" s="44" t="n"/>
      <c r="AS567" s="45" t="n"/>
      <c r="AT567" s="45" t="n"/>
      <c r="AU567" s="45" t="n"/>
    </row>
    <row r="568">
      <c r="B568" s="39" t="n"/>
      <c r="C568" s="39" t="n"/>
      <c r="D568" s="40" t="n"/>
      <c r="E568" s="39" t="n"/>
      <c r="F568" s="39" t="n"/>
      <c r="G568" s="112" t="n"/>
      <c r="H568" s="42" t="n"/>
      <c r="I568" s="42" t="n"/>
      <c r="J568" s="113" t="n"/>
      <c r="K568" s="39" t="n"/>
      <c r="L568" s="39" t="n"/>
      <c r="M568" s="39" t="n"/>
      <c r="N568" s="39" t="n"/>
      <c r="O568" s="39" t="n"/>
      <c r="P568" s="39" t="n"/>
      <c r="Q568" s="39" t="n"/>
      <c r="R568" s="39" t="n"/>
      <c r="S568" s="39" t="n"/>
      <c r="T568" s="39" t="n"/>
      <c r="U568" s="39" t="n"/>
      <c r="V568" s="39" t="n"/>
      <c r="W568" s="39" t="n"/>
      <c r="X568" s="39" t="n"/>
      <c r="Y568" s="39" t="n"/>
      <c r="Z568" s="39" t="n"/>
      <c r="AA568" s="39" t="n"/>
      <c r="AB568" s="39" t="n"/>
      <c r="AC568" s="39" t="n"/>
      <c r="AD568" s="39" t="n"/>
      <c r="AE568" s="39" t="n"/>
      <c r="AF568" s="39" t="n"/>
      <c r="AG568" s="39" t="n"/>
      <c r="AH568" s="39" t="n"/>
      <c r="AI568" s="39" t="n"/>
      <c r="AJ568" s="39" t="n"/>
      <c r="AK568" s="39" t="n"/>
      <c r="AL568" s="39" t="n"/>
      <c r="AM568" s="44" t="n"/>
      <c r="AN568" s="44" t="n"/>
      <c r="AO568" s="44" t="n"/>
      <c r="AP568" s="44" t="n"/>
      <c r="AQ568" s="44" t="n"/>
      <c r="AR568" s="44" t="n"/>
      <c r="AS568" s="45" t="n"/>
      <c r="AT568" s="45" t="n"/>
      <c r="AU568" s="45" t="n"/>
    </row>
    <row r="569">
      <c r="B569" s="39" t="n"/>
      <c r="C569" s="39" t="n"/>
      <c r="D569" s="40" t="n"/>
      <c r="E569" s="39" t="n"/>
      <c r="F569" s="39" t="n"/>
      <c r="G569" s="112" t="n"/>
      <c r="H569" s="42" t="n"/>
      <c r="I569" s="42" t="n"/>
      <c r="J569" s="113" t="n"/>
      <c r="K569" s="39" t="n"/>
      <c r="L569" s="39" t="n"/>
      <c r="M569" s="39" t="n"/>
      <c r="N569" s="39" t="n"/>
      <c r="O569" s="39" t="n"/>
      <c r="P569" s="39" t="n"/>
      <c r="Q569" s="39" t="n"/>
      <c r="R569" s="39" t="n"/>
      <c r="S569" s="39" t="n"/>
      <c r="T569" s="39" t="n"/>
      <c r="U569" s="39" t="n"/>
      <c r="V569" s="39" t="n"/>
      <c r="W569" s="39" t="n"/>
      <c r="X569" s="39" t="n"/>
      <c r="Y569" s="39" t="n"/>
      <c r="Z569" s="39" t="n"/>
      <c r="AA569" s="39" t="n"/>
      <c r="AB569" s="39" t="n"/>
      <c r="AC569" s="39" t="n"/>
      <c r="AD569" s="39" t="n"/>
      <c r="AE569" s="39" t="n"/>
      <c r="AF569" s="39" t="n"/>
      <c r="AG569" s="39" t="n"/>
      <c r="AH569" s="39" t="n"/>
      <c r="AI569" s="39" t="n"/>
      <c r="AJ569" s="39" t="n"/>
      <c r="AK569" s="39" t="n"/>
      <c r="AL569" s="39" t="n"/>
      <c r="AM569" s="44" t="n"/>
      <c r="AN569" s="44" t="n"/>
      <c r="AO569" s="44" t="n"/>
      <c r="AP569" s="44" t="n"/>
      <c r="AQ569" s="44" t="n"/>
      <c r="AR569" s="44" t="n"/>
      <c r="AS569" s="45" t="n"/>
      <c r="AT569" s="45" t="n"/>
      <c r="AU569" s="45" t="n"/>
    </row>
    <row r="570">
      <c r="B570" s="39" t="n"/>
      <c r="C570" s="39" t="n"/>
      <c r="D570" s="40" t="n"/>
      <c r="E570" s="39" t="n"/>
      <c r="F570" s="39" t="n"/>
      <c r="G570" s="112" t="n"/>
      <c r="H570" s="42" t="n"/>
      <c r="I570" s="42" t="n"/>
      <c r="J570" s="113" t="n"/>
      <c r="K570" s="39" t="n"/>
      <c r="L570" s="39" t="n"/>
      <c r="M570" s="39" t="n"/>
      <c r="N570" s="39" t="n"/>
      <c r="O570" s="39" t="n"/>
      <c r="P570" s="39" t="n"/>
      <c r="Q570" s="39" t="n"/>
      <c r="R570" s="39" t="n"/>
      <c r="S570" s="39" t="n"/>
      <c r="T570" s="39" t="n"/>
      <c r="U570" s="39" t="n"/>
      <c r="V570" s="39" t="n"/>
      <c r="W570" s="39" t="n"/>
      <c r="X570" s="39" t="n"/>
      <c r="Y570" s="39" t="n"/>
      <c r="Z570" s="39" t="n"/>
      <c r="AA570" s="39" t="n"/>
      <c r="AB570" s="39" t="n"/>
      <c r="AC570" s="39" t="n"/>
      <c r="AD570" s="39" t="n"/>
      <c r="AE570" s="39" t="n"/>
      <c r="AF570" s="39" t="n"/>
      <c r="AG570" s="39" t="n"/>
      <c r="AH570" s="39" t="n"/>
      <c r="AI570" s="39" t="n"/>
      <c r="AJ570" s="39" t="n"/>
      <c r="AK570" s="39" t="n"/>
      <c r="AL570" s="39" t="n"/>
      <c r="AM570" s="44" t="n"/>
      <c r="AN570" s="44" t="n"/>
      <c r="AO570" s="44" t="n"/>
      <c r="AP570" s="44" t="n"/>
      <c r="AQ570" s="44" t="n"/>
      <c r="AR570" s="44" t="n"/>
      <c r="AS570" s="45" t="n"/>
      <c r="AT570" s="45" t="n"/>
      <c r="AU570" s="45" t="n"/>
    </row>
    <row r="571">
      <c r="B571" s="39" t="n"/>
      <c r="C571" s="39" t="n"/>
      <c r="D571" s="40" t="n"/>
      <c r="E571" s="39" t="n"/>
      <c r="F571" s="39" t="n"/>
      <c r="G571" s="112" t="n"/>
      <c r="H571" s="42" t="n"/>
      <c r="I571" s="42" t="n"/>
      <c r="J571" s="113" t="n"/>
      <c r="K571" s="39" t="n"/>
      <c r="L571" s="39" t="n"/>
      <c r="M571" s="39" t="n"/>
      <c r="N571" s="39" t="n"/>
      <c r="O571" s="39" t="n"/>
      <c r="P571" s="39" t="n"/>
      <c r="Q571" s="39" t="n"/>
      <c r="R571" s="39" t="n"/>
      <c r="S571" s="39" t="n"/>
      <c r="T571" s="39" t="n"/>
      <c r="U571" s="39" t="n"/>
      <c r="V571" s="39" t="n"/>
      <c r="W571" s="39" t="n"/>
      <c r="X571" s="39" t="n"/>
      <c r="Y571" s="39" t="n"/>
      <c r="Z571" s="39" t="n"/>
      <c r="AA571" s="39" t="n"/>
      <c r="AB571" s="39" t="n"/>
      <c r="AC571" s="39" t="n"/>
      <c r="AD571" s="39" t="n"/>
      <c r="AE571" s="39" t="n"/>
      <c r="AF571" s="39" t="n"/>
      <c r="AG571" s="39" t="n"/>
      <c r="AH571" s="39" t="n"/>
      <c r="AI571" s="39" t="n"/>
      <c r="AJ571" s="39" t="n"/>
      <c r="AK571" s="39" t="n"/>
      <c r="AL571" s="39" t="n"/>
      <c r="AM571" s="44" t="n"/>
      <c r="AN571" s="44" t="n"/>
      <c r="AO571" s="44" t="n"/>
      <c r="AP571" s="44" t="n"/>
      <c r="AQ571" s="44" t="n"/>
      <c r="AR571" s="44" t="n"/>
      <c r="AS571" s="45" t="n"/>
      <c r="AT571" s="45" t="n"/>
      <c r="AU571" s="45" t="n"/>
    </row>
    <row r="572">
      <c r="B572" s="39" t="n"/>
      <c r="C572" s="39" t="n"/>
      <c r="D572" s="40" t="n"/>
      <c r="E572" s="39" t="n"/>
      <c r="F572" s="39" t="n"/>
      <c r="G572" s="112" t="n"/>
      <c r="H572" s="42" t="n"/>
      <c r="I572" s="42" t="n"/>
      <c r="J572" s="113" t="n"/>
      <c r="K572" s="39" t="n"/>
      <c r="L572" s="39" t="n"/>
      <c r="M572" s="39" t="n"/>
      <c r="N572" s="39" t="n"/>
      <c r="O572" s="39" t="n"/>
      <c r="P572" s="39" t="n"/>
      <c r="Q572" s="39" t="n"/>
      <c r="R572" s="39" t="n"/>
      <c r="S572" s="39" t="n"/>
      <c r="T572" s="39" t="n"/>
      <c r="U572" s="39" t="n"/>
      <c r="V572" s="39" t="n"/>
      <c r="W572" s="39" t="n"/>
      <c r="X572" s="39" t="n"/>
      <c r="Y572" s="39" t="n"/>
      <c r="Z572" s="39" t="n"/>
      <c r="AA572" s="39" t="n"/>
      <c r="AB572" s="39" t="n"/>
      <c r="AC572" s="39" t="n"/>
      <c r="AD572" s="39" t="n"/>
      <c r="AE572" s="39" t="n"/>
      <c r="AF572" s="39" t="n"/>
      <c r="AG572" s="39" t="n"/>
      <c r="AH572" s="39" t="n"/>
      <c r="AI572" s="39" t="n"/>
      <c r="AJ572" s="39" t="n"/>
      <c r="AK572" s="39" t="n"/>
      <c r="AL572" s="39" t="n"/>
      <c r="AM572" s="44" t="n"/>
      <c r="AN572" s="44" t="n"/>
      <c r="AO572" s="44" t="n"/>
      <c r="AP572" s="44" t="n"/>
      <c r="AQ572" s="44" t="n"/>
      <c r="AR572" s="44" t="n"/>
      <c r="AS572" s="45" t="n"/>
      <c r="AT572" s="45" t="n"/>
      <c r="AU572" s="45" t="n"/>
    </row>
    <row r="573">
      <c r="B573" s="39" t="n"/>
      <c r="C573" s="39" t="n"/>
      <c r="D573" s="40" t="n"/>
      <c r="E573" s="39" t="n"/>
      <c r="F573" s="39" t="n"/>
      <c r="G573" s="112" t="n"/>
      <c r="H573" s="42" t="n"/>
      <c r="I573" s="42" t="n"/>
      <c r="J573" s="113" t="n"/>
      <c r="K573" s="39" t="n"/>
      <c r="L573" s="39" t="n"/>
      <c r="M573" s="39" t="n"/>
      <c r="N573" s="39" t="n"/>
      <c r="O573" s="39" t="n"/>
      <c r="P573" s="39" t="n"/>
      <c r="Q573" s="39" t="n"/>
      <c r="R573" s="39" t="n"/>
      <c r="S573" s="39" t="n"/>
      <c r="T573" s="39" t="n"/>
      <c r="U573" s="39" t="n"/>
      <c r="V573" s="39" t="n"/>
      <c r="W573" s="39" t="n"/>
      <c r="X573" s="39" t="n"/>
      <c r="Y573" s="39" t="n"/>
      <c r="Z573" s="39" t="n"/>
      <c r="AA573" s="39" t="n"/>
      <c r="AB573" s="39" t="n"/>
      <c r="AC573" s="39" t="n"/>
      <c r="AD573" s="39" t="n"/>
      <c r="AE573" s="39" t="n"/>
      <c r="AF573" s="39" t="n"/>
      <c r="AG573" s="39" t="n"/>
      <c r="AH573" s="39" t="n"/>
      <c r="AI573" s="39" t="n"/>
      <c r="AJ573" s="39" t="n"/>
      <c r="AK573" s="39" t="n"/>
      <c r="AL573" s="39" t="n"/>
      <c r="AM573" s="44" t="n"/>
      <c r="AN573" s="44" t="n"/>
      <c r="AO573" s="44" t="n"/>
      <c r="AP573" s="44" t="n"/>
      <c r="AQ573" s="44" t="n"/>
      <c r="AR573" s="44" t="n"/>
      <c r="AS573" s="45" t="n"/>
      <c r="AT573" s="45" t="n"/>
      <c r="AU573" s="45" t="n"/>
    </row>
    <row r="574">
      <c r="B574" s="39" t="n"/>
      <c r="C574" s="39" t="n"/>
      <c r="D574" s="40" t="n"/>
      <c r="E574" s="39" t="n"/>
      <c r="F574" s="39" t="n"/>
      <c r="G574" s="112" t="n"/>
      <c r="H574" s="42" t="n"/>
      <c r="I574" s="42" t="n"/>
      <c r="J574" s="113" t="n"/>
      <c r="K574" s="39" t="n"/>
      <c r="L574" s="39" t="n"/>
      <c r="M574" s="39" t="n"/>
      <c r="N574" s="39" t="n"/>
      <c r="O574" s="39" t="n"/>
      <c r="P574" s="39" t="n"/>
      <c r="Q574" s="39" t="n"/>
      <c r="R574" s="39" t="n"/>
      <c r="S574" s="39" t="n"/>
      <c r="T574" s="39" t="n"/>
      <c r="U574" s="39" t="n"/>
      <c r="V574" s="39" t="n"/>
      <c r="W574" s="39" t="n"/>
      <c r="X574" s="39" t="n"/>
      <c r="Y574" s="39" t="n"/>
      <c r="Z574" s="39" t="n"/>
      <c r="AA574" s="39" t="n"/>
      <c r="AB574" s="39" t="n"/>
      <c r="AC574" s="39" t="n"/>
      <c r="AD574" s="39" t="n"/>
      <c r="AE574" s="39" t="n"/>
      <c r="AF574" s="39" t="n"/>
      <c r="AG574" s="39" t="n"/>
      <c r="AH574" s="39" t="n"/>
      <c r="AI574" s="39" t="n"/>
      <c r="AJ574" s="39" t="n"/>
      <c r="AK574" s="39" t="n"/>
      <c r="AL574" s="39" t="n"/>
      <c r="AM574" s="44" t="n"/>
      <c r="AN574" s="44" t="n"/>
      <c r="AO574" s="44" t="n"/>
      <c r="AP574" s="44" t="n"/>
      <c r="AQ574" s="44" t="n"/>
      <c r="AR574" s="44" t="n"/>
      <c r="AS574" s="45" t="n"/>
      <c r="AT574" s="45" t="n"/>
      <c r="AU574" s="45" t="n"/>
    </row>
    <row r="575">
      <c r="B575" s="39" t="n"/>
      <c r="C575" s="39" t="n"/>
      <c r="D575" s="40" t="n"/>
      <c r="E575" s="39" t="n"/>
      <c r="F575" s="39" t="n"/>
      <c r="G575" s="112" t="n"/>
      <c r="H575" s="42" t="n"/>
      <c r="I575" s="42" t="n"/>
      <c r="J575" s="113" t="n"/>
      <c r="K575" s="39" t="n"/>
      <c r="L575" s="39" t="n"/>
      <c r="M575" s="39" t="n"/>
      <c r="N575" s="39" t="n"/>
      <c r="O575" s="39" t="n"/>
      <c r="P575" s="39" t="n"/>
      <c r="Q575" s="39" t="n"/>
      <c r="R575" s="39" t="n"/>
      <c r="S575" s="39" t="n"/>
      <c r="T575" s="39" t="n"/>
      <c r="U575" s="39" t="n"/>
      <c r="V575" s="39" t="n"/>
      <c r="W575" s="39" t="n"/>
      <c r="X575" s="39" t="n"/>
      <c r="Y575" s="39" t="n"/>
      <c r="Z575" s="39" t="n"/>
      <c r="AA575" s="39" t="n"/>
      <c r="AB575" s="39" t="n"/>
      <c r="AC575" s="39" t="n"/>
      <c r="AD575" s="39" t="n"/>
      <c r="AE575" s="39" t="n"/>
      <c r="AF575" s="39" t="n"/>
      <c r="AG575" s="39" t="n"/>
      <c r="AH575" s="39" t="n"/>
      <c r="AI575" s="39" t="n"/>
      <c r="AJ575" s="39" t="n"/>
      <c r="AK575" s="39" t="n"/>
      <c r="AL575" s="39" t="n"/>
      <c r="AM575" s="44" t="n"/>
      <c r="AN575" s="44" t="n"/>
      <c r="AO575" s="44" t="n"/>
      <c r="AP575" s="44" t="n"/>
      <c r="AQ575" s="44" t="n"/>
      <c r="AR575" s="44" t="n"/>
      <c r="AS575" s="45" t="n"/>
      <c r="AT575" s="45" t="n"/>
      <c r="AU575" s="45" t="n"/>
    </row>
    <row r="576">
      <c r="B576" s="39" t="n"/>
      <c r="C576" s="39" t="n"/>
      <c r="D576" s="40" t="n"/>
      <c r="E576" s="39" t="n"/>
      <c r="F576" s="39" t="n"/>
      <c r="G576" s="112" t="n"/>
      <c r="H576" s="42" t="n"/>
      <c r="I576" s="42" t="n"/>
      <c r="J576" s="113" t="n"/>
      <c r="K576" s="39" t="n"/>
      <c r="L576" s="39" t="n"/>
      <c r="M576" s="39" t="n"/>
      <c r="N576" s="39" t="n"/>
      <c r="O576" s="39" t="n"/>
      <c r="P576" s="39" t="n"/>
      <c r="Q576" s="39" t="n"/>
      <c r="R576" s="39" t="n"/>
      <c r="S576" s="39" t="n"/>
      <c r="T576" s="39" t="n"/>
      <c r="U576" s="39" t="n"/>
      <c r="V576" s="39" t="n"/>
      <c r="W576" s="39" t="n"/>
      <c r="X576" s="39" t="n"/>
      <c r="Y576" s="39" t="n"/>
      <c r="Z576" s="39" t="n"/>
      <c r="AA576" s="39" t="n"/>
      <c r="AB576" s="39" t="n"/>
      <c r="AC576" s="39" t="n"/>
      <c r="AD576" s="39" t="n"/>
      <c r="AE576" s="39" t="n"/>
      <c r="AF576" s="39" t="n"/>
      <c r="AG576" s="39" t="n"/>
      <c r="AH576" s="39" t="n"/>
      <c r="AI576" s="39" t="n"/>
      <c r="AJ576" s="39" t="n"/>
      <c r="AK576" s="39" t="n"/>
      <c r="AL576" s="39" t="n"/>
      <c r="AM576" s="44" t="n"/>
      <c r="AN576" s="44" t="n"/>
      <c r="AO576" s="44" t="n"/>
      <c r="AP576" s="44" t="n"/>
      <c r="AQ576" s="44" t="n"/>
      <c r="AR576" s="44" t="n"/>
      <c r="AS576" s="45" t="n"/>
      <c r="AT576" s="45" t="n"/>
      <c r="AU576" s="45" t="n"/>
    </row>
    <row r="577">
      <c r="B577" s="39" t="n"/>
      <c r="C577" s="39" t="n"/>
      <c r="D577" s="40" t="n"/>
      <c r="E577" s="39" t="n"/>
      <c r="F577" s="39" t="n"/>
      <c r="G577" s="112" t="n"/>
      <c r="H577" s="42" t="n"/>
      <c r="I577" s="42" t="n"/>
      <c r="J577" s="113" t="n"/>
      <c r="K577" s="39" t="n"/>
      <c r="L577" s="39" t="n"/>
      <c r="M577" s="39" t="n"/>
      <c r="N577" s="39" t="n"/>
      <c r="O577" s="39" t="n"/>
      <c r="P577" s="39" t="n"/>
      <c r="Q577" s="39" t="n"/>
      <c r="R577" s="39" t="n"/>
      <c r="S577" s="39" t="n"/>
      <c r="T577" s="39" t="n"/>
      <c r="U577" s="39" t="n"/>
      <c r="V577" s="39" t="n"/>
      <c r="W577" s="39" t="n"/>
      <c r="X577" s="39" t="n"/>
      <c r="Y577" s="39" t="n"/>
      <c r="Z577" s="39" t="n"/>
      <c r="AA577" s="39" t="n"/>
      <c r="AB577" s="39" t="n"/>
      <c r="AC577" s="39" t="n"/>
      <c r="AD577" s="39" t="n"/>
      <c r="AE577" s="39" t="n"/>
      <c r="AF577" s="39" t="n"/>
      <c r="AG577" s="39" t="n"/>
      <c r="AH577" s="39" t="n"/>
      <c r="AI577" s="39" t="n"/>
      <c r="AJ577" s="39" t="n"/>
      <c r="AK577" s="39" t="n"/>
      <c r="AL577" s="39" t="n"/>
      <c r="AM577" s="44" t="n"/>
      <c r="AN577" s="44" t="n"/>
      <c r="AO577" s="44" t="n"/>
      <c r="AP577" s="44" t="n"/>
      <c r="AQ577" s="44" t="n"/>
      <c r="AR577" s="44" t="n"/>
      <c r="AS577" s="45" t="n"/>
      <c r="AT577" s="45" t="n"/>
      <c r="AU577" s="45" t="n"/>
    </row>
    <row r="578">
      <c r="B578" s="39" t="n"/>
      <c r="C578" s="39" t="n"/>
      <c r="D578" s="40" t="n"/>
      <c r="E578" s="39" t="n"/>
      <c r="F578" s="39" t="n"/>
      <c r="G578" s="112" t="n"/>
      <c r="H578" s="42" t="n"/>
      <c r="I578" s="42" t="n"/>
      <c r="J578" s="113" t="n"/>
      <c r="K578" s="39" t="n"/>
      <c r="L578" s="39" t="n"/>
      <c r="M578" s="39" t="n"/>
      <c r="N578" s="39" t="n"/>
      <c r="O578" s="39" t="n"/>
      <c r="P578" s="39" t="n"/>
      <c r="Q578" s="39" t="n"/>
      <c r="R578" s="39" t="n"/>
      <c r="S578" s="39" t="n"/>
      <c r="T578" s="39" t="n"/>
      <c r="U578" s="39" t="n"/>
      <c r="V578" s="39" t="n"/>
      <c r="W578" s="39" t="n"/>
      <c r="X578" s="39" t="n"/>
      <c r="Y578" s="39" t="n"/>
      <c r="Z578" s="39" t="n"/>
      <c r="AA578" s="39" t="n"/>
      <c r="AB578" s="39" t="n"/>
      <c r="AC578" s="39" t="n"/>
      <c r="AD578" s="39" t="n"/>
      <c r="AE578" s="39" t="n"/>
      <c r="AF578" s="39" t="n"/>
      <c r="AG578" s="39" t="n"/>
      <c r="AH578" s="39" t="n"/>
      <c r="AI578" s="39" t="n"/>
      <c r="AJ578" s="39" t="n"/>
      <c r="AK578" s="39" t="n"/>
      <c r="AL578" s="39" t="n"/>
      <c r="AM578" s="44" t="n"/>
      <c r="AN578" s="44" t="n"/>
      <c r="AO578" s="44" t="n"/>
      <c r="AP578" s="44" t="n"/>
      <c r="AQ578" s="44" t="n"/>
      <c r="AR578" s="44" t="n"/>
      <c r="AS578" s="45" t="n"/>
      <c r="AT578" s="45" t="n"/>
      <c r="AU578" s="45" t="n"/>
    </row>
    <row r="579">
      <c r="B579" s="39" t="n"/>
      <c r="C579" s="39" t="n"/>
      <c r="D579" s="40" t="n"/>
      <c r="E579" s="39" t="n"/>
      <c r="F579" s="39" t="n"/>
      <c r="G579" s="112" t="n"/>
      <c r="H579" s="42" t="n"/>
      <c r="I579" s="42" t="n"/>
      <c r="J579" s="113" t="n"/>
      <c r="K579" s="39" t="n"/>
      <c r="L579" s="39" t="n"/>
      <c r="M579" s="39" t="n"/>
      <c r="N579" s="39" t="n"/>
      <c r="O579" s="39" t="n"/>
      <c r="P579" s="39" t="n"/>
      <c r="Q579" s="39" t="n"/>
      <c r="R579" s="39" t="n"/>
      <c r="S579" s="39" t="n"/>
      <c r="T579" s="39" t="n"/>
      <c r="U579" s="39" t="n"/>
      <c r="V579" s="39" t="n"/>
      <c r="W579" s="39" t="n"/>
      <c r="X579" s="39" t="n"/>
      <c r="Y579" s="39" t="n"/>
      <c r="Z579" s="39" t="n"/>
      <c r="AA579" s="39" t="n"/>
      <c r="AB579" s="39" t="n"/>
      <c r="AC579" s="39" t="n"/>
      <c r="AD579" s="39" t="n"/>
      <c r="AE579" s="39" t="n"/>
      <c r="AF579" s="39" t="n"/>
      <c r="AG579" s="39" t="n"/>
      <c r="AH579" s="39" t="n"/>
      <c r="AI579" s="39" t="n"/>
      <c r="AJ579" s="39" t="n"/>
      <c r="AK579" s="39" t="n"/>
      <c r="AL579" s="39" t="n"/>
      <c r="AM579" s="44" t="n"/>
      <c r="AN579" s="44" t="n"/>
      <c r="AO579" s="44" t="n"/>
      <c r="AP579" s="44" t="n"/>
      <c r="AQ579" s="44" t="n"/>
      <c r="AR579" s="44" t="n"/>
      <c r="AS579" s="45" t="n"/>
      <c r="AT579" s="45" t="n"/>
      <c r="AU579" s="45" t="n"/>
    </row>
    <row r="580">
      <c r="B580" s="39" t="n"/>
      <c r="C580" s="39" t="n"/>
      <c r="D580" s="40" t="n"/>
      <c r="E580" s="39" t="n"/>
      <c r="F580" s="39" t="n"/>
      <c r="G580" s="112" t="n"/>
      <c r="H580" s="42" t="n"/>
      <c r="I580" s="42" t="n"/>
      <c r="J580" s="113" t="n"/>
      <c r="K580" s="39" t="n"/>
      <c r="L580" s="39" t="n"/>
      <c r="M580" s="39" t="n"/>
      <c r="N580" s="39" t="n"/>
      <c r="O580" s="39" t="n"/>
      <c r="P580" s="39" t="n"/>
      <c r="Q580" s="39" t="n"/>
      <c r="R580" s="39" t="n"/>
      <c r="S580" s="39" t="n"/>
      <c r="T580" s="39" t="n"/>
      <c r="U580" s="39" t="n"/>
      <c r="V580" s="39" t="n"/>
      <c r="W580" s="39" t="n"/>
      <c r="X580" s="39" t="n"/>
      <c r="Y580" s="39" t="n"/>
      <c r="Z580" s="39" t="n"/>
      <c r="AA580" s="39" t="n"/>
      <c r="AB580" s="39" t="n"/>
      <c r="AC580" s="39" t="n"/>
      <c r="AD580" s="39" t="n"/>
      <c r="AE580" s="39" t="n"/>
      <c r="AF580" s="39" t="n"/>
      <c r="AG580" s="39" t="n"/>
      <c r="AH580" s="39" t="n"/>
      <c r="AI580" s="39" t="n"/>
      <c r="AJ580" s="39" t="n"/>
      <c r="AK580" s="39" t="n"/>
      <c r="AL580" s="39" t="n"/>
      <c r="AM580" s="44" t="n"/>
      <c r="AN580" s="44" t="n"/>
      <c r="AO580" s="44" t="n"/>
      <c r="AP580" s="44" t="n"/>
      <c r="AQ580" s="44" t="n"/>
      <c r="AR580" s="44" t="n"/>
      <c r="AS580" s="45" t="n"/>
      <c r="AT580" s="45" t="n"/>
      <c r="AU580" s="45" t="n"/>
    </row>
    <row r="581">
      <c r="B581" s="39" t="n"/>
      <c r="C581" s="39" t="n"/>
      <c r="D581" s="40" t="n"/>
      <c r="E581" s="39" t="n"/>
      <c r="F581" s="39" t="n"/>
      <c r="G581" s="112" t="n"/>
      <c r="H581" s="42" t="n"/>
      <c r="I581" s="42" t="n"/>
      <c r="J581" s="113" t="n"/>
      <c r="K581" s="39" t="n"/>
      <c r="L581" s="39" t="n"/>
      <c r="M581" s="39" t="n"/>
      <c r="N581" s="39" t="n"/>
      <c r="O581" s="39" t="n"/>
      <c r="P581" s="39" t="n"/>
      <c r="Q581" s="39" t="n"/>
      <c r="R581" s="39" t="n"/>
      <c r="S581" s="39" t="n"/>
      <c r="T581" s="39" t="n"/>
      <c r="U581" s="39" t="n"/>
      <c r="V581" s="39" t="n"/>
      <c r="W581" s="39" t="n"/>
      <c r="X581" s="39" t="n"/>
      <c r="Y581" s="39" t="n"/>
      <c r="Z581" s="39" t="n"/>
      <c r="AA581" s="39" t="n"/>
      <c r="AB581" s="39" t="n"/>
      <c r="AC581" s="39" t="n"/>
      <c r="AD581" s="39" t="n"/>
      <c r="AE581" s="39" t="n"/>
      <c r="AF581" s="39" t="n"/>
      <c r="AG581" s="39" t="n"/>
      <c r="AH581" s="39" t="n"/>
      <c r="AI581" s="39" t="n"/>
      <c r="AJ581" s="39" t="n"/>
      <c r="AK581" s="39" t="n"/>
      <c r="AL581" s="39" t="n"/>
      <c r="AM581" s="44" t="n"/>
      <c r="AN581" s="44" t="n"/>
      <c r="AO581" s="44" t="n"/>
      <c r="AP581" s="44" t="n"/>
      <c r="AQ581" s="44" t="n"/>
      <c r="AR581" s="44" t="n"/>
      <c r="AS581" s="45" t="n"/>
      <c r="AT581" s="45" t="n"/>
      <c r="AU581" s="45" t="n"/>
    </row>
    <row r="582">
      <c r="B582" s="39" t="n"/>
      <c r="C582" s="39" t="n"/>
      <c r="D582" s="40" t="n"/>
      <c r="E582" s="39" t="n"/>
      <c r="F582" s="39" t="n"/>
      <c r="G582" s="112" t="n"/>
      <c r="H582" s="42" t="n"/>
      <c r="I582" s="42" t="n"/>
      <c r="J582" s="113" t="n"/>
      <c r="K582" s="39" t="n"/>
      <c r="L582" s="39" t="n"/>
      <c r="M582" s="39" t="n"/>
      <c r="N582" s="39" t="n"/>
      <c r="O582" s="39" t="n"/>
      <c r="P582" s="39" t="n"/>
      <c r="Q582" s="39" t="n"/>
      <c r="R582" s="39" t="n"/>
      <c r="S582" s="39" t="n"/>
      <c r="T582" s="39" t="n"/>
      <c r="U582" s="39" t="n"/>
      <c r="V582" s="39" t="n"/>
      <c r="W582" s="39" t="n"/>
      <c r="X582" s="39" t="n"/>
      <c r="Y582" s="39" t="n"/>
      <c r="Z582" s="39" t="n"/>
      <c r="AA582" s="39" t="n"/>
      <c r="AB582" s="39" t="n"/>
      <c r="AC582" s="39" t="n"/>
      <c r="AD582" s="39" t="n"/>
      <c r="AE582" s="39" t="n"/>
      <c r="AF582" s="39" t="n"/>
      <c r="AG582" s="39" t="n"/>
      <c r="AH582" s="39" t="n"/>
      <c r="AI582" s="39" t="n"/>
      <c r="AJ582" s="39" t="n"/>
      <c r="AK582" s="39" t="n"/>
      <c r="AL582" s="39" t="n"/>
      <c r="AM582" s="44" t="n"/>
      <c r="AN582" s="44" t="n"/>
      <c r="AO582" s="44" t="n"/>
      <c r="AP582" s="44" t="n"/>
      <c r="AQ582" s="44" t="n"/>
      <c r="AR582" s="44" t="n"/>
      <c r="AS582" s="45" t="n"/>
      <c r="AT582" s="45" t="n"/>
      <c r="AU582" s="45" t="n"/>
    </row>
    <row r="583">
      <c r="B583" s="39" t="n"/>
      <c r="C583" s="39" t="n"/>
      <c r="D583" s="40" t="n"/>
      <c r="E583" s="39" t="n"/>
      <c r="F583" s="39" t="n"/>
      <c r="G583" s="112" t="n"/>
      <c r="H583" s="42" t="n"/>
      <c r="I583" s="42" t="n"/>
      <c r="J583" s="113" t="n"/>
      <c r="K583" s="39" t="n"/>
      <c r="L583" s="39" t="n"/>
      <c r="M583" s="39" t="n"/>
      <c r="N583" s="39" t="n"/>
      <c r="O583" s="39" t="n"/>
      <c r="P583" s="39" t="n"/>
      <c r="Q583" s="39" t="n"/>
      <c r="R583" s="39" t="n"/>
      <c r="S583" s="39" t="n"/>
      <c r="T583" s="39" t="n"/>
      <c r="U583" s="39" t="n"/>
      <c r="V583" s="39" t="n"/>
      <c r="W583" s="39" t="n"/>
      <c r="X583" s="39" t="n"/>
      <c r="Y583" s="39" t="n"/>
      <c r="Z583" s="39" t="n"/>
      <c r="AA583" s="39" t="n"/>
      <c r="AB583" s="39" t="n"/>
      <c r="AC583" s="39" t="n"/>
      <c r="AD583" s="39" t="n"/>
      <c r="AE583" s="39" t="n"/>
      <c r="AF583" s="39" t="n"/>
      <c r="AG583" s="39" t="n"/>
      <c r="AH583" s="39" t="n"/>
      <c r="AI583" s="39" t="n"/>
      <c r="AJ583" s="39" t="n"/>
      <c r="AK583" s="39" t="n"/>
      <c r="AL583" s="39" t="n"/>
      <c r="AM583" s="44" t="n"/>
      <c r="AN583" s="44" t="n"/>
      <c r="AO583" s="44" t="n"/>
      <c r="AP583" s="44" t="n"/>
      <c r="AQ583" s="44" t="n"/>
      <c r="AR583" s="44" t="n"/>
      <c r="AS583" s="45" t="n"/>
      <c r="AT583" s="45" t="n"/>
      <c r="AU583" s="45" t="n"/>
    </row>
    <row r="584">
      <c r="B584" s="39" t="n"/>
      <c r="C584" s="39" t="n"/>
      <c r="D584" s="40" t="n"/>
      <c r="E584" s="39" t="n"/>
      <c r="F584" s="39" t="n"/>
      <c r="G584" s="112" t="n"/>
      <c r="H584" s="42" t="n"/>
      <c r="I584" s="42" t="n"/>
      <c r="J584" s="113" t="n"/>
      <c r="K584" s="39" t="n"/>
      <c r="L584" s="39" t="n"/>
      <c r="M584" s="39" t="n"/>
      <c r="N584" s="39" t="n"/>
      <c r="O584" s="39" t="n"/>
      <c r="P584" s="39" t="n"/>
      <c r="Q584" s="39" t="n"/>
      <c r="R584" s="39" t="n"/>
      <c r="S584" s="39" t="n"/>
      <c r="T584" s="39" t="n"/>
      <c r="U584" s="39" t="n"/>
      <c r="V584" s="39" t="n"/>
      <c r="W584" s="39" t="n"/>
      <c r="X584" s="39" t="n"/>
      <c r="Y584" s="39" t="n"/>
      <c r="Z584" s="39" t="n"/>
      <c r="AA584" s="39" t="n"/>
      <c r="AB584" s="39" t="n"/>
      <c r="AC584" s="39" t="n"/>
      <c r="AD584" s="39" t="n"/>
      <c r="AE584" s="39" t="n"/>
      <c r="AF584" s="39" t="n"/>
      <c r="AG584" s="39" t="n"/>
      <c r="AH584" s="39" t="n"/>
      <c r="AI584" s="39" t="n"/>
      <c r="AJ584" s="39" t="n"/>
      <c r="AK584" s="39" t="n"/>
      <c r="AL584" s="39" t="n"/>
      <c r="AM584" s="44" t="n"/>
      <c r="AN584" s="44" t="n"/>
      <c r="AO584" s="44" t="n"/>
      <c r="AP584" s="44" t="n"/>
      <c r="AQ584" s="44" t="n"/>
      <c r="AR584" s="44" t="n"/>
      <c r="AS584" s="45" t="n"/>
      <c r="AT584" s="45" t="n"/>
      <c r="AU584" s="45" t="n"/>
    </row>
    <row r="585">
      <c r="B585" s="39" t="n"/>
      <c r="C585" s="39" t="n"/>
      <c r="D585" s="40" t="n"/>
      <c r="E585" s="39" t="n"/>
      <c r="F585" s="39" t="n"/>
      <c r="G585" s="112" t="n"/>
      <c r="H585" s="42" t="n"/>
      <c r="I585" s="42" t="n"/>
      <c r="J585" s="113" t="n"/>
      <c r="K585" s="39" t="n"/>
      <c r="L585" s="39" t="n"/>
      <c r="M585" s="39" t="n"/>
      <c r="N585" s="39" t="n"/>
      <c r="O585" s="39" t="n"/>
      <c r="P585" s="39" t="n"/>
      <c r="Q585" s="39" t="n"/>
      <c r="R585" s="39" t="n"/>
      <c r="S585" s="39" t="n"/>
      <c r="T585" s="39" t="n"/>
      <c r="U585" s="39" t="n"/>
      <c r="V585" s="39" t="n"/>
      <c r="W585" s="39" t="n"/>
      <c r="X585" s="39" t="n"/>
      <c r="Y585" s="39" t="n"/>
      <c r="Z585" s="39" t="n"/>
      <c r="AA585" s="39" t="n"/>
      <c r="AB585" s="39" t="n"/>
      <c r="AC585" s="39" t="n"/>
      <c r="AD585" s="39" t="n"/>
      <c r="AE585" s="39" t="n"/>
      <c r="AF585" s="39" t="n"/>
      <c r="AG585" s="39" t="n"/>
      <c r="AH585" s="39" t="n"/>
      <c r="AI585" s="39" t="n"/>
      <c r="AJ585" s="39" t="n"/>
      <c r="AK585" s="39" t="n"/>
      <c r="AL585" s="39" t="n"/>
      <c r="AM585" s="44" t="n"/>
      <c r="AN585" s="44" t="n"/>
      <c r="AO585" s="44" t="n"/>
      <c r="AP585" s="44" t="n"/>
      <c r="AQ585" s="44" t="n"/>
      <c r="AR585" s="44" t="n"/>
      <c r="AS585" s="45" t="n"/>
      <c r="AT585" s="45" t="n"/>
      <c r="AU585" s="45" t="n"/>
    </row>
    <row r="586">
      <c r="B586" s="39" t="n"/>
      <c r="C586" s="39" t="n"/>
      <c r="D586" s="40" t="n"/>
      <c r="E586" s="39" t="n"/>
      <c r="F586" s="39" t="n"/>
      <c r="G586" s="112" t="n"/>
      <c r="H586" s="42" t="n"/>
      <c r="I586" s="42" t="n"/>
      <c r="J586" s="113" t="n"/>
      <c r="K586" s="39" t="n"/>
      <c r="L586" s="39" t="n"/>
      <c r="M586" s="39" t="n"/>
      <c r="N586" s="39" t="n"/>
      <c r="O586" s="39" t="n"/>
      <c r="P586" s="39" t="n"/>
      <c r="Q586" s="39" t="n"/>
      <c r="R586" s="39" t="n"/>
      <c r="S586" s="39" t="n"/>
      <c r="T586" s="39" t="n"/>
      <c r="U586" s="39" t="n"/>
      <c r="V586" s="39" t="n"/>
      <c r="W586" s="39" t="n"/>
      <c r="X586" s="39" t="n"/>
      <c r="Y586" s="39" t="n"/>
      <c r="Z586" s="39" t="n"/>
      <c r="AA586" s="39" t="n"/>
      <c r="AB586" s="39" t="n"/>
      <c r="AC586" s="39" t="n"/>
      <c r="AD586" s="39" t="n"/>
      <c r="AE586" s="39" t="n"/>
      <c r="AF586" s="39" t="n"/>
      <c r="AG586" s="39" t="n"/>
      <c r="AH586" s="39" t="n"/>
      <c r="AI586" s="39" t="n"/>
      <c r="AJ586" s="39" t="n"/>
      <c r="AK586" s="39" t="n"/>
      <c r="AL586" s="39" t="n"/>
      <c r="AM586" s="44" t="n"/>
      <c r="AN586" s="44" t="n"/>
      <c r="AO586" s="44" t="n"/>
      <c r="AP586" s="44" t="n"/>
      <c r="AQ586" s="44" t="n"/>
      <c r="AR586" s="44" t="n"/>
      <c r="AS586" s="45" t="n"/>
      <c r="AT586" s="45" t="n"/>
      <c r="AU586" s="45" t="n"/>
    </row>
    <row r="587">
      <c r="B587" s="39" t="n"/>
      <c r="C587" s="39" t="n"/>
      <c r="D587" s="40" t="n"/>
      <c r="E587" s="39" t="n"/>
      <c r="F587" s="39" t="n"/>
      <c r="G587" s="112" t="n"/>
      <c r="H587" s="42" t="n"/>
      <c r="I587" s="42" t="n"/>
      <c r="J587" s="113" t="n"/>
      <c r="K587" s="39" t="n"/>
      <c r="L587" s="39" t="n"/>
      <c r="M587" s="39" t="n"/>
      <c r="N587" s="39" t="n"/>
      <c r="O587" s="39" t="n"/>
      <c r="P587" s="39" t="n"/>
      <c r="Q587" s="39" t="n"/>
      <c r="R587" s="39" t="n"/>
      <c r="S587" s="39" t="n"/>
      <c r="T587" s="39" t="n"/>
      <c r="U587" s="39" t="n"/>
      <c r="V587" s="39" t="n"/>
      <c r="W587" s="39" t="n"/>
      <c r="X587" s="39" t="n"/>
      <c r="Y587" s="39" t="n"/>
      <c r="Z587" s="39" t="n"/>
      <c r="AA587" s="39" t="n"/>
      <c r="AB587" s="39" t="n"/>
      <c r="AC587" s="39" t="n"/>
      <c r="AD587" s="39" t="n"/>
      <c r="AE587" s="39" t="n"/>
      <c r="AF587" s="39" t="n"/>
      <c r="AG587" s="39" t="n"/>
      <c r="AH587" s="39" t="n"/>
      <c r="AI587" s="39" t="n"/>
      <c r="AJ587" s="39" t="n"/>
      <c r="AK587" s="39" t="n"/>
      <c r="AL587" s="39" t="n"/>
      <c r="AM587" s="44" t="n"/>
      <c r="AN587" s="44" t="n"/>
      <c r="AO587" s="44" t="n"/>
      <c r="AP587" s="44" t="n"/>
      <c r="AQ587" s="44" t="n"/>
      <c r="AR587" s="44" t="n"/>
      <c r="AS587" s="45" t="n"/>
      <c r="AT587" s="45" t="n"/>
      <c r="AU587" s="45" t="n"/>
    </row>
    <row r="588">
      <c r="B588" s="39" t="n"/>
      <c r="C588" s="39" t="n"/>
      <c r="D588" s="40" t="n"/>
      <c r="E588" s="39" t="n"/>
      <c r="F588" s="39" t="n"/>
      <c r="G588" s="112" t="n"/>
      <c r="H588" s="42" t="n"/>
      <c r="I588" s="42" t="n"/>
      <c r="J588" s="113" t="n"/>
      <c r="K588" s="39" t="n"/>
      <c r="L588" s="39" t="n"/>
      <c r="M588" s="39" t="n"/>
      <c r="N588" s="39" t="n"/>
      <c r="O588" s="39" t="n"/>
      <c r="P588" s="39" t="n"/>
      <c r="Q588" s="39" t="n"/>
      <c r="R588" s="39" t="n"/>
      <c r="S588" s="39" t="n"/>
      <c r="T588" s="39" t="n"/>
      <c r="U588" s="39" t="n"/>
      <c r="V588" s="39" t="n"/>
      <c r="W588" s="39" t="n"/>
      <c r="X588" s="39" t="n"/>
      <c r="Y588" s="39" t="n"/>
      <c r="Z588" s="39" t="n"/>
      <c r="AA588" s="39" t="n"/>
      <c r="AB588" s="39" t="n"/>
      <c r="AC588" s="39" t="n"/>
      <c r="AD588" s="39" t="n"/>
      <c r="AE588" s="39" t="n"/>
      <c r="AF588" s="39" t="n"/>
      <c r="AG588" s="39" t="n"/>
      <c r="AH588" s="39" t="n"/>
      <c r="AI588" s="39" t="n"/>
      <c r="AJ588" s="39" t="n"/>
      <c r="AK588" s="39" t="n"/>
      <c r="AL588" s="39" t="n"/>
      <c r="AM588" s="44" t="n"/>
      <c r="AN588" s="44" t="n"/>
      <c r="AO588" s="44" t="n"/>
      <c r="AP588" s="44" t="n"/>
      <c r="AQ588" s="44" t="n"/>
      <c r="AR588" s="44" t="n"/>
      <c r="AS588" s="45" t="n"/>
      <c r="AT588" s="45" t="n"/>
      <c r="AU588" s="45" t="n"/>
    </row>
    <row r="589">
      <c r="B589" s="39" t="n"/>
      <c r="C589" s="39" t="n"/>
      <c r="D589" s="40" t="n"/>
      <c r="E589" s="39" t="n"/>
      <c r="F589" s="39" t="n"/>
      <c r="G589" s="112" t="n"/>
      <c r="H589" s="42" t="n"/>
      <c r="I589" s="42" t="n"/>
      <c r="J589" s="113" t="n"/>
      <c r="K589" s="39" t="n"/>
      <c r="L589" s="39" t="n"/>
      <c r="M589" s="39" t="n"/>
      <c r="N589" s="39" t="n"/>
      <c r="O589" s="39" t="n"/>
      <c r="P589" s="39" t="n"/>
      <c r="Q589" s="39" t="n"/>
      <c r="R589" s="39" t="n"/>
      <c r="S589" s="39" t="n"/>
      <c r="T589" s="39" t="n"/>
      <c r="U589" s="39" t="n"/>
      <c r="V589" s="39" t="n"/>
      <c r="W589" s="39" t="n"/>
      <c r="X589" s="39" t="n"/>
      <c r="Y589" s="39" t="n"/>
      <c r="Z589" s="39" t="n"/>
      <c r="AA589" s="39" t="n"/>
      <c r="AB589" s="39" t="n"/>
      <c r="AC589" s="39" t="n"/>
      <c r="AD589" s="39" t="n"/>
      <c r="AE589" s="39" t="n"/>
      <c r="AF589" s="39" t="n"/>
      <c r="AG589" s="39" t="n"/>
      <c r="AH589" s="39" t="n"/>
      <c r="AI589" s="39" t="n"/>
      <c r="AJ589" s="39" t="n"/>
      <c r="AK589" s="39" t="n"/>
      <c r="AL589" s="39" t="n"/>
      <c r="AM589" s="44" t="n"/>
      <c r="AN589" s="44" t="n"/>
      <c r="AO589" s="44" t="n"/>
      <c r="AP589" s="44" t="n"/>
      <c r="AQ589" s="44" t="n"/>
      <c r="AR589" s="44" t="n"/>
      <c r="AS589" s="45" t="n"/>
      <c r="AT589" s="45" t="n"/>
      <c r="AU589" s="45" t="n"/>
    </row>
    <row r="590">
      <c r="B590" s="39" t="n"/>
      <c r="C590" s="39" t="n"/>
      <c r="D590" s="40" t="n"/>
      <c r="E590" s="39" t="n"/>
      <c r="F590" s="39" t="n"/>
      <c r="G590" s="112" t="n"/>
      <c r="H590" s="42" t="n"/>
      <c r="I590" s="42" t="n"/>
      <c r="J590" s="113" t="n"/>
      <c r="K590" s="39" t="n"/>
      <c r="L590" s="39" t="n"/>
      <c r="M590" s="39" t="n"/>
      <c r="N590" s="39" t="n"/>
      <c r="O590" s="39" t="n"/>
      <c r="P590" s="39" t="n"/>
      <c r="Q590" s="39" t="n"/>
      <c r="R590" s="39" t="n"/>
      <c r="S590" s="39" t="n"/>
      <c r="T590" s="39" t="n"/>
      <c r="U590" s="39" t="n"/>
      <c r="V590" s="39" t="n"/>
      <c r="W590" s="39" t="n"/>
      <c r="X590" s="39" t="n"/>
      <c r="Y590" s="39" t="n"/>
      <c r="Z590" s="39" t="n"/>
      <c r="AA590" s="39" t="n"/>
      <c r="AB590" s="39" t="n"/>
      <c r="AC590" s="39" t="n"/>
      <c r="AD590" s="39" t="n"/>
      <c r="AE590" s="39" t="n"/>
      <c r="AF590" s="39" t="n"/>
      <c r="AG590" s="39" t="n"/>
      <c r="AH590" s="39" t="n"/>
      <c r="AI590" s="39" t="n"/>
      <c r="AJ590" s="39" t="n"/>
      <c r="AK590" s="39" t="n"/>
      <c r="AL590" s="39" t="n"/>
      <c r="AM590" s="44" t="n"/>
      <c r="AN590" s="44" t="n"/>
      <c r="AO590" s="44" t="n"/>
      <c r="AP590" s="44" t="n"/>
      <c r="AQ590" s="44" t="n"/>
      <c r="AR590" s="44" t="n"/>
      <c r="AS590" s="45" t="n"/>
      <c r="AT590" s="45" t="n"/>
      <c r="AU590" s="45" t="n"/>
    </row>
    <row r="591">
      <c r="B591" s="39" t="n"/>
      <c r="C591" s="39" t="n"/>
      <c r="D591" s="40" t="n"/>
      <c r="E591" s="39" t="n"/>
      <c r="F591" s="39" t="n"/>
      <c r="G591" s="112" t="n"/>
      <c r="H591" s="42" t="n"/>
      <c r="I591" s="42" t="n"/>
      <c r="J591" s="113" t="n"/>
      <c r="K591" s="39" t="n"/>
      <c r="L591" s="39" t="n"/>
      <c r="M591" s="39" t="n"/>
      <c r="N591" s="39" t="n"/>
      <c r="O591" s="39" t="n"/>
      <c r="P591" s="39" t="n"/>
      <c r="Q591" s="39" t="n"/>
      <c r="R591" s="39" t="n"/>
      <c r="S591" s="39" t="n"/>
      <c r="T591" s="39" t="n"/>
      <c r="U591" s="39" t="n"/>
      <c r="V591" s="39" t="n"/>
      <c r="W591" s="39" t="n"/>
      <c r="X591" s="39" t="n"/>
      <c r="Y591" s="39" t="n"/>
      <c r="Z591" s="39" t="n"/>
      <c r="AA591" s="39" t="n"/>
      <c r="AB591" s="39" t="n"/>
      <c r="AC591" s="39" t="n"/>
      <c r="AD591" s="39" t="n"/>
      <c r="AE591" s="39" t="n"/>
      <c r="AF591" s="39" t="n"/>
      <c r="AG591" s="39" t="n"/>
      <c r="AH591" s="39" t="n"/>
      <c r="AI591" s="39" t="n"/>
      <c r="AJ591" s="39" t="n"/>
      <c r="AK591" s="39" t="n"/>
      <c r="AL591" s="39" t="n"/>
      <c r="AM591" s="44" t="n"/>
      <c r="AN591" s="44" t="n"/>
      <c r="AO591" s="44" t="n"/>
      <c r="AP591" s="44" t="n"/>
      <c r="AQ591" s="44" t="n"/>
      <c r="AR591" s="44" t="n"/>
      <c r="AS591" s="45" t="n"/>
      <c r="AT591" s="45" t="n"/>
      <c r="AU591" s="45" t="n"/>
    </row>
    <row r="592">
      <c r="B592" s="39" t="n"/>
      <c r="C592" s="39" t="n"/>
      <c r="D592" s="40" t="n"/>
      <c r="E592" s="39" t="n"/>
      <c r="F592" s="39" t="n"/>
      <c r="G592" s="112" t="n"/>
      <c r="H592" s="42" t="n"/>
      <c r="I592" s="42" t="n"/>
      <c r="J592" s="113" t="n"/>
      <c r="K592" s="39" t="n"/>
      <c r="L592" s="39" t="n"/>
      <c r="M592" s="39" t="n"/>
      <c r="N592" s="39" t="n"/>
      <c r="O592" s="39" t="n"/>
      <c r="P592" s="39" t="n"/>
      <c r="Q592" s="39" t="n"/>
      <c r="R592" s="39" t="n"/>
      <c r="S592" s="39" t="n"/>
      <c r="T592" s="39" t="n"/>
      <c r="U592" s="39" t="n"/>
      <c r="V592" s="39" t="n"/>
      <c r="W592" s="39" t="n"/>
      <c r="X592" s="39" t="n"/>
      <c r="Y592" s="39" t="n"/>
      <c r="Z592" s="39" t="n"/>
      <c r="AA592" s="39" t="n"/>
      <c r="AB592" s="39" t="n"/>
      <c r="AC592" s="39" t="n"/>
      <c r="AD592" s="39" t="n"/>
      <c r="AE592" s="39" t="n"/>
      <c r="AF592" s="39" t="n"/>
      <c r="AG592" s="39" t="n"/>
      <c r="AH592" s="39" t="n"/>
      <c r="AI592" s="39" t="n"/>
      <c r="AJ592" s="39" t="n"/>
      <c r="AK592" s="39" t="n"/>
      <c r="AL592" s="39" t="n"/>
      <c r="AM592" s="44" t="n"/>
      <c r="AN592" s="44" t="n"/>
      <c r="AO592" s="44" t="n"/>
      <c r="AP592" s="44" t="n"/>
      <c r="AQ592" s="44" t="n"/>
      <c r="AR592" s="44" t="n"/>
      <c r="AS592" s="45" t="n"/>
      <c r="AT592" s="45" t="n"/>
      <c r="AU592" s="45" t="n"/>
    </row>
    <row r="593">
      <c r="B593" s="39" t="n"/>
      <c r="C593" s="39" t="n"/>
      <c r="D593" s="40" t="n"/>
      <c r="E593" s="39" t="n"/>
      <c r="F593" s="39" t="n"/>
      <c r="G593" s="112" t="n"/>
      <c r="H593" s="42" t="n"/>
      <c r="I593" s="42" t="n"/>
      <c r="J593" s="113" t="n"/>
      <c r="K593" s="39" t="n"/>
      <c r="L593" s="39" t="n"/>
      <c r="M593" s="39" t="n"/>
      <c r="N593" s="39" t="n"/>
      <c r="O593" s="39" t="n"/>
      <c r="P593" s="39" t="n"/>
      <c r="Q593" s="39" t="n"/>
      <c r="R593" s="39" t="n"/>
      <c r="S593" s="39" t="n"/>
      <c r="T593" s="39" t="n"/>
      <c r="U593" s="39" t="n"/>
      <c r="V593" s="39" t="n"/>
      <c r="W593" s="39" t="n"/>
      <c r="X593" s="39" t="n"/>
      <c r="Y593" s="39" t="n"/>
      <c r="Z593" s="39" t="n"/>
      <c r="AA593" s="39" t="n"/>
      <c r="AB593" s="39" t="n"/>
      <c r="AC593" s="39" t="n"/>
      <c r="AD593" s="39" t="n"/>
      <c r="AE593" s="39" t="n"/>
      <c r="AF593" s="39" t="n"/>
      <c r="AG593" s="39" t="n"/>
      <c r="AH593" s="39" t="n"/>
      <c r="AI593" s="39" t="n"/>
      <c r="AJ593" s="39" t="n"/>
      <c r="AK593" s="39" t="n"/>
      <c r="AL593" s="39" t="n"/>
      <c r="AM593" s="44" t="n"/>
      <c r="AN593" s="44" t="n"/>
      <c r="AO593" s="44" t="n"/>
      <c r="AP593" s="44" t="n"/>
      <c r="AQ593" s="44" t="n"/>
      <c r="AR593" s="44" t="n"/>
      <c r="AS593" s="45" t="n"/>
      <c r="AT593" s="45" t="n"/>
      <c r="AU593" s="45" t="n"/>
    </row>
    <row r="594">
      <c r="B594" s="39" t="n"/>
      <c r="C594" s="39" t="n"/>
      <c r="D594" s="40" t="n"/>
      <c r="E594" s="39" t="n"/>
      <c r="F594" s="39" t="n"/>
      <c r="G594" s="112" t="n"/>
      <c r="H594" s="42" t="n"/>
      <c r="I594" s="42" t="n"/>
      <c r="J594" s="113" t="n"/>
      <c r="K594" s="39" t="n"/>
      <c r="L594" s="39" t="n"/>
      <c r="M594" s="39" t="n"/>
      <c r="N594" s="39" t="n"/>
      <c r="O594" s="39" t="n"/>
      <c r="P594" s="39" t="n"/>
      <c r="Q594" s="39" t="n"/>
      <c r="R594" s="39" t="n"/>
      <c r="S594" s="39" t="n"/>
      <c r="T594" s="39" t="n"/>
      <c r="U594" s="39" t="n"/>
      <c r="V594" s="39" t="n"/>
      <c r="W594" s="39" t="n"/>
      <c r="X594" s="39" t="n"/>
      <c r="Y594" s="39" t="n"/>
      <c r="Z594" s="39" t="n"/>
      <c r="AA594" s="39" t="n"/>
      <c r="AB594" s="39" t="n"/>
      <c r="AC594" s="39" t="n"/>
      <c r="AD594" s="39" t="n"/>
      <c r="AE594" s="39" t="n"/>
      <c r="AF594" s="39" t="n"/>
      <c r="AG594" s="39" t="n"/>
      <c r="AH594" s="39" t="n"/>
      <c r="AI594" s="39" t="n"/>
      <c r="AJ594" s="39" t="n"/>
      <c r="AK594" s="39" t="n"/>
      <c r="AL594" s="39" t="n"/>
      <c r="AM594" s="44" t="n"/>
      <c r="AN594" s="44" t="n"/>
      <c r="AO594" s="44" t="n"/>
      <c r="AP594" s="44" t="n"/>
      <c r="AQ594" s="44" t="n"/>
      <c r="AR594" s="44" t="n"/>
      <c r="AS594" s="45" t="n"/>
      <c r="AT594" s="45" t="n"/>
      <c r="AU594" s="45" t="n"/>
    </row>
    <row r="595">
      <c r="B595" s="39" t="n"/>
      <c r="C595" s="39" t="n"/>
      <c r="D595" s="40" t="n"/>
      <c r="E595" s="39" t="n"/>
      <c r="F595" s="39" t="n"/>
      <c r="G595" s="112" t="n"/>
      <c r="H595" s="42" t="n"/>
      <c r="I595" s="42" t="n"/>
      <c r="J595" s="113" t="n"/>
      <c r="K595" s="39" t="n"/>
      <c r="L595" s="39" t="n"/>
      <c r="M595" s="39" t="n"/>
      <c r="N595" s="39" t="n"/>
      <c r="O595" s="39" t="n"/>
      <c r="P595" s="39" t="n"/>
      <c r="Q595" s="39" t="n"/>
      <c r="R595" s="39" t="n"/>
      <c r="S595" s="39" t="n"/>
      <c r="T595" s="39" t="n"/>
      <c r="U595" s="39" t="n"/>
      <c r="V595" s="39" t="n"/>
      <c r="W595" s="39" t="n"/>
      <c r="X595" s="39" t="n"/>
      <c r="Y595" s="39" t="n"/>
      <c r="Z595" s="39" t="n"/>
      <c r="AA595" s="39" t="n"/>
      <c r="AB595" s="39" t="n"/>
      <c r="AC595" s="39" t="n"/>
      <c r="AD595" s="39" t="n"/>
      <c r="AE595" s="39" t="n"/>
      <c r="AF595" s="39" t="n"/>
      <c r="AG595" s="39" t="n"/>
      <c r="AH595" s="39" t="n"/>
      <c r="AI595" s="39" t="n"/>
      <c r="AJ595" s="39" t="n"/>
      <c r="AK595" s="39" t="n"/>
      <c r="AL595" s="39" t="n"/>
      <c r="AM595" s="44" t="n"/>
      <c r="AN595" s="44" t="n"/>
      <c r="AO595" s="44" t="n"/>
      <c r="AP595" s="44" t="n"/>
      <c r="AQ595" s="44" t="n"/>
      <c r="AR595" s="44" t="n"/>
      <c r="AS595" s="45" t="n"/>
      <c r="AT595" s="45" t="n"/>
      <c r="AU595" s="45" t="n"/>
    </row>
    <row r="596">
      <c r="B596" s="39" t="n"/>
      <c r="C596" s="39" t="n"/>
      <c r="D596" s="40" t="n"/>
      <c r="E596" s="39" t="n"/>
      <c r="F596" s="39" t="n"/>
      <c r="G596" s="112" t="n"/>
      <c r="H596" s="42" t="n"/>
      <c r="I596" s="42" t="n"/>
      <c r="J596" s="113" t="n"/>
      <c r="K596" s="39" t="n"/>
      <c r="L596" s="39" t="n"/>
      <c r="M596" s="39" t="n"/>
      <c r="N596" s="39" t="n"/>
      <c r="O596" s="39" t="n"/>
      <c r="P596" s="39" t="n"/>
      <c r="Q596" s="39" t="n"/>
      <c r="R596" s="39" t="n"/>
      <c r="S596" s="39" t="n"/>
      <c r="T596" s="39" t="n"/>
      <c r="U596" s="39" t="n"/>
      <c r="V596" s="39" t="n"/>
      <c r="W596" s="39" t="n"/>
      <c r="X596" s="39" t="n"/>
      <c r="Y596" s="39" t="n"/>
      <c r="Z596" s="39" t="n"/>
      <c r="AA596" s="39" t="n"/>
      <c r="AB596" s="39" t="n"/>
      <c r="AC596" s="39" t="n"/>
      <c r="AD596" s="39" t="n"/>
      <c r="AE596" s="39" t="n"/>
      <c r="AF596" s="39" t="n"/>
      <c r="AG596" s="39" t="n"/>
      <c r="AH596" s="39" t="n"/>
      <c r="AI596" s="39" t="n"/>
      <c r="AJ596" s="39" t="n"/>
      <c r="AK596" s="39" t="n"/>
      <c r="AL596" s="39" t="n"/>
      <c r="AM596" s="44" t="n"/>
      <c r="AN596" s="44" t="n"/>
      <c r="AO596" s="44" t="n"/>
      <c r="AP596" s="44" t="n"/>
      <c r="AQ596" s="44" t="n"/>
      <c r="AR596" s="44" t="n"/>
      <c r="AS596" s="45" t="n"/>
      <c r="AT596" s="45" t="n"/>
      <c r="AU596" s="45" t="n"/>
    </row>
    <row r="597">
      <c r="B597" s="39" t="n"/>
      <c r="C597" s="39" t="n"/>
      <c r="D597" s="40" t="n"/>
      <c r="E597" s="39" t="n"/>
      <c r="F597" s="39" t="n"/>
      <c r="G597" s="112" t="n"/>
      <c r="H597" s="42" t="n"/>
      <c r="I597" s="42" t="n"/>
      <c r="J597" s="113" t="n"/>
      <c r="K597" s="39" t="n"/>
      <c r="L597" s="39" t="n"/>
      <c r="M597" s="39" t="n"/>
      <c r="N597" s="39" t="n"/>
      <c r="O597" s="39" t="n"/>
      <c r="P597" s="39" t="n"/>
      <c r="Q597" s="39" t="n"/>
      <c r="R597" s="39" t="n"/>
      <c r="S597" s="39" t="n"/>
      <c r="T597" s="39" t="n"/>
      <c r="U597" s="39" t="n"/>
      <c r="V597" s="39" t="n"/>
      <c r="W597" s="39" t="n"/>
      <c r="X597" s="39" t="n"/>
      <c r="Y597" s="39" t="n"/>
      <c r="Z597" s="39" t="n"/>
      <c r="AA597" s="39" t="n"/>
      <c r="AB597" s="39" t="n"/>
      <c r="AC597" s="39" t="n"/>
      <c r="AD597" s="39" t="n"/>
      <c r="AE597" s="39" t="n"/>
      <c r="AF597" s="39" t="n"/>
      <c r="AG597" s="39" t="n"/>
      <c r="AH597" s="39" t="n"/>
      <c r="AI597" s="39" t="n"/>
      <c r="AJ597" s="39" t="n"/>
      <c r="AK597" s="39" t="n"/>
      <c r="AL597" s="39" t="n"/>
      <c r="AM597" s="44" t="n"/>
      <c r="AN597" s="44" t="n"/>
      <c r="AO597" s="44" t="n"/>
      <c r="AP597" s="44" t="n"/>
      <c r="AQ597" s="44" t="n"/>
      <c r="AR597" s="44" t="n"/>
      <c r="AS597" s="45" t="n"/>
      <c r="AT597" s="45" t="n"/>
      <c r="AU597" s="45" t="n"/>
    </row>
    <row r="598">
      <c r="B598" s="39" t="n"/>
      <c r="C598" s="39" t="n"/>
      <c r="D598" s="40" t="n"/>
      <c r="E598" s="39" t="n"/>
      <c r="F598" s="39" t="n"/>
      <c r="G598" s="112" t="n"/>
      <c r="H598" s="42" t="n"/>
      <c r="I598" s="42" t="n"/>
      <c r="J598" s="113" t="n"/>
      <c r="K598" s="39" t="n"/>
      <c r="L598" s="39" t="n"/>
      <c r="M598" s="39" t="n"/>
      <c r="N598" s="39" t="n"/>
      <c r="O598" s="39" t="n"/>
      <c r="P598" s="39" t="n"/>
      <c r="Q598" s="39" t="n"/>
      <c r="R598" s="39" t="n"/>
      <c r="S598" s="39" t="n"/>
      <c r="T598" s="39" t="n"/>
      <c r="U598" s="39" t="n"/>
      <c r="V598" s="39" t="n"/>
      <c r="W598" s="39" t="n"/>
      <c r="X598" s="39" t="n"/>
      <c r="Y598" s="39" t="n"/>
      <c r="Z598" s="39" t="n"/>
      <c r="AA598" s="39" t="n"/>
      <c r="AB598" s="39" t="n"/>
      <c r="AC598" s="39" t="n"/>
      <c r="AD598" s="39" t="n"/>
      <c r="AE598" s="39" t="n"/>
      <c r="AF598" s="39" t="n"/>
      <c r="AG598" s="39" t="n"/>
      <c r="AH598" s="39" t="n"/>
      <c r="AI598" s="39" t="n"/>
      <c r="AJ598" s="39" t="n"/>
      <c r="AK598" s="39" t="n"/>
      <c r="AL598" s="39" t="n"/>
      <c r="AM598" s="44" t="n"/>
      <c r="AN598" s="44" t="n"/>
      <c r="AO598" s="44" t="n"/>
      <c r="AP598" s="44" t="n"/>
      <c r="AQ598" s="44" t="n"/>
      <c r="AR598" s="44" t="n"/>
      <c r="AS598" s="45" t="n"/>
      <c r="AT598" s="45" t="n"/>
      <c r="AU598" s="45" t="n"/>
    </row>
    <row r="599">
      <c r="B599" s="39" t="n"/>
      <c r="C599" s="39" t="n"/>
      <c r="D599" s="40" t="n"/>
      <c r="E599" s="39" t="n"/>
      <c r="F599" s="39" t="n"/>
      <c r="G599" s="112" t="n"/>
      <c r="H599" s="42" t="n"/>
      <c r="I599" s="42" t="n"/>
      <c r="J599" s="113" t="n"/>
      <c r="K599" s="39" t="n"/>
      <c r="L599" s="39" t="n"/>
      <c r="M599" s="39" t="n"/>
      <c r="N599" s="39" t="n"/>
      <c r="O599" s="39" t="n"/>
      <c r="P599" s="39" t="n"/>
      <c r="Q599" s="39" t="n"/>
      <c r="R599" s="39" t="n"/>
      <c r="S599" s="39" t="n"/>
      <c r="T599" s="39" t="n"/>
      <c r="U599" s="39" t="n"/>
      <c r="V599" s="39" t="n"/>
      <c r="W599" s="39" t="n"/>
      <c r="X599" s="39" t="n"/>
      <c r="Y599" s="39" t="n"/>
      <c r="Z599" s="39" t="n"/>
      <c r="AA599" s="39" t="n"/>
      <c r="AB599" s="39" t="n"/>
      <c r="AC599" s="39" t="n"/>
      <c r="AD599" s="39" t="n"/>
      <c r="AE599" s="39" t="n"/>
      <c r="AF599" s="39" t="n"/>
      <c r="AG599" s="39" t="n"/>
      <c r="AH599" s="39" t="n"/>
      <c r="AI599" s="39" t="n"/>
      <c r="AJ599" s="39" t="n"/>
      <c r="AK599" s="39" t="n"/>
      <c r="AL599" s="39" t="n"/>
      <c r="AM599" s="44" t="n"/>
      <c r="AN599" s="44" t="n"/>
      <c r="AO599" s="44" t="n"/>
      <c r="AP599" s="44" t="n"/>
      <c r="AQ599" s="44" t="n"/>
      <c r="AR599" s="44" t="n"/>
      <c r="AS599" s="45" t="n"/>
      <c r="AT599" s="45" t="n"/>
      <c r="AU599" s="45" t="n"/>
    </row>
    <row r="600">
      <c r="B600" s="39" t="n"/>
      <c r="C600" s="39" t="n"/>
      <c r="D600" s="40" t="n"/>
      <c r="E600" s="39" t="n"/>
      <c r="F600" s="39" t="n"/>
      <c r="G600" s="112" t="n"/>
      <c r="H600" s="42" t="n"/>
      <c r="I600" s="42" t="n"/>
      <c r="J600" s="113" t="n"/>
      <c r="K600" s="39" t="n"/>
      <c r="L600" s="39" t="n"/>
      <c r="M600" s="39" t="n"/>
      <c r="N600" s="39" t="n"/>
      <c r="O600" s="39" t="n"/>
      <c r="P600" s="39" t="n"/>
      <c r="Q600" s="39" t="n"/>
      <c r="R600" s="39" t="n"/>
      <c r="S600" s="39" t="n"/>
      <c r="T600" s="39" t="n"/>
      <c r="U600" s="39" t="n"/>
      <c r="V600" s="39" t="n"/>
      <c r="W600" s="39" t="n"/>
      <c r="X600" s="39" t="n"/>
      <c r="Y600" s="39" t="n"/>
      <c r="Z600" s="39" t="n"/>
      <c r="AA600" s="39" t="n"/>
      <c r="AB600" s="39" t="n"/>
      <c r="AC600" s="39" t="n"/>
      <c r="AD600" s="39" t="n"/>
      <c r="AE600" s="39" t="n"/>
      <c r="AF600" s="39" t="n"/>
      <c r="AG600" s="39" t="n"/>
      <c r="AH600" s="39" t="n"/>
      <c r="AI600" s="39" t="n"/>
      <c r="AJ600" s="39" t="n"/>
      <c r="AK600" s="39" t="n"/>
      <c r="AL600" s="39" t="n"/>
      <c r="AM600" s="44" t="n"/>
      <c r="AN600" s="44" t="n"/>
      <c r="AO600" s="44" t="n"/>
      <c r="AP600" s="44" t="n"/>
      <c r="AQ600" s="44" t="n"/>
      <c r="AR600" s="44" t="n"/>
      <c r="AS600" s="45" t="n"/>
      <c r="AT600" s="45" t="n"/>
      <c r="AU600" s="45" t="n"/>
    </row>
    <row r="601">
      <c r="B601" s="39" t="n"/>
      <c r="C601" s="39" t="n"/>
      <c r="D601" s="40" t="n"/>
      <c r="E601" s="39" t="n"/>
      <c r="F601" s="39" t="n"/>
      <c r="G601" s="112" t="n"/>
      <c r="H601" s="42" t="n"/>
      <c r="I601" s="42" t="n"/>
      <c r="J601" s="113" t="n"/>
      <c r="K601" s="39" t="n"/>
      <c r="L601" s="39" t="n"/>
      <c r="M601" s="39" t="n"/>
      <c r="N601" s="39" t="n"/>
      <c r="O601" s="39" t="n"/>
      <c r="P601" s="39" t="n"/>
      <c r="Q601" s="39" t="n"/>
      <c r="R601" s="39" t="n"/>
      <c r="S601" s="39" t="n"/>
      <c r="T601" s="39" t="n"/>
      <c r="U601" s="39" t="n"/>
      <c r="V601" s="39" t="n"/>
      <c r="W601" s="39" t="n"/>
      <c r="X601" s="39" t="n"/>
      <c r="Y601" s="39" t="n"/>
      <c r="Z601" s="39" t="n"/>
      <c r="AA601" s="39" t="n"/>
      <c r="AB601" s="39" t="n"/>
      <c r="AC601" s="39" t="n"/>
      <c r="AD601" s="39" t="n"/>
      <c r="AE601" s="39" t="n"/>
      <c r="AF601" s="39" t="n"/>
      <c r="AG601" s="39" t="n"/>
      <c r="AH601" s="39" t="n"/>
      <c r="AI601" s="39" t="n"/>
      <c r="AJ601" s="39" t="n"/>
      <c r="AK601" s="39" t="n"/>
      <c r="AL601" s="39" t="n"/>
      <c r="AM601" s="44" t="n"/>
      <c r="AN601" s="44" t="n"/>
      <c r="AO601" s="44" t="n"/>
      <c r="AP601" s="44" t="n"/>
      <c r="AQ601" s="44" t="n"/>
      <c r="AR601" s="44" t="n"/>
      <c r="AS601" s="45" t="n"/>
      <c r="AT601" s="45" t="n"/>
      <c r="AU601" s="45" t="n"/>
    </row>
    <row r="602">
      <c r="B602" s="39" t="n"/>
      <c r="C602" s="39" t="n"/>
      <c r="D602" s="40" t="n"/>
      <c r="E602" s="39" t="n"/>
      <c r="F602" s="39" t="n"/>
      <c r="G602" s="112" t="n"/>
      <c r="H602" s="42" t="n"/>
      <c r="I602" s="42" t="n"/>
      <c r="J602" s="113" t="n"/>
      <c r="K602" s="39" t="n"/>
      <c r="L602" s="39" t="n"/>
      <c r="M602" s="39" t="n"/>
      <c r="N602" s="39" t="n"/>
      <c r="O602" s="39" t="n"/>
      <c r="P602" s="39" t="n"/>
      <c r="Q602" s="39" t="n"/>
      <c r="R602" s="39" t="n"/>
      <c r="S602" s="39" t="n"/>
      <c r="T602" s="39" t="n"/>
      <c r="U602" s="39" t="n"/>
      <c r="V602" s="39" t="n"/>
      <c r="W602" s="39" t="n"/>
      <c r="X602" s="39" t="n"/>
      <c r="Y602" s="39" t="n"/>
      <c r="Z602" s="39" t="n"/>
      <c r="AA602" s="39" t="n"/>
      <c r="AB602" s="39" t="n"/>
      <c r="AC602" s="39" t="n"/>
      <c r="AD602" s="39" t="n"/>
      <c r="AE602" s="39" t="n"/>
      <c r="AF602" s="39" t="n"/>
      <c r="AG602" s="39" t="n"/>
      <c r="AH602" s="39" t="n"/>
      <c r="AI602" s="39" t="n"/>
      <c r="AJ602" s="39" t="n"/>
      <c r="AK602" s="39" t="n"/>
      <c r="AL602" s="39" t="n"/>
      <c r="AM602" s="44" t="n"/>
      <c r="AN602" s="44" t="n"/>
      <c r="AO602" s="44" t="n"/>
      <c r="AP602" s="44" t="n"/>
      <c r="AQ602" s="44" t="n"/>
      <c r="AR602" s="44" t="n"/>
      <c r="AS602" s="45" t="n"/>
      <c r="AT602" s="45" t="n"/>
      <c r="AU602" s="45" t="n"/>
    </row>
    <row r="603">
      <c r="B603" s="39" t="n"/>
      <c r="C603" s="39" t="n"/>
      <c r="D603" s="40" t="n"/>
      <c r="E603" s="39" t="n"/>
      <c r="F603" s="39" t="n"/>
      <c r="G603" s="112" t="n"/>
      <c r="H603" s="42" t="n"/>
      <c r="I603" s="42" t="n"/>
      <c r="J603" s="113" t="n"/>
      <c r="K603" s="39" t="n"/>
      <c r="L603" s="39" t="n"/>
      <c r="M603" s="39" t="n"/>
      <c r="N603" s="39" t="n"/>
      <c r="O603" s="39" t="n"/>
      <c r="P603" s="39" t="n"/>
      <c r="Q603" s="39" t="n"/>
      <c r="R603" s="39" t="n"/>
      <c r="S603" s="39" t="n"/>
      <c r="T603" s="39" t="n"/>
      <c r="U603" s="39" t="n"/>
      <c r="V603" s="39" t="n"/>
      <c r="W603" s="39" t="n"/>
      <c r="X603" s="39" t="n"/>
      <c r="Y603" s="39" t="n"/>
      <c r="Z603" s="39" t="n"/>
      <c r="AA603" s="39" t="n"/>
      <c r="AB603" s="39" t="n"/>
      <c r="AC603" s="39" t="n"/>
      <c r="AD603" s="39" t="n"/>
      <c r="AE603" s="39" t="n"/>
      <c r="AF603" s="39" t="n"/>
      <c r="AG603" s="39" t="n"/>
      <c r="AH603" s="39" t="n"/>
      <c r="AI603" s="39" t="n"/>
      <c r="AJ603" s="39" t="n"/>
      <c r="AK603" s="39" t="n"/>
      <c r="AL603" s="39" t="n"/>
      <c r="AM603" s="44" t="n"/>
      <c r="AN603" s="44" t="n"/>
      <c r="AO603" s="44" t="n"/>
      <c r="AP603" s="44" t="n"/>
      <c r="AQ603" s="44" t="n"/>
      <c r="AR603" s="44" t="n"/>
      <c r="AS603" s="45" t="n"/>
      <c r="AT603" s="45" t="n"/>
      <c r="AU603" s="45" t="n"/>
    </row>
    <row r="604">
      <c r="B604" s="39" t="n"/>
      <c r="C604" s="39" t="n"/>
      <c r="D604" s="40" t="n"/>
      <c r="E604" s="39" t="n"/>
      <c r="F604" s="39" t="n"/>
      <c r="G604" s="112" t="n"/>
      <c r="H604" s="42" t="n"/>
      <c r="I604" s="42" t="n"/>
      <c r="J604" s="113" t="n"/>
      <c r="K604" s="39" t="n"/>
      <c r="L604" s="39" t="n"/>
      <c r="M604" s="39" t="n"/>
      <c r="N604" s="39" t="n"/>
      <c r="O604" s="39" t="n"/>
      <c r="P604" s="39" t="n"/>
      <c r="Q604" s="39" t="n"/>
      <c r="R604" s="39" t="n"/>
      <c r="S604" s="39" t="n"/>
      <c r="T604" s="39" t="n"/>
      <c r="U604" s="39" t="n"/>
      <c r="V604" s="39" t="n"/>
      <c r="W604" s="39" t="n"/>
      <c r="X604" s="39" t="n"/>
      <c r="Y604" s="39" t="n"/>
      <c r="Z604" s="39" t="n"/>
      <c r="AA604" s="39" t="n"/>
      <c r="AB604" s="39" t="n"/>
      <c r="AC604" s="39" t="n"/>
      <c r="AD604" s="39" t="n"/>
      <c r="AE604" s="39" t="n"/>
      <c r="AF604" s="39" t="n"/>
      <c r="AG604" s="39" t="n"/>
      <c r="AH604" s="39" t="n"/>
      <c r="AI604" s="39" t="n"/>
      <c r="AJ604" s="39" t="n"/>
      <c r="AK604" s="39" t="n"/>
      <c r="AL604" s="39" t="n"/>
      <c r="AM604" s="44" t="n"/>
      <c r="AN604" s="44" t="n"/>
      <c r="AO604" s="44" t="n"/>
      <c r="AP604" s="44" t="n"/>
      <c r="AQ604" s="44" t="n"/>
      <c r="AR604" s="44" t="n"/>
      <c r="AS604" s="45" t="n"/>
      <c r="AT604" s="45" t="n"/>
      <c r="AU604" s="45" t="n"/>
    </row>
    <row r="605">
      <c r="B605" s="39" t="n"/>
      <c r="C605" s="39" t="n"/>
      <c r="D605" s="40" t="n"/>
      <c r="E605" s="39" t="n"/>
      <c r="F605" s="39" t="n"/>
      <c r="G605" s="112" t="n"/>
      <c r="H605" s="42" t="n"/>
      <c r="I605" s="42" t="n"/>
      <c r="J605" s="113" t="n"/>
      <c r="K605" s="39" t="n"/>
      <c r="L605" s="39" t="n"/>
      <c r="M605" s="39" t="n"/>
      <c r="N605" s="39" t="n"/>
      <c r="O605" s="39" t="n"/>
      <c r="P605" s="39" t="n"/>
      <c r="Q605" s="39" t="n"/>
      <c r="R605" s="39" t="n"/>
      <c r="S605" s="39" t="n"/>
      <c r="T605" s="39" t="n"/>
      <c r="U605" s="39" t="n"/>
      <c r="V605" s="39" t="n"/>
      <c r="W605" s="39" t="n"/>
      <c r="X605" s="39" t="n"/>
      <c r="Y605" s="39" t="n"/>
      <c r="Z605" s="39" t="n"/>
      <c r="AA605" s="39" t="n"/>
      <c r="AB605" s="39" t="n"/>
      <c r="AC605" s="39" t="n"/>
      <c r="AD605" s="39" t="n"/>
      <c r="AE605" s="39" t="n"/>
      <c r="AF605" s="39" t="n"/>
      <c r="AG605" s="39" t="n"/>
      <c r="AH605" s="39" t="n"/>
      <c r="AI605" s="39" t="n"/>
      <c r="AJ605" s="39" t="n"/>
      <c r="AK605" s="39" t="n"/>
      <c r="AL605" s="39" t="n"/>
      <c r="AM605" s="44" t="n"/>
      <c r="AN605" s="44" t="n"/>
      <c r="AO605" s="44" t="n"/>
      <c r="AP605" s="44" t="n"/>
      <c r="AQ605" s="44" t="n"/>
      <c r="AR605" s="44" t="n"/>
      <c r="AS605" s="45" t="n"/>
      <c r="AT605" s="45" t="n"/>
      <c r="AU605" s="45" t="n"/>
    </row>
    <row r="606">
      <c r="B606" s="39" t="n"/>
      <c r="C606" s="39" t="n"/>
      <c r="D606" s="40" t="n"/>
      <c r="E606" s="39" t="n"/>
      <c r="F606" s="39" t="n"/>
      <c r="G606" s="112" t="n"/>
      <c r="H606" s="42" t="n"/>
      <c r="I606" s="42" t="n"/>
      <c r="J606" s="113" t="n"/>
      <c r="K606" s="39" t="n"/>
      <c r="L606" s="39" t="n"/>
      <c r="M606" s="39" t="n"/>
      <c r="N606" s="39" t="n"/>
      <c r="O606" s="39" t="n"/>
      <c r="P606" s="39" t="n"/>
      <c r="Q606" s="39" t="n"/>
      <c r="R606" s="39" t="n"/>
      <c r="S606" s="39" t="n"/>
      <c r="T606" s="39" t="n"/>
      <c r="U606" s="39" t="n"/>
      <c r="V606" s="39" t="n"/>
      <c r="W606" s="39" t="n"/>
      <c r="X606" s="39" t="n"/>
      <c r="Y606" s="39" t="n"/>
      <c r="Z606" s="39" t="n"/>
      <c r="AA606" s="39" t="n"/>
      <c r="AB606" s="39" t="n"/>
      <c r="AC606" s="39" t="n"/>
      <c r="AD606" s="39" t="n"/>
      <c r="AE606" s="39" t="n"/>
      <c r="AF606" s="39" t="n"/>
      <c r="AG606" s="39" t="n"/>
      <c r="AH606" s="39" t="n"/>
      <c r="AI606" s="39" t="n"/>
      <c r="AJ606" s="39" t="n"/>
      <c r="AK606" s="39" t="n"/>
      <c r="AL606" s="39" t="n"/>
      <c r="AM606" s="44" t="n"/>
      <c r="AN606" s="44" t="n"/>
      <c r="AO606" s="44" t="n"/>
      <c r="AP606" s="44" t="n"/>
      <c r="AQ606" s="44" t="n"/>
      <c r="AR606" s="44" t="n"/>
      <c r="AS606" s="45" t="n"/>
      <c r="AT606" s="45" t="n"/>
      <c r="AU606" s="45" t="n"/>
    </row>
    <row r="607">
      <c r="B607" s="39" t="n"/>
      <c r="C607" s="39" t="n"/>
      <c r="D607" s="40" t="n"/>
      <c r="E607" s="39" t="n"/>
      <c r="F607" s="39" t="n"/>
      <c r="G607" s="112" t="n"/>
      <c r="H607" s="42" t="n"/>
      <c r="I607" s="42" t="n"/>
      <c r="J607" s="113" t="n"/>
      <c r="K607" s="39" t="n"/>
      <c r="L607" s="39" t="n"/>
      <c r="M607" s="39" t="n"/>
      <c r="N607" s="39" t="n"/>
      <c r="O607" s="39" t="n"/>
      <c r="P607" s="39" t="n"/>
      <c r="Q607" s="39" t="n"/>
      <c r="R607" s="39" t="n"/>
      <c r="S607" s="39" t="n"/>
      <c r="T607" s="39" t="n"/>
      <c r="U607" s="39" t="n"/>
      <c r="V607" s="39" t="n"/>
      <c r="W607" s="39" t="n"/>
      <c r="X607" s="39" t="n"/>
      <c r="Y607" s="39" t="n"/>
      <c r="Z607" s="39" t="n"/>
      <c r="AA607" s="39" t="n"/>
      <c r="AB607" s="39" t="n"/>
      <c r="AC607" s="39" t="n"/>
      <c r="AD607" s="39" t="n"/>
      <c r="AE607" s="39" t="n"/>
      <c r="AF607" s="39" t="n"/>
      <c r="AG607" s="39" t="n"/>
      <c r="AH607" s="39" t="n"/>
      <c r="AI607" s="39" t="n"/>
      <c r="AJ607" s="39" t="n"/>
      <c r="AK607" s="39" t="n"/>
      <c r="AL607" s="39" t="n"/>
      <c r="AM607" s="44" t="n"/>
      <c r="AN607" s="44" t="n"/>
      <c r="AO607" s="44" t="n"/>
      <c r="AP607" s="44" t="n"/>
      <c r="AQ607" s="44" t="n"/>
      <c r="AR607" s="44" t="n"/>
      <c r="AS607" s="45" t="n"/>
      <c r="AT607" s="45" t="n"/>
      <c r="AU607" s="45" t="n"/>
    </row>
    <row r="608">
      <c r="B608" s="39" t="n"/>
      <c r="C608" s="39" t="n"/>
      <c r="D608" s="40" t="n"/>
      <c r="E608" s="39" t="n"/>
      <c r="F608" s="39" t="n"/>
      <c r="G608" s="112" t="n"/>
      <c r="H608" s="42" t="n"/>
      <c r="I608" s="42" t="n"/>
      <c r="J608" s="113" t="n"/>
      <c r="K608" s="39" t="n"/>
      <c r="L608" s="39" t="n"/>
      <c r="M608" s="39" t="n"/>
      <c r="N608" s="39" t="n"/>
      <c r="O608" s="39" t="n"/>
      <c r="P608" s="39" t="n"/>
      <c r="Q608" s="39" t="n"/>
      <c r="R608" s="39" t="n"/>
      <c r="S608" s="39" t="n"/>
      <c r="T608" s="39" t="n"/>
      <c r="U608" s="39" t="n"/>
      <c r="V608" s="39" t="n"/>
      <c r="W608" s="39" t="n"/>
      <c r="X608" s="39" t="n"/>
      <c r="Y608" s="39" t="n"/>
      <c r="Z608" s="39" t="n"/>
      <c r="AA608" s="39" t="n"/>
      <c r="AB608" s="39" t="n"/>
      <c r="AC608" s="39" t="n"/>
      <c r="AD608" s="39" t="n"/>
      <c r="AE608" s="39" t="n"/>
      <c r="AF608" s="39" t="n"/>
      <c r="AG608" s="39" t="n"/>
      <c r="AH608" s="39" t="n"/>
      <c r="AI608" s="39" t="n"/>
      <c r="AJ608" s="39" t="n"/>
      <c r="AK608" s="39" t="n"/>
      <c r="AL608" s="39" t="n"/>
      <c r="AM608" s="44" t="n"/>
      <c r="AN608" s="44" t="n"/>
      <c r="AO608" s="44" t="n"/>
      <c r="AP608" s="44" t="n"/>
      <c r="AQ608" s="44" t="n"/>
      <c r="AR608" s="44" t="n"/>
      <c r="AS608" s="45" t="n"/>
      <c r="AT608" s="45" t="n"/>
      <c r="AU608" s="45" t="n"/>
    </row>
    <row r="609">
      <c r="B609" s="39" t="n"/>
      <c r="C609" s="39" t="n"/>
      <c r="D609" s="40" t="n"/>
      <c r="E609" s="39" t="n"/>
      <c r="F609" s="39" t="n"/>
      <c r="G609" s="112" t="n"/>
      <c r="H609" s="42" t="n"/>
      <c r="I609" s="42" t="n"/>
      <c r="J609" s="113" t="n"/>
      <c r="K609" s="39" t="n"/>
      <c r="L609" s="39" t="n"/>
      <c r="M609" s="39" t="n"/>
      <c r="N609" s="39" t="n"/>
      <c r="O609" s="39" t="n"/>
      <c r="P609" s="39" t="n"/>
      <c r="Q609" s="39" t="n"/>
      <c r="R609" s="39" t="n"/>
      <c r="S609" s="39" t="n"/>
      <c r="T609" s="39" t="n"/>
      <c r="U609" s="39" t="n"/>
      <c r="V609" s="39" t="n"/>
      <c r="W609" s="39" t="n"/>
      <c r="X609" s="39" t="n"/>
      <c r="Y609" s="39" t="n"/>
      <c r="Z609" s="39" t="n"/>
      <c r="AA609" s="39" t="n"/>
      <c r="AB609" s="39" t="n"/>
      <c r="AC609" s="39" t="n"/>
      <c r="AD609" s="39" t="n"/>
      <c r="AE609" s="39" t="n"/>
      <c r="AF609" s="39" t="n"/>
      <c r="AG609" s="39" t="n"/>
      <c r="AH609" s="39" t="n"/>
      <c r="AI609" s="39" t="n"/>
      <c r="AJ609" s="39" t="n"/>
      <c r="AK609" s="39" t="n"/>
      <c r="AL609" s="39" t="n"/>
      <c r="AM609" s="44" t="n"/>
      <c r="AN609" s="44" t="n"/>
      <c r="AO609" s="44" t="n"/>
      <c r="AP609" s="44" t="n"/>
      <c r="AQ609" s="44" t="n"/>
      <c r="AR609" s="44" t="n"/>
      <c r="AS609" s="45" t="n"/>
      <c r="AT609" s="45" t="n"/>
      <c r="AU609" s="45" t="n"/>
    </row>
    <row r="610">
      <c r="B610" s="39" t="n"/>
      <c r="C610" s="39" t="n"/>
      <c r="D610" s="40" t="n"/>
      <c r="E610" s="39" t="n"/>
      <c r="F610" s="39" t="n"/>
      <c r="G610" s="112" t="n"/>
      <c r="H610" s="42" t="n"/>
      <c r="I610" s="42" t="n"/>
      <c r="J610" s="113" t="n"/>
      <c r="K610" s="39" t="n"/>
      <c r="L610" s="39" t="n"/>
      <c r="M610" s="39" t="n"/>
      <c r="N610" s="39" t="n"/>
      <c r="O610" s="39" t="n"/>
      <c r="P610" s="39" t="n"/>
      <c r="Q610" s="39" t="n"/>
      <c r="R610" s="39" t="n"/>
      <c r="S610" s="39" t="n"/>
      <c r="T610" s="39" t="n"/>
      <c r="U610" s="39" t="n"/>
      <c r="V610" s="39" t="n"/>
      <c r="W610" s="39" t="n"/>
      <c r="X610" s="39" t="n"/>
      <c r="Y610" s="39" t="n"/>
      <c r="Z610" s="39" t="n"/>
      <c r="AA610" s="39" t="n"/>
      <c r="AB610" s="39" t="n"/>
      <c r="AC610" s="39" t="n"/>
      <c r="AD610" s="39" t="n"/>
      <c r="AE610" s="39" t="n"/>
      <c r="AF610" s="39" t="n"/>
      <c r="AG610" s="39" t="n"/>
      <c r="AH610" s="39" t="n"/>
      <c r="AI610" s="39" t="n"/>
      <c r="AJ610" s="39" t="n"/>
      <c r="AK610" s="39" t="n"/>
      <c r="AL610" s="39" t="n"/>
      <c r="AM610" s="44" t="n"/>
      <c r="AN610" s="44" t="n"/>
      <c r="AO610" s="44" t="n"/>
      <c r="AP610" s="44" t="n"/>
      <c r="AQ610" s="44" t="n"/>
      <c r="AR610" s="44" t="n"/>
      <c r="AS610" s="45" t="n"/>
      <c r="AT610" s="45" t="n"/>
      <c r="AU610" s="45" t="n"/>
    </row>
    <row r="611">
      <c r="B611" s="39" t="n"/>
      <c r="C611" s="39" t="n"/>
      <c r="D611" s="40" t="n"/>
      <c r="E611" s="39" t="n"/>
      <c r="F611" s="39" t="n"/>
      <c r="G611" s="112" t="n"/>
      <c r="H611" s="42" t="n"/>
      <c r="I611" s="42" t="n"/>
      <c r="J611" s="113" t="n"/>
      <c r="K611" s="39" t="n"/>
      <c r="L611" s="39" t="n"/>
      <c r="M611" s="39" t="n"/>
      <c r="N611" s="39" t="n"/>
      <c r="O611" s="39" t="n"/>
      <c r="P611" s="39" t="n"/>
      <c r="Q611" s="39" t="n"/>
      <c r="R611" s="39" t="n"/>
      <c r="S611" s="39" t="n"/>
      <c r="T611" s="39" t="n"/>
      <c r="U611" s="39" t="n"/>
      <c r="V611" s="39" t="n"/>
      <c r="W611" s="39" t="n"/>
      <c r="X611" s="39" t="n"/>
      <c r="Y611" s="39" t="n"/>
      <c r="Z611" s="39" t="n"/>
      <c r="AA611" s="39" t="n"/>
      <c r="AB611" s="39" t="n"/>
      <c r="AC611" s="39" t="n"/>
      <c r="AD611" s="39" t="n"/>
      <c r="AE611" s="39" t="n"/>
      <c r="AF611" s="39" t="n"/>
      <c r="AG611" s="39" t="n"/>
      <c r="AH611" s="39" t="n"/>
      <c r="AI611" s="39" t="n"/>
      <c r="AJ611" s="39" t="n"/>
      <c r="AK611" s="39" t="n"/>
      <c r="AL611" s="39" t="n"/>
      <c r="AM611" s="44" t="n"/>
      <c r="AN611" s="44" t="n"/>
      <c r="AO611" s="44" t="n"/>
      <c r="AP611" s="44" t="n"/>
      <c r="AQ611" s="44" t="n"/>
      <c r="AR611" s="44" t="n"/>
      <c r="AS611" s="45" t="n"/>
      <c r="AT611" s="45" t="n"/>
      <c r="AU611" s="45" t="n"/>
    </row>
    <row r="612">
      <c r="B612" s="39" t="n"/>
      <c r="C612" s="39" t="n"/>
      <c r="D612" s="40" t="n"/>
      <c r="E612" s="39" t="n"/>
      <c r="F612" s="39" t="n"/>
      <c r="G612" s="112" t="n"/>
      <c r="H612" s="42" t="n"/>
      <c r="I612" s="42" t="n"/>
      <c r="J612" s="113" t="n"/>
      <c r="K612" s="39" t="n"/>
      <c r="L612" s="39" t="n"/>
      <c r="M612" s="39" t="n"/>
      <c r="N612" s="39" t="n"/>
      <c r="O612" s="39" t="n"/>
      <c r="P612" s="39" t="n"/>
      <c r="Q612" s="39" t="n"/>
      <c r="R612" s="39" t="n"/>
      <c r="S612" s="39" t="n"/>
      <c r="T612" s="39" t="n"/>
      <c r="U612" s="39" t="n"/>
      <c r="V612" s="39" t="n"/>
      <c r="W612" s="39" t="n"/>
      <c r="X612" s="39" t="n"/>
      <c r="Y612" s="39" t="n"/>
      <c r="Z612" s="39" t="n"/>
      <c r="AA612" s="39" t="n"/>
      <c r="AB612" s="39" t="n"/>
      <c r="AC612" s="39" t="n"/>
      <c r="AD612" s="39" t="n"/>
      <c r="AE612" s="39" t="n"/>
      <c r="AF612" s="39" t="n"/>
      <c r="AG612" s="39" t="n"/>
      <c r="AH612" s="39" t="n"/>
      <c r="AI612" s="39" t="n"/>
      <c r="AJ612" s="39" t="n"/>
      <c r="AK612" s="39" t="n"/>
      <c r="AL612" s="39" t="n"/>
      <c r="AM612" s="44" t="n"/>
      <c r="AN612" s="44" t="n"/>
      <c r="AO612" s="44" t="n"/>
      <c r="AP612" s="44" t="n"/>
      <c r="AQ612" s="44" t="n"/>
      <c r="AR612" s="44" t="n"/>
      <c r="AS612" s="45" t="n"/>
      <c r="AT612" s="45" t="n"/>
      <c r="AU612" s="45" t="n"/>
    </row>
    <row r="613">
      <c r="B613" s="39" t="n"/>
      <c r="C613" s="39" t="n"/>
      <c r="D613" s="40" t="n"/>
      <c r="E613" s="39" t="n"/>
      <c r="F613" s="39" t="n"/>
      <c r="G613" s="112" t="n"/>
      <c r="H613" s="42" t="n"/>
      <c r="I613" s="42" t="n"/>
      <c r="J613" s="113" t="n"/>
      <c r="K613" s="39" t="n"/>
      <c r="L613" s="39" t="n"/>
      <c r="M613" s="39" t="n"/>
      <c r="N613" s="39" t="n"/>
      <c r="O613" s="39" t="n"/>
      <c r="P613" s="39" t="n"/>
      <c r="Q613" s="39" t="n"/>
      <c r="R613" s="39" t="n"/>
      <c r="S613" s="39" t="n"/>
      <c r="T613" s="39" t="n"/>
      <c r="U613" s="39" t="n"/>
      <c r="V613" s="39" t="n"/>
      <c r="W613" s="39" t="n"/>
      <c r="X613" s="39" t="n"/>
      <c r="Y613" s="39" t="n"/>
      <c r="Z613" s="39" t="n"/>
      <c r="AA613" s="39" t="n"/>
      <c r="AB613" s="39" t="n"/>
      <c r="AC613" s="39" t="n"/>
      <c r="AD613" s="39" t="n"/>
      <c r="AE613" s="39" t="n"/>
      <c r="AF613" s="39" t="n"/>
      <c r="AG613" s="39" t="n"/>
      <c r="AH613" s="39" t="n"/>
      <c r="AI613" s="39" t="n"/>
      <c r="AJ613" s="39" t="n"/>
      <c r="AK613" s="39" t="n"/>
      <c r="AL613" s="39" t="n"/>
      <c r="AM613" s="44" t="n"/>
      <c r="AN613" s="44" t="n"/>
      <c r="AO613" s="44" t="n"/>
      <c r="AP613" s="44" t="n"/>
      <c r="AQ613" s="44" t="n"/>
      <c r="AR613" s="44" t="n"/>
      <c r="AS613" s="45" t="n"/>
      <c r="AT613" s="45" t="n"/>
      <c r="AU613" s="45" t="n"/>
    </row>
    <row r="614">
      <c r="B614" s="39" t="n"/>
      <c r="C614" s="39" t="n"/>
      <c r="D614" s="40" t="n"/>
      <c r="E614" s="39" t="n"/>
      <c r="F614" s="39" t="n"/>
      <c r="G614" s="112" t="n"/>
      <c r="H614" s="42" t="n"/>
      <c r="I614" s="42" t="n"/>
      <c r="J614" s="113" t="n"/>
      <c r="K614" s="39" t="n"/>
      <c r="L614" s="39" t="n"/>
      <c r="M614" s="39" t="n"/>
      <c r="N614" s="39" t="n"/>
      <c r="O614" s="39" t="n"/>
      <c r="P614" s="39" t="n"/>
      <c r="Q614" s="39" t="n"/>
      <c r="R614" s="39" t="n"/>
      <c r="S614" s="39" t="n"/>
      <c r="T614" s="39" t="n"/>
      <c r="U614" s="39" t="n"/>
      <c r="V614" s="39" t="n"/>
      <c r="W614" s="39" t="n"/>
      <c r="X614" s="39" t="n"/>
      <c r="Y614" s="39" t="n"/>
      <c r="Z614" s="39" t="n"/>
      <c r="AA614" s="39" t="n"/>
      <c r="AB614" s="39" t="n"/>
      <c r="AC614" s="39" t="n"/>
      <c r="AD614" s="39" t="n"/>
      <c r="AE614" s="39" t="n"/>
      <c r="AF614" s="39" t="n"/>
      <c r="AG614" s="39" t="n"/>
      <c r="AH614" s="39" t="n"/>
      <c r="AI614" s="39" t="n"/>
      <c r="AJ614" s="39" t="n"/>
      <c r="AK614" s="39" t="n"/>
      <c r="AL614" s="39" t="n"/>
      <c r="AM614" s="44" t="n"/>
      <c r="AN614" s="44" t="n"/>
      <c r="AO614" s="44" t="n"/>
      <c r="AP614" s="44" t="n"/>
      <c r="AQ614" s="44" t="n"/>
      <c r="AR614" s="44" t="n"/>
      <c r="AS614" s="45" t="n"/>
      <c r="AT614" s="45" t="n"/>
      <c r="AU614" s="45" t="n"/>
    </row>
    <row r="615">
      <c r="B615" s="39" t="n"/>
      <c r="C615" s="39" t="n"/>
      <c r="D615" s="40" t="n"/>
      <c r="E615" s="39" t="n"/>
      <c r="F615" s="39" t="n"/>
      <c r="G615" s="112" t="n"/>
      <c r="H615" s="42" t="n"/>
      <c r="I615" s="42" t="n"/>
      <c r="J615" s="113" t="n"/>
      <c r="K615" s="39" t="n"/>
      <c r="L615" s="39" t="n"/>
      <c r="M615" s="39" t="n"/>
      <c r="N615" s="39" t="n"/>
      <c r="O615" s="39" t="n"/>
      <c r="P615" s="39" t="n"/>
      <c r="Q615" s="39" t="n"/>
      <c r="R615" s="39" t="n"/>
      <c r="S615" s="39" t="n"/>
      <c r="T615" s="39" t="n"/>
      <c r="U615" s="39" t="n"/>
      <c r="V615" s="39" t="n"/>
      <c r="W615" s="39" t="n"/>
      <c r="X615" s="39" t="n"/>
      <c r="Y615" s="39" t="n"/>
      <c r="Z615" s="39" t="n"/>
      <c r="AA615" s="39" t="n"/>
      <c r="AB615" s="39" t="n"/>
      <c r="AC615" s="39" t="n"/>
      <c r="AD615" s="39" t="n"/>
      <c r="AE615" s="39" t="n"/>
      <c r="AF615" s="39" t="n"/>
      <c r="AG615" s="39" t="n"/>
      <c r="AH615" s="39" t="n"/>
      <c r="AI615" s="39" t="n"/>
      <c r="AJ615" s="39" t="n"/>
      <c r="AK615" s="39" t="n"/>
      <c r="AL615" s="39" t="n"/>
      <c r="AM615" s="44" t="n"/>
      <c r="AN615" s="44" t="n"/>
      <c r="AO615" s="44" t="n"/>
      <c r="AP615" s="44" t="n"/>
      <c r="AQ615" s="44" t="n"/>
      <c r="AR615" s="44" t="n"/>
      <c r="AS615" s="45" t="n"/>
      <c r="AT615" s="45" t="n"/>
      <c r="AU615" s="45" t="n"/>
    </row>
    <row r="616">
      <c r="B616" s="39" t="n"/>
      <c r="C616" s="39" t="n"/>
      <c r="D616" s="40" t="n"/>
      <c r="E616" s="39" t="n"/>
      <c r="F616" s="39" t="n"/>
      <c r="G616" s="112" t="n"/>
      <c r="H616" s="42" t="n"/>
      <c r="I616" s="42" t="n"/>
      <c r="J616" s="113" t="n"/>
      <c r="K616" s="39" t="n"/>
      <c r="L616" s="39" t="n"/>
      <c r="M616" s="39" t="n"/>
      <c r="N616" s="39" t="n"/>
      <c r="O616" s="39" t="n"/>
      <c r="P616" s="39" t="n"/>
      <c r="Q616" s="39" t="n"/>
      <c r="R616" s="39" t="n"/>
      <c r="S616" s="39" t="n"/>
      <c r="T616" s="39" t="n"/>
      <c r="U616" s="39" t="n"/>
      <c r="V616" s="39" t="n"/>
      <c r="W616" s="39" t="n"/>
      <c r="X616" s="39" t="n"/>
      <c r="Y616" s="39" t="n"/>
      <c r="Z616" s="39" t="n"/>
      <c r="AA616" s="39" t="n"/>
      <c r="AB616" s="39" t="n"/>
      <c r="AC616" s="39" t="n"/>
      <c r="AD616" s="39" t="n"/>
      <c r="AE616" s="39" t="n"/>
      <c r="AF616" s="39" t="n"/>
      <c r="AG616" s="39" t="n"/>
      <c r="AH616" s="39" t="n"/>
      <c r="AI616" s="39" t="n"/>
      <c r="AJ616" s="39" t="n"/>
      <c r="AK616" s="39" t="n"/>
      <c r="AL616" s="39" t="n"/>
      <c r="AM616" s="44" t="n"/>
      <c r="AN616" s="44" t="n"/>
      <c r="AO616" s="44" t="n"/>
      <c r="AP616" s="44" t="n"/>
      <c r="AQ616" s="44" t="n"/>
      <c r="AR616" s="44" t="n"/>
      <c r="AS616" s="45" t="n"/>
      <c r="AT616" s="45" t="n"/>
      <c r="AU616" s="45" t="n"/>
    </row>
    <row r="617">
      <c r="B617" s="39" t="n"/>
      <c r="C617" s="39" t="n"/>
      <c r="D617" s="40" t="n"/>
      <c r="E617" s="39" t="n"/>
      <c r="F617" s="39" t="n"/>
      <c r="G617" s="112" t="n"/>
      <c r="H617" s="42" t="n"/>
      <c r="I617" s="42" t="n"/>
      <c r="J617" s="113" t="n"/>
      <c r="K617" s="39" t="n"/>
      <c r="L617" s="39" t="n"/>
      <c r="M617" s="39" t="n"/>
      <c r="N617" s="39" t="n"/>
      <c r="O617" s="39" t="n"/>
      <c r="P617" s="39" t="n"/>
      <c r="Q617" s="39" t="n"/>
      <c r="R617" s="39" t="n"/>
      <c r="S617" s="39" t="n"/>
      <c r="T617" s="39" t="n"/>
      <c r="U617" s="39" t="n"/>
      <c r="V617" s="39" t="n"/>
      <c r="W617" s="39" t="n"/>
      <c r="X617" s="39" t="n"/>
      <c r="Y617" s="39" t="n"/>
      <c r="Z617" s="39" t="n"/>
      <c r="AA617" s="39" t="n"/>
      <c r="AB617" s="39" t="n"/>
      <c r="AC617" s="39" t="n"/>
      <c r="AD617" s="39" t="n"/>
      <c r="AE617" s="39" t="n"/>
      <c r="AF617" s="39" t="n"/>
      <c r="AG617" s="39" t="n"/>
      <c r="AH617" s="39" t="n"/>
      <c r="AI617" s="39" t="n"/>
      <c r="AJ617" s="39" t="n"/>
      <c r="AK617" s="39" t="n"/>
      <c r="AL617" s="39" t="n"/>
      <c r="AM617" s="44" t="n"/>
      <c r="AN617" s="44" t="n"/>
      <c r="AO617" s="44" t="n"/>
      <c r="AP617" s="44" t="n"/>
      <c r="AQ617" s="44" t="n"/>
      <c r="AR617" s="44" t="n"/>
      <c r="AS617" s="45" t="n"/>
      <c r="AT617" s="45" t="n"/>
      <c r="AU617" s="45" t="n"/>
    </row>
    <row r="618">
      <c r="B618" s="39" t="n"/>
      <c r="C618" s="39" t="n"/>
      <c r="D618" s="40" t="n"/>
      <c r="E618" s="39" t="n"/>
      <c r="F618" s="39" t="n"/>
      <c r="G618" s="112" t="n"/>
      <c r="H618" s="42" t="n"/>
      <c r="I618" s="42" t="n"/>
      <c r="J618" s="113" t="n"/>
      <c r="K618" s="39" t="n"/>
      <c r="L618" s="39" t="n"/>
      <c r="M618" s="39" t="n"/>
      <c r="N618" s="39" t="n"/>
      <c r="O618" s="39" t="n"/>
      <c r="P618" s="39" t="n"/>
      <c r="Q618" s="39" t="n"/>
      <c r="R618" s="39" t="n"/>
      <c r="S618" s="39" t="n"/>
      <c r="T618" s="39" t="n"/>
      <c r="U618" s="39" t="n"/>
      <c r="V618" s="39" t="n"/>
      <c r="W618" s="39" t="n"/>
      <c r="X618" s="39" t="n"/>
      <c r="Y618" s="39" t="n"/>
      <c r="Z618" s="39" t="n"/>
      <c r="AA618" s="39" t="n"/>
      <c r="AB618" s="39" t="n"/>
      <c r="AC618" s="39" t="n"/>
      <c r="AD618" s="39" t="n"/>
      <c r="AE618" s="39" t="n"/>
      <c r="AF618" s="39" t="n"/>
      <c r="AG618" s="39" t="n"/>
      <c r="AH618" s="39" t="n"/>
      <c r="AI618" s="39" t="n"/>
      <c r="AJ618" s="39" t="n"/>
      <c r="AK618" s="39" t="n"/>
      <c r="AL618" s="39" t="n"/>
      <c r="AM618" s="44" t="n"/>
      <c r="AN618" s="44" t="n"/>
      <c r="AO618" s="44" t="n"/>
      <c r="AP618" s="44" t="n"/>
      <c r="AQ618" s="44" t="n"/>
      <c r="AR618" s="44" t="n"/>
      <c r="AS618" s="45" t="n"/>
      <c r="AT618" s="45" t="n"/>
      <c r="AU618" s="45" t="n"/>
    </row>
    <row r="619">
      <c r="B619" s="39" t="n"/>
      <c r="C619" s="39" t="n"/>
      <c r="D619" s="40" t="n"/>
      <c r="E619" s="39" t="n"/>
      <c r="F619" s="39" t="n"/>
      <c r="G619" s="112" t="n"/>
      <c r="H619" s="42" t="n"/>
      <c r="I619" s="42" t="n"/>
      <c r="J619" s="113" t="n"/>
      <c r="K619" s="39" t="n"/>
      <c r="L619" s="39" t="n"/>
      <c r="M619" s="39" t="n"/>
      <c r="N619" s="39" t="n"/>
      <c r="O619" s="39" t="n"/>
      <c r="P619" s="39" t="n"/>
      <c r="Q619" s="39" t="n"/>
      <c r="R619" s="39" t="n"/>
      <c r="S619" s="39" t="n"/>
      <c r="T619" s="39" t="n"/>
      <c r="U619" s="39" t="n"/>
      <c r="V619" s="39" t="n"/>
      <c r="W619" s="39" t="n"/>
      <c r="X619" s="39" t="n"/>
      <c r="Y619" s="39" t="n"/>
      <c r="Z619" s="39" t="n"/>
      <c r="AA619" s="39" t="n"/>
      <c r="AB619" s="39" t="n"/>
      <c r="AC619" s="39" t="n"/>
      <c r="AD619" s="39" t="n"/>
      <c r="AE619" s="39" t="n"/>
      <c r="AF619" s="39" t="n"/>
      <c r="AG619" s="39" t="n"/>
      <c r="AH619" s="39" t="n"/>
      <c r="AI619" s="39" t="n"/>
      <c r="AJ619" s="39" t="n"/>
      <c r="AK619" s="39" t="n"/>
      <c r="AL619" s="39" t="n"/>
      <c r="AM619" s="44" t="n"/>
      <c r="AN619" s="44" t="n"/>
      <c r="AO619" s="44" t="n"/>
      <c r="AP619" s="44" t="n"/>
      <c r="AQ619" s="44" t="n"/>
      <c r="AR619" s="44" t="n"/>
      <c r="AS619" s="45" t="n"/>
      <c r="AT619" s="45" t="n"/>
      <c r="AU619" s="45" t="n"/>
    </row>
    <row r="620">
      <c r="B620" s="39" t="n"/>
      <c r="C620" s="39" t="n"/>
      <c r="D620" s="40" t="n"/>
      <c r="E620" s="39" t="n"/>
      <c r="F620" s="39" t="n"/>
      <c r="G620" s="112" t="n"/>
      <c r="H620" s="42" t="n"/>
      <c r="I620" s="42" t="n"/>
      <c r="J620" s="113" t="n"/>
      <c r="K620" s="39" t="n"/>
      <c r="L620" s="39" t="n"/>
      <c r="M620" s="39" t="n"/>
      <c r="N620" s="39" t="n"/>
      <c r="O620" s="39" t="n"/>
      <c r="P620" s="39" t="n"/>
      <c r="Q620" s="39" t="n"/>
      <c r="R620" s="39" t="n"/>
      <c r="S620" s="39" t="n"/>
      <c r="T620" s="39" t="n"/>
      <c r="U620" s="39" t="n"/>
      <c r="V620" s="39" t="n"/>
      <c r="W620" s="39" t="n"/>
      <c r="X620" s="39" t="n"/>
      <c r="Y620" s="39" t="n"/>
      <c r="Z620" s="39" t="n"/>
      <c r="AA620" s="39" t="n"/>
      <c r="AB620" s="39" t="n"/>
      <c r="AC620" s="39" t="n"/>
      <c r="AD620" s="39" t="n"/>
      <c r="AE620" s="39" t="n"/>
      <c r="AF620" s="39" t="n"/>
      <c r="AG620" s="39" t="n"/>
      <c r="AH620" s="39" t="n"/>
      <c r="AI620" s="39" t="n"/>
      <c r="AJ620" s="39" t="n"/>
      <c r="AK620" s="39" t="n"/>
      <c r="AL620" s="39" t="n"/>
      <c r="AM620" s="44" t="n"/>
      <c r="AN620" s="44" t="n"/>
      <c r="AO620" s="44" t="n"/>
      <c r="AP620" s="44" t="n"/>
      <c r="AQ620" s="44" t="n"/>
      <c r="AR620" s="44" t="n"/>
      <c r="AS620" s="45" t="n"/>
      <c r="AT620" s="45" t="n"/>
      <c r="AU620" s="45" t="n"/>
    </row>
    <row r="621">
      <c r="B621" s="39" t="n"/>
      <c r="C621" s="39" t="n"/>
      <c r="D621" s="40" t="n"/>
      <c r="E621" s="39" t="n"/>
      <c r="F621" s="39" t="n"/>
      <c r="G621" s="112" t="n"/>
      <c r="H621" s="42" t="n"/>
      <c r="I621" s="42" t="n"/>
      <c r="J621" s="113" t="n"/>
      <c r="K621" s="39" t="n"/>
      <c r="L621" s="39" t="n"/>
      <c r="M621" s="39" t="n"/>
      <c r="N621" s="39" t="n"/>
      <c r="O621" s="39" t="n"/>
      <c r="P621" s="39" t="n"/>
      <c r="Q621" s="39" t="n"/>
      <c r="R621" s="39" t="n"/>
      <c r="S621" s="39" t="n"/>
      <c r="T621" s="39" t="n"/>
      <c r="U621" s="39" t="n"/>
      <c r="V621" s="39" t="n"/>
      <c r="W621" s="39" t="n"/>
      <c r="X621" s="39" t="n"/>
      <c r="Y621" s="39" t="n"/>
      <c r="Z621" s="39" t="n"/>
      <c r="AA621" s="39" t="n"/>
      <c r="AB621" s="39" t="n"/>
      <c r="AC621" s="39" t="n"/>
      <c r="AD621" s="39" t="n"/>
      <c r="AE621" s="39" t="n"/>
      <c r="AF621" s="39" t="n"/>
      <c r="AG621" s="39" t="n"/>
      <c r="AH621" s="39" t="n"/>
      <c r="AI621" s="39" t="n"/>
      <c r="AJ621" s="39" t="n"/>
      <c r="AK621" s="39" t="n"/>
      <c r="AL621" s="39" t="n"/>
      <c r="AM621" s="44" t="n"/>
      <c r="AN621" s="44" t="n"/>
      <c r="AO621" s="44" t="n"/>
      <c r="AP621" s="44" t="n"/>
      <c r="AQ621" s="44" t="n"/>
      <c r="AR621" s="44" t="n"/>
      <c r="AS621" s="45" t="n"/>
      <c r="AT621" s="45" t="n"/>
      <c r="AU621" s="45" t="n"/>
    </row>
    <row r="622">
      <c r="B622" s="39" t="n"/>
      <c r="C622" s="39" t="n"/>
      <c r="D622" s="40" t="n"/>
      <c r="E622" s="39" t="n"/>
      <c r="F622" s="39" t="n"/>
      <c r="G622" s="112" t="n"/>
      <c r="H622" s="42" t="n"/>
      <c r="I622" s="42" t="n"/>
      <c r="J622" s="113" t="n"/>
      <c r="K622" s="39" t="n"/>
      <c r="L622" s="39" t="n"/>
      <c r="M622" s="39" t="n"/>
      <c r="N622" s="39" t="n"/>
      <c r="O622" s="39" t="n"/>
      <c r="P622" s="39" t="n"/>
      <c r="Q622" s="39" t="n"/>
      <c r="R622" s="39" t="n"/>
      <c r="S622" s="39" t="n"/>
      <c r="T622" s="39" t="n"/>
      <c r="U622" s="39" t="n"/>
      <c r="V622" s="39" t="n"/>
      <c r="W622" s="39" t="n"/>
      <c r="X622" s="39" t="n"/>
      <c r="Y622" s="39" t="n"/>
      <c r="Z622" s="39" t="n"/>
      <c r="AA622" s="39" t="n"/>
      <c r="AB622" s="39" t="n"/>
      <c r="AC622" s="39" t="n"/>
      <c r="AD622" s="39" t="n"/>
      <c r="AE622" s="39" t="n"/>
      <c r="AF622" s="39" t="n"/>
      <c r="AG622" s="39" t="n"/>
      <c r="AH622" s="39" t="n"/>
      <c r="AI622" s="39" t="n"/>
      <c r="AJ622" s="39" t="n"/>
      <c r="AK622" s="39" t="n"/>
      <c r="AL622" s="39" t="n"/>
      <c r="AM622" s="44" t="n"/>
      <c r="AN622" s="44" t="n"/>
      <c r="AO622" s="44" t="n"/>
      <c r="AP622" s="44" t="n"/>
      <c r="AQ622" s="44" t="n"/>
      <c r="AR622" s="44" t="n"/>
      <c r="AS622" s="45" t="n"/>
      <c r="AT622" s="45" t="n"/>
      <c r="AU622" s="45" t="n"/>
    </row>
    <row r="623">
      <c r="B623" s="39" t="n"/>
      <c r="C623" s="39" t="n"/>
      <c r="D623" s="40" t="n"/>
      <c r="E623" s="39" t="n"/>
      <c r="F623" s="39" t="n"/>
      <c r="G623" s="112" t="n"/>
      <c r="H623" s="42" t="n"/>
      <c r="I623" s="42" t="n"/>
      <c r="J623" s="113" t="n"/>
      <c r="K623" s="39" t="n"/>
      <c r="L623" s="39" t="n"/>
      <c r="M623" s="39" t="n"/>
      <c r="N623" s="39" t="n"/>
      <c r="O623" s="39" t="n"/>
      <c r="P623" s="39" t="n"/>
      <c r="Q623" s="39" t="n"/>
      <c r="R623" s="39" t="n"/>
      <c r="S623" s="39" t="n"/>
      <c r="T623" s="39" t="n"/>
      <c r="U623" s="39" t="n"/>
      <c r="V623" s="39" t="n"/>
      <c r="W623" s="39" t="n"/>
      <c r="X623" s="39" t="n"/>
      <c r="Y623" s="39" t="n"/>
      <c r="Z623" s="39" t="n"/>
      <c r="AA623" s="39" t="n"/>
      <c r="AB623" s="39" t="n"/>
      <c r="AC623" s="39" t="n"/>
      <c r="AD623" s="39" t="n"/>
      <c r="AE623" s="39" t="n"/>
      <c r="AF623" s="39" t="n"/>
      <c r="AG623" s="39" t="n"/>
      <c r="AH623" s="39" t="n"/>
      <c r="AI623" s="39" t="n"/>
      <c r="AJ623" s="39" t="n"/>
      <c r="AK623" s="39" t="n"/>
      <c r="AL623" s="39" t="n"/>
      <c r="AM623" s="44" t="n"/>
      <c r="AN623" s="44" t="n"/>
      <c r="AO623" s="44" t="n"/>
      <c r="AP623" s="44" t="n"/>
      <c r="AQ623" s="44" t="n"/>
      <c r="AR623" s="44" t="n"/>
      <c r="AS623" s="45" t="n"/>
      <c r="AT623" s="45" t="n"/>
      <c r="AU623" s="45" t="n"/>
    </row>
    <row r="624">
      <c r="B624" s="39" t="n"/>
      <c r="C624" s="39" t="n"/>
      <c r="D624" s="40" t="n"/>
      <c r="E624" s="39" t="n"/>
      <c r="F624" s="39" t="n"/>
      <c r="G624" s="112" t="n"/>
      <c r="H624" s="42" t="n"/>
      <c r="I624" s="42" t="n"/>
      <c r="J624" s="113" t="n"/>
      <c r="K624" s="39" t="n"/>
      <c r="L624" s="39" t="n"/>
      <c r="M624" s="39" t="n"/>
      <c r="N624" s="39" t="n"/>
      <c r="O624" s="39" t="n"/>
      <c r="P624" s="39" t="n"/>
      <c r="Q624" s="39" t="n"/>
      <c r="R624" s="39" t="n"/>
      <c r="S624" s="39" t="n"/>
      <c r="T624" s="39" t="n"/>
      <c r="U624" s="39" t="n"/>
      <c r="V624" s="39" t="n"/>
      <c r="W624" s="39" t="n"/>
      <c r="X624" s="39" t="n"/>
      <c r="Y624" s="39" t="n"/>
      <c r="Z624" s="39" t="n"/>
      <c r="AA624" s="39" t="n"/>
      <c r="AB624" s="39" t="n"/>
      <c r="AC624" s="39" t="n"/>
      <c r="AD624" s="39" t="n"/>
      <c r="AE624" s="39" t="n"/>
      <c r="AF624" s="39" t="n"/>
      <c r="AG624" s="39" t="n"/>
      <c r="AH624" s="39" t="n"/>
      <c r="AI624" s="39" t="n"/>
      <c r="AJ624" s="39" t="n"/>
      <c r="AK624" s="39" t="n"/>
      <c r="AL624" s="39" t="n"/>
      <c r="AM624" s="44" t="n"/>
      <c r="AN624" s="44" t="n"/>
      <c r="AO624" s="44" t="n"/>
      <c r="AP624" s="44" t="n"/>
      <c r="AQ624" s="44" t="n"/>
      <c r="AR624" s="44" t="n"/>
      <c r="AS624" s="45" t="n"/>
      <c r="AT624" s="45" t="n"/>
      <c r="AU624" s="45" t="n"/>
    </row>
    <row r="625">
      <c r="B625" s="39" t="n"/>
      <c r="C625" s="39" t="n"/>
      <c r="D625" s="40" t="n"/>
      <c r="E625" s="39" t="n"/>
      <c r="F625" s="39" t="n"/>
      <c r="G625" s="112" t="n"/>
      <c r="H625" s="42" t="n"/>
      <c r="I625" s="42" t="n"/>
      <c r="J625" s="113" t="n"/>
      <c r="K625" s="39" t="n"/>
      <c r="L625" s="39" t="n"/>
      <c r="M625" s="39" t="n"/>
      <c r="N625" s="39" t="n"/>
      <c r="O625" s="39" t="n"/>
      <c r="P625" s="39" t="n"/>
      <c r="Q625" s="39" t="n"/>
      <c r="R625" s="39" t="n"/>
      <c r="S625" s="39" t="n"/>
      <c r="T625" s="39" t="n"/>
      <c r="U625" s="39" t="n"/>
      <c r="V625" s="39" t="n"/>
      <c r="W625" s="39" t="n"/>
      <c r="X625" s="39" t="n"/>
      <c r="Y625" s="39" t="n"/>
      <c r="Z625" s="39" t="n"/>
      <c r="AA625" s="39" t="n"/>
      <c r="AB625" s="39" t="n"/>
      <c r="AC625" s="39" t="n"/>
      <c r="AD625" s="39" t="n"/>
      <c r="AE625" s="39" t="n"/>
      <c r="AF625" s="39" t="n"/>
      <c r="AG625" s="39" t="n"/>
      <c r="AH625" s="39" t="n"/>
      <c r="AI625" s="39" t="n"/>
      <c r="AJ625" s="39" t="n"/>
      <c r="AK625" s="39" t="n"/>
      <c r="AL625" s="39" t="n"/>
      <c r="AM625" s="44" t="n"/>
      <c r="AN625" s="44" t="n"/>
      <c r="AO625" s="44" t="n"/>
      <c r="AP625" s="44" t="n"/>
      <c r="AQ625" s="44" t="n"/>
      <c r="AR625" s="44" t="n"/>
      <c r="AS625" s="45" t="n"/>
      <c r="AT625" s="45" t="n"/>
      <c r="AU625" s="45" t="n"/>
    </row>
    <row r="626">
      <c r="B626" s="39" t="n"/>
      <c r="C626" s="39" t="n"/>
      <c r="D626" s="40" t="n"/>
      <c r="E626" s="39" t="n"/>
      <c r="F626" s="39" t="n"/>
      <c r="G626" s="112" t="n"/>
      <c r="H626" s="42" t="n"/>
      <c r="I626" s="42" t="n"/>
      <c r="J626" s="113" t="n"/>
      <c r="K626" s="39" t="n"/>
      <c r="L626" s="39" t="n"/>
      <c r="M626" s="39" t="n"/>
      <c r="N626" s="39" t="n"/>
      <c r="O626" s="39" t="n"/>
      <c r="P626" s="39" t="n"/>
      <c r="Q626" s="39" t="n"/>
      <c r="R626" s="39" t="n"/>
      <c r="S626" s="39" t="n"/>
      <c r="T626" s="39" t="n"/>
      <c r="U626" s="39" t="n"/>
      <c r="V626" s="39" t="n"/>
      <c r="W626" s="39" t="n"/>
      <c r="X626" s="39" t="n"/>
      <c r="Y626" s="39" t="n"/>
      <c r="Z626" s="39" t="n"/>
      <c r="AA626" s="39" t="n"/>
      <c r="AB626" s="39" t="n"/>
      <c r="AC626" s="39" t="n"/>
      <c r="AD626" s="39" t="n"/>
      <c r="AE626" s="39" t="n"/>
      <c r="AF626" s="39" t="n"/>
      <c r="AG626" s="39" t="n"/>
      <c r="AH626" s="39" t="n"/>
      <c r="AI626" s="39" t="n"/>
      <c r="AJ626" s="39" t="n"/>
      <c r="AK626" s="39" t="n"/>
      <c r="AL626" s="39" t="n"/>
      <c r="AM626" s="44" t="n"/>
      <c r="AN626" s="44" t="n"/>
      <c r="AO626" s="44" t="n"/>
      <c r="AP626" s="44" t="n"/>
      <c r="AQ626" s="44" t="n"/>
      <c r="AR626" s="44" t="n"/>
      <c r="AS626" s="45" t="n"/>
      <c r="AT626" s="45" t="n"/>
      <c r="AU626" s="45" t="n"/>
    </row>
    <row r="627">
      <c r="B627" s="39" t="n"/>
      <c r="C627" s="39" t="n"/>
      <c r="D627" s="40" t="n"/>
      <c r="E627" s="39" t="n"/>
      <c r="F627" s="39" t="n"/>
      <c r="G627" s="112" t="n"/>
      <c r="H627" s="42" t="n"/>
      <c r="I627" s="42" t="n"/>
      <c r="J627" s="113" t="n"/>
      <c r="K627" s="39" t="n"/>
      <c r="L627" s="39" t="n"/>
      <c r="M627" s="39" t="n"/>
      <c r="N627" s="39" t="n"/>
      <c r="O627" s="39" t="n"/>
      <c r="P627" s="39" t="n"/>
      <c r="Q627" s="39" t="n"/>
      <c r="R627" s="39" t="n"/>
      <c r="S627" s="39" t="n"/>
      <c r="T627" s="39" t="n"/>
      <c r="U627" s="39" t="n"/>
      <c r="V627" s="39" t="n"/>
      <c r="W627" s="39" t="n"/>
      <c r="X627" s="39" t="n"/>
      <c r="Y627" s="39" t="n"/>
      <c r="Z627" s="39" t="n"/>
      <c r="AA627" s="39" t="n"/>
      <c r="AB627" s="39" t="n"/>
      <c r="AC627" s="39" t="n"/>
      <c r="AD627" s="39" t="n"/>
      <c r="AE627" s="39" t="n"/>
      <c r="AF627" s="39" t="n"/>
      <c r="AG627" s="39" t="n"/>
      <c r="AH627" s="39" t="n"/>
      <c r="AI627" s="39" t="n"/>
      <c r="AJ627" s="39" t="n"/>
      <c r="AK627" s="39" t="n"/>
      <c r="AL627" s="39" t="n"/>
      <c r="AM627" s="44" t="n"/>
      <c r="AN627" s="44" t="n"/>
      <c r="AO627" s="44" t="n"/>
      <c r="AP627" s="44" t="n"/>
      <c r="AQ627" s="44" t="n"/>
      <c r="AR627" s="44" t="n"/>
      <c r="AS627" s="45" t="n"/>
      <c r="AT627" s="45" t="n"/>
      <c r="AU627" s="45" t="n"/>
    </row>
    <row r="628">
      <c r="B628" s="39" t="n"/>
      <c r="C628" s="39" t="n"/>
      <c r="D628" s="40" t="n"/>
      <c r="E628" s="39" t="n"/>
      <c r="F628" s="39" t="n"/>
      <c r="G628" s="112" t="n"/>
      <c r="H628" s="42" t="n"/>
      <c r="I628" s="42" t="n"/>
      <c r="J628" s="113" t="n"/>
      <c r="K628" s="39" t="n"/>
      <c r="L628" s="39" t="n"/>
      <c r="M628" s="39" t="n"/>
      <c r="N628" s="39" t="n"/>
      <c r="O628" s="39" t="n"/>
      <c r="P628" s="39" t="n"/>
      <c r="Q628" s="39" t="n"/>
      <c r="R628" s="39" t="n"/>
      <c r="S628" s="39" t="n"/>
      <c r="T628" s="39" t="n"/>
      <c r="U628" s="39" t="n"/>
      <c r="V628" s="39" t="n"/>
      <c r="W628" s="39" t="n"/>
      <c r="X628" s="39" t="n"/>
      <c r="Y628" s="39" t="n"/>
      <c r="Z628" s="39" t="n"/>
      <c r="AA628" s="39" t="n"/>
      <c r="AB628" s="39" t="n"/>
      <c r="AC628" s="39" t="n"/>
      <c r="AD628" s="39" t="n"/>
      <c r="AE628" s="39" t="n"/>
      <c r="AF628" s="39" t="n"/>
      <c r="AG628" s="39" t="n"/>
      <c r="AH628" s="39" t="n"/>
      <c r="AI628" s="39" t="n"/>
      <c r="AJ628" s="39" t="n"/>
      <c r="AK628" s="39" t="n"/>
      <c r="AL628" s="39" t="n"/>
      <c r="AM628" s="44" t="n"/>
      <c r="AN628" s="44" t="n"/>
      <c r="AO628" s="44" t="n"/>
      <c r="AP628" s="44" t="n"/>
      <c r="AQ628" s="44" t="n"/>
      <c r="AR628" s="44" t="n"/>
      <c r="AS628" s="45" t="n"/>
      <c r="AT628" s="45" t="n"/>
      <c r="AU628" s="45" t="n"/>
    </row>
    <row r="629">
      <c r="B629" s="39" t="n"/>
      <c r="C629" s="39" t="n"/>
      <c r="D629" s="40" t="n"/>
      <c r="E629" s="39" t="n"/>
      <c r="F629" s="39" t="n"/>
      <c r="G629" s="112" t="n"/>
      <c r="H629" s="42" t="n"/>
      <c r="I629" s="42" t="n"/>
      <c r="J629" s="113" t="n"/>
      <c r="K629" s="39" t="n"/>
      <c r="L629" s="39" t="n"/>
      <c r="M629" s="39" t="n"/>
      <c r="N629" s="39" t="n"/>
      <c r="O629" s="39" t="n"/>
      <c r="P629" s="39" t="n"/>
      <c r="Q629" s="39" t="n"/>
      <c r="R629" s="39" t="n"/>
      <c r="S629" s="39" t="n"/>
      <c r="T629" s="39" t="n"/>
      <c r="U629" s="39" t="n"/>
      <c r="V629" s="39" t="n"/>
      <c r="W629" s="39" t="n"/>
      <c r="X629" s="39" t="n"/>
      <c r="Y629" s="39" t="n"/>
      <c r="Z629" s="39" t="n"/>
      <c r="AA629" s="39" t="n"/>
      <c r="AB629" s="39" t="n"/>
      <c r="AC629" s="39" t="n"/>
      <c r="AD629" s="39" t="n"/>
      <c r="AE629" s="39" t="n"/>
      <c r="AF629" s="39" t="n"/>
      <c r="AG629" s="39" t="n"/>
      <c r="AH629" s="39" t="n"/>
      <c r="AI629" s="39" t="n"/>
      <c r="AJ629" s="39" t="n"/>
      <c r="AK629" s="39" t="n"/>
      <c r="AL629" s="39" t="n"/>
      <c r="AM629" s="44" t="n"/>
      <c r="AN629" s="44" t="n"/>
      <c r="AO629" s="44" t="n"/>
      <c r="AP629" s="44" t="n"/>
      <c r="AQ629" s="44" t="n"/>
      <c r="AR629" s="44" t="n"/>
      <c r="AS629" s="45" t="n"/>
      <c r="AT629" s="45" t="n"/>
      <c r="AU629" s="45" t="n"/>
    </row>
    <row r="630">
      <c r="B630" s="39" t="n"/>
      <c r="C630" s="39" t="n"/>
      <c r="D630" s="40" t="n"/>
      <c r="E630" s="39" t="n"/>
      <c r="F630" s="39" t="n"/>
      <c r="G630" s="112" t="n"/>
      <c r="H630" s="42" t="n"/>
      <c r="I630" s="42" t="n"/>
      <c r="J630" s="113" t="n"/>
      <c r="K630" s="39" t="n"/>
      <c r="L630" s="39" t="n"/>
      <c r="M630" s="39" t="n"/>
      <c r="N630" s="39" t="n"/>
      <c r="O630" s="39" t="n"/>
      <c r="P630" s="39" t="n"/>
      <c r="Q630" s="39" t="n"/>
      <c r="R630" s="39" t="n"/>
      <c r="S630" s="39" t="n"/>
      <c r="T630" s="39" t="n"/>
      <c r="U630" s="39" t="n"/>
      <c r="V630" s="39" t="n"/>
      <c r="W630" s="39" t="n"/>
      <c r="X630" s="39" t="n"/>
      <c r="Y630" s="39" t="n"/>
      <c r="Z630" s="39" t="n"/>
      <c r="AA630" s="39" t="n"/>
      <c r="AB630" s="39" t="n"/>
      <c r="AC630" s="39" t="n"/>
      <c r="AD630" s="39" t="n"/>
      <c r="AE630" s="39" t="n"/>
      <c r="AF630" s="39" t="n"/>
      <c r="AG630" s="39" t="n"/>
      <c r="AH630" s="39" t="n"/>
      <c r="AI630" s="39" t="n"/>
      <c r="AJ630" s="39" t="n"/>
      <c r="AK630" s="39" t="n"/>
      <c r="AL630" s="39" t="n"/>
      <c r="AM630" s="44" t="n"/>
      <c r="AN630" s="44" t="n"/>
      <c r="AO630" s="44" t="n"/>
      <c r="AP630" s="44" t="n"/>
      <c r="AQ630" s="44" t="n"/>
      <c r="AR630" s="44" t="n"/>
      <c r="AS630" s="45" t="n"/>
      <c r="AT630" s="45" t="n"/>
      <c r="AU630" s="45" t="n"/>
    </row>
    <row r="631">
      <c r="B631" s="39" t="n"/>
      <c r="C631" s="39" t="n"/>
      <c r="D631" s="40" t="n"/>
      <c r="E631" s="39" t="n"/>
      <c r="F631" s="39" t="n"/>
      <c r="G631" s="112" t="n"/>
      <c r="H631" s="42" t="n"/>
      <c r="I631" s="42" t="n"/>
      <c r="J631" s="113" t="n"/>
      <c r="K631" s="39" t="n"/>
      <c r="L631" s="39" t="n"/>
      <c r="M631" s="39" t="n"/>
      <c r="N631" s="39" t="n"/>
      <c r="O631" s="39" t="n"/>
      <c r="P631" s="39" t="n"/>
      <c r="Q631" s="39" t="n"/>
      <c r="R631" s="39" t="n"/>
      <c r="S631" s="39" t="n"/>
      <c r="T631" s="39" t="n"/>
      <c r="U631" s="39" t="n"/>
      <c r="V631" s="39" t="n"/>
      <c r="W631" s="39" t="n"/>
      <c r="X631" s="39" t="n"/>
      <c r="Y631" s="39" t="n"/>
      <c r="Z631" s="39" t="n"/>
      <c r="AA631" s="39" t="n"/>
      <c r="AB631" s="39" t="n"/>
      <c r="AC631" s="39" t="n"/>
      <c r="AD631" s="39" t="n"/>
      <c r="AE631" s="39" t="n"/>
      <c r="AF631" s="39" t="n"/>
      <c r="AG631" s="39" t="n"/>
      <c r="AH631" s="39" t="n"/>
      <c r="AI631" s="39" t="n"/>
      <c r="AJ631" s="39" t="n"/>
      <c r="AK631" s="39" t="n"/>
      <c r="AL631" s="39" t="n"/>
      <c r="AM631" s="44" t="n"/>
      <c r="AN631" s="44" t="n"/>
      <c r="AO631" s="44" t="n"/>
      <c r="AP631" s="44" t="n"/>
      <c r="AQ631" s="44" t="n"/>
      <c r="AR631" s="44" t="n"/>
      <c r="AS631" s="45" t="n"/>
      <c r="AT631" s="45" t="n"/>
      <c r="AU631" s="45" t="n"/>
    </row>
    <row r="632">
      <c r="B632" s="39" t="n"/>
      <c r="C632" s="39" t="n"/>
      <c r="D632" s="40" t="n"/>
      <c r="E632" s="39" t="n"/>
      <c r="F632" s="39" t="n"/>
      <c r="G632" s="112" t="n"/>
      <c r="H632" s="42" t="n"/>
      <c r="I632" s="42" t="n"/>
      <c r="J632" s="113" t="n"/>
      <c r="K632" s="39" t="n"/>
      <c r="L632" s="39" t="n"/>
      <c r="M632" s="39" t="n"/>
      <c r="N632" s="39" t="n"/>
      <c r="O632" s="39" t="n"/>
      <c r="P632" s="39" t="n"/>
      <c r="Q632" s="39" t="n"/>
      <c r="R632" s="39" t="n"/>
      <c r="S632" s="39" t="n"/>
      <c r="T632" s="39" t="n"/>
      <c r="U632" s="39" t="n"/>
      <c r="V632" s="39" t="n"/>
      <c r="W632" s="39" t="n"/>
      <c r="X632" s="39" t="n"/>
      <c r="Y632" s="39" t="n"/>
      <c r="Z632" s="39" t="n"/>
      <c r="AA632" s="39" t="n"/>
      <c r="AB632" s="39" t="n"/>
      <c r="AC632" s="39" t="n"/>
      <c r="AD632" s="39" t="n"/>
      <c r="AE632" s="39" t="n"/>
      <c r="AF632" s="39" t="n"/>
      <c r="AG632" s="39" t="n"/>
      <c r="AH632" s="39" t="n"/>
      <c r="AI632" s="39" t="n"/>
      <c r="AJ632" s="39" t="n"/>
      <c r="AK632" s="39" t="n"/>
      <c r="AL632" s="39" t="n"/>
      <c r="AM632" s="44" t="n"/>
      <c r="AN632" s="44" t="n"/>
      <c r="AO632" s="44" t="n"/>
      <c r="AP632" s="44" t="n"/>
      <c r="AQ632" s="44" t="n"/>
      <c r="AR632" s="44" t="n"/>
      <c r="AS632" s="45" t="n"/>
      <c r="AT632" s="45" t="n"/>
      <c r="AU632" s="45" t="n"/>
    </row>
    <row r="633">
      <c r="B633" s="39" t="n"/>
      <c r="C633" s="39" t="n"/>
      <c r="D633" s="40" t="n"/>
      <c r="E633" s="39" t="n"/>
      <c r="F633" s="39" t="n"/>
      <c r="G633" s="112" t="n"/>
      <c r="H633" s="42" t="n"/>
      <c r="I633" s="42" t="n"/>
      <c r="J633" s="113" t="n"/>
      <c r="K633" s="39" t="n"/>
      <c r="L633" s="39" t="n"/>
      <c r="M633" s="39" t="n"/>
      <c r="N633" s="39" t="n"/>
      <c r="O633" s="39" t="n"/>
      <c r="P633" s="39" t="n"/>
      <c r="Q633" s="39" t="n"/>
      <c r="R633" s="39" t="n"/>
      <c r="S633" s="39" t="n"/>
      <c r="T633" s="39" t="n"/>
      <c r="U633" s="39" t="n"/>
      <c r="V633" s="39" t="n"/>
      <c r="W633" s="39" t="n"/>
      <c r="X633" s="39" t="n"/>
      <c r="Y633" s="39" t="n"/>
      <c r="Z633" s="39" t="n"/>
      <c r="AA633" s="39" t="n"/>
      <c r="AB633" s="39" t="n"/>
      <c r="AC633" s="39" t="n"/>
      <c r="AD633" s="39" t="n"/>
      <c r="AE633" s="39" t="n"/>
      <c r="AF633" s="39" t="n"/>
      <c r="AG633" s="39" t="n"/>
      <c r="AH633" s="39" t="n"/>
      <c r="AI633" s="39" t="n"/>
      <c r="AJ633" s="39" t="n"/>
      <c r="AK633" s="39" t="n"/>
      <c r="AL633" s="39" t="n"/>
      <c r="AM633" s="44" t="n"/>
      <c r="AN633" s="44" t="n"/>
      <c r="AO633" s="44" t="n"/>
      <c r="AP633" s="44" t="n"/>
      <c r="AQ633" s="44" t="n"/>
      <c r="AR633" s="44" t="n"/>
      <c r="AS633" s="45" t="n"/>
      <c r="AT633" s="45" t="n"/>
      <c r="AU633" s="45" t="n"/>
    </row>
    <row r="634">
      <c r="B634" s="39" t="n"/>
      <c r="C634" s="39" t="n"/>
      <c r="D634" s="40" t="n"/>
      <c r="E634" s="39" t="n"/>
      <c r="F634" s="39" t="n"/>
      <c r="G634" s="112" t="n"/>
      <c r="H634" s="42" t="n"/>
      <c r="I634" s="42" t="n"/>
      <c r="J634" s="113" t="n"/>
      <c r="K634" s="39" t="n"/>
      <c r="L634" s="39" t="n"/>
      <c r="M634" s="39" t="n"/>
      <c r="N634" s="39" t="n"/>
      <c r="O634" s="39" t="n"/>
      <c r="P634" s="39" t="n"/>
      <c r="Q634" s="39" t="n"/>
      <c r="R634" s="39" t="n"/>
      <c r="S634" s="39" t="n"/>
      <c r="T634" s="39" t="n"/>
      <c r="U634" s="39" t="n"/>
      <c r="V634" s="39" t="n"/>
      <c r="W634" s="39" t="n"/>
      <c r="X634" s="39" t="n"/>
      <c r="Y634" s="39" t="n"/>
      <c r="Z634" s="39" t="n"/>
      <c r="AA634" s="39" t="n"/>
      <c r="AB634" s="39" t="n"/>
      <c r="AC634" s="39" t="n"/>
      <c r="AD634" s="39" t="n"/>
      <c r="AE634" s="39" t="n"/>
      <c r="AF634" s="39" t="n"/>
      <c r="AG634" s="39" t="n"/>
      <c r="AH634" s="39" t="n"/>
      <c r="AI634" s="39" t="n"/>
      <c r="AJ634" s="39" t="n"/>
      <c r="AK634" s="39" t="n"/>
      <c r="AL634" s="39" t="n"/>
      <c r="AM634" s="44" t="n"/>
      <c r="AN634" s="44" t="n"/>
      <c r="AO634" s="44" t="n"/>
      <c r="AP634" s="44" t="n"/>
      <c r="AQ634" s="44" t="n"/>
      <c r="AR634" s="44" t="n"/>
      <c r="AS634" s="45" t="n"/>
      <c r="AT634" s="45" t="n"/>
      <c r="AU634" s="45" t="n"/>
    </row>
    <row r="635">
      <c r="B635" s="39" t="n"/>
      <c r="C635" s="39" t="n"/>
      <c r="D635" s="40" t="n"/>
      <c r="E635" s="39" t="n"/>
      <c r="F635" s="39" t="n"/>
      <c r="G635" s="112" t="n"/>
      <c r="H635" s="42" t="n"/>
      <c r="I635" s="42" t="n"/>
      <c r="J635" s="113" t="n"/>
      <c r="K635" s="39" t="n"/>
      <c r="L635" s="39" t="n"/>
      <c r="M635" s="39" t="n"/>
      <c r="N635" s="39" t="n"/>
      <c r="O635" s="39" t="n"/>
      <c r="P635" s="39" t="n"/>
      <c r="Q635" s="39" t="n"/>
      <c r="R635" s="39" t="n"/>
      <c r="S635" s="39" t="n"/>
      <c r="T635" s="39" t="n"/>
      <c r="U635" s="39" t="n"/>
      <c r="V635" s="39" t="n"/>
      <c r="W635" s="39" t="n"/>
      <c r="X635" s="39" t="n"/>
      <c r="Y635" s="39" t="n"/>
      <c r="Z635" s="39" t="n"/>
      <c r="AA635" s="39" t="n"/>
      <c r="AB635" s="39" t="n"/>
      <c r="AC635" s="39" t="n"/>
      <c r="AD635" s="39" t="n"/>
      <c r="AE635" s="39" t="n"/>
      <c r="AF635" s="39" t="n"/>
      <c r="AG635" s="39" t="n"/>
      <c r="AH635" s="39" t="n"/>
      <c r="AI635" s="39" t="n"/>
      <c r="AJ635" s="39" t="n"/>
      <c r="AK635" s="39" t="n"/>
      <c r="AL635" s="39" t="n"/>
      <c r="AM635" s="44" t="n"/>
      <c r="AN635" s="44" t="n"/>
      <c r="AO635" s="44" t="n"/>
      <c r="AP635" s="44" t="n"/>
      <c r="AQ635" s="44" t="n"/>
      <c r="AR635" s="44" t="n"/>
      <c r="AS635" s="45" t="n"/>
      <c r="AT635" s="45" t="n"/>
      <c r="AU635" s="45" t="n"/>
    </row>
    <row r="636">
      <c r="B636" s="39" t="n"/>
      <c r="C636" s="39" t="n"/>
      <c r="D636" s="40" t="n"/>
      <c r="E636" s="39" t="n"/>
      <c r="F636" s="39" t="n"/>
      <c r="G636" s="112" t="n"/>
      <c r="H636" s="42" t="n"/>
      <c r="I636" s="42" t="n"/>
      <c r="J636" s="113" t="n"/>
      <c r="K636" s="39" t="n"/>
      <c r="L636" s="39" t="n"/>
      <c r="M636" s="39" t="n"/>
      <c r="N636" s="39" t="n"/>
      <c r="O636" s="39" t="n"/>
      <c r="P636" s="39" t="n"/>
      <c r="Q636" s="39" t="n"/>
      <c r="R636" s="39" t="n"/>
      <c r="S636" s="39" t="n"/>
      <c r="T636" s="39" t="n"/>
      <c r="U636" s="39" t="n"/>
      <c r="V636" s="39" t="n"/>
      <c r="W636" s="39" t="n"/>
      <c r="X636" s="39" t="n"/>
      <c r="Y636" s="39" t="n"/>
      <c r="Z636" s="39" t="n"/>
      <c r="AA636" s="39" t="n"/>
      <c r="AB636" s="39" t="n"/>
      <c r="AC636" s="39" t="n"/>
      <c r="AD636" s="39" t="n"/>
      <c r="AE636" s="39" t="n"/>
      <c r="AF636" s="39" t="n"/>
      <c r="AG636" s="39" t="n"/>
      <c r="AH636" s="39" t="n"/>
      <c r="AI636" s="39" t="n"/>
      <c r="AJ636" s="39" t="n"/>
      <c r="AK636" s="39" t="n"/>
      <c r="AL636" s="39" t="n"/>
      <c r="AM636" s="44" t="n"/>
      <c r="AN636" s="44" t="n"/>
      <c r="AO636" s="44" t="n"/>
      <c r="AP636" s="44" t="n"/>
      <c r="AQ636" s="44" t="n"/>
      <c r="AR636" s="44" t="n"/>
      <c r="AS636" s="45" t="n"/>
      <c r="AT636" s="45" t="n"/>
      <c r="AU636" s="45" t="n"/>
    </row>
    <row r="637">
      <c r="B637" s="39" t="n"/>
      <c r="C637" s="39" t="n"/>
      <c r="D637" s="40" t="n"/>
      <c r="E637" s="39" t="n"/>
      <c r="F637" s="39" t="n"/>
      <c r="G637" s="112" t="n"/>
      <c r="H637" s="42" t="n"/>
      <c r="I637" s="42" t="n"/>
      <c r="J637" s="113" t="n"/>
      <c r="K637" s="39" t="n"/>
      <c r="L637" s="39" t="n"/>
      <c r="M637" s="39" t="n"/>
      <c r="N637" s="39" t="n"/>
      <c r="O637" s="39" t="n"/>
      <c r="P637" s="39" t="n"/>
      <c r="Q637" s="39" t="n"/>
      <c r="R637" s="39" t="n"/>
      <c r="S637" s="39" t="n"/>
      <c r="T637" s="39" t="n"/>
      <c r="U637" s="39" t="n"/>
      <c r="V637" s="39" t="n"/>
      <c r="W637" s="39" t="n"/>
      <c r="X637" s="39" t="n"/>
      <c r="Y637" s="39" t="n"/>
      <c r="Z637" s="39" t="n"/>
      <c r="AA637" s="39" t="n"/>
      <c r="AB637" s="39" t="n"/>
      <c r="AC637" s="39" t="n"/>
      <c r="AD637" s="39" t="n"/>
      <c r="AE637" s="39" t="n"/>
      <c r="AF637" s="39" t="n"/>
      <c r="AG637" s="39" t="n"/>
      <c r="AH637" s="39" t="n"/>
      <c r="AI637" s="39" t="n"/>
      <c r="AJ637" s="39" t="n"/>
      <c r="AK637" s="39" t="n"/>
      <c r="AL637" s="39" t="n"/>
      <c r="AM637" s="44" t="n"/>
      <c r="AN637" s="44" t="n"/>
      <c r="AO637" s="44" t="n"/>
      <c r="AP637" s="44" t="n"/>
      <c r="AQ637" s="44" t="n"/>
      <c r="AR637" s="44" t="n"/>
      <c r="AS637" s="45" t="n"/>
      <c r="AT637" s="45" t="n"/>
      <c r="AU637" s="45" t="n"/>
    </row>
    <row r="638">
      <c r="B638" s="39" t="n"/>
      <c r="C638" s="39" t="n"/>
      <c r="D638" s="40" t="n"/>
      <c r="E638" s="39" t="n"/>
      <c r="F638" s="39" t="n"/>
      <c r="G638" s="112" t="n"/>
      <c r="H638" s="42" t="n"/>
      <c r="I638" s="42" t="n"/>
      <c r="J638" s="113" t="n"/>
      <c r="K638" s="39" t="n"/>
      <c r="L638" s="39" t="n"/>
      <c r="M638" s="39" t="n"/>
      <c r="N638" s="39" t="n"/>
      <c r="O638" s="39" t="n"/>
      <c r="P638" s="39" t="n"/>
      <c r="Q638" s="39" t="n"/>
      <c r="R638" s="39" t="n"/>
      <c r="S638" s="39" t="n"/>
      <c r="T638" s="39" t="n"/>
      <c r="U638" s="39" t="n"/>
      <c r="V638" s="39" t="n"/>
      <c r="W638" s="39" t="n"/>
      <c r="X638" s="39" t="n"/>
      <c r="Y638" s="39" t="n"/>
      <c r="Z638" s="39" t="n"/>
      <c r="AA638" s="39" t="n"/>
      <c r="AB638" s="39" t="n"/>
      <c r="AC638" s="39" t="n"/>
      <c r="AD638" s="39" t="n"/>
      <c r="AE638" s="39" t="n"/>
      <c r="AF638" s="39" t="n"/>
      <c r="AG638" s="39" t="n"/>
      <c r="AH638" s="39" t="n"/>
      <c r="AI638" s="39" t="n"/>
      <c r="AJ638" s="39" t="n"/>
      <c r="AK638" s="39" t="n"/>
      <c r="AL638" s="39" t="n"/>
      <c r="AM638" s="44" t="n"/>
      <c r="AN638" s="44" t="n"/>
      <c r="AO638" s="44" t="n"/>
      <c r="AP638" s="44" t="n"/>
      <c r="AQ638" s="44" t="n"/>
      <c r="AR638" s="44" t="n"/>
      <c r="AS638" s="45" t="n"/>
      <c r="AT638" s="45" t="n"/>
      <c r="AU638" s="45" t="n"/>
    </row>
    <row r="639">
      <c r="B639" s="39" t="n"/>
      <c r="C639" s="39" t="n"/>
      <c r="D639" s="40" t="n"/>
      <c r="E639" s="39" t="n"/>
      <c r="F639" s="39" t="n"/>
      <c r="G639" s="112" t="n"/>
      <c r="H639" s="42" t="n"/>
      <c r="I639" s="42" t="n"/>
      <c r="J639" s="113" t="n"/>
      <c r="K639" s="39" t="n"/>
      <c r="L639" s="39" t="n"/>
      <c r="M639" s="39" t="n"/>
      <c r="N639" s="39" t="n"/>
      <c r="O639" s="39" t="n"/>
      <c r="P639" s="39" t="n"/>
      <c r="Q639" s="39" t="n"/>
      <c r="R639" s="39" t="n"/>
      <c r="S639" s="39" t="n"/>
      <c r="T639" s="39" t="n"/>
      <c r="U639" s="39" t="n"/>
      <c r="V639" s="39" t="n"/>
      <c r="W639" s="39" t="n"/>
      <c r="X639" s="39" t="n"/>
      <c r="Y639" s="39" t="n"/>
      <c r="Z639" s="39" t="n"/>
      <c r="AA639" s="39" t="n"/>
      <c r="AB639" s="39" t="n"/>
      <c r="AC639" s="39" t="n"/>
      <c r="AD639" s="39" t="n"/>
      <c r="AE639" s="39" t="n"/>
      <c r="AF639" s="39" t="n"/>
      <c r="AG639" s="39" t="n"/>
      <c r="AH639" s="39" t="n"/>
      <c r="AI639" s="39" t="n"/>
      <c r="AJ639" s="39" t="n"/>
      <c r="AK639" s="39" t="n"/>
      <c r="AL639" s="39" t="n"/>
      <c r="AM639" s="44" t="n"/>
      <c r="AN639" s="44" t="n"/>
      <c r="AO639" s="44" t="n"/>
      <c r="AP639" s="44" t="n"/>
      <c r="AQ639" s="44" t="n"/>
      <c r="AR639" s="44" t="n"/>
      <c r="AS639" s="45" t="n"/>
      <c r="AT639" s="45" t="n"/>
      <c r="AU639" s="45" t="n"/>
    </row>
    <row r="640">
      <c r="B640" s="39" t="n"/>
      <c r="C640" s="39" t="n"/>
      <c r="D640" s="40" t="n"/>
      <c r="E640" s="39" t="n"/>
      <c r="F640" s="39" t="n"/>
      <c r="G640" s="112" t="n"/>
      <c r="H640" s="42" t="n"/>
      <c r="I640" s="42" t="n"/>
      <c r="J640" s="113" t="n"/>
      <c r="K640" s="39" t="n"/>
      <c r="L640" s="39" t="n"/>
      <c r="M640" s="39" t="n"/>
      <c r="N640" s="39" t="n"/>
      <c r="O640" s="39" t="n"/>
      <c r="P640" s="39" t="n"/>
      <c r="Q640" s="39" t="n"/>
      <c r="R640" s="39" t="n"/>
      <c r="S640" s="39" t="n"/>
      <c r="T640" s="39" t="n"/>
      <c r="U640" s="39" t="n"/>
      <c r="V640" s="39" t="n"/>
      <c r="W640" s="39" t="n"/>
      <c r="X640" s="39" t="n"/>
      <c r="Y640" s="39" t="n"/>
      <c r="Z640" s="39" t="n"/>
      <c r="AA640" s="39" t="n"/>
      <c r="AB640" s="39" t="n"/>
      <c r="AC640" s="39" t="n"/>
      <c r="AD640" s="39" t="n"/>
      <c r="AE640" s="39" t="n"/>
      <c r="AF640" s="39" t="n"/>
      <c r="AG640" s="39" t="n"/>
      <c r="AH640" s="39" t="n"/>
      <c r="AI640" s="39" t="n"/>
      <c r="AJ640" s="39" t="n"/>
      <c r="AK640" s="39" t="n"/>
      <c r="AL640" s="39" t="n"/>
      <c r="AM640" s="44" t="n"/>
      <c r="AN640" s="44" t="n"/>
      <c r="AO640" s="44" t="n"/>
      <c r="AP640" s="44" t="n"/>
      <c r="AQ640" s="44" t="n"/>
      <c r="AR640" s="44" t="n"/>
      <c r="AS640" s="45" t="n"/>
      <c r="AT640" s="45" t="n"/>
      <c r="AU640" s="45" t="n"/>
    </row>
    <row r="641">
      <c r="B641" s="39" t="n"/>
      <c r="C641" s="39" t="n"/>
      <c r="D641" s="40" t="n"/>
      <c r="E641" s="39" t="n"/>
      <c r="F641" s="39" t="n"/>
      <c r="G641" s="112" t="n"/>
      <c r="H641" s="42" t="n"/>
      <c r="I641" s="42" t="n"/>
      <c r="J641" s="113" t="n"/>
      <c r="K641" s="39" t="n"/>
      <c r="L641" s="39" t="n"/>
      <c r="M641" s="39" t="n"/>
      <c r="N641" s="39" t="n"/>
      <c r="O641" s="39" t="n"/>
      <c r="P641" s="39" t="n"/>
      <c r="Q641" s="39" t="n"/>
      <c r="R641" s="39" t="n"/>
      <c r="S641" s="39" t="n"/>
      <c r="T641" s="39" t="n"/>
      <c r="U641" s="39" t="n"/>
      <c r="V641" s="39" t="n"/>
      <c r="W641" s="39" t="n"/>
      <c r="X641" s="39" t="n"/>
      <c r="Y641" s="39" t="n"/>
      <c r="Z641" s="39" t="n"/>
      <c r="AA641" s="39" t="n"/>
      <c r="AB641" s="39" t="n"/>
      <c r="AC641" s="39" t="n"/>
      <c r="AD641" s="39" t="n"/>
      <c r="AE641" s="39" t="n"/>
      <c r="AF641" s="39" t="n"/>
      <c r="AG641" s="39" t="n"/>
      <c r="AH641" s="39" t="n"/>
      <c r="AI641" s="39" t="n"/>
      <c r="AJ641" s="39" t="n"/>
      <c r="AK641" s="39" t="n"/>
      <c r="AL641" s="39" t="n"/>
      <c r="AM641" s="44" t="n"/>
      <c r="AN641" s="44" t="n"/>
      <c r="AO641" s="44" t="n"/>
      <c r="AP641" s="44" t="n"/>
      <c r="AQ641" s="44" t="n"/>
      <c r="AR641" s="44" t="n"/>
      <c r="AS641" s="45" t="n"/>
      <c r="AT641" s="45" t="n"/>
      <c r="AU641" s="45" t="n"/>
    </row>
    <row r="642">
      <c r="B642" s="39" t="n"/>
      <c r="C642" s="39" t="n"/>
      <c r="D642" s="40" t="n"/>
      <c r="E642" s="39" t="n"/>
      <c r="F642" s="39" t="n"/>
      <c r="G642" s="112" t="n"/>
      <c r="H642" s="42" t="n"/>
      <c r="I642" s="42" t="n"/>
      <c r="J642" s="113" t="n"/>
      <c r="K642" s="39" t="n"/>
      <c r="L642" s="39" t="n"/>
      <c r="M642" s="39" t="n"/>
      <c r="N642" s="39" t="n"/>
      <c r="O642" s="39" t="n"/>
      <c r="P642" s="39" t="n"/>
      <c r="Q642" s="39" t="n"/>
      <c r="R642" s="39" t="n"/>
      <c r="S642" s="39" t="n"/>
      <c r="T642" s="39" t="n"/>
      <c r="U642" s="39" t="n"/>
      <c r="V642" s="39" t="n"/>
      <c r="W642" s="39" t="n"/>
      <c r="X642" s="39" t="n"/>
      <c r="Y642" s="39" t="n"/>
      <c r="Z642" s="39" t="n"/>
      <c r="AA642" s="39" t="n"/>
      <c r="AB642" s="39" t="n"/>
      <c r="AC642" s="39" t="n"/>
      <c r="AD642" s="39" t="n"/>
      <c r="AE642" s="39" t="n"/>
      <c r="AF642" s="39" t="n"/>
      <c r="AG642" s="39" t="n"/>
      <c r="AH642" s="39" t="n"/>
      <c r="AI642" s="39" t="n"/>
      <c r="AJ642" s="39" t="n"/>
      <c r="AK642" s="39" t="n"/>
      <c r="AL642" s="39" t="n"/>
      <c r="AM642" s="44" t="n"/>
      <c r="AN642" s="44" t="n"/>
      <c r="AO642" s="44" t="n"/>
      <c r="AP642" s="44" t="n"/>
      <c r="AQ642" s="44" t="n"/>
      <c r="AR642" s="44" t="n"/>
      <c r="AS642" s="45" t="n"/>
      <c r="AT642" s="45" t="n"/>
      <c r="AU642" s="45" t="n"/>
    </row>
    <row r="643">
      <c r="B643" s="39" t="n"/>
      <c r="C643" s="39" t="n"/>
      <c r="D643" s="40" t="n"/>
      <c r="E643" s="39" t="n"/>
      <c r="F643" s="39" t="n"/>
      <c r="G643" s="112" t="n"/>
      <c r="H643" s="42" t="n"/>
      <c r="I643" s="42" t="n"/>
      <c r="J643" s="113" t="n"/>
      <c r="K643" s="39" t="n"/>
      <c r="L643" s="39" t="n"/>
      <c r="M643" s="39" t="n"/>
      <c r="N643" s="39" t="n"/>
      <c r="O643" s="39" t="n"/>
      <c r="P643" s="39" t="n"/>
      <c r="Q643" s="39" t="n"/>
      <c r="R643" s="39" t="n"/>
      <c r="S643" s="39" t="n"/>
      <c r="T643" s="39" t="n"/>
      <c r="U643" s="39" t="n"/>
      <c r="V643" s="39" t="n"/>
      <c r="W643" s="39" t="n"/>
      <c r="X643" s="39" t="n"/>
      <c r="Y643" s="39" t="n"/>
      <c r="Z643" s="39" t="n"/>
      <c r="AA643" s="39" t="n"/>
      <c r="AB643" s="39" t="n"/>
      <c r="AC643" s="39" t="n"/>
      <c r="AD643" s="39" t="n"/>
      <c r="AE643" s="39" t="n"/>
      <c r="AF643" s="39" t="n"/>
      <c r="AG643" s="39" t="n"/>
      <c r="AH643" s="39" t="n"/>
      <c r="AI643" s="39" t="n"/>
      <c r="AJ643" s="39" t="n"/>
      <c r="AK643" s="39" t="n"/>
      <c r="AL643" s="39" t="n"/>
      <c r="AM643" s="44" t="n"/>
      <c r="AN643" s="44" t="n"/>
      <c r="AO643" s="44" t="n"/>
      <c r="AP643" s="44" t="n"/>
      <c r="AQ643" s="44" t="n"/>
      <c r="AR643" s="44" t="n"/>
      <c r="AS643" s="45" t="n"/>
      <c r="AT643" s="45" t="n"/>
      <c r="AU643" s="45" t="n"/>
    </row>
    <row r="644">
      <c r="B644" s="39" t="n"/>
      <c r="C644" s="39" t="n"/>
      <c r="D644" s="40" t="n"/>
      <c r="E644" s="39" t="n"/>
      <c r="F644" s="39" t="n"/>
      <c r="G644" s="112" t="n"/>
      <c r="H644" s="42" t="n"/>
      <c r="I644" s="42" t="n"/>
      <c r="J644" s="113" t="n"/>
      <c r="K644" s="39" t="n"/>
      <c r="L644" s="39" t="n"/>
      <c r="M644" s="39" t="n"/>
      <c r="N644" s="39" t="n"/>
      <c r="O644" s="39" t="n"/>
      <c r="P644" s="39" t="n"/>
      <c r="Q644" s="39" t="n"/>
      <c r="R644" s="39" t="n"/>
      <c r="S644" s="39" t="n"/>
      <c r="T644" s="39" t="n"/>
      <c r="U644" s="39" t="n"/>
      <c r="V644" s="39" t="n"/>
      <c r="W644" s="39" t="n"/>
      <c r="X644" s="39" t="n"/>
      <c r="Y644" s="39" t="n"/>
      <c r="Z644" s="39" t="n"/>
      <c r="AA644" s="39" t="n"/>
      <c r="AB644" s="39" t="n"/>
      <c r="AC644" s="39" t="n"/>
      <c r="AD644" s="39" t="n"/>
      <c r="AE644" s="39" t="n"/>
      <c r="AF644" s="39" t="n"/>
      <c r="AG644" s="39" t="n"/>
      <c r="AH644" s="39" t="n"/>
      <c r="AI644" s="39" t="n"/>
      <c r="AJ644" s="39" t="n"/>
      <c r="AK644" s="39" t="n"/>
      <c r="AL644" s="39" t="n"/>
      <c r="AM644" s="44" t="n"/>
      <c r="AN644" s="44" t="n"/>
      <c r="AO644" s="44" t="n"/>
      <c r="AP644" s="44" t="n"/>
      <c r="AQ644" s="44" t="n"/>
      <c r="AR644" s="44" t="n"/>
      <c r="AS644" s="45" t="n"/>
      <c r="AT644" s="45" t="n"/>
      <c r="AU644" s="45" t="n"/>
    </row>
    <row r="645">
      <c r="B645" s="39" t="n"/>
      <c r="C645" s="39" t="n"/>
      <c r="D645" s="40" t="n"/>
      <c r="E645" s="39" t="n"/>
      <c r="F645" s="39" t="n"/>
      <c r="G645" s="112" t="n"/>
      <c r="H645" s="42" t="n"/>
      <c r="I645" s="42" t="n"/>
      <c r="J645" s="113" t="n"/>
      <c r="K645" s="39" t="n"/>
      <c r="L645" s="39" t="n"/>
      <c r="M645" s="39" t="n"/>
      <c r="N645" s="39" t="n"/>
      <c r="O645" s="39" t="n"/>
      <c r="P645" s="39" t="n"/>
      <c r="Q645" s="39" t="n"/>
      <c r="R645" s="39" t="n"/>
      <c r="S645" s="39" t="n"/>
      <c r="T645" s="39" t="n"/>
      <c r="U645" s="39" t="n"/>
      <c r="V645" s="39" t="n"/>
      <c r="W645" s="39" t="n"/>
      <c r="X645" s="39" t="n"/>
      <c r="Y645" s="39" t="n"/>
      <c r="Z645" s="39" t="n"/>
      <c r="AA645" s="39" t="n"/>
      <c r="AB645" s="39" t="n"/>
      <c r="AC645" s="39" t="n"/>
      <c r="AD645" s="39" t="n"/>
      <c r="AE645" s="39" t="n"/>
      <c r="AF645" s="39" t="n"/>
      <c r="AG645" s="39" t="n"/>
      <c r="AH645" s="39" t="n"/>
      <c r="AI645" s="39" t="n"/>
      <c r="AJ645" s="39" t="n"/>
      <c r="AK645" s="39" t="n"/>
      <c r="AL645" s="39" t="n"/>
      <c r="AM645" s="44" t="n"/>
      <c r="AN645" s="44" t="n"/>
      <c r="AO645" s="44" t="n"/>
      <c r="AP645" s="44" t="n"/>
      <c r="AQ645" s="44" t="n"/>
      <c r="AR645" s="44" t="n"/>
      <c r="AS645" s="45" t="n"/>
      <c r="AT645" s="45" t="n"/>
      <c r="AU645" s="45" t="n"/>
    </row>
    <row r="646">
      <c r="B646" s="39" t="n"/>
      <c r="C646" s="39" t="n"/>
      <c r="D646" s="40" t="n"/>
      <c r="E646" s="39" t="n"/>
      <c r="F646" s="39" t="n"/>
      <c r="G646" s="112" t="n"/>
      <c r="H646" s="42" t="n"/>
      <c r="I646" s="42" t="n"/>
      <c r="J646" s="113" t="n"/>
      <c r="K646" s="39" t="n"/>
      <c r="L646" s="39" t="n"/>
      <c r="M646" s="39" t="n"/>
      <c r="N646" s="39" t="n"/>
      <c r="O646" s="39" t="n"/>
      <c r="P646" s="39" t="n"/>
      <c r="Q646" s="39" t="n"/>
      <c r="R646" s="39" t="n"/>
      <c r="S646" s="39" t="n"/>
      <c r="T646" s="39" t="n"/>
      <c r="U646" s="39" t="n"/>
      <c r="V646" s="39" t="n"/>
      <c r="W646" s="39" t="n"/>
      <c r="X646" s="39" t="n"/>
      <c r="Y646" s="39" t="n"/>
      <c r="Z646" s="39" t="n"/>
      <c r="AA646" s="39" t="n"/>
      <c r="AB646" s="39" t="n"/>
      <c r="AC646" s="39" t="n"/>
      <c r="AD646" s="39" t="n"/>
      <c r="AE646" s="39" t="n"/>
      <c r="AF646" s="39" t="n"/>
      <c r="AG646" s="39" t="n"/>
      <c r="AH646" s="39" t="n"/>
      <c r="AI646" s="39" t="n"/>
      <c r="AJ646" s="39" t="n"/>
      <c r="AK646" s="39" t="n"/>
      <c r="AL646" s="39" t="n"/>
      <c r="AM646" s="44" t="n"/>
      <c r="AN646" s="44" t="n"/>
      <c r="AO646" s="44" t="n"/>
      <c r="AP646" s="44" t="n"/>
      <c r="AQ646" s="44" t="n"/>
      <c r="AR646" s="44" t="n"/>
      <c r="AS646" s="45" t="n"/>
      <c r="AT646" s="45" t="n"/>
      <c r="AU646" s="45" t="n"/>
    </row>
    <row r="647">
      <c r="B647" s="39" t="n"/>
      <c r="C647" s="39" t="n"/>
      <c r="D647" s="40" t="n"/>
      <c r="E647" s="39" t="n"/>
      <c r="F647" s="39" t="n"/>
      <c r="G647" s="112" t="n"/>
      <c r="H647" s="42" t="n"/>
      <c r="I647" s="42" t="n"/>
      <c r="J647" s="113" t="n"/>
      <c r="K647" s="39" t="n"/>
      <c r="L647" s="39" t="n"/>
      <c r="M647" s="39" t="n"/>
      <c r="N647" s="39" t="n"/>
      <c r="O647" s="39" t="n"/>
      <c r="P647" s="39" t="n"/>
      <c r="Q647" s="39" t="n"/>
      <c r="R647" s="39" t="n"/>
      <c r="S647" s="39" t="n"/>
      <c r="T647" s="39" t="n"/>
      <c r="U647" s="39" t="n"/>
      <c r="V647" s="39" t="n"/>
      <c r="W647" s="39" t="n"/>
      <c r="X647" s="39" t="n"/>
      <c r="Y647" s="39" t="n"/>
      <c r="Z647" s="39" t="n"/>
      <c r="AA647" s="39" t="n"/>
      <c r="AB647" s="39" t="n"/>
      <c r="AC647" s="39" t="n"/>
      <c r="AD647" s="39" t="n"/>
      <c r="AE647" s="39" t="n"/>
      <c r="AF647" s="39" t="n"/>
      <c r="AG647" s="39" t="n"/>
      <c r="AH647" s="39" t="n"/>
      <c r="AI647" s="39" t="n"/>
      <c r="AJ647" s="39" t="n"/>
      <c r="AK647" s="39" t="n"/>
      <c r="AL647" s="39" t="n"/>
      <c r="AM647" s="44" t="n"/>
      <c r="AN647" s="44" t="n"/>
      <c r="AO647" s="44" t="n"/>
      <c r="AP647" s="44" t="n"/>
      <c r="AQ647" s="44" t="n"/>
      <c r="AR647" s="44" t="n"/>
      <c r="AS647" s="45" t="n"/>
      <c r="AT647" s="45" t="n"/>
      <c r="AU647" s="45" t="n"/>
    </row>
    <row r="648">
      <c r="B648" s="39" t="n"/>
      <c r="C648" s="39" t="n"/>
      <c r="D648" s="40" t="n"/>
      <c r="E648" s="39" t="n"/>
      <c r="F648" s="39" t="n"/>
      <c r="G648" s="112" t="n"/>
      <c r="H648" s="42" t="n"/>
      <c r="I648" s="42" t="n"/>
      <c r="J648" s="113" t="n"/>
      <c r="K648" s="39" t="n"/>
      <c r="L648" s="39" t="n"/>
      <c r="M648" s="39" t="n"/>
      <c r="N648" s="39" t="n"/>
      <c r="O648" s="39" t="n"/>
      <c r="P648" s="39" t="n"/>
      <c r="Q648" s="39" t="n"/>
      <c r="R648" s="39" t="n"/>
      <c r="S648" s="39" t="n"/>
      <c r="T648" s="39" t="n"/>
      <c r="U648" s="39" t="n"/>
      <c r="V648" s="39" t="n"/>
      <c r="W648" s="39" t="n"/>
      <c r="X648" s="39" t="n"/>
      <c r="Y648" s="39" t="n"/>
      <c r="Z648" s="39" t="n"/>
      <c r="AA648" s="39" t="n"/>
      <c r="AB648" s="39" t="n"/>
      <c r="AC648" s="39" t="n"/>
      <c r="AD648" s="39" t="n"/>
      <c r="AE648" s="39" t="n"/>
      <c r="AF648" s="39" t="n"/>
      <c r="AG648" s="39" t="n"/>
      <c r="AH648" s="39" t="n"/>
      <c r="AI648" s="39" t="n"/>
      <c r="AJ648" s="39" t="n"/>
      <c r="AK648" s="39" t="n"/>
      <c r="AL648" s="39" t="n"/>
      <c r="AM648" s="44" t="n"/>
      <c r="AN648" s="44" t="n"/>
      <c r="AO648" s="44" t="n"/>
      <c r="AP648" s="44" t="n"/>
      <c r="AQ648" s="44" t="n"/>
      <c r="AR648" s="44" t="n"/>
      <c r="AS648" s="45" t="n"/>
      <c r="AT648" s="45" t="n"/>
      <c r="AU648" s="45" t="n"/>
    </row>
    <row r="649">
      <c r="B649" s="39" t="n"/>
      <c r="C649" s="39" t="n"/>
      <c r="D649" s="40" t="n"/>
      <c r="E649" s="39" t="n"/>
      <c r="F649" s="39" t="n"/>
      <c r="G649" s="112" t="n"/>
      <c r="H649" s="42" t="n"/>
      <c r="I649" s="42" t="n"/>
      <c r="J649" s="113" t="n"/>
      <c r="K649" s="39" t="n"/>
      <c r="L649" s="39" t="n"/>
      <c r="M649" s="39" t="n"/>
      <c r="N649" s="39" t="n"/>
      <c r="O649" s="39" t="n"/>
      <c r="P649" s="39" t="n"/>
      <c r="Q649" s="39" t="n"/>
      <c r="R649" s="39" t="n"/>
      <c r="S649" s="39" t="n"/>
      <c r="T649" s="39" t="n"/>
      <c r="U649" s="39" t="n"/>
      <c r="V649" s="39" t="n"/>
      <c r="W649" s="39" t="n"/>
      <c r="X649" s="39" t="n"/>
      <c r="Y649" s="39" t="n"/>
      <c r="Z649" s="39" t="n"/>
      <c r="AA649" s="39" t="n"/>
      <c r="AB649" s="39" t="n"/>
      <c r="AC649" s="39" t="n"/>
      <c r="AD649" s="39" t="n"/>
      <c r="AE649" s="39" t="n"/>
      <c r="AF649" s="39" t="n"/>
      <c r="AG649" s="39" t="n"/>
      <c r="AH649" s="39" t="n"/>
      <c r="AI649" s="39" t="n"/>
      <c r="AJ649" s="39" t="n"/>
      <c r="AK649" s="39" t="n"/>
      <c r="AL649" s="39" t="n"/>
      <c r="AM649" s="44" t="n"/>
      <c r="AN649" s="44" t="n"/>
      <c r="AO649" s="44" t="n"/>
      <c r="AP649" s="44" t="n"/>
      <c r="AQ649" s="44" t="n"/>
      <c r="AR649" s="44" t="n"/>
      <c r="AS649" s="45" t="n"/>
      <c r="AT649" s="45" t="n"/>
      <c r="AU649" s="45" t="n"/>
    </row>
    <row r="650">
      <c r="B650" s="39" t="n"/>
      <c r="C650" s="39" t="n"/>
      <c r="D650" s="40" t="n"/>
      <c r="E650" s="39" t="n"/>
      <c r="F650" s="39" t="n"/>
      <c r="G650" s="112" t="n"/>
      <c r="H650" s="42" t="n"/>
      <c r="I650" s="42" t="n"/>
      <c r="J650" s="113" t="n"/>
      <c r="K650" s="39" t="n"/>
      <c r="L650" s="39" t="n"/>
      <c r="M650" s="39" t="n"/>
      <c r="N650" s="39" t="n"/>
      <c r="O650" s="39" t="n"/>
      <c r="P650" s="39" t="n"/>
      <c r="Q650" s="39" t="n"/>
      <c r="R650" s="39" t="n"/>
      <c r="S650" s="39" t="n"/>
      <c r="T650" s="39" t="n"/>
      <c r="U650" s="39" t="n"/>
      <c r="V650" s="39" t="n"/>
      <c r="W650" s="39" t="n"/>
      <c r="X650" s="39" t="n"/>
      <c r="Y650" s="39" t="n"/>
      <c r="Z650" s="39" t="n"/>
      <c r="AA650" s="39" t="n"/>
      <c r="AB650" s="39" t="n"/>
      <c r="AC650" s="39" t="n"/>
      <c r="AD650" s="39" t="n"/>
      <c r="AE650" s="39" t="n"/>
      <c r="AF650" s="39" t="n"/>
      <c r="AG650" s="39" t="n"/>
      <c r="AH650" s="39" t="n"/>
      <c r="AI650" s="39" t="n"/>
      <c r="AJ650" s="39" t="n"/>
      <c r="AK650" s="39" t="n"/>
      <c r="AL650" s="39" t="n"/>
      <c r="AM650" s="44" t="n"/>
      <c r="AN650" s="44" t="n"/>
      <c r="AO650" s="44" t="n"/>
      <c r="AP650" s="44" t="n"/>
      <c r="AQ650" s="44" t="n"/>
      <c r="AR650" s="44" t="n"/>
      <c r="AS650" s="45" t="n"/>
      <c r="AT650" s="45" t="n"/>
      <c r="AU650" s="45" t="n"/>
    </row>
    <row r="651">
      <c r="B651" s="39" t="n"/>
      <c r="C651" s="39" t="n"/>
      <c r="D651" s="40" t="n"/>
      <c r="E651" s="39" t="n"/>
      <c r="F651" s="39" t="n"/>
      <c r="G651" s="112" t="n"/>
      <c r="H651" s="42" t="n"/>
      <c r="I651" s="42" t="n"/>
      <c r="J651" s="113" t="n"/>
      <c r="K651" s="39" t="n"/>
      <c r="L651" s="39" t="n"/>
      <c r="M651" s="39" t="n"/>
      <c r="N651" s="39" t="n"/>
      <c r="O651" s="39" t="n"/>
      <c r="P651" s="39" t="n"/>
      <c r="Q651" s="39" t="n"/>
      <c r="R651" s="39" t="n"/>
      <c r="S651" s="39" t="n"/>
      <c r="T651" s="39" t="n"/>
      <c r="U651" s="39" t="n"/>
      <c r="V651" s="39" t="n"/>
      <c r="W651" s="39" t="n"/>
      <c r="X651" s="39" t="n"/>
      <c r="Y651" s="39" t="n"/>
      <c r="Z651" s="39" t="n"/>
      <c r="AA651" s="39" t="n"/>
      <c r="AB651" s="39" t="n"/>
      <c r="AC651" s="39" t="n"/>
      <c r="AD651" s="39" t="n"/>
      <c r="AE651" s="39" t="n"/>
      <c r="AF651" s="39" t="n"/>
      <c r="AG651" s="39" t="n"/>
      <c r="AH651" s="39" t="n"/>
      <c r="AI651" s="39" t="n"/>
      <c r="AJ651" s="39" t="n"/>
      <c r="AK651" s="39" t="n"/>
      <c r="AL651" s="39" t="n"/>
      <c r="AM651" s="44" t="n"/>
      <c r="AN651" s="44" t="n"/>
      <c r="AO651" s="44" t="n"/>
      <c r="AP651" s="44" t="n"/>
      <c r="AQ651" s="44" t="n"/>
      <c r="AR651" s="44" t="n"/>
      <c r="AS651" s="45" t="n"/>
      <c r="AT651" s="45" t="n"/>
      <c r="AU651" s="45" t="n"/>
    </row>
    <row r="652">
      <c r="B652" s="39" t="n"/>
      <c r="C652" s="39" t="n"/>
      <c r="D652" s="40" t="n"/>
      <c r="E652" s="39" t="n"/>
      <c r="F652" s="39" t="n"/>
      <c r="G652" s="112" t="n"/>
      <c r="H652" s="42" t="n"/>
      <c r="I652" s="42" t="n"/>
      <c r="J652" s="113" t="n"/>
      <c r="K652" s="39" t="n"/>
      <c r="L652" s="39" t="n"/>
      <c r="M652" s="39" t="n"/>
      <c r="N652" s="39" t="n"/>
      <c r="O652" s="39" t="n"/>
      <c r="P652" s="39" t="n"/>
      <c r="Q652" s="39" t="n"/>
      <c r="R652" s="39" t="n"/>
      <c r="S652" s="39" t="n"/>
      <c r="T652" s="39" t="n"/>
      <c r="U652" s="39" t="n"/>
      <c r="V652" s="39" t="n"/>
      <c r="W652" s="39" t="n"/>
      <c r="X652" s="39" t="n"/>
      <c r="Y652" s="39" t="n"/>
      <c r="Z652" s="39" t="n"/>
      <c r="AA652" s="39" t="n"/>
      <c r="AB652" s="39" t="n"/>
      <c r="AC652" s="39" t="n"/>
      <c r="AD652" s="39" t="n"/>
      <c r="AE652" s="39" t="n"/>
      <c r="AF652" s="39" t="n"/>
      <c r="AG652" s="39" t="n"/>
      <c r="AH652" s="39" t="n"/>
      <c r="AI652" s="39" t="n"/>
      <c r="AJ652" s="39" t="n"/>
      <c r="AK652" s="39" t="n"/>
      <c r="AL652" s="39" t="n"/>
      <c r="AM652" s="44" t="n"/>
      <c r="AN652" s="44" t="n"/>
      <c r="AO652" s="44" t="n"/>
      <c r="AP652" s="44" t="n"/>
      <c r="AQ652" s="44" t="n"/>
      <c r="AR652" s="44" t="n"/>
      <c r="AS652" s="45" t="n"/>
      <c r="AT652" s="45" t="n"/>
      <c r="AU652" s="45" t="n"/>
    </row>
    <row r="653">
      <c r="B653" s="39" t="n"/>
      <c r="C653" s="39" t="n"/>
      <c r="D653" s="40" t="n"/>
      <c r="E653" s="39" t="n"/>
      <c r="F653" s="39" t="n"/>
      <c r="G653" s="112" t="n"/>
      <c r="H653" s="42" t="n"/>
      <c r="I653" s="42" t="n"/>
      <c r="J653" s="113" t="n"/>
      <c r="K653" s="39" t="n"/>
      <c r="L653" s="39" t="n"/>
      <c r="M653" s="39" t="n"/>
      <c r="N653" s="39" t="n"/>
      <c r="O653" s="39" t="n"/>
      <c r="P653" s="39" t="n"/>
      <c r="Q653" s="39" t="n"/>
      <c r="R653" s="39" t="n"/>
      <c r="S653" s="39" t="n"/>
      <c r="T653" s="39" t="n"/>
      <c r="U653" s="39" t="n"/>
      <c r="V653" s="39" t="n"/>
      <c r="W653" s="39" t="n"/>
      <c r="X653" s="39" t="n"/>
      <c r="Y653" s="39" t="n"/>
      <c r="Z653" s="39" t="n"/>
      <c r="AA653" s="39" t="n"/>
      <c r="AB653" s="39" t="n"/>
      <c r="AC653" s="39" t="n"/>
      <c r="AD653" s="39" t="n"/>
      <c r="AE653" s="39" t="n"/>
      <c r="AF653" s="39" t="n"/>
      <c r="AG653" s="39" t="n"/>
      <c r="AH653" s="39" t="n"/>
      <c r="AI653" s="39" t="n"/>
      <c r="AJ653" s="39" t="n"/>
      <c r="AK653" s="39" t="n"/>
      <c r="AL653" s="39" t="n"/>
      <c r="AM653" s="44" t="n"/>
      <c r="AN653" s="44" t="n"/>
      <c r="AO653" s="44" t="n"/>
      <c r="AP653" s="44" t="n"/>
      <c r="AQ653" s="44" t="n"/>
      <c r="AR653" s="44" t="n"/>
      <c r="AS653" s="45" t="n"/>
      <c r="AT653" s="45" t="n"/>
      <c r="AU653" s="45" t="n"/>
    </row>
    <row r="654">
      <c r="B654" s="39" t="n"/>
      <c r="C654" s="39" t="n"/>
      <c r="D654" s="40" t="n"/>
      <c r="E654" s="39" t="n"/>
      <c r="F654" s="39" t="n"/>
      <c r="G654" s="112" t="n"/>
      <c r="H654" s="42" t="n"/>
      <c r="I654" s="42" t="n"/>
      <c r="J654" s="113" t="n"/>
      <c r="K654" s="39" t="n"/>
      <c r="L654" s="39" t="n"/>
      <c r="M654" s="39" t="n"/>
      <c r="N654" s="39" t="n"/>
      <c r="O654" s="39" t="n"/>
      <c r="P654" s="39" t="n"/>
      <c r="Q654" s="39" t="n"/>
      <c r="R654" s="39" t="n"/>
      <c r="S654" s="39" t="n"/>
      <c r="T654" s="39" t="n"/>
      <c r="U654" s="39" t="n"/>
      <c r="V654" s="39" t="n"/>
      <c r="W654" s="39" t="n"/>
      <c r="X654" s="39" t="n"/>
      <c r="Y654" s="39" t="n"/>
      <c r="Z654" s="39" t="n"/>
      <c r="AA654" s="39" t="n"/>
      <c r="AB654" s="39" t="n"/>
      <c r="AC654" s="39" t="n"/>
      <c r="AD654" s="39" t="n"/>
      <c r="AE654" s="39" t="n"/>
      <c r="AF654" s="39" t="n"/>
      <c r="AG654" s="39" t="n"/>
      <c r="AH654" s="39" t="n"/>
      <c r="AI654" s="39" t="n"/>
      <c r="AJ654" s="39" t="n"/>
      <c r="AK654" s="39" t="n"/>
      <c r="AL654" s="39" t="n"/>
      <c r="AM654" s="44" t="n"/>
      <c r="AN654" s="44" t="n"/>
      <c r="AO654" s="44" t="n"/>
      <c r="AP654" s="44" t="n"/>
      <c r="AQ654" s="44" t="n"/>
      <c r="AR654" s="44" t="n"/>
      <c r="AS654" s="45" t="n"/>
      <c r="AT654" s="45" t="n"/>
      <c r="AU654" s="45" t="n"/>
    </row>
    <row r="655">
      <c r="B655" s="39" t="n"/>
      <c r="C655" s="39" t="n"/>
      <c r="D655" s="40" t="n"/>
      <c r="E655" s="39" t="n"/>
      <c r="F655" s="39" t="n"/>
      <c r="G655" s="112" t="n"/>
      <c r="H655" s="42" t="n"/>
      <c r="I655" s="42" t="n"/>
      <c r="J655" s="113" t="n"/>
      <c r="K655" s="39" t="n"/>
      <c r="L655" s="39" t="n"/>
      <c r="M655" s="39" t="n"/>
      <c r="N655" s="39" t="n"/>
      <c r="O655" s="39" t="n"/>
      <c r="P655" s="39" t="n"/>
      <c r="Q655" s="39" t="n"/>
      <c r="R655" s="39" t="n"/>
      <c r="S655" s="39" t="n"/>
      <c r="T655" s="39" t="n"/>
      <c r="U655" s="39" t="n"/>
      <c r="V655" s="39" t="n"/>
      <c r="W655" s="39" t="n"/>
      <c r="X655" s="39" t="n"/>
      <c r="Y655" s="39" t="n"/>
      <c r="Z655" s="39" t="n"/>
      <c r="AA655" s="39" t="n"/>
      <c r="AB655" s="39" t="n"/>
      <c r="AC655" s="39" t="n"/>
      <c r="AD655" s="39" t="n"/>
      <c r="AE655" s="39" t="n"/>
      <c r="AF655" s="39" t="n"/>
      <c r="AG655" s="39" t="n"/>
      <c r="AH655" s="39" t="n"/>
      <c r="AI655" s="39" t="n"/>
      <c r="AJ655" s="39" t="n"/>
      <c r="AK655" s="39" t="n"/>
      <c r="AL655" s="39" t="n"/>
      <c r="AM655" s="44" t="n"/>
      <c r="AN655" s="44" t="n"/>
      <c r="AO655" s="44" t="n"/>
      <c r="AP655" s="44" t="n"/>
      <c r="AQ655" s="44" t="n"/>
      <c r="AR655" s="44" t="n"/>
      <c r="AS655" s="45" t="n"/>
      <c r="AT655" s="45" t="n"/>
      <c r="AU655" s="45" t="n"/>
    </row>
    <row r="656">
      <c r="B656" s="39" t="n"/>
      <c r="C656" s="39" t="n"/>
      <c r="D656" s="40" t="n"/>
      <c r="E656" s="39" t="n"/>
      <c r="F656" s="39" t="n"/>
      <c r="G656" s="112" t="n"/>
      <c r="H656" s="42" t="n"/>
      <c r="I656" s="42" t="n"/>
      <c r="J656" s="113" t="n"/>
      <c r="K656" s="39" t="n"/>
      <c r="L656" s="39" t="n"/>
      <c r="M656" s="39" t="n"/>
      <c r="N656" s="39" t="n"/>
      <c r="O656" s="39" t="n"/>
      <c r="P656" s="39" t="n"/>
      <c r="Q656" s="39" t="n"/>
      <c r="R656" s="39" t="n"/>
      <c r="S656" s="39" t="n"/>
      <c r="T656" s="39" t="n"/>
      <c r="U656" s="39" t="n"/>
      <c r="V656" s="39" t="n"/>
      <c r="W656" s="39" t="n"/>
      <c r="X656" s="39" t="n"/>
      <c r="Y656" s="39" t="n"/>
      <c r="Z656" s="39" t="n"/>
      <c r="AA656" s="39" t="n"/>
      <c r="AB656" s="39" t="n"/>
      <c r="AC656" s="39" t="n"/>
      <c r="AD656" s="39" t="n"/>
      <c r="AE656" s="39" t="n"/>
      <c r="AF656" s="39" t="n"/>
      <c r="AG656" s="39" t="n"/>
      <c r="AH656" s="39" t="n"/>
      <c r="AI656" s="39" t="n"/>
      <c r="AJ656" s="39" t="n"/>
      <c r="AK656" s="39" t="n"/>
      <c r="AL656" s="39" t="n"/>
      <c r="AM656" s="44" t="n"/>
      <c r="AN656" s="44" t="n"/>
      <c r="AO656" s="44" t="n"/>
      <c r="AP656" s="44" t="n"/>
      <c r="AQ656" s="44" t="n"/>
      <c r="AR656" s="44" t="n"/>
      <c r="AS656" s="45" t="n"/>
      <c r="AT656" s="45" t="n"/>
      <c r="AU656" s="45" t="n"/>
    </row>
    <row r="657">
      <c r="B657" s="39" t="n"/>
      <c r="C657" s="39" t="n"/>
      <c r="D657" s="40" t="n"/>
      <c r="E657" s="39" t="n"/>
      <c r="F657" s="39" t="n"/>
      <c r="G657" s="112" t="n"/>
      <c r="H657" s="42" t="n"/>
      <c r="I657" s="42" t="n"/>
      <c r="J657" s="113" t="n"/>
      <c r="K657" s="39" t="n"/>
      <c r="L657" s="39" t="n"/>
      <c r="M657" s="39" t="n"/>
      <c r="N657" s="39" t="n"/>
      <c r="O657" s="39" t="n"/>
      <c r="P657" s="39" t="n"/>
      <c r="Q657" s="39" t="n"/>
      <c r="R657" s="39" t="n"/>
      <c r="S657" s="39" t="n"/>
      <c r="T657" s="39" t="n"/>
      <c r="U657" s="39" t="n"/>
      <c r="V657" s="39" t="n"/>
      <c r="W657" s="39" t="n"/>
      <c r="X657" s="39" t="n"/>
      <c r="Y657" s="39" t="n"/>
      <c r="Z657" s="39" t="n"/>
      <c r="AA657" s="39" t="n"/>
      <c r="AB657" s="39" t="n"/>
      <c r="AC657" s="39" t="n"/>
      <c r="AD657" s="39" t="n"/>
      <c r="AE657" s="39" t="n"/>
      <c r="AF657" s="39" t="n"/>
      <c r="AG657" s="39" t="n"/>
      <c r="AH657" s="39" t="n"/>
      <c r="AI657" s="39" t="n"/>
      <c r="AJ657" s="39" t="n"/>
      <c r="AK657" s="39" t="n"/>
      <c r="AL657" s="39" t="n"/>
      <c r="AM657" s="44" t="n"/>
      <c r="AN657" s="44" t="n"/>
      <c r="AO657" s="44" t="n"/>
      <c r="AP657" s="44" t="n"/>
      <c r="AQ657" s="44" t="n"/>
      <c r="AR657" s="44" t="n"/>
      <c r="AS657" s="45" t="n"/>
      <c r="AT657" s="45" t="n"/>
      <c r="AU657" s="45" t="n"/>
    </row>
    <row r="658">
      <c r="B658" s="39" t="n"/>
      <c r="C658" s="39" t="n"/>
      <c r="D658" s="40" t="n"/>
      <c r="E658" s="39" t="n"/>
      <c r="F658" s="39" t="n"/>
      <c r="G658" s="112" t="n"/>
      <c r="H658" s="42" t="n"/>
      <c r="I658" s="42" t="n"/>
      <c r="J658" s="113" t="n"/>
      <c r="K658" s="39" t="n"/>
      <c r="L658" s="39" t="n"/>
      <c r="M658" s="39" t="n"/>
      <c r="N658" s="39" t="n"/>
      <c r="O658" s="39" t="n"/>
      <c r="P658" s="39" t="n"/>
      <c r="Q658" s="39" t="n"/>
      <c r="R658" s="39" t="n"/>
      <c r="S658" s="39" t="n"/>
      <c r="T658" s="39" t="n"/>
      <c r="U658" s="39" t="n"/>
      <c r="V658" s="39" t="n"/>
      <c r="W658" s="39" t="n"/>
      <c r="X658" s="39" t="n"/>
      <c r="Y658" s="39" t="n"/>
      <c r="Z658" s="39" t="n"/>
      <c r="AA658" s="39" t="n"/>
      <c r="AB658" s="39" t="n"/>
      <c r="AC658" s="39" t="n"/>
      <c r="AD658" s="39" t="n"/>
      <c r="AE658" s="39" t="n"/>
      <c r="AF658" s="39" t="n"/>
      <c r="AG658" s="39" t="n"/>
      <c r="AH658" s="39" t="n"/>
      <c r="AI658" s="39" t="n"/>
      <c r="AJ658" s="39" t="n"/>
      <c r="AK658" s="39" t="n"/>
      <c r="AL658" s="39" t="n"/>
      <c r="AM658" s="44" t="n"/>
      <c r="AN658" s="44" t="n"/>
      <c r="AO658" s="44" t="n"/>
      <c r="AP658" s="44" t="n"/>
      <c r="AQ658" s="44" t="n"/>
      <c r="AR658" s="44" t="n"/>
      <c r="AS658" s="45" t="n"/>
      <c r="AT658" s="45" t="n"/>
      <c r="AU658" s="45" t="n"/>
    </row>
    <row r="659">
      <c r="B659" s="39" t="n"/>
      <c r="C659" s="39" t="n"/>
      <c r="D659" s="40" t="n"/>
      <c r="E659" s="39" t="n"/>
      <c r="F659" s="39" t="n"/>
      <c r="G659" s="112" t="n"/>
      <c r="H659" s="42" t="n"/>
      <c r="I659" s="42" t="n"/>
      <c r="J659" s="113" t="n"/>
      <c r="K659" s="39" t="n"/>
      <c r="L659" s="39" t="n"/>
      <c r="M659" s="39" t="n"/>
      <c r="N659" s="39" t="n"/>
      <c r="O659" s="39" t="n"/>
      <c r="P659" s="39" t="n"/>
      <c r="Q659" s="39" t="n"/>
      <c r="R659" s="39" t="n"/>
      <c r="S659" s="39" t="n"/>
      <c r="T659" s="39" t="n"/>
      <c r="U659" s="39" t="n"/>
      <c r="V659" s="39" t="n"/>
      <c r="W659" s="39" t="n"/>
      <c r="X659" s="39" t="n"/>
      <c r="Y659" s="39" t="n"/>
      <c r="Z659" s="39" t="n"/>
      <c r="AA659" s="39" t="n"/>
      <c r="AB659" s="39" t="n"/>
      <c r="AC659" s="39" t="n"/>
      <c r="AD659" s="39" t="n"/>
      <c r="AE659" s="39" t="n"/>
      <c r="AF659" s="39" t="n"/>
      <c r="AG659" s="39" t="n"/>
      <c r="AH659" s="39" t="n"/>
      <c r="AI659" s="39" t="n"/>
      <c r="AJ659" s="39" t="n"/>
      <c r="AK659" s="39" t="n"/>
      <c r="AL659" s="39" t="n"/>
      <c r="AM659" s="44" t="n"/>
      <c r="AN659" s="44" t="n"/>
      <c r="AO659" s="44" t="n"/>
      <c r="AP659" s="44" t="n"/>
      <c r="AQ659" s="44" t="n"/>
      <c r="AR659" s="44" t="n"/>
      <c r="AS659" s="45" t="n"/>
      <c r="AT659" s="45" t="n"/>
      <c r="AU659" s="45" t="n"/>
    </row>
    <row r="660">
      <c r="B660" s="39" t="n"/>
      <c r="C660" s="39" t="n"/>
      <c r="D660" s="40" t="n"/>
      <c r="E660" s="39" t="n"/>
      <c r="F660" s="39" t="n"/>
      <c r="G660" s="112" t="n"/>
      <c r="H660" s="42" t="n"/>
      <c r="I660" s="42" t="n"/>
      <c r="J660" s="113" t="n"/>
      <c r="K660" s="39" t="n"/>
      <c r="L660" s="39" t="n"/>
      <c r="M660" s="39" t="n"/>
      <c r="N660" s="39" t="n"/>
      <c r="O660" s="39" t="n"/>
      <c r="P660" s="39" t="n"/>
      <c r="Q660" s="39" t="n"/>
      <c r="R660" s="39" t="n"/>
      <c r="S660" s="39" t="n"/>
      <c r="T660" s="39" t="n"/>
      <c r="U660" s="39" t="n"/>
      <c r="V660" s="39" t="n"/>
      <c r="W660" s="39" t="n"/>
      <c r="X660" s="39" t="n"/>
      <c r="Y660" s="39" t="n"/>
      <c r="Z660" s="39" t="n"/>
      <c r="AA660" s="39" t="n"/>
      <c r="AB660" s="39" t="n"/>
      <c r="AC660" s="39" t="n"/>
      <c r="AD660" s="39" t="n"/>
      <c r="AE660" s="39" t="n"/>
      <c r="AF660" s="39" t="n"/>
      <c r="AG660" s="39" t="n"/>
      <c r="AH660" s="39" t="n"/>
      <c r="AI660" s="39" t="n"/>
      <c r="AJ660" s="39" t="n"/>
      <c r="AK660" s="39" t="n"/>
      <c r="AL660" s="39" t="n"/>
      <c r="AM660" s="44" t="n"/>
      <c r="AN660" s="44" t="n"/>
      <c r="AO660" s="44" t="n"/>
      <c r="AP660" s="44" t="n"/>
      <c r="AQ660" s="44" t="n"/>
      <c r="AR660" s="44" t="n"/>
      <c r="AS660" s="45" t="n"/>
      <c r="AT660" s="45" t="n"/>
      <c r="AU660" s="45" t="n"/>
    </row>
    <row r="661">
      <c r="B661" s="39" t="n"/>
      <c r="C661" s="39" t="n"/>
      <c r="D661" s="40" t="n"/>
      <c r="E661" s="39" t="n"/>
      <c r="F661" s="39" t="n"/>
      <c r="G661" s="112" t="n"/>
      <c r="H661" s="42" t="n"/>
      <c r="I661" s="42" t="n"/>
      <c r="J661" s="113" t="n"/>
      <c r="K661" s="39" t="n"/>
      <c r="L661" s="39" t="n"/>
      <c r="M661" s="39" t="n"/>
      <c r="N661" s="39" t="n"/>
      <c r="O661" s="39" t="n"/>
      <c r="P661" s="39" t="n"/>
      <c r="Q661" s="39" t="n"/>
      <c r="R661" s="39" t="n"/>
      <c r="S661" s="39" t="n"/>
      <c r="T661" s="39" t="n"/>
      <c r="U661" s="39" t="n"/>
      <c r="V661" s="39" t="n"/>
      <c r="W661" s="39" t="n"/>
      <c r="X661" s="39" t="n"/>
      <c r="Y661" s="39" t="n"/>
      <c r="Z661" s="39" t="n"/>
      <c r="AA661" s="39" t="n"/>
      <c r="AB661" s="39" t="n"/>
      <c r="AC661" s="39" t="n"/>
      <c r="AD661" s="39" t="n"/>
      <c r="AE661" s="39" t="n"/>
      <c r="AF661" s="39" t="n"/>
      <c r="AG661" s="39" t="n"/>
      <c r="AH661" s="39" t="n"/>
      <c r="AI661" s="39" t="n"/>
      <c r="AJ661" s="39" t="n"/>
      <c r="AK661" s="39" t="n"/>
      <c r="AL661" s="39" t="n"/>
      <c r="AM661" s="44" t="n"/>
      <c r="AN661" s="44" t="n"/>
      <c r="AO661" s="44" t="n"/>
      <c r="AP661" s="44" t="n"/>
      <c r="AQ661" s="44" t="n"/>
      <c r="AR661" s="44" t="n"/>
      <c r="AS661" s="45" t="n"/>
      <c r="AT661" s="45" t="n"/>
      <c r="AU661" s="45" t="n"/>
    </row>
    <row r="662">
      <c r="B662" s="39" t="n"/>
      <c r="C662" s="39" t="n"/>
      <c r="D662" s="40" t="n"/>
      <c r="E662" s="39" t="n"/>
      <c r="F662" s="39" t="n"/>
      <c r="G662" s="112" t="n"/>
      <c r="H662" s="42" t="n"/>
      <c r="I662" s="42" t="n"/>
      <c r="J662" s="113" t="n"/>
      <c r="K662" s="39" t="n"/>
      <c r="L662" s="39" t="n"/>
      <c r="M662" s="39" t="n"/>
      <c r="N662" s="39" t="n"/>
      <c r="O662" s="39" t="n"/>
      <c r="P662" s="39" t="n"/>
      <c r="Q662" s="39" t="n"/>
      <c r="R662" s="39" t="n"/>
      <c r="S662" s="39" t="n"/>
      <c r="T662" s="39" t="n"/>
      <c r="U662" s="39" t="n"/>
      <c r="V662" s="39" t="n"/>
      <c r="W662" s="39" t="n"/>
      <c r="X662" s="39" t="n"/>
      <c r="Y662" s="39" t="n"/>
      <c r="Z662" s="39" t="n"/>
      <c r="AA662" s="39" t="n"/>
      <c r="AB662" s="39" t="n"/>
      <c r="AC662" s="39" t="n"/>
      <c r="AD662" s="39" t="n"/>
      <c r="AE662" s="39" t="n"/>
      <c r="AF662" s="39" t="n"/>
      <c r="AG662" s="39" t="n"/>
      <c r="AH662" s="39" t="n"/>
      <c r="AI662" s="39" t="n"/>
      <c r="AJ662" s="39" t="n"/>
      <c r="AK662" s="39" t="n"/>
      <c r="AL662" s="39" t="n"/>
      <c r="AM662" s="44" t="n"/>
      <c r="AN662" s="44" t="n"/>
      <c r="AO662" s="44" t="n"/>
      <c r="AP662" s="44" t="n"/>
      <c r="AQ662" s="44" t="n"/>
      <c r="AR662" s="44" t="n"/>
      <c r="AS662" s="45" t="n"/>
      <c r="AT662" s="45" t="n"/>
      <c r="AU662" s="45" t="n"/>
    </row>
    <row r="663">
      <c r="B663" s="39" t="n"/>
      <c r="C663" s="39" t="n"/>
      <c r="D663" s="40" t="n"/>
      <c r="E663" s="39" t="n"/>
      <c r="F663" s="39" t="n"/>
      <c r="G663" s="112" t="n"/>
      <c r="H663" s="42" t="n"/>
      <c r="I663" s="42" t="n"/>
      <c r="J663" s="113" t="n"/>
      <c r="K663" s="39" t="n"/>
      <c r="L663" s="39" t="n"/>
      <c r="M663" s="39" t="n"/>
      <c r="N663" s="39" t="n"/>
      <c r="O663" s="39" t="n"/>
      <c r="P663" s="39" t="n"/>
      <c r="Q663" s="39" t="n"/>
      <c r="R663" s="39" t="n"/>
      <c r="S663" s="39" t="n"/>
      <c r="T663" s="39" t="n"/>
      <c r="U663" s="39" t="n"/>
      <c r="V663" s="39" t="n"/>
      <c r="W663" s="39" t="n"/>
      <c r="X663" s="39" t="n"/>
      <c r="Y663" s="39" t="n"/>
      <c r="Z663" s="39" t="n"/>
      <c r="AA663" s="39" t="n"/>
      <c r="AB663" s="39" t="n"/>
      <c r="AC663" s="39" t="n"/>
      <c r="AD663" s="39" t="n"/>
      <c r="AE663" s="39" t="n"/>
      <c r="AF663" s="39" t="n"/>
      <c r="AG663" s="39" t="n"/>
      <c r="AH663" s="39" t="n"/>
      <c r="AI663" s="39" t="n"/>
      <c r="AJ663" s="39" t="n"/>
      <c r="AK663" s="39" t="n"/>
      <c r="AL663" s="39" t="n"/>
      <c r="AM663" s="44" t="n"/>
      <c r="AN663" s="44" t="n"/>
      <c r="AO663" s="44" t="n"/>
      <c r="AP663" s="44" t="n"/>
      <c r="AQ663" s="44" t="n"/>
      <c r="AR663" s="44" t="n"/>
      <c r="AS663" s="45" t="n"/>
      <c r="AT663" s="45" t="n"/>
      <c r="AU663" s="45" t="n"/>
    </row>
    <row r="664">
      <c r="B664" s="39" t="n"/>
      <c r="C664" s="39" t="n"/>
      <c r="D664" s="40" t="n"/>
      <c r="E664" s="39" t="n"/>
      <c r="F664" s="39" t="n"/>
      <c r="G664" s="112" t="n"/>
      <c r="H664" s="42" t="n"/>
      <c r="I664" s="42" t="n"/>
      <c r="J664" s="113" t="n"/>
      <c r="K664" s="39" t="n"/>
      <c r="L664" s="39" t="n"/>
      <c r="M664" s="39" t="n"/>
      <c r="N664" s="39" t="n"/>
      <c r="O664" s="39" t="n"/>
      <c r="P664" s="39" t="n"/>
      <c r="Q664" s="39" t="n"/>
      <c r="R664" s="39" t="n"/>
      <c r="S664" s="39" t="n"/>
      <c r="T664" s="39" t="n"/>
      <c r="U664" s="39" t="n"/>
      <c r="V664" s="39" t="n"/>
      <c r="W664" s="39" t="n"/>
      <c r="X664" s="39" t="n"/>
      <c r="Y664" s="39" t="n"/>
      <c r="Z664" s="39" t="n"/>
      <c r="AA664" s="39" t="n"/>
      <c r="AB664" s="39" t="n"/>
      <c r="AC664" s="39" t="n"/>
      <c r="AD664" s="39" t="n"/>
      <c r="AE664" s="39" t="n"/>
      <c r="AF664" s="39" t="n"/>
      <c r="AG664" s="39" t="n"/>
      <c r="AH664" s="39" t="n"/>
      <c r="AI664" s="39" t="n"/>
      <c r="AJ664" s="39" t="n"/>
      <c r="AK664" s="39" t="n"/>
      <c r="AL664" s="39" t="n"/>
      <c r="AM664" s="44" t="n"/>
      <c r="AN664" s="44" t="n"/>
      <c r="AO664" s="44" t="n"/>
      <c r="AP664" s="44" t="n"/>
      <c r="AQ664" s="44" t="n"/>
      <c r="AR664" s="44" t="n"/>
      <c r="AS664" s="45" t="n"/>
      <c r="AT664" s="45" t="n"/>
      <c r="AU664" s="45" t="n"/>
    </row>
    <row r="665">
      <c r="B665" s="39" t="n"/>
      <c r="C665" s="39" t="n"/>
      <c r="D665" s="40" t="n"/>
      <c r="E665" s="39" t="n"/>
      <c r="F665" s="39" t="n"/>
      <c r="G665" s="112" t="n"/>
      <c r="H665" s="42" t="n"/>
      <c r="I665" s="42" t="n"/>
      <c r="J665" s="113" t="n"/>
      <c r="K665" s="39" t="n"/>
      <c r="L665" s="39" t="n"/>
      <c r="M665" s="39" t="n"/>
      <c r="N665" s="39" t="n"/>
      <c r="O665" s="39" t="n"/>
      <c r="P665" s="39" t="n"/>
      <c r="Q665" s="39" t="n"/>
      <c r="R665" s="39" t="n"/>
      <c r="S665" s="39" t="n"/>
      <c r="T665" s="39" t="n"/>
      <c r="U665" s="39" t="n"/>
      <c r="V665" s="39" t="n"/>
      <c r="W665" s="39" t="n"/>
      <c r="X665" s="39" t="n"/>
      <c r="Y665" s="39" t="n"/>
      <c r="Z665" s="39" t="n"/>
      <c r="AA665" s="39" t="n"/>
      <c r="AB665" s="39" t="n"/>
      <c r="AC665" s="39" t="n"/>
      <c r="AD665" s="39" t="n"/>
      <c r="AE665" s="39" t="n"/>
      <c r="AF665" s="39" t="n"/>
      <c r="AG665" s="39" t="n"/>
      <c r="AH665" s="39" t="n"/>
      <c r="AI665" s="39" t="n"/>
      <c r="AJ665" s="39" t="n"/>
      <c r="AK665" s="39" t="n"/>
      <c r="AL665" s="39" t="n"/>
      <c r="AM665" s="44" t="n"/>
      <c r="AN665" s="44" t="n"/>
      <c r="AO665" s="44" t="n"/>
      <c r="AP665" s="44" t="n"/>
      <c r="AQ665" s="44" t="n"/>
      <c r="AR665" s="44" t="n"/>
      <c r="AS665" s="45" t="n"/>
      <c r="AT665" s="45" t="n"/>
      <c r="AU665" s="45" t="n"/>
    </row>
    <row r="666">
      <c r="B666" s="39" t="n"/>
      <c r="C666" s="39" t="n"/>
      <c r="D666" s="40" t="n"/>
      <c r="E666" s="39" t="n"/>
      <c r="F666" s="39" t="n"/>
      <c r="G666" s="112" t="n"/>
      <c r="H666" s="42" t="n"/>
      <c r="I666" s="42" t="n"/>
      <c r="J666" s="113" t="n"/>
      <c r="K666" s="39" t="n"/>
      <c r="L666" s="39" t="n"/>
      <c r="M666" s="39" t="n"/>
      <c r="N666" s="39" t="n"/>
      <c r="O666" s="39" t="n"/>
      <c r="P666" s="39" t="n"/>
      <c r="Q666" s="39" t="n"/>
      <c r="R666" s="39" t="n"/>
      <c r="S666" s="39" t="n"/>
      <c r="T666" s="39" t="n"/>
      <c r="U666" s="39" t="n"/>
      <c r="V666" s="39" t="n"/>
      <c r="W666" s="39" t="n"/>
      <c r="X666" s="39" t="n"/>
      <c r="Y666" s="39" t="n"/>
      <c r="Z666" s="39" t="n"/>
      <c r="AA666" s="39" t="n"/>
      <c r="AB666" s="39" t="n"/>
      <c r="AC666" s="39" t="n"/>
      <c r="AD666" s="39" t="n"/>
      <c r="AE666" s="39" t="n"/>
      <c r="AF666" s="39" t="n"/>
      <c r="AG666" s="39" t="n"/>
      <c r="AH666" s="39" t="n"/>
      <c r="AI666" s="39" t="n"/>
      <c r="AJ666" s="39" t="n"/>
      <c r="AK666" s="39" t="n"/>
      <c r="AL666" s="39" t="n"/>
      <c r="AM666" s="44" t="n"/>
      <c r="AN666" s="44" t="n"/>
      <c r="AO666" s="44" t="n"/>
      <c r="AP666" s="44" t="n"/>
      <c r="AQ666" s="44" t="n"/>
      <c r="AR666" s="44" t="n"/>
      <c r="AS666" s="45" t="n"/>
      <c r="AT666" s="45" t="n"/>
      <c r="AU666" s="45" t="n"/>
    </row>
    <row r="667">
      <c r="B667" s="39" t="n"/>
      <c r="C667" s="39" t="n"/>
      <c r="D667" s="40" t="n"/>
      <c r="E667" s="39" t="n"/>
      <c r="F667" s="39" t="n"/>
      <c r="G667" s="112" t="n"/>
      <c r="H667" s="42" t="n"/>
      <c r="I667" s="42" t="n"/>
      <c r="J667" s="113" t="n"/>
      <c r="K667" s="39" t="n"/>
      <c r="L667" s="39" t="n"/>
      <c r="M667" s="39" t="n"/>
      <c r="N667" s="39" t="n"/>
      <c r="O667" s="39" t="n"/>
      <c r="P667" s="39" t="n"/>
      <c r="Q667" s="39" t="n"/>
      <c r="R667" s="39" t="n"/>
      <c r="S667" s="39" t="n"/>
      <c r="T667" s="39" t="n"/>
      <c r="U667" s="39" t="n"/>
      <c r="V667" s="39" t="n"/>
      <c r="W667" s="39" t="n"/>
      <c r="X667" s="39" t="n"/>
      <c r="Y667" s="39" t="n"/>
      <c r="Z667" s="39" t="n"/>
      <c r="AA667" s="39" t="n"/>
      <c r="AB667" s="39" t="n"/>
      <c r="AC667" s="39" t="n"/>
      <c r="AD667" s="39" t="n"/>
      <c r="AE667" s="39" t="n"/>
      <c r="AF667" s="39" t="n"/>
      <c r="AG667" s="39" t="n"/>
      <c r="AH667" s="39" t="n"/>
      <c r="AI667" s="39" t="n"/>
      <c r="AJ667" s="39" t="n"/>
      <c r="AK667" s="39" t="n"/>
      <c r="AL667" s="39" t="n"/>
      <c r="AM667" s="44" t="n"/>
      <c r="AN667" s="44" t="n"/>
      <c r="AO667" s="44" t="n"/>
      <c r="AP667" s="44" t="n"/>
      <c r="AQ667" s="44" t="n"/>
      <c r="AR667" s="44" t="n"/>
      <c r="AS667" s="45" t="n"/>
      <c r="AT667" s="45" t="n"/>
      <c r="AU667" s="45" t="n"/>
    </row>
    <row r="668">
      <c r="B668" s="39" t="n"/>
      <c r="C668" s="39" t="n"/>
      <c r="D668" s="40" t="n"/>
      <c r="E668" s="39" t="n"/>
      <c r="F668" s="39" t="n"/>
      <c r="G668" s="112" t="n"/>
      <c r="H668" s="42" t="n"/>
      <c r="I668" s="42" t="n"/>
      <c r="J668" s="113" t="n"/>
      <c r="K668" s="39" t="n"/>
      <c r="L668" s="39" t="n"/>
      <c r="M668" s="39" t="n"/>
      <c r="N668" s="39" t="n"/>
      <c r="O668" s="39" t="n"/>
      <c r="P668" s="39" t="n"/>
      <c r="Q668" s="39" t="n"/>
      <c r="R668" s="39" t="n"/>
      <c r="S668" s="39" t="n"/>
      <c r="T668" s="39" t="n"/>
      <c r="U668" s="39" t="n"/>
      <c r="V668" s="39" t="n"/>
      <c r="W668" s="39" t="n"/>
      <c r="X668" s="39" t="n"/>
      <c r="Y668" s="39" t="n"/>
      <c r="Z668" s="39" t="n"/>
      <c r="AA668" s="39" t="n"/>
      <c r="AB668" s="39" t="n"/>
      <c r="AC668" s="39" t="n"/>
      <c r="AD668" s="39" t="n"/>
      <c r="AE668" s="39" t="n"/>
      <c r="AF668" s="39" t="n"/>
      <c r="AG668" s="39" t="n"/>
      <c r="AH668" s="39" t="n"/>
      <c r="AI668" s="39" t="n"/>
      <c r="AJ668" s="39" t="n"/>
      <c r="AK668" s="39" t="n"/>
      <c r="AL668" s="39" t="n"/>
      <c r="AM668" s="44" t="n"/>
      <c r="AN668" s="44" t="n"/>
      <c r="AO668" s="44" t="n"/>
      <c r="AP668" s="44" t="n"/>
      <c r="AQ668" s="44" t="n"/>
      <c r="AR668" s="44" t="n"/>
      <c r="AS668" s="45" t="n"/>
      <c r="AT668" s="45" t="n"/>
      <c r="AU668" s="45" t="n"/>
    </row>
    <row r="669">
      <c r="B669" s="39" t="n"/>
      <c r="C669" s="39" t="n"/>
      <c r="D669" s="40" t="n"/>
      <c r="E669" s="39" t="n"/>
      <c r="F669" s="39" t="n"/>
      <c r="G669" s="112" t="n"/>
      <c r="H669" s="42" t="n"/>
      <c r="I669" s="42" t="n"/>
      <c r="J669" s="113" t="n"/>
      <c r="K669" s="39" t="n"/>
      <c r="L669" s="39" t="n"/>
      <c r="M669" s="39" t="n"/>
      <c r="N669" s="39" t="n"/>
      <c r="O669" s="39" t="n"/>
      <c r="P669" s="39" t="n"/>
      <c r="Q669" s="39" t="n"/>
      <c r="R669" s="39" t="n"/>
      <c r="S669" s="39" t="n"/>
      <c r="T669" s="39" t="n"/>
      <c r="U669" s="39" t="n"/>
      <c r="V669" s="39" t="n"/>
      <c r="W669" s="39" t="n"/>
      <c r="X669" s="39" t="n"/>
      <c r="Y669" s="39" t="n"/>
      <c r="Z669" s="39" t="n"/>
      <c r="AA669" s="39" t="n"/>
      <c r="AB669" s="39" t="n"/>
      <c r="AC669" s="39" t="n"/>
      <c r="AD669" s="39" t="n"/>
      <c r="AE669" s="39" t="n"/>
      <c r="AF669" s="39" t="n"/>
      <c r="AG669" s="39" t="n"/>
      <c r="AH669" s="39" t="n"/>
      <c r="AI669" s="39" t="n"/>
      <c r="AJ669" s="39" t="n"/>
      <c r="AK669" s="39" t="n"/>
      <c r="AL669" s="39" t="n"/>
      <c r="AM669" s="44" t="n"/>
      <c r="AN669" s="44" t="n"/>
      <c r="AO669" s="44" t="n"/>
      <c r="AP669" s="44" t="n"/>
      <c r="AQ669" s="44" t="n"/>
      <c r="AR669" s="44" t="n"/>
      <c r="AS669" s="45" t="n"/>
      <c r="AT669" s="45" t="n"/>
      <c r="AU669" s="45" t="n"/>
    </row>
    <row r="670">
      <c r="B670" s="39" t="n"/>
      <c r="C670" s="39" t="n"/>
      <c r="D670" s="40" t="n"/>
      <c r="E670" s="39" t="n"/>
      <c r="F670" s="39" t="n"/>
      <c r="G670" s="112" t="n"/>
      <c r="H670" s="42" t="n"/>
      <c r="I670" s="42" t="n"/>
      <c r="J670" s="113" t="n"/>
      <c r="K670" s="39" t="n"/>
      <c r="L670" s="39" t="n"/>
      <c r="M670" s="39" t="n"/>
      <c r="N670" s="39" t="n"/>
      <c r="O670" s="39" t="n"/>
      <c r="P670" s="39" t="n"/>
      <c r="Q670" s="39" t="n"/>
      <c r="R670" s="39" t="n"/>
      <c r="S670" s="39" t="n"/>
      <c r="T670" s="39" t="n"/>
      <c r="U670" s="39" t="n"/>
      <c r="V670" s="39" t="n"/>
      <c r="W670" s="39" t="n"/>
      <c r="X670" s="39" t="n"/>
      <c r="Y670" s="39" t="n"/>
      <c r="Z670" s="39" t="n"/>
      <c r="AA670" s="39" t="n"/>
      <c r="AB670" s="39" t="n"/>
      <c r="AC670" s="39" t="n"/>
      <c r="AD670" s="39" t="n"/>
      <c r="AE670" s="39" t="n"/>
      <c r="AF670" s="39" t="n"/>
      <c r="AG670" s="39" t="n"/>
      <c r="AH670" s="39" t="n"/>
      <c r="AI670" s="39" t="n"/>
      <c r="AJ670" s="39" t="n"/>
      <c r="AK670" s="39" t="n"/>
      <c r="AL670" s="39" t="n"/>
      <c r="AM670" s="44" t="n"/>
      <c r="AN670" s="44" t="n"/>
      <c r="AO670" s="44" t="n"/>
      <c r="AP670" s="44" t="n"/>
      <c r="AQ670" s="44" t="n"/>
      <c r="AR670" s="44" t="n"/>
      <c r="AS670" s="45" t="n"/>
      <c r="AT670" s="45" t="n"/>
      <c r="AU670" s="45" t="n"/>
    </row>
    <row r="671">
      <c r="B671" s="39" t="n"/>
      <c r="C671" s="39" t="n"/>
      <c r="D671" s="40" t="n"/>
      <c r="E671" s="39" t="n"/>
      <c r="F671" s="39" t="n"/>
      <c r="G671" s="112" t="n"/>
      <c r="H671" s="42" t="n"/>
      <c r="I671" s="42" t="n"/>
      <c r="J671" s="113" t="n"/>
      <c r="K671" s="39" t="n"/>
      <c r="L671" s="39" t="n"/>
      <c r="M671" s="39" t="n"/>
      <c r="N671" s="39" t="n"/>
      <c r="O671" s="39" t="n"/>
      <c r="P671" s="39" t="n"/>
      <c r="Q671" s="39" t="n"/>
      <c r="R671" s="39" t="n"/>
      <c r="S671" s="39" t="n"/>
      <c r="T671" s="39" t="n"/>
      <c r="U671" s="39" t="n"/>
      <c r="V671" s="39" t="n"/>
      <c r="W671" s="39" t="n"/>
      <c r="X671" s="39" t="n"/>
      <c r="Y671" s="39" t="n"/>
      <c r="Z671" s="39" t="n"/>
      <c r="AA671" s="39" t="n"/>
      <c r="AB671" s="39" t="n"/>
      <c r="AC671" s="39" t="n"/>
      <c r="AD671" s="39" t="n"/>
      <c r="AE671" s="39" t="n"/>
      <c r="AF671" s="39" t="n"/>
      <c r="AG671" s="39" t="n"/>
      <c r="AH671" s="39" t="n"/>
      <c r="AI671" s="39" t="n"/>
      <c r="AJ671" s="39" t="n"/>
      <c r="AK671" s="39" t="n"/>
      <c r="AL671" s="39" t="n"/>
      <c r="AM671" s="44" t="n"/>
      <c r="AN671" s="44" t="n"/>
      <c r="AO671" s="44" t="n"/>
      <c r="AP671" s="44" t="n"/>
      <c r="AQ671" s="44" t="n"/>
      <c r="AR671" s="44" t="n"/>
      <c r="AS671" s="45" t="n"/>
      <c r="AT671" s="45" t="n"/>
      <c r="AU671" s="45" t="n"/>
    </row>
    <row r="672">
      <c r="B672" s="39" t="n"/>
      <c r="C672" s="39" t="n"/>
      <c r="D672" s="40" t="n"/>
      <c r="E672" s="39" t="n"/>
      <c r="F672" s="39" t="n"/>
      <c r="G672" s="112" t="n"/>
      <c r="H672" s="42" t="n"/>
      <c r="I672" s="42" t="n"/>
      <c r="J672" s="113" t="n"/>
      <c r="K672" s="39" t="n"/>
      <c r="L672" s="39" t="n"/>
      <c r="M672" s="39" t="n"/>
      <c r="N672" s="39" t="n"/>
      <c r="O672" s="39" t="n"/>
      <c r="P672" s="39" t="n"/>
      <c r="Q672" s="39" t="n"/>
      <c r="R672" s="39" t="n"/>
      <c r="S672" s="39" t="n"/>
      <c r="T672" s="39" t="n"/>
      <c r="U672" s="39" t="n"/>
      <c r="V672" s="39" t="n"/>
      <c r="W672" s="39" t="n"/>
      <c r="X672" s="39" t="n"/>
      <c r="Y672" s="39" t="n"/>
      <c r="Z672" s="39" t="n"/>
      <c r="AA672" s="39" t="n"/>
      <c r="AB672" s="39" t="n"/>
      <c r="AC672" s="39" t="n"/>
      <c r="AD672" s="39" t="n"/>
      <c r="AE672" s="39" t="n"/>
      <c r="AF672" s="39" t="n"/>
      <c r="AG672" s="39" t="n"/>
      <c r="AH672" s="39" t="n"/>
      <c r="AI672" s="39" t="n"/>
      <c r="AJ672" s="39" t="n"/>
      <c r="AK672" s="39" t="n"/>
      <c r="AL672" s="39" t="n"/>
      <c r="AM672" s="44" t="n"/>
      <c r="AN672" s="44" t="n"/>
      <c r="AO672" s="44" t="n"/>
      <c r="AP672" s="44" t="n"/>
      <c r="AQ672" s="44" t="n"/>
      <c r="AR672" s="44" t="n"/>
      <c r="AS672" s="45" t="n"/>
      <c r="AT672" s="45" t="n"/>
      <c r="AU672" s="45" t="n"/>
    </row>
    <row r="673">
      <c r="B673" s="39" t="n"/>
      <c r="C673" s="39" t="n"/>
      <c r="D673" s="40" t="n"/>
      <c r="E673" s="39" t="n"/>
      <c r="F673" s="39" t="n"/>
      <c r="G673" s="112" t="n"/>
      <c r="H673" s="42" t="n"/>
      <c r="I673" s="42" t="n"/>
      <c r="J673" s="113" t="n"/>
      <c r="K673" s="39" t="n"/>
      <c r="L673" s="39" t="n"/>
      <c r="M673" s="39" t="n"/>
      <c r="N673" s="39" t="n"/>
      <c r="O673" s="39" t="n"/>
      <c r="P673" s="39" t="n"/>
      <c r="Q673" s="39" t="n"/>
      <c r="R673" s="39" t="n"/>
      <c r="S673" s="39" t="n"/>
      <c r="T673" s="39" t="n"/>
      <c r="U673" s="39" t="n"/>
      <c r="V673" s="39" t="n"/>
      <c r="W673" s="39" t="n"/>
      <c r="X673" s="39" t="n"/>
      <c r="Y673" s="39" t="n"/>
      <c r="Z673" s="39" t="n"/>
      <c r="AA673" s="39" t="n"/>
      <c r="AB673" s="39" t="n"/>
      <c r="AC673" s="39" t="n"/>
      <c r="AD673" s="39" t="n"/>
      <c r="AE673" s="39" t="n"/>
      <c r="AF673" s="39" t="n"/>
      <c r="AG673" s="39" t="n"/>
      <c r="AH673" s="39" t="n"/>
      <c r="AI673" s="39" t="n"/>
      <c r="AJ673" s="39" t="n"/>
      <c r="AK673" s="39" t="n"/>
      <c r="AL673" s="39" t="n"/>
      <c r="AM673" s="44" t="n"/>
      <c r="AN673" s="44" t="n"/>
      <c r="AO673" s="44" t="n"/>
      <c r="AP673" s="44" t="n"/>
      <c r="AQ673" s="44" t="n"/>
      <c r="AR673" s="44" t="n"/>
      <c r="AS673" s="45" t="n"/>
      <c r="AT673" s="45" t="n"/>
      <c r="AU673" s="45" t="n"/>
    </row>
    <row r="674">
      <c r="B674" s="39" t="n"/>
      <c r="C674" s="39" t="n"/>
      <c r="D674" s="40" t="n"/>
      <c r="E674" s="39" t="n"/>
      <c r="F674" s="39" t="n"/>
      <c r="G674" s="112" t="n"/>
      <c r="H674" s="42" t="n"/>
      <c r="I674" s="42" t="n"/>
      <c r="J674" s="113" t="n"/>
      <c r="K674" s="39" t="n"/>
      <c r="L674" s="39" t="n"/>
      <c r="M674" s="39" t="n"/>
      <c r="N674" s="39" t="n"/>
      <c r="O674" s="39" t="n"/>
      <c r="P674" s="39" t="n"/>
      <c r="Q674" s="39" t="n"/>
      <c r="R674" s="39" t="n"/>
      <c r="S674" s="39" t="n"/>
      <c r="T674" s="39" t="n"/>
      <c r="U674" s="39" t="n"/>
      <c r="V674" s="39" t="n"/>
      <c r="W674" s="39" t="n"/>
      <c r="X674" s="39" t="n"/>
      <c r="Y674" s="39" t="n"/>
      <c r="Z674" s="39" t="n"/>
      <c r="AA674" s="39" t="n"/>
      <c r="AB674" s="39" t="n"/>
      <c r="AC674" s="39" t="n"/>
      <c r="AD674" s="39" t="n"/>
      <c r="AE674" s="39" t="n"/>
      <c r="AF674" s="39" t="n"/>
      <c r="AG674" s="39" t="n"/>
      <c r="AH674" s="39" t="n"/>
      <c r="AI674" s="39" t="n"/>
      <c r="AJ674" s="39" t="n"/>
      <c r="AK674" s="39" t="n"/>
      <c r="AL674" s="39" t="n"/>
      <c r="AM674" s="44" t="n"/>
      <c r="AN674" s="44" t="n"/>
      <c r="AO674" s="44" t="n"/>
      <c r="AP674" s="44" t="n"/>
      <c r="AQ674" s="44" t="n"/>
      <c r="AR674" s="44" t="n"/>
      <c r="AS674" s="45" t="n"/>
      <c r="AT674" s="45" t="n"/>
      <c r="AU674" s="45" t="n"/>
    </row>
    <row r="675">
      <c r="B675" s="39" t="n"/>
      <c r="C675" s="39" t="n"/>
      <c r="D675" s="40" t="n"/>
      <c r="E675" s="39" t="n"/>
      <c r="F675" s="39" t="n"/>
      <c r="G675" s="112" t="n"/>
      <c r="H675" s="42" t="n"/>
      <c r="I675" s="42" t="n"/>
      <c r="J675" s="113" t="n"/>
      <c r="K675" s="39" t="n"/>
      <c r="L675" s="39" t="n"/>
      <c r="M675" s="39" t="n"/>
      <c r="N675" s="39" t="n"/>
      <c r="O675" s="39" t="n"/>
      <c r="P675" s="39" t="n"/>
      <c r="Q675" s="39" t="n"/>
      <c r="R675" s="39" t="n"/>
      <c r="S675" s="39" t="n"/>
      <c r="T675" s="39" t="n"/>
      <c r="U675" s="39" t="n"/>
      <c r="V675" s="39" t="n"/>
      <c r="W675" s="39" t="n"/>
      <c r="X675" s="39" t="n"/>
      <c r="Y675" s="39" t="n"/>
      <c r="Z675" s="39" t="n"/>
      <c r="AA675" s="39" t="n"/>
      <c r="AB675" s="39" t="n"/>
      <c r="AC675" s="39" t="n"/>
      <c r="AD675" s="39" t="n"/>
      <c r="AE675" s="39" t="n"/>
      <c r="AF675" s="39" t="n"/>
      <c r="AG675" s="39" t="n"/>
      <c r="AH675" s="39" t="n"/>
      <c r="AI675" s="39" t="n"/>
      <c r="AJ675" s="39" t="n"/>
      <c r="AK675" s="39" t="n"/>
      <c r="AL675" s="39" t="n"/>
      <c r="AM675" s="44" t="n"/>
      <c r="AN675" s="44" t="n"/>
      <c r="AO675" s="44" t="n"/>
      <c r="AP675" s="44" t="n"/>
      <c r="AQ675" s="44" t="n"/>
      <c r="AR675" s="44" t="n"/>
      <c r="AS675" s="45" t="n"/>
      <c r="AT675" s="45" t="n"/>
      <c r="AU675" s="45" t="n"/>
    </row>
    <row r="676">
      <c r="B676" s="39" t="n"/>
      <c r="C676" s="39" t="n"/>
      <c r="D676" s="40" t="n"/>
      <c r="E676" s="39" t="n"/>
      <c r="F676" s="39" t="n"/>
      <c r="G676" s="112" t="n"/>
      <c r="H676" s="42" t="n"/>
      <c r="I676" s="42" t="n"/>
      <c r="J676" s="113" t="n"/>
      <c r="K676" s="39" t="n"/>
      <c r="L676" s="39" t="n"/>
      <c r="M676" s="39" t="n"/>
      <c r="N676" s="39" t="n"/>
      <c r="O676" s="39" t="n"/>
      <c r="P676" s="39" t="n"/>
      <c r="Q676" s="39" t="n"/>
      <c r="R676" s="39" t="n"/>
      <c r="S676" s="39" t="n"/>
      <c r="T676" s="39" t="n"/>
      <c r="U676" s="39" t="n"/>
      <c r="V676" s="39" t="n"/>
      <c r="W676" s="39" t="n"/>
      <c r="X676" s="39" t="n"/>
      <c r="Y676" s="39" t="n"/>
      <c r="Z676" s="39" t="n"/>
      <c r="AA676" s="39" t="n"/>
      <c r="AB676" s="39" t="n"/>
      <c r="AC676" s="39" t="n"/>
      <c r="AD676" s="39" t="n"/>
      <c r="AE676" s="39" t="n"/>
      <c r="AF676" s="39" t="n"/>
      <c r="AG676" s="39" t="n"/>
      <c r="AH676" s="39" t="n"/>
      <c r="AI676" s="39" t="n"/>
      <c r="AJ676" s="39" t="n"/>
      <c r="AK676" s="39" t="n"/>
      <c r="AL676" s="39" t="n"/>
      <c r="AM676" s="44" t="n"/>
      <c r="AN676" s="44" t="n"/>
      <c r="AO676" s="44" t="n"/>
      <c r="AP676" s="44" t="n"/>
      <c r="AQ676" s="44" t="n"/>
      <c r="AR676" s="44" t="n"/>
      <c r="AS676" s="45" t="n"/>
      <c r="AT676" s="45" t="n"/>
      <c r="AU676" s="45" t="n"/>
    </row>
    <row r="677">
      <c r="B677" s="39" t="n"/>
      <c r="C677" s="39" t="n"/>
      <c r="D677" s="40" t="n"/>
      <c r="E677" s="39" t="n"/>
      <c r="F677" s="39" t="n"/>
      <c r="G677" s="112" t="n"/>
      <c r="H677" s="42" t="n"/>
      <c r="I677" s="42" t="n"/>
      <c r="J677" s="113" t="n"/>
      <c r="K677" s="39" t="n"/>
      <c r="L677" s="39" t="n"/>
      <c r="M677" s="39" t="n"/>
      <c r="N677" s="39" t="n"/>
      <c r="O677" s="39" t="n"/>
      <c r="P677" s="39" t="n"/>
      <c r="Q677" s="39" t="n"/>
      <c r="R677" s="39" t="n"/>
      <c r="S677" s="39" t="n"/>
      <c r="T677" s="39" t="n"/>
      <c r="U677" s="39" t="n"/>
      <c r="V677" s="39" t="n"/>
      <c r="W677" s="39" t="n"/>
      <c r="X677" s="39" t="n"/>
      <c r="Y677" s="39" t="n"/>
      <c r="Z677" s="39" t="n"/>
      <c r="AA677" s="39" t="n"/>
      <c r="AB677" s="39" t="n"/>
      <c r="AC677" s="39" t="n"/>
      <c r="AD677" s="39" t="n"/>
      <c r="AE677" s="39" t="n"/>
      <c r="AF677" s="39" t="n"/>
      <c r="AG677" s="39" t="n"/>
      <c r="AH677" s="39" t="n"/>
      <c r="AI677" s="39" t="n"/>
      <c r="AJ677" s="39" t="n"/>
      <c r="AK677" s="39" t="n"/>
      <c r="AL677" s="39" t="n"/>
      <c r="AM677" s="44" t="n"/>
      <c r="AN677" s="44" t="n"/>
      <c r="AO677" s="44" t="n"/>
      <c r="AP677" s="44" t="n"/>
      <c r="AQ677" s="44" t="n"/>
      <c r="AR677" s="44" t="n"/>
      <c r="AS677" s="45" t="n"/>
      <c r="AT677" s="45" t="n"/>
      <c r="AU677" s="45" t="n"/>
    </row>
    <row r="678">
      <c r="B678" s="39" t="n"/>
      <c r="C678" s="39" t="n"/>
      <c r="D678" s="40" t="n"/>
      <c r="E678" s="39" t="n"/>
      <c r="F678" s="39" t="n"/>
      <c r="G678" s="112" t="n"/>
      <c r="H678" s="42" t="n"/>
      <c r="I678" s="42" t="n"/>
      <c r="J678" s="113" t="n"/>
      <c r="K678" s="39" t="n"/>
      <c r="L678" s="39" t="n"/>
      <c r="M678" s="39" t="n"/>
      <c r="N678" s="39" t="n"/>
      <c r="O678" s="39" t="n"/>
      <c r="P678" s="39" t="n"/>
      <c r="Q678" s="39" t="n"/>
      <c r="R678" s="39" t="n"/>
      <c r="S678" s="39" t="n"/>
      <c r="T678" s="39" t="n"/>
      <c r="U678" s="39" t="n"/>
      <c r="V678" s="39" t="n"/>
      <c r="W678" s="39" t="n"/>
      <c r="X678" s="39" t="n"/>
      <c r="Y678" s="39" t="n"/>
      <c r="Z678" s="39" t="n"/>
      <c r="AA678" s="39" t="n"/>
      <c r="AB678" s="39" t="n"/>
      <c r="AC678" s="39" t="n"/>
      <c r="AD678" s="39" t="n"/>
      <c r="AE678" s="39" t="n"/>
      <c r="AF678" s="39" t="n"/>
      <c r="AG678" s="39" t="n"/>
      <c r="AH678" s="39" t="n"/>
      <c r="AI678" s="39" t="n"/>
      <c r="AJ678" s="39" t="n"/>
      <c r="AK678" s="39" t="n"/>
      <c r="AL678" s="39" t="n"/>
      <c r="AM678" s="44" t="n"/>
      <c r="AN678" s="44" t="n"/>
      <c r="AO678" s="44" t="n"/>
      <c r="AP678" s="44" t="n"/>
      <c r="AQ678" s="44" t="n"/>
      <c r="AR678" s="44" t="n"/>
      <c r="AS678" s="45" t="n"/>
      <c r="AT678" s="45" t="n"/>
      <c r="AU678" s="45" t="n"/>
    </row>
    <row r="679">
      <c r="B679" s="39" t="n"/>
      <c r="C679" s="39" t="n"/>
      <c r="D679" s="40" t="n"/>
      <c r="E679" s="39" t="n"/>
      <c r="F679" s="39" t="n"/>
      <c r="G679" s="112" t="n"/>
      <c r="H679" s="42" t="n"/>
      <c r="I679" s="42" t="n"/>
      <c r="J679" s="113" t="n"/>
      <c r="K679" s="39" t="n"/>
      <c r="L679" s="39" t="n"/>
      <c r="M679" s="39" t="n"/>
      <c r="N679" s="39" t="n"/>
      <c r="O679" s="39" t="n"/>
      <c r="P679" s="39" t="n"/>
      <c r="Q679" s="39" t="n"/>
      <c r="R679" s="39" t="n"/>
      <c r="S679" s="39" t="n"/>
      <c r="T679" s="39" t="n"/>
      <c r="U679" s="39" t="n"/>
      <c r="V679" s="39" t="n"/>
      <c r="W679" s="39" t="n"/>
      <c r="X679" s="39" t="n"/>
      <c r="Y679" s="39" t="n"/>
      <c r="Z679" s="39" t="n"/>
      <c r="AA679" s="39" t="n"/>
      <c r="AB679" s="39" t="n"/>
      <c r="AC679" s="39" t="n"/>
      <c r="AD679" s="39" t="n"/>
      <c r="AE679" s="39" t="n"/>
      <c r="AF679" s="39" t="n"/>
      <c r="AG679" s="39" t="n"/>
      <c r="AH679" s="39" t="n"/>
      <c r="AI679" s="39" t="n"/>
      <c r="AJ679" s="39" t="n"/>
      <c r="AK679" s="39" t="n"/>
      <c r="AL679" s="39" t="n"/>
      <c r="AM679" s="44" t="n"/>
      <c r="AN679" s="44" t="n"/>
      <c r="AO679" s="44" t="n"/>
      <c r="AP679" s="44" t="n"/>
      <c r="AQ679" s="44" t="n"/>
      <c r="AR679" s="44" t="n"/>
      <c r="AS679" s="45" t="n"/>
      <c r="AT679" s="45" t="n"/>
      <c r="AU679" s="45" t="n"/>
    </row>
    <row r="680">
      <c r="B680" s="39" t="n"/>
      <c r="C680" s="39" t="n"/>
      <c r="D680" s="40" t="n"/>
      <c r="E680" s="39" t="n"/>
      <c r="F680" s="39" t="n"/>
      <c r="G680" s="112" t="n"/>
      <c r="H680" s="42" t="n"/>
      <c r="I680" s="42" t="n"/>
      <c r="J680" s="113" t="n"/>
      <c r="K680" s="39" t="n"/>
      <c r="L680" s="39" t="n"/>
      <c r="M680" s="39" t="n"/>
      <c r="N680" s="39" t="n"/>
      <c r="O680" s="39" t="n"/>
      <c r="P680" s="39" t="n"/>
      <c r="Q680" s="39" t="n"/>
      <c r="R680" s="39" t="n"/>
      <c r="S680" s="39" t="n"/>
      <c r="T680" s="39" t="n"/>
      <c r="U680" s="39" t="n"/>
      <c r="V680" s="39" t="n"/>
      <c r="W680" s="39" t="n"/>
      <c r="X680" s="39" t="n"/>
      <c r="Y680" s="39" t="n"/>
      <c r="Z680" s="39" t="n"/>
      <c r="AA680" s="39" t="n"/>
      <c r="AB680" s="39" t="n"/>
      <c r="AC680" s="39" t="n"/>
      <c r="AD680" s="39" t="n"/>
      <c r="AE680" s="39" t="n"/>
      <c r="AF680" s="39" t="n"/>
      <c r="AG680" s="39" t="n"/>
      <c r="AH680" s="39" t="n"/>
      <c r="AI680" s="39" t="n"/>
      <c r="AJ680" s="39" t="n"/>
      <c r="AK680" s="39" t="n"/>
      <c r="AL680" s="39" t="n"/>
      <c r="AM680" s="44" t="n"/>
      <c r="AN680" s="44" t="n"/>
      <c r="AO680" s="44" t="n"/>
      <c r="AP680" s="44" t="n"/>
      <c r="AQ680" s="44" t="n"/>
      <c r="AR680" s="44" t="n"/>
      <c r="AS680" s="45" t="n"/>
      <c r="AT680" s="45" t="n"/>
      <c r="AU680" s="45" t="n"/>
    </row>
    <row r="681">
      <c r="B681" s="39" t="n"/>
      <c r="C681" s="39" t="n"/>
      <c r="D681" s="40" t="n"/>
      <c r="E681" s="39" t="n"/>
      <c r="F681" s="39" t="n"/>
      <c r="G681" s="112" t="n"/>
      <c r="H681" s="42" t="n"/>
      <c r="I681" s="42" t="n"/>
      <c r="J681" s="113" t="n"/>
      <c r="K681" s="39" t="n"/>
      <c r="L681" s="39" t="n"/>
      <c r="M681" s="39" t="n"/>
      <c r="N681" s="39" t="n"/>
      <c r="O681" s="39" t="n"/>
      <c r="P681" s="39" t="n"/>
      <c r="Q681" s="39" t="n"/>
      <c r="R681" s="39" t="n"/>
      <c r="S681" s="39" t="n"/>
      <c r="T681" s="39" t="n"/>
      <c r="U681" s="39" t="n"/>
      <c r="V681" s="39" t="n"/>
      <c r="W681" s="39" t="n"/>
      <c r="X681" s="39" t="n"/>
      <c r="Y681" s="39" t="n"/>
      <c r="Z681" s="39" t="n"/>
      <c r="AA681" s="39" t="n"/>
      <c r="AB681" s="39" t="n"/>
      <c r="AC681" s="39" t="n"/>
      <c r="AD681" s="39" t="n"/>
      <c r="AE681" s="39" t="n"/>
      <c r="AF681" s="39" t="n"/>
      <c r="AG681" s="39" t="n"/>
      <c r="AH681" s="39" t="n"/>
      <c r="AI681" s="39" t="n"/>
      <c r="AJ681" s="39" t="n"/>
      <c r="AK681" s="39" t="n"/>
      <c r="AL681" s="39" t="n"/>
      <c r="AM681" s="44" t="n"/>
      <c r="AN681" s="44" t="n"/>
      <c r="AO681" s="44" t="n"/>
      <c r="AP681" s="44" t="n"/>
      <c r="AQ681" s="44" t="n"/>
      <c r="AR681" s="44" t="n"/>
      <c r="AS681" s="45" t="n"/>
      <c r="AT681" s="45" t="n"/>
      <c r="AU681" s="45" t="n"/>
    </row>
    <row r="682">
      <c r="B682" s="39" t="n"/>
      <c r="C682" s="39" t="n"/>
      <c r="D682" s="40" t="n"/>
      <c r="E682" s="39" t="n"/>
      <c r="F682" s="39" t="n"/>
      <c r="G682" s="112" t="n"/>
      <c r="H682" s="42" t="n"/>
      <c r="I682" s="42" t="n"/>
      <c r="J682" s="113" t="n"/>
      <c r="K682" s="39" t="n"/>
      <c r="L682" s="39" t="n"/>
      <c r="M682" s="39" t="n"/>
      <c r="N682" s="39" t="n"/>
      <c r="O682" s="39" t="n"/>
      <c r="P682" s="39" t="n"/>
      <c r="Q682" s="39" t="n"/>
      <c r="R682" s="39" t="n"/>
      <c r="S682" s="39" t="n"/>
      <c r="T682" s="39" t="n"/>
      <c r="U682" s="39" t="n"/>
      <c r="V682" s="39" t="n"/>
      <c r="W682" s="39" t="n"/>
      <c r="X682" s="39" t="n"/>
      <c r="Y682" s="39" t="n"/>
      <c r="Z682" s="39" t="n"/>
      <c r="AA682" s="39" t="n"/>
      <c r="AB682" s="39" t="n"/>
      <c r="AC682" s="39" t="n"/>
      <c r="AD682" s="39" t="n"/>
      <c r="AE682" s="39" t="n"/>
      <c r="AF682" s="39" t="n"/>
      <c r="AG682" s="39" t="n"/>
      <c r="AH682" s="39" t="n"/>
      <c r="AI682" s="39" t="n"/>
      <c r="AJ682" s="39" t="n"/>
      <c r="AK682" s="39" t="n"/>
      <c r="AL682" s="39" t="n"/>
      <c r="AM682" s="44" t="n"/>
      <c r="AN682" s="44" t="n"/>
      <c r="AO682" s="44" t="n"/>
      <c r="AP682" s="44" t="n"/>
      <c r="AQ682" s="44" t="n"/>
      <c r="AR682" s="44" t="n"/>
      <c r="AS682" s="45" t="n"/>
      <c r="AT682" s="45" t="n"/>
      <c r="AU682" s="45" t="n"/>
    </row>
    <row r="683">
      <c r="B683" s="39" t="n"/>
      <c r="C683" s="39" t="n"/>
      <c r="D683" s="40" t="n"/>
      <c r="E683" s="39" t="n"/>
      <c r="F683" s="39" t="n"/>
      <c r="G683" s="112" t="n"/>
      <c r="H683" s="42" t="n"/>
      <c r="I683" s="42" t="n"/>
      <c r="J683" s="113" t="n"/>
      <c r="K683" s="39" t="n"/>
      <c r="L683" s="39" t="n"/>
      <c r="M683" s="39" t="n"/>
      <c r="N683" s="39" t="n"/>
      <c r="O683" s="39" t="n"/>
      <c r="P683" s="39" t="n"/>
      <c r="Q683" s="39" t="n"/>
      <c r="R683" s="39" t="n"/>
      <c r="S683" s="39" t="n"/>
      <c r="T683" s="39" t="n"/>
      <c r="U683" s="39" t="n"/>
      <c r="V683" s="39" t="n"/>
      <c r="W683" s="39" t="n"/>
      <c r="X683" s="39" t="n"/>
      <c r="Y683" s="39" t="n"/>
      <c r="Z683" s="39" t="n"/>
      <c r="AA683" s="39" t="n"/>
      <c r="AB683" s="39" t="n"/>
      <c r="AC683" s="39" t="n"/>
      <c r="AD683" s="39" t="n"/>
      <c r="AE683" s="39" t="n"/>
      <c r="AF683" s="39" t="n"/>
      <c r="AG683" s="39" t="n"/>
      <c r="AH683" s="39" t="n"/>
      <c r="AI683" s="39" t="n"/>
      <c r="AJ683" s="39" t="n"/>
      <c r="AK683" s="39" t="n"/>
      <c r="AL683" s="39" t="n"/>
      <c r="AM683" s="44" t="n"/>
      <c r="AN683" s="44" t="n"/>
      <c r="AO683" s="44" t="n"/>
      <c r="AP683" s="44" t="n"/>
      <c r="AQ683" s="44" t="n"/>
      <c r="AR683" s="44" t="n"/>
      <c r="AS683" s="45" t="n"/>
      <c r="AT683" s="45" t="n"/>
      <c r="AU683" s="45" t="n"/>
    </row>
    <row r="684">
      <c r="B684" s="39" t="n"/>
      <c r="C684" s="39" t="n"/>
      <c r="D684" s="40" t="n"/>
      <c r="E684" s="39" t="n"/>
      <c r="F684" s="39" t="n"/>
      <c r="G684" s="112" t="n"/>
      <c r="H684" s="42" t="n"/>
      <c r="I684" s="42" t="n"/>
      <c r="J684" s="113" t="n"/>
      <c r="K684" s="39" t="n"/>
      <c r="L684" s="39" t="n"/>
      <c r="M684" s="39" t="n"/>
      <c r="N684" s="39" t="n"/>
      <c r="O684" s="39" t="n"/>
      <c r="P684" s="39" t="n"/>
      <c r="Q684" s="39" t="n"/>
      <c r="R684" s="39" t="n"/>
      <c r="S684" s="39" t="n"/>
      <c r="T684" s="39" t="n"/>
      <c r="U684" s="39" t="n"/>
      <c r="V684" s="39" t="n"/>
      <c r="W684" s="39" t="n"/>
      <c r="X684" s="39" t="n"/>
      <c r="Y684" s="39" t="n"/>
      <c r="Z684" s="39" t="n"/>
      <c r="AA684" s="39" t="n"/>
      <c r="AB684" s="39" t="n"/>
      <c r="AC684" s="39" t="n"/>
      <c r="AD684" s="39" t="n"/>
      <c r="AE684" s="39" t="n"/>
      <c r="AF684" s="39" t="n"/>
      <c r="AG684" s="39" t="n"/>
      <c r="AH684" s="39" t="n"/>
      <c r="AI684" s="39" t="n"/>
      <c r="AJ684" s="39" t="n"/>
      <c r="AK684" s="39" t="n"/>
      <c r="AL684" s="39" t="n"/>
      <c r="AM684" s="44" t="n"/>
      <c r="AN684" s="44" t="n"/>
      <c r="AO684" s="44" t="n"/>
      <c r="AP684" s="44" t="n"/>
      <c r="AQ684" s="44" t="n"/>
      <c r="AR684" s="44" t="n"/>
      <c r="AS684" s="45" t="n"/>
      <c r="AT684" s="45" t="n"/>
      <c r="AU684" s="45" t="n"/>
    </row>
    <row r="685">
      <c r="B685" s="39" t="n"/>
      <c r="C685" s="39" t="n"/>
      <c r="D685" s="40" t="n"/>
      <c r="E685" s="39" t="n"/>
      <c r="F685" s="39" t="n"/>
      <c r="G685" s="112" t="n"/>
      <c r="H685" s="42" t="n"/>
      <c r="I685" s="42" t="n"/>
      <c r="J685" s="113" t="n"/>
      <c r="K685" s="39" t="n"/>
      <c r="L685" s="39" t="n"/>
      <c r="M685" s="39" t="n"/>
      <c r="N685" s="39" t="n"/>
      <c r="O685" s="39" t="n"/>
      <c r="P685" s="39" t="n"/>
      <c r="Q685" s="39" t="n"/>
      <c r="R685" s="39" t="n"/>
      <c r="S685" s="39" t="n"/>
      <c r="T685" s="39" t="n"/>
      <c r="U685" s="39" t="n"/>
      <c r="V685" s="39" t="n"/>
      <c r="W685" s="39" t="n"/>
      <c r="X685" s="39" t="n"/>
      <c r="Y685" s="39" t="n"/>
      <c r="Z685" s="39" t="n"/>
      <c r="AA685" s="39" t="n"/>
      <c r="AB685" s="39" t="n"/>
      <c r="AC685" s="39" t="n"/>
      <c r="AD685" s="39" t="n"/>
      <c r="AE685" s="39" t="n"/>
      <c r="AF685" s="39" t="n"/>
      <c r="AG685" s="39" t="n"/>
      <c r="AH685" s="39" t="n"/>
      <c r="AI685" s="39" t="n"/>
      <c r="AJ685" s="39" t="n"/>
      <c r="AK685" s="39" t="n"/>
      <c r="AL685" s="39" t="n"/>
      <c r="AM685" s="44" t="n"/>
      <c r="AN685" s="44" t="n"/>
      <c r="AO685" s="44" t="n"/>
      <c r="AP685" s="44" t="n"/>
      <c r="AQ685" s="44" t="n"/>
      <c r="AR685" s="44" t="n"/>
      <c r="AS685" s="45" t="n"/>
      <c r="AT685" s="45" t="n"/>
      <c r="AU685" s="45" t="n"/>
    </row>
    <row r="686">
      <c r="B686" s="39" t="n"/>
      <c r="C686" s="39" t="n"/>
      <c r="D686" s="40" t="n"/>
      <c r="E686" s="39" t="n"/>
      <c r="F686" s="39" t="n"/>
      <c r="G686" s="112" t="n"/>
      <c r="H686" s="42" t="n"/>
      <c r="I686" s="42" t="n"/>
      <c r="J686" s="113" t="n"/>
      <c r="K686" s="39" t="n"/>
      <c r="L686" s="39" t="n"/>
      <c r="M686" s="39" t="n"/>
      <c r="N686" s="39" t="n"/>
      <c r="O686" s="39" t="n"/>
      <c r="P686" s="39" t="n"/>
      <c r="Q686" s="39" t="n"/>
      <c r="R686" s="39" t="n"/>
      <c r="S686" s="39" t="n"/>
      <c r="T686" s="39" t="n"/>
      <c r="U686" s="39" t="n"/>
      <c r="V686" s="39" t="n"/>
      <c r="W686" s="39" t="n"/>
      <c r="X686" s="39" t="n"/>
      <c r="Y686" s="39" t="n"/>
      <c r="Z686" s="39" t="n"/>
      <c r="AA686" s="39" t="n"/>
      <c r="AB686" s="39" t="n"/>
      <c r="AC686" s="39" t="n"/>
      <c r="AD686" s="39" t="n"/>
      <c r="AE686" s="39" t="n"/>
      <c r="AF686" s="39" t="n"/>
      <c r="AG686" s="39" t="n"/>
      <c r="AH686" s="39" t="n"/>
      <c r="AI686" s="39" t="n"/>
      <c r="AJ686" s="39" t="n"/>
      <c r="AK686" s="39" t="n"/>
      <c r="AL686" s="39" t="n"/>
      <c r="AM686" s="44" t="n"/>
      <c r="AN686" s="44" t="n"/>
      <c r="AO686" s="44" t="n"/>
      <c r="AP686" s="44" t="n"/>
      <c r="AQ686" s="44" t="n"/>
      <c r="AR686" s="44" t="n"/>
      <c r="AS686" s="45" t="n"/>
      <c r="AT686" s="45" t="n"/>
      <c r="AU686" s="45" t="n"/>
    </row>
    <row r="687">
      <c r="B687" s="39" t="n"/>
      <c r="C687" s="39" t="n"/>
      <c r="D687" s="40" t="n"/>
      <c r="E687" s="39" t="n"/>
      <c r="F687" s="39" t="n"/>
      <c r="G687" s="112" t="n"/>
      <c r="H687" s="42" t="n"/>
      <c r="I687" s="42" t="n"/>
      <c r="J687" s="113" t="n"/>
      <c r="K687" s="39" t="n"/>
      <c r="L687" s="39" t="n"/>
      <c r="M687" s="39" t="n"/>
      <c r="N687" s="39" t="n"/>
      <c r="O687" s="39" t="n"/>
      <c r="P687" s="39" t="n"/>
      <c r="Q687" s="39" t="n"/>
      <c r="R687" s="39" t="n"/>
      <c r="S687" s="39" t="n"/>
      <c r="T687" s="39" t="n"/>
      <c r="U687" s="39" t="n"/>
      <c r="V687" s="39" t="n"/>
      <c r="W687" s="39" t="n"/>
      <c r="X687" s="39" t="n"/>
      <c r="Y687" s="39" t="n"/>
      <c r="Z687" s="39" t="n"/>
      <c r="AA687" s="39" t="n"/>
      <c r="AB687" s="39" t="n"/>
      <c r="AC687" s="39" t="n"/>
      <c r="AD687" s="39" t="n"/>
      <c r="AE687" s="39" t="n"/>
      <c r="AF687" s="39" t="n"/>
      <c r="AG687" s="39" t="n"/>
      <c r="AH687" s="39" t="n"/>
      <c r="AI687" s="39" t="n"/>
      <c r="AJ687" s="39" t="n"/>
      <c r="AK687" s="39" t="n"/>
      <c r="AL687" s="39" t="n"/>
      <c r="AM687" s="44" t="n"/>
      <c r="AN687" s="44" t="n"/>
      <c r="AO687" s="44" t="n"/>
      <c r="AP687" s="44" t="n"/>
      <c r="AQ687" s="44" t="n"/>
      <c r="AR687" s="44" t="n"/>
      <c r="AS687" s="45" t="n"/>
      <c r="AT687" s="45" t="n"/>
      <c r="AU687" s="45" t="n"/>
    </row>
    <row r="688">
      <c r="B688" s="39" t="n"/>
      <c r="C688" s="39" t="n"/>
      <c r="D688" s="40" t="n"/>
      <c r="E688" s="39" t="n"/>
      <c r="F688" s="39" t="n"/>
      <c r="G688" s="112" t="n"/>
      <c r="H688" s="42" t="n"/>
      <c r="I688" s="42" t="n"/>
      <c r="J688" s="113" t="n"/>
      <c r="K688" s="39" t="n"/>
      <c r="L688" s="39" t="n"/>
      <c r="M688" s="39" t="n"/>
      <c r="N688" s="39" t="n"/>
      <c r="O688" s="39" t="n"/>
      <c r="P688" s="39" t="n"/>
      <c r="Q688" s="39" t="n"/>
      <c r="R688" s="39" t="n"/>
      <c r="S688" s="39" t="n"/>
      <c r="T688" s="39" t="n"/>
      <c r="U688" s="39" t="n"/>
      <c r="V688" s="39" t="n"/>
      <c r="W688" s="39" t="n"/>
      <c r="X688" s="39" t="n"/>
      <c r="Y688" s="39" t="n"/>
      <c r="Z688" s="39" t="n"/>
      <c r="AA688" s="39" t="n"/>
      <c r="AB688" s="39" t="n"/>
      <c r="AC688" s="39" t="n"/>
      <c r="AD688" s="39" t="n"/>
      <c r="AE688" s="39" t="n"/>
      <c r="AF688" s="39" t="n"/>
      <c r="AG688" s="39" t="n"/>
      <c r="AH688" s="39" t="n"/>
      <c r="AI688" s="39" t="n"/>
      <c r="AJ688" s="39" t="n"/>
      <c r="AK688" s="39" t="n"/>
      <c r="AL688" s="39" t="n"/>
      <c r="AM688" s="44" t="n"/>
      <c r="AN688" s="44" t="n"/>
      <c r="AO688" s="44" t="n"/>
      <c r="AP688" s="44" t="n"/>
      <c r="AQ688" s="44" t="n"/>
      <c r="AR688" s="44" t="n"/>
      <c r="AS688" s="45" t="n"/>
      <c r="AT688" s="45" t="n"/>
      <c r="AU688" s="45" t="n"/>
    </row>
    <row r="689">
      <c r="B689" s="39" t="n"/>
      <c r="C689" s="39" t="n"/>
      <c r="D689" s="40" t="n"/>
      <c r="E689" s="39" t="n"/>
      <c r="F689" s="39" t="n"/>
      <c r="G689" s="112" t="n"/>
      <c r="H689" s="42" t="n"/>
      <c r="I689" s="42" t="n"/>
      <c r="J689" s="113" t="n"/>
      <c r="K689" s="39" t="n"/>
      <c r="L689" s="39" t="n"/>
      <c r="M689" s="39" t="n"/>
      <c r="N689" s="39" t="n"/>
      <c r="O689" s="39" t="n"/>
      <c r="P689" s="39" t="n"/>
      <c r="Q689" s="39" t="n"/>
      <c r="R689" s="39" t="n"/>
      <c r="S689" s="39" t="n"/>
      <c r="T689" s="39" t="n"/>
      <c r="U689" s="39" t="n"/>
      <c r="V689" s="39" t="n"/>
      <c r="W689" s="39" t="n"/>
      <c r="X689" s="39" t="n"/>
      <c r="Y689" s="39" t="n"/>
      <c r="Z689" s="39" t="n"/>
      <c r="AA689" s="39" t="n"/>
      <c r="AB689" s="39" t="n"/>
      <c r="AC689" s="39" t="n"/>
      <c r="AD689" s="39" t="n"/>
      <c r="AE689" s="39" t="n"/>
      <c r="AF689" s="39" t="n"/>
      <c r="AG689" s="39" t="n"/>
      <c r="AH689" s="39" t="n"/>
      <c r="AI689" s="39" t="n"/>
      <c r="AJ689" s="39" t="n"/>
      <c r="AK689" s="39" t="n"/>
      <c r="AL689" s="39" t="n"/>
      <c r="AM689" s="44" t="n"/>
      <c r="AN689" s="44" t="n"/>
      <c r="AO689" s="44" t="n"/>
      <c r="AP689" s="44" t="n"/>
      <c r="AQ689" s="44" t="n"/>
      <c r="AR689" s="44" t="n"/>
      <c r="AS689" s="45" t="n"/>
      <c r="AT689" s="45" t="n"/>
      <c r="AU689" s="45" t="n"/>
    </row>
    <row r="690">
      <c r="B690" s="39" t="n"/>
      <c r="C690" s="39" t="n"/>
      <c r="D690" s="40" t="n"/>
      <c r="E690" s="39" t="n"/>
      <c r="F690" s="39" t="n"/>
      <c r="G690" s="112" t="n"/>
      <c r="H690" s="42" t="n"/>
      <c r="I690" s="42" t="n"/>
      <c r="J690" s="113" t="n"/>
      <c r="K690" s="39" t="n"/>
      <c r="L690" s="39" t="n"/>
      <c r="M690" s="39" t="n"/>
      <c r="N690" s="39" t="n"/>
      <c r="O690" s="39" t="n"/>
      <c r="P690" s="39" t="n"/>
      <c r="Q690" s="39" t="n"/>
      <c r="R690" s="39" t="n"/>
      <c r="S690" s="39" t="n"/>
      <c r="T690" s="39" t="n"/>
      <c r="U690" s="39" t="n"/>
      <c r="V690" s="39" t="n"/>
      <c r="W690" s="39" t="n"/>
      <c r="X690" s="39" t="n"/>
      <c r="Y690" s="39" t="n"/>
      <c r="Z690" s="39" t="n"/>
      <c r="AA690" s="39" t="n"/>
      <c r="AB690" s="39" t="n"/>
      <c r="AC690" s="39" t="n"/>
      <c r="AD690" s="39" t="n"/>
      <c r="AE690" s="39" t="n"/>
      <c r="AF690" s="39" t="n"/>
      <c r="AG690" s="39" t="n"/>
      <c r="AH690" s="39" t="n"/>
      <c r="AI690" s="39" t="n"/>
      <c r="AJ690" s="39" t="n"/>
      <c r="AK690" s="39" t="n"/>
      <c r="AL690" s="39" t="n"/>
      <c r="AM690" s="44" t="n"/>
      <c r="AN690" s="44" t="n"/>
      <c r="AO690" s="44" t="n"/>
      <c r="AP690" s="44" t="n"/>
      <c r="AQ690" s="44" t="n"/>
      <c r="AR690" s="44" t="n"/>
      <c r="AS690" s="45" t="n"/>
      <c r="AT690" s="45" t="n"/>
      <c r="AU690" s="45" t="n"/>
    </row>
    <row r="691">
      <c r="B691" s="39" t="n"/>
      <c r="C691" s="39" t="n"/>
      <c r="D691" s="40" t="n"/>
      <c r="E691" s="39" t="n"/>
      <c r="F691" s="39" t="n"/>
      <c r="G691" s="112" t="n"/>
      <c r="H691" s="42" t="n"/>
      <c r="I691" s="42" t="n"/>
      <c r="J691" s="113" t="n"/>
      <c r="K691" s="39" t="n"/>
      <c r="L691" s="39" t="n"/>
      <c r="M691" s="39" t="n"/>
      <c r="N691" s="39" t="n"/>
      <c r="O691" s="39" t="n"/>
      <c r="P691" s="39" t="n"/>
      <c r="Q691" s="39" t="n"/>
      <c r="R691" s="39" t="n"/>
      <c r="S691" s="39" t="n"/>
      <c r="T691" s="39" t="n"/>
      <c r="U691" s="39" t="n"/>
      <c r="V691" s="39" t="n"/>
      <c r="W691" s="39" t="n"/>
      <c r="X691" s="39" t="n"/>
      <c r="Y691" s="39" t="n"/>
      <c r="Z691" s="39" t="n"/>
      <c r="AA691" s="39" t="n"/>
      <c r="AB691" s="39" t="n"/>
      <c r="AC691" s="39" t="n"/>
      <c r="AD691" s="39" t="n"/>
      <c r="AE691" s="39" t="n"/>
      <c r="AF691" s="39" t="n"/>
      <c r="AG691" s="39" t="n"/>
      <c r="AH691" s="39" t="n"/>
      <c r="AI691" s="39" t="n"/>
      <c r="AJ691" s="39" t="n"/>
      <c r="AK691" s="39" t="n"/>
      <c r="AL691" s="39" t="n"/>
      <c r="AM691" s="44" t="n"/>
      <c r="AN691" s="44" t="n"/>
      <c r="AO691" s="44" t="n"/>
      <c r="AP691" s="44" t="n"/>
      <c r="AQ691" s="44" t="n"/>
      <c r="AR691" s="44" t="n"/>
      <c r="AS691" s="45" t="n"/>
      <c r="AT691" s="45" t="n"/>
      <c r="AU691" s="45" t="n"/>
    </row>
    <row r="692">
      <c r="B692" s="39" t="n"/>
      <c r="C692" s="39" t="n"/>
      <c r="D692" s="40" t="n"/>
      <c r="E692" s="39" t="n"/>
      <c r="F692" s="39" t="n"/>
      <c r="G692" s="112" t="n"/>
      <c r="H692" s="42" t="n"/>
      <c r="I692" s="42" t="n"/>
      <c r="J692" s="113" t="n"/>
      <c r="K692" s="39" t="n"/>
      <c r="L692" s="39" t="n"/>
      <c r="M692" s="39" t="n"/>
      <c r="N692" s="39" t="n"/>
      <c r="O692" s="39" t="n"/>
      <c r="P692" s="39" t="n"/>
      <c r="Q692" s="39" t="n"/>
      <c r="R692" s="39" t="n"/>
      <c r="S692" s="39" t="n"/>
      <c r="T692" s="39" t="n"/>
      <c r="U692" s="39" t="n"/>
      <c r="V692" s="39" t="n"/>
      <c r="W692" s="39" t="n"/>
      <c r="X692" s="39" t="n"/>
      <c r="Y692" s="39" t="n"/>
      <c r="Z692" s="39" t="n"/>
      <c r="AA692" s="39" t="n"/>
      <c r="AB692" s="39" t="n"/>
      <c r="AC692" s="39" t="n"/>
      <c r="AD692" s="39" t="n"/>
      <c r="AE692" s="39" t="n"/>
      <c r="AF692" s="39" t="n"/>
      <c r="AG692" s="39" t="n"/>
      <c r="AH692" s="39" t="n"/>
      <c r="AI692" s="39" t="n"/>
      <c r="AJ692" s="39" t="n"/>
      <c r="AK692" s="39" t="n"/>
      <c r="AL692" s="39" t="n"/>
      <c r="AM692" s="44" t="n"/>
      <c r="AN692" s="44" t="n"/>
      <c r="AO692" s="44" t="n"/>
      <c r="AP692" s="44" t="n"/>
      <c r="AQ692" s="44" t="n"/>
      <c r="AR692" s="44" t="n"/>
      <c r="AS692" s="45" t="n"/>
      <c r="AT692" s="45" t="n"/>
      <c r="AU692" s="45" t="n"/>
    </row>
    <row r="693">
      <c r="B693" s="39" t="n"/>
      <c r="C693" s="39" t="n"/>
      <c r="D693" s="40" t="n"/>
      <c r="E693" s="39" t="n"/>
      <c r="F693" s="39" t="n"/>
      <c r="G693" s="112" t="n"/>
      <c r="H693" s="42" t="n"/>
      <c r="I693" s="42" t="n"/>
      <c r="J693" s="113" t="n"/>
      <c r="K693" s="39" t="n"/>
      <c r="L693" s="39" t="n"/>
      <c r="M693" s="39" t="n"/>
      <c r="N693" s="39" t="n"/>
      <c r="O693" s="39" t="n"/>
      <c r="P693" s="39" t="n"/>
      <c r="Q693" s="39" t="n"/>
      <c r="R693" s="39" t="n"/>
      <c r="S693" s="39" t="n"/>
      <c r="T693" s="39" t="n"/>
      <c r="U693" s="39" t="n"/>
      <c r="V693" s="39" t="n"/>
      <c r="W693" s="39" t="n"/>
      <c r="X693" s="39" t="n"/>
      <c r="Y693" s="39" t="n"/>
      <c r="Z693" s="39" t="n"/>
      <c r="AA693" s="39" t="n"/>
      <c r="AB693" s="39" t="n"/>
      <c r="AC693" s="39" t="n"/>
      <c r="AD693" s="39" t="n"/>
      <c r="AE693" s="39" t="n"/>
      <c r="AF693" s="39" t="n"/>
      <c r="AG693" s="39" t="n"/>
      <c r="AH693" s="39" t="n"/>
      <c r="AI693" s="39" t="n"/>
      <c r="AJ693" s="39" t="n"/>
      <c r="AK693" s="39" t="n"/>
      <c r="AL693" s="39" t="n"/>
      <c r="AM693" s="44" t="n"/>
      <c r="AN693" s="44" t="n"/>
      <c r="AO693" s="44" t="n"/>
      <c r="AP693" s="44" t="n"/>
      <c r="AQ693" s="44" t="n"/>
      <c r="AR693" s="44" t="n"/>
      <c r="AS693" s="45" t="n"/>
      <c r="AT693" s="45" t="n"/>
      <c r="AU693" s="45" t="n"/>
    </row>
    <row r="694">
      <c r="B694" s="39" t="n"/>
      <c r="C694" s="39" t="n"/>
      <c r="D694" s="40" t="n"/>
      <c r="E694" s="39" t="n"/>
      <c r="F694" s="39" t="n"/>
      <c r="G694" s="112" t="n"/>
      <c r="H694" s="42" t="n"/>
      <c r="I694" s="42" t="n"/>
      <c r="J694" s="113" t="n"/>
      <c r="K694" s="39" t="n"/>
      <c r="L694" s="39" t="n"/>
      <c r="M694" s="39" t="n"/>
      <c r="N694" s="39" t="n"/>
      <c r="O694" s="39" t="n"/>
      <c r="P694" s="39" t="n"/>
      <c r="Q694" s="39" t="n"/>
      <c r="R694" s="39" t="n"/>
      <c r="S694" s="39" t="n"/>
      <c r="T694" s="39" t="n"/>
      <c r="U694" s="39" t="n"/>
      <c r="V694" s="39" t="n"/>
      <c r="W694" s="39" t="n"/>
      <c r="X694" s="39" t="n"/>
      <c r="Y694" s="39" t="n"/>
      <c r="Z694" s="39" t="n"/>
      <c r="AA694" s="39" t="n"/>
      <c r="AB694" s="39" t="n"/>
      <c r="AC694" s="39" t="n"/>
      <c r="AD694" s="39" t="n"/>
      <c r="AE694" s="39" t="n"/>
      <c r="AF694" s="39" t="n"/>
      <c r="AG694" s="39" t="n"/>
      <c r="AH694" s="39" t="n"/>
      <c r="AI694" s="39" t="n"/>
      <c r="AJ694" s="39" t="n"/>
      <c r="AK694" s="39" t="n"/>
      <c r="AL694" s="39" t="n"/>
      <c r="AM694" s="44" t="n"/>
      <c r="AN694" s="44" t="n"/>
      <c r="AO694" s="44" t="n"/>
      <c r="AP694" s="44" t="n"/>
      <c r="AQ694" s="44" t="n"/>
      <c r="AR694" s="44" t="n"/>
      <c r="AS694" s="45" t="n"/>
      <c r="AT694" s="45" t="n"/>
      <c r="AU694" s="45" t="n"/>
    </row>
    <row r="695">
      <c r="B695" s="39" t="n"/>
      <c r="C695" s="39" t="n"/>
      <c r="D695" s="40" t="n"/>
      <c r="E695" s="39" t="n"/>
      <c r="F695" s="39" t="n"/>
      <c r="G695" s="112" t="n"/>
      <c r="H695" s="42" t="n"/>
      <c r="I695" s="42" t="n"/>
      <c r="J695" s="113" t="n"/>
      <c r="K695" s="39" t="n"/>
      <c r="L695" s="39" t="n"/>
      <c r="M695" s="39" t="n"/>
      <c r="N695" s="39" t="n"/>
      <c r="O695" s="39" t="n"/>
      <c r="P695" s="39" t="n"/>
      <c r="Q695" s="39" t="n"/>
      <c r="R695" s="39" t="n"/>
      <c r="S695" s="39" t="n"/>
      <c r="T695" s="39" t="n"/>
      <c r="U695" s="39" t="n"/>
      <c r="V695" s="39" t="n"/>
      <c r="W695" s="39" t="n"/>
      <c r="X695" s="39" t="n"/>
      <c r="Y695" s="39" t="n"/>
      <c r="Z695" s="39" t="n"/>
      <c r="AA695" s="39" t="n"/>
      <c r="AB695" s="39" t="n"/>
      <c r="AC695" s="39" t="n"/>
      <c r="AD695" s="39" t="n"/>
      <c r="AE695" s="39" t="n"/>
      <c r="AF695" s="39" t="n"/>
      <c r="AG695" s="39" t="n"/>
      <c r="AH695" s="39" t="n"/>
      <c r="AI695" s="39" t="n"/>
      <c r="AJ695" s="39" t="n"/>
      <c r="AK695" s="39" t="n"/>
      <c r="AL695" s="39" t="n"/>
      <c r="AM695" s="44" t="n"/>
      <c r="AN695" s="44" t="n"/>
      <c r="AO695" s="44" t="n"/>
      <c r="AP695" s="44" t="n"/>
      <c r="AQ695" s="44" t="n"/>
      <c r="AR695" s="44" t="n"/>
      <c r="AS695" s="45" t="n"/>
      <c r="AT695" s="45" t="n"/>
      <c r="AU695" s="45" t="n"/>
    </row>
    <row r="696">
      <c r="B696" s="39" t="n"/>
      <c r="C696" s="39" t="n"/>
      <c r="D696" s="40" t="n"/>
      <c r="E696" s="39" t="n"/>
      <c r="F696" s="39" t="n"/>
      <c r="G696" s="112" t="n"/>
      <c r="H696" s="42" t="n"/>
      <c r="I696" s="42" t="n"/>
      <c r="J696" s="113" t="n"/>
      <c r="K696" s="39" t="n"/>
      <c r="L696" s="39" t="n"/>
      <c r="M696" s="39" t="n"/>
      <c r="N696" s="39" t="n"/>
      <c r="O696" s="39" t="n"/>
      <c r="P696" s="39" t="n"/>
      <c r="Q696" s="39" t="n"/>
      <c r="R696" s="39" t="n"/>
      <c r="S696" s="39" t="n"/>
      <c r="T696" s="39" t="n"/>
      <c r="U696" s="39" t="n"/>
      <c r="V696" s="39" t="n"/>
      <c r="W696" s="39" t="n"/>
      <c r="X696" s="39" t="n"/>
      <c r="Y696" s="39" t="n"/>
      <c r="Z696" s="39" t="n"/>
      <c r="AA696" s="39" t="n"/>
      <c r="AB696" s="39" t="n"/>
      <c r="AC696" s="39" t="n"/>
      <c r="AD696" s="39" t="n"/>
      <c r="AE696" s="39" t="n"/>
      <c r="AF696" s="39" t="n"/>
      <c r="AG696" s="39" t="n"/>
      <c r="AH696" s="39" t="n"/>
      <c r="AI696" s="39" t="n"/>
      <c r="AJ696" s="39" t="n"/>
      <c r="AK696" s="39" t="n"/>
      <c r="AL696" s="39" t="n"/>
      <c r="AM696" s="44" t="n"/>
      <c r="AN696" s="44" t="n"/>
      <c r="AO696" s="44" t="n"/>
      <c r="AP696" s="44" t="n"/>
      <c r="AQ696" s="44" t="n"/>
      <c r="AR696" s="44" t="n"/>
      <c r="AS696" s="45" t="n"/>
      <c r="AT696" s="45" t="n"/>
      <c r="AU696" s="45" t="n"/>
    </row>
    <row r="697">
      <c r="B697" s="39" t="n"/>
      <c r="C697" s="39" t="n"/>
      <c r="D697" s="40" t="n"/>
      <c r="E697" s="39" t="n"/>
      <c r="F697" s="39" t="n"/>
      <c r="G697" s="112" t="n"/>
      <c r="H697" s="42" t="n"/>
      <c r="I697" s="42" t="n"/>
      <c r="J697" s="113" t="n"/>
      <c r="K697" s="39" t="n"/>
      <c r="L697" s="39" t="n"/>
      <c r="M697" s="39" t="n"/>
      <c r="N697" s="39" t="n"/>
      <c r="O697" s="39" t="n"/>
      <c r="P697" s="39" t="n"/>
      <c r="Q697" s="39" t="n"/>
      <c r="R697" s="39" t="n"/>
      <c r="S697" s="39" t="n"/>
      <c r="T697" s="39" t="n"/>
      <c r="U697" s="39" t="n"/>
      <c r="V697" s="39" t="n"/>
      <c r="W697" s="39" t="n"/>
      <c r="X697" s="39" t="n"/>
      <c r="Y697" s="39" t="n"/>
      <c r="Z697" s="39" t="n"/>
      <c r="AA697" s="39" t="n"/>
      <c r="AB697" s="39" t="n"/>
      <c r="AC697" s="39" t="n"/>
      <c r="AD697" s="39" t="n"/>
      <c r="AE697" s="39" t="n"/>
      <c r="AF697" s="39" t="n"/>
      <c r="AG697" s="39" t="n"/>
      <c r="AH697" s="39" t="n"/>
      <c r="AI697" s="39" t="n"/>
      <c r="AJ697" s="39" t="n"/>
      <c r="AK697" s="39" t="n"/>
      <c r="AL697" s="39" t="n"/>
      <c r="AM697" s="44" t="n"/>
      <c r="AN697" s="44" t="n"/>
      <c r="AO697" s="44" t="n"/>
      <c r="AP697" s="44" t="n"/>
      <c r="AQ697" s="44" t="n"/>
      <c r="AR697" s="44" t="n"/>
      <c r="AS697" s="45" t="n"/>
      <c r="AT697" s="45" t="n"/>
      <c r="AU697" s="45" t="n"/>
    </row>
    <row r="698">
      <c r="B698" s="39" t="n"/>
      <c r="C698" s="39" t="n"/>
      <c r="D698" s="40" t="n"/>
      <c r="E698" s="39" t="n"/>
      <c r="F698" s="39" t="n"/>
      <c r="G698" s="112" t="n"/>
      <c r="H698" s="42" t="n"/>
      <c r="I698" s="42" t="n"/>
      <c r="J698" s="113" t="n"/>
      <c r="K698" s="39" t="n"/>
      <c r="L698" s="39" t="n"/>
      <c r="M698" s="39" t="n"/>
      <c r="N698" s="39" t="n"/>
      <c r="O698" s="39" t="n"/>
      <c r="P698" s="39" t="n"/>
      <c r="Q698" s="39" t="n"/>
      <c r="R698" s="39" t="n"/>
      <c r="S698" s="39" t="n"/>
      <c r="T698" s="39" t="n"/>
      <c r="U698" s="39" t="n"/>
      <c r="V698" s="39" t="n"/>
      <c r="W698" s="39" t="n"/>
      <c r="X698" s="39" t="n"/>
      <c r="Y698" s="39" t="n"/>
      <c r="Z698" s="39" t="n"/>
      <c r="AA698" s="39" t="n"/>
      <c r="AB698" s="39" t="n"/>
      <c r="AC698" s="39" t="n"/>
      <c r="AD698" s="39" t="n"/>
      <c r="AE698" s="39" t="n"/>
      <c r="AF698" s="39" t="n"/>
      <c r="AG698" s="39" t="n"/>
      <c r="AH698" s="39" t="n"/>
      <c r="AI698" s="39" t="n"/>
      <c r="AJ698" s="39" t="n"/>
      <c r="AK698" s="39" t="n"/>
      <c r="AL698" s="39" t="n"/>
      <c r="AM698" s="44" t="n"/>
      <c r="AN698" s="44" t="n"/>
      <c r="AO698" s="44" t="n"/>
      <c r="AP698" s="44" t="n"/>
      <c r="AQ698" s="44" t="n"/>
      <c r="AR698" s="44" t="n"/>
      <c r="AS698" s="45" t="n"/>
      <c r="AT698" s="45" t="n"/>
      <c r="AU698" s="45" t="n"/>
    </row>
    <row r="699">
      <c r="B699" s="39" t="n"/>
      <c r="C699" s="39" t="n"/>
      <c r="D699" s="40" t="n"/>
      <c r="E699" s="39" t="n"/>
      <c r="F699" s="39" t="n"/>
      <c r="G699" s="112" t="n"/>
      <c r="H699" s="42" t="n"/>
      <c r="I699" s="42" t="n"/>
      <c r="J699" s="113" t="n"/>
      <c r="K699" s="39" t="n"/>
      <c r="L699" s="39" t="n"/>
      <c r="M699" s="39" t="n"/>
      <c r="N699" s="39" t="n"/>
      <c r="O699" s="39" t="n"/>
      <c r="P699" s="39" t="n"/>
      <c r="Q699" s="39" t="n"/>
      <c r="R699" s="39" t="n"/>
      <c r="S699" s="39" t="n"/>
      <c r="T699" s="39" t="n"/>
      <c r="U699" s="39" t="n"/>
      <c r="V699" s="39" t="n"/>
      <c r="W699" s="39" t="n"/>
      <c r="X699" s="39" t="n"/>
      <c r="Y699" s="39" t="n"/>
      <c r="Z699" s="39" t="n"/>
      <c r="AA699" s="39" t="n"/>
      <c r="AB699" s="39" t="n"/>
      <c r="AC699" s="39" t="n"/>
      <c r="AD699" s="39" t="n"/>
      <c r="AE699" s="39" t="n"/>
      <c r="AF699" s="39" t="n"/>
      <c r="AG699" s="39" t="n"/>
      <c r="AH699" s="39" t="n"/>
      <c r="AI699" s="39" t="n"/>
      <c r="AJ699" s="39" t="n"/>
      <c r="AK699" s="39" t="n"/>
      <c r="AL699" s="39" t="n"/>
      <c r="AM699" s="44" t="n"/>
      <c r="AN699" s="44" t="n"/>
      <c r="AO699" s="44" t="n"/>
      <c r="AP699" s="44" t="n"/>
      <c r="AQ699" s="44" t="n"/>
      <c r="AR699" s="44" t="n"/>
      <c r="AS699" s="45" t="n"/>
      <c r="AT699" s="45" t="n"/>
      <c r="AU699" s="45" t="n"/>
    </row>
    <row r="700">
      <c r="B700" s="39" t="n"/>
      <c r="C700" s="39" t="n"/>
      <c r="D700" s="40" t="n"/>
      <c r="E700" s="39" t="n"/>
      <c r="F700" s="39" t="n"/>
      <c r="G700" s="112" t="n"/>
      <c r="H700" s="42" t="n"/>
      <c r="I700" s="42" t="n"/>
      <c r="J700" s="113" t="n"/>
      <c r="K700" s="39" t="n"/>
      <c r="L700" s="39" t="n"/>
      <c r="M700" s="39" t="n"/>
      <c r="N700" s="39" t="n"/>
      <c r="O700" s="39" t="n"/>
      <c r="P700" s="39" t="n"/>
      <c r="Q700" s="39" t="n"/>
      <c r="R700" s="39" t="n"/>
      <c r="S700" s="39" t="n"/>
      <c r="T700" s="39" t="n"/>
      <c r="U700" s="39" t="n"/>
      <c r="V700" s="39" t="n"/>
      <c r="W700" s="39" t="n"/>
      <c r="X700" s="39" t="n"/>
      <c r="Y700" s="39" t="n"/>
      <c r="Z700" s="39" t="n"/>
      <c r="AA700" s="39" t="n"/>
      <c r="AB700" s="39" t="n"/>
      <c r="AC700" s="39" t="n"/>
      <c r="AD700" s="39" t="n"/>
      <c r="AE700" s="39" t="n"/>
      <c r="AF700" s="39" t="n"/>
      <c r="AG700" s="39" t="n"/>
      <c r="AH700" s="39" t="n"/>
      <c r="AI700" s="39" t="n"/>
      <c r="AJ700" s="39" t="n"/>
      <c r="AK700" s="39" t="n"/>
      <c r="AL700" s="39" t="n"/>
      <c r="AM700" s="44" t="n"/>
      <c r="AN700" s="44" t="n"/>
      <c r="AO700" s="44" t="n"/>
      <c r="AP700" s="44" t="n"/>
      <c r="AQ700" s="44" t="n"/>
      <c r="AR700" s="44" t="n"/>
      <c r="AS700" s="45" t="n"/>
      <c r="AT700" s="45" t="n"/>
      <c r="AU700" s="45" t="n"/>
    </row>
    <row r="701">
      <c r="B701" s="39" t="n"/>
      <c r="C701" s="39" t="n"/>
      <c r="D701" s="40" t="n"/>
      <c r="E701" s="39" t="n"/>
      <c r="F701" s="39" t="n"/>
      <c r="G701" s="112" t="n"/>
      <c r="H701" s="42" t="n"/>
      <c r="I701" s="42" t="n"/>
      <c r="J701" s="113" t="n"/>
      <c r="K701" s="39" t="n"/>
      <c r="L701" s="39" t="n"/>
      <c r="M701" s="39" t="n"/>
      <c r="N701" s="39" t="n"/>
      <c r="O701" s="39" t="n"/>
      <c r="P701" s="39" t="n"/>
      <c r="Q701" s="39" t="n"/>
      <c r="R701" s="39" t="n"/>
      <c r="S701" s="39" t="n"/>
      <c r="T701" s="39" t="n"/>
      <c r="U701" s="39" t="n"/>
      <c r="V701" s="39" t="n"/>
      <c r="W701" s="39" t="n"/>
      <c r="X701" s="39" t="n"/>
      <c r="Y701" s="39" t="n"/>
      <c r="Z701" s="39" t="n"/>
      <c r="AA701" s="39" t="n"/>
      <c r="AB701" s="39" t="n"/>
      <c r="AC701" s="39" t="n"/>
      <c r="AD701" s="39" t="n"/>
      <c r="AE701" s="39" t="n"/>
      <c r="AF701" s="39" t="n"/>
      <c r="AG701" s="39" t="n"/>
      <c r="AH701" s="39" t="n"/>
      <c r="AI701" s="39" t="n"/>
      <c r="AJ701" s="39" t="n"/>
      <c r="AK701" s="39" t="n"/>
      <c r="AL701" s="39" t="n"/>
      <c r="AM701" s="44" t="n"/>
      <c r="AN701" s="44" t="n"/>
      <c r="AO701" s="44" t="n"/>
      <c r="AP701" s="44" t="n"/>
      <c r="AQ701" s="44" t="n"/>
      <c r="AR701" s="44" t="n"/>
      <c r="AS701" s="45" t="n"/>
      <c r="AT701" s="45" t="n"/>
      <c r="AU701" s="45" t="n"/>
    </row>
    <row r="702">
      <c r="B702" s="39" t="n"/>
      <c r="C702" s="39" t="n"/>
      <c r="D702" s="40" t="n"/>
      <c r="E702" s="39" t="n"/>
      <c r="F702" s="39" t="n"/>
      <c r="G702" s="112" t="n"/>
      <c r="H702" s="42" t="n"/>
      <c r="I702" s="42" t="n"/>
      <c r="J702" s="113" t="n"/>
      <c r="K702" s="39" t="n"/>
      <c r="L702" s="39" t="n"/>
      <c r="M702" s="39" t="n"/>
      <c r="N702" s="39" t="n"/>
      <c r="O702" s="39" t="n"/>
      <c r="P702" s="39" t="n"/>
      <c r="Q702" s="39" t="n"/>
      <c r="R702" s="39" t="n"/>
      <c r="S702" s="39" t="n"/>
      <c r="T702" s="39" t="n"/>
      <c r="U702" s="39" t="n"/>
      <c r="V702" s="39" t="n"/>
      <c r="W702" s="39" t="n"/>
      <c r="X702" s="39" t="n"/>
      <c r="Y702" s="39" t="n"/>
      <c r="Z702" s="39" t="n"/>
      <c r="AA702" s="39" t="n"/>
      <c r="AB702" s="39" t="n"/>
      <c r="AC702" s="39" t="n"/>
      <c r="AD702" s="39" t="n"/>
      <c r="AE702" s="39" t="n"/>
      <c r="AF702" s="39" t="n"/>
      <c r="AG702" s="39" t="n"/>
      <c r="AH702" s="39" t="n"/>
      <c r="AI702" s="39" t="n"/>
      <c r="AJ702" s="39" t="n"/>
      <c r="AK702" s="39" t="n"/>
      <c r="AL702" s="39" t="n"/>
      <c r="AM702" s="44" t="n"/>
      <c r="AN702" s="44" t="n"/>
      <c r="AO702" s="44" t="n"/>
      <c r="AP702" s="44" t="n"/>
      <c r="AQ702" s="44" t="n"/>
      <c r="AR702" s="44" t="n"/>
      <c r="AS702" s="45" t="n"/>
      <c r="AT702" s="45" t="n"/>
      <c r="AU702" s="45" t="n"/>
    </row>
    <row r="703">
      <c r="B703" s="39" t="n"/>
      <c r="C703" s="39" t="n"/>
      <c r="D703" s="40" t="n"/>
      <c r="E703" s="39" t="n"/>
      <c r="F703" s="39" t="n"/>
      <c r="G703" s="112" t="n"/>
      <c r="H703" s="42" t="n"/>
      <c r="I703" s="42" t="n"/>
      <c r="J703" s="113" t="n"/>
      <c r="K703" s="39" t="n"/>
      <c r="L703" s="39" t="n"/>
      <c r="M703" s="39" t="n"/>
      <c r="N703" s="39" t="n"/>
      <c r="O703" s="39" t="n"/>
      <c r="P703" s="39" t="n"/>
      <c r="Q703" s="39" t="n"/>
      <c r="R703" s="39" t="n"/>
      <c r="S703" s="39" t="n"/>
      <c r="T703" s="39" t="n"/>
      <c r="U703" s="39" t="n"/>
      <c r="V703" s="39" t="n"/>
      <c r="W703" s="39" t="n"/>
      <c r="X703" s="39" t="n"/>
      <c r="Y703" s="39" t="n"/>
      <c r="Z703" s="39" t="n"/>
      <c r="AA703" s="39" t="n"/>
      <c r="AB703" s="39" t="n"/>
      <c r="AC703" s="39" t="n"/>
      <c r="AD703" s="39" t="n"/>
      <c r="AE703" s="39" t="n"/>
      <c r="AF703" s="39" t="n"/>
      <c r="AG703" s="39" t="n"/>
      <c r="AH703" s="39" t="n"/>
      <c r="AI703" s="39" t="n"/>
      <c r="AJ703" s="39" t="n"/>
      <c r="AK703" s="39" t="n"/>
      <c r="AL703" s="39" t="n"/>
      <c r="AM703" s="44" t="n"/>
      <c r="AN703" s="44" t="n"/>
      <c r="AO703" s="44" t="n"/>
      <c r="AP703" s="44" t="n"/>
      <c r="AQ703" s="44" t="n"/>
      <c r="AR703" s="44" t="n"/>
      <c r="AS703" s="45" t="n"/>
      <c r="AT703" s="45" t="n"/>
      <c r="AU703" s="45" t="n"/>
    </row>
    <row r="704">
      <c r="B704" s="39" t="n"/>
      <c r="C704" s="39" t="n"/>
      <c r="D704" s="40" t="n"/>
      <c r="E704" s="39" t="n"/>
      <c r="F704" s="39" t="n"/>
      <c r="G704" s="112" t="n"/>
      <c r="H704" s="42" t="n"/>
      <c r="I704" s="42" t="n"/>
      <c r="J704" s="113" t="n"/>
      <c r="K704" s="39" t="n"/>
      <c r="L704" s="39" t="n"/>
      <c r="M704" s="39" t="n"/>
      <c r="N704" s="39" t="n"/>
      <c r="O704" s="39" t="n"/>
      <c r="P704" s="39" t="n"/>
      <c r="Q704" s="39" t="n"/>
      <c r="R704" s="39" t="n"/>
      <c r="S704" s="39" t="n"/>
      <c r="T704" s="39" t="n"/>
      <c r="U704" s="39" t="n"/>
      <c r="V704" s="39" t="n"/>
      <c r="W704" s="39" t="n"/>
      <c r="X704" s="39" t="n"/>
      <c r="Y704" s="39" t="n"/>
      <c r="Z704" s="39" t="n"/>
      <c r="AA704" s="39" t="n"/>
      <c r="AB704" s="39" t="n"/>
      <c r="AC704" s="39" t="n"/>
      <c r="AD704" s="39" t="n"/>
      <c r="AE704" s="39" t="n"/>
      <c r="AF704" s="39" t="n"/>
      <c r="AG704" s="39" t="n"/>
      <c r="AH704" s="39" t="n"/>
      <c r="AI704" s="39" t="n"/>
      <c r="AJ704" s="39" t="n"/>
      <c r="AK704" s="39" t="n"/>
      <c r="AL704" s="39" t="n"/>
      <c r="AM704" s="44" t="n"/>
      <c r="AN704" s="44" t="n"/>
      <c r="AO704" s="44" t="n"/>
      <c r="AP704" s="44" t="n"/>
      <c r="AQ704" s="44" t="n"/>
      <c r="AR704" s="44" t="n"/>
      <c r="AS704" s="45" t="n"/>
      <c r="AT704" s="45" t="n"/>
      <c r="AU704" s="45" t="n"/>
    </row>
    <row r="705">
      <c r="B705" s="39" t="n"/>
      <c r="C705" s="39" t="n"/>
      <c r="D705" s="40" t="n"/>
      <c r="E705" s="39" t="n"/>
      <c r="F705" s="39" t="n"/>
      <c r="G705" s="112" t="n"/>
      <c r="H705" s="42" t="n"/>
      <c r="I705" s="42" t="n"/>
      <c r="J705" s="113" t="n"/>
      <c r="K705" s="39" t="n"/>
      <c r="L705" s="39" t="n"/>
      <c r="M705" s="39" t="n"/>
      <c r="N705" s="39" t="n"/>
      <c r="O705" s="39" t="n"/>
      <c r="P705" s="39" t="n"/>
      <c r="Q705" s="39" t="n"/>
      <c r="R705" s="39" t="n"/>
      <c r="S705" s="39" t="n"/>
      <c r="T705" s="39" t="n"/>
      <c r="U705" s="39" t="n"/>
      <c r="V705" s="39" t="n"/>
      <c r="W705" s="39" t="n"/>
      <c r="X705" s="39" t="n"/>
      <c r="Y705" s="39" t="n"/>
      <c r="Z705" s="39" t="n"/>
      <c r="AA705" s="39" t="n"/>
      <c r="AB705" s="39" t="n"/>
      <c r="AC705" s="39" t="n"/>
      <c r="AD705" s="39" t="n"/>
      <c r="AE705" s="39" t="n"/>
      <c r="AF705" s="39" t="n"/>
      <c r="AG705" s="39" t="n"/>
      <c r="AH705" s="39" t="n"/>
      <c r="AI705" s="39" t="n"/>
      <c r="AJ705" s="39" t="n"/>
      <c r="AK705" s="39" t="n"/>
      <c r="AL705" s="39" t="n"/>
      <c r="AM705" s="44" t="n"/>
      <c r="AN705" s="44" t="n"/>
      <c r="AO705" s="44" t="n"/>
      <c r="AP705" s="44" t="n"/>
      <c r="AQ705" s="44" t="n"/>
      <c r="AR705" s="44" t="n"/>
      <c r="AS705" s="45" t="n"/>
      <c r="AT705" s="45" t="n"/>
      <c r="AU705" s="45" t="n"/>
    </row>
    <row r="706">
      <c r="B706" s="39" t="n"/>
      <c r="C706" s="39" t="n"/>
      <c r="D706" s="40" t="n"/>
      <c r="E706" s="39" t="n"/>
      <c r="F706" s="39" t="n"/>
      <c r="G706" s="112" t="n"/>
      <c r="H706" s="42" t="n"/>
      <c r="I706" s="42" t="n"/>
      <c r="J706" s="113" t="n"/>
      <c r="K706" s="39" t="n"/>
      <c r="L706" s="39" t="n"/>
      <c r="M706" s="39" t="n"/>
      <c r="N706" s="39" t="n"/>
      <c r="O706" s="39" t="n"/>
      <c r="P706" s="39" t="n"/>
      <c r="Q706" s="39" t="n"/>
      <c r="R706" s="39" t="n"/>
      <c r="S706" s="39" t="n"/>
      <c r="T706" s="39" t="n"/>
      <c r="U706" s="39" t="n"/>
      <c r="V706" s="39" t="n"/>
      <c r="W706" s="39" t="n"/>
      <c r="X706" s="39" t="n"/>
      <c r="Y706" s="39" t="n"/>
      <c r="Z706" s="39" t="n"/>
      <c r="AA706" s="39" t="n"/>
      <c r="AB706" s="39" t="n"/>
      <c r="AC706" s="39" t="n"/>
      <c r="AD706" s="39" t="n"/>
      <c r="AE706" s="39" t="n"/>
      <c r="AF706" s="39" t="n"/>
      <c r="AG706" s="39" t="n"/>
      <c r="AH706" s="39" t="n"/>
      <c r="AI706" s="39" t="n"/>
      <c r="AJ706" s="39" t="n"/>
      <c r="AK706" s="39" t="n"/>
      <c r="AL706" s="39" t="n"/>
      <c r="AM706" s="44" t="n"/>
      <c r="AN706" s="44" t="n"/>
      <c r="AO706" s="44" t="n"/>
      <c r="AP706" s="44" t="n"/>
      <c r="AQ706" s="44" t="n"/>
      <c r="AR706" s="44" t="n"/>
      <c r="AS706" s="45" t="n"/>
      <c r="AT706" s="45" t="n"/>
      <c r="AU706" s="45" t="n"/>
    </row>
    <row r="707">
      <c r="B707" s="39" t="n"/>
      <c r="C707" s="39" t="n"/>
      <c r="D707" s="40" t="n"/>
      <c r="E707" s="39" t="n"/>
      <c r="F707" s="39" t="n"/>
      <c r="G707" s="112" t="n"/>
      <c r="H707" s="42" t="n"/>
      <c r="I707" s="42" t="n"/>
      <c r="J707" s="113" t="n"/>
      <c r="K707" s="39" t="n"/>
      <c r="L707" s="39" t="n"/>
      <c r="M707" s="39" t="n"/>
      <c r="N707" s="39" t="n"/>
      <c r="O707" s="39" t="n"/>
      <c r="P707" s="39" t="n"/>
      <c r="Q707" s="39" t="n"/>
      <c r="R707" s="39" t="n"/>
      <c r="S707" s="39" t="n"/>
      <c r="T707" s="39" t="n"/>
      <c r="U707" s="39" t="n"/>
      <c r="V707" s="39" t="n"/>
      <c r="W707" s="39" t="n"/>
      <c r="X707" s="39" t="n"/>
      <c r="Y707" s="39" t="n"/>
      <c r="Z707" s="39" t="n"/>
      <c r="AA707" s="39" t="n"/>
      <c r="AB707" s="39" t="n"/>
      <c r="AC707" s="39" t="n"/>
      <c r="AD707" s="39" t="n"/>
      <c r="AE707" s="39" t="n"/>
      <c r="AF707" s="39" t="n"/>
      <c r="AG707" s="39" t="n"/>
      <c r="AH707" s="39" t="n"/>
      <c r="AI707" s="39" t="n"/>
      <c r="AJ707" s="39" t="n"/>
      <c r="AK707" s="39" t="n"/>
      <c r="AL707" s="39" t="n"/>
      <c r="AM707" s="44" t="n"/>
      <c r="AN707" s="44" t="n"/>
      <c r="AO707" s="44" t="n"/>
      <c r="AP707" s="44" t="n"/>
      <c r="AQ707" s="44" t="n"/>
      <c r="AR707" s="44" t="n"/>
      <c r="AS707" s="45" t="n"/>
      <c r="AT707" s="45" t="n"/>
      <c r="AU707" s="45" t="n"/>
    </row>
    <row r="708">
      <c r="B708" s="39" t="n"/>
      <c r="C708" s="39" t="n"/>
      <c r="D708" s="40" t="n"/>
      <c r="E708" s="39" t="n"/>
      <c r="F708" s="39" t="n"/>
      <c r="G708" s="112" t="n"/>
      <c r="H708" s="42" t="n"/>
      <c r="I708" s="42" t="n"/>
      <c r="J708" s="113" t="n"/>
      <c r="K708" s="39" t="n"/>
      <c r="L708" s="39" t="n"/>
      <c r="M708" s="39" t="n"/>
      <c r="N708" s="39" t="n"/>
      <c r="O708" s="39" t="n"/>
      <c r="P708" s="39" t="n"/>
      <c r="Q708" s="39" t="n"/>
      <c r="R708" s="39" t="n"/>
      <c r="S708" s="39" t="n"/>
      <c r="T708" s="39" t="n"/>
      <c r="U708" s="39" t="n"/>
      <c r="V708" s="39" t="n"/>
      <c r="W708" s="39" t="n"/>
      <c r="X708" s="39" t="n"/>
      <c r="Y708" s="39" t="n"/>
      <c r="Z708" s="39" t="n"/>
      <c r="AA708" s="39" t="n"/>
      <c r="AB708" s="39" t="n"/>
      <c r="AC708" s="39" t="n"/>
      <c r="AD708" s="39" t="n"/>
      <c r="AE708" s="39" t="n"/>
      <c r="AF708" s="39" t="n"/>
      <c r="AG708" s="39" t="n"/>
      <c r="AH708" s="39" t="n"/>
      <c r="AI708" s="39" t="n"/>
      <c r="AJ708" s="39" t="n"/>
      <c r="AK708" s="39" t="n"/>
      <c r="AL708" s="39" t="n"/>
      <c r="AM708" s="44" t="n"/>
      <c r="AN708" s="44" t="n"/>
      <c r="AO708" s="44" t="n"/>
      <c r="AP708" s="44" t="n"/>
      <c r="AQ708" s="44" t="n"/>
      <c r="AR708" s="44" t="n"/>
      <c r="AS708" s="45" t="n"/>
      <c r="AT708" s="45" t="n"/>
      <c r="AU708" s="45" t="n"/>
    </row>
    <row r="709">
      <c r="B709" s="39" t="n"/>
      <c r="C709" s="39" t="n"/>
      <c r="D709" s="40" t="n"/>
      <c r="E709" s="39" t="n"/>
      <c r="F709" s="39" t="n"/>
      <c r="G709" s="112" t="n"/>
      <c r="H709" s="42" t="n"/>
      <c r="I709" s="42" t="n"/>
      <c r="J709" s="113" t="n"/>
      <c r="K709" s="39" t="n"/>
      <c r="L709" s="39" t="n"/>
      <c r="M709" s="39" t="n"/>
      <c r="N709" s="39" t="n"/>
      <c r="O709" s="39" t="n"/>
      <c r="P709" s="39" t="n"/>
      <c r="Q709" s="39" t="n"/>
      <c r="R709" s="39" t="n"/>
      <c r="S709" s="39" t="n"/>
      <c r="T709" s="39" t="n"/>
      <c r="U709" s="39" t="n"/>
      <c r="V709" s="39" t="n"/>
      <c r="W709" s="39" t="n"/>
      <c r="X709" s="39" t="n"/>
      <c r="Y709" s="39" t="n"/>
      <c r="Z709" s="39" t="n"/>
      <c r="AA709" s="39" t="n"/>
      <c r="AB709" s="39" t="n"/>
      <c r="AC709" s="39" t="n"/>
      <c r="AD709" s="39" t="n"/>
      <c r="AE709" s="39" t="n"/>
      <c r="AF709" s="39" t="n"/>
      <c r="AG709" s="39" t="n"/>
      <c r="AH709" s="39" t="n"/>
      <c r="AI709" s="39" t="n"/>
      <c r="AJ709" s="39" t="n"/>
      <c r="AK709" s="39" t="n"/>
      <c r="AL709" s="39" t="n"/>
      <c r="AM709" s="44" t="n"/>
      <c r="AN709" s="44" t="n"/>
      <c r="AO709" s="44" t="n"/>
      <c r="AP709" s="44" t="n"/>
      <c r="AQ709" s="44" t="n"/>
      <c r="AR709" s="44" t="n"/>
      <c r="AS709" s="45" t="n"/>
      <c r="AT709" s="45" t="n"/>
      <c r="AU709" s="45" t="n"/>
    </row>
    <row r="710">
      <c r="B710" s="39" t="n"/>
      <c r="C710" s="39" t="n"/>
      <c r="D710" s="40" t="n"/>
      <c r="E710" s="39" t="n"/>
      <c r="F710" s="39" t="n"/>
      <c r="G710" s="112" t="n"/>
      <c r="H710" s="42" t="n"/>
      <c r="I710" s="42" t="n"/>
      <c r="J710" s="113" t="n"/>
      <c r="K710" s="39" t="n"/>
      <c r="L710" s="39" t="n"/>
      <c r="M710" s="39" t="n"/>
      <c r="N710" s="39" t="n"/>
      <c r="O710" s="39" t="n"/>
      <c r="P710" s="39" t="n"/>
      <c r="Q710" s="39" t="n"/>
      <c r="R710" s="39" t="n"/>
      <c r="S710" s="39" t="n"/>
      <c r="T710" s="39" t="n"/>
      <c r="U710" s="39" t="n"/>
      <c r="V710" s="39" t="n"/>
      <c r="W710" s="39" t="n"/>
      <c r="X710" s="39" t="n"/>
      <c r="Y710" s="39" t="n"/>
      <c r="Z710" s="39" t="n"/>
      <c r="AA710" s="39" t="n"/>
      <c r="AB710" s="39" t="n"/>
      <c r="AC710" s="39" t="n"/>
      <c r="AD710" s="39" t="n"/>
      <c r="AE710" s="39" t="n"/>
      <c r="AF710" s="39" t="n"/>
      <c r="AG710" s="39" t="n"/>
      <c r="AH710" s="39" t="n"/>
      <c r="AI710" s="39" t="n"/>
      <c r="AJ710" s="39" t="n"/>
      <c r="AK710" s="39" t="n"/>
      <c r="AL710" s="39" t="n"/>
      <c r="AM710" s="44" t="n"/>
      <c r="AN710" s="44" t="n"/>
      <c r="AO710" s="44" t="n"/>
      <c r="AP710" s="44" t="n"/>
      <c r="AQ710" s="44" t="n"/>
      <c r="AR710" s="44" t="n"/>
      <c r="AS710" s="45" t="n"/>
      <c r="AT710" s="45" t="n"/>
      <c r="AU710" s="45" t="n"/>
    </row>
    <row r="711">
      <c r="B711" s="39" t="n"/>
      <c r="C711" s="39" t="n"/>
      <c r="D711" s="40" t="n"/>
      <c r="E711" s="39" t="n"/>
      <c r="F711" s="39" t="n"/>
      <c r="G711" s="112" t="n"/>
      <c r="H711" s="42" t="n"/>
      <c r="I711" s="42" t="n"/>
      <c r="J711" s="113" t="n"/>
      <c r="K711" s="39" t="n"/>
      <c r="L711" s="39" t="n"/>
      <c r="M711" s="39" t="n"/>
      <c r="N711" s="39" t="n"/>
      <c r="O711" s="39" t="n"/>
      <c r="P711" s="39" t="n"/>
      <c r="Q711" s="39" t="n"/>
      <c r="R711" s="39" t="n"/>
      <c r="S711" s="39" t="n"/>
      <c r="T711" s="39" t="n"/>
      <c r="U711" s="39" t="n"/>
      <c r="V711" s="39" t="n"/>
      <c r="W711" s="39" t="n"/>
      <c r="X711" s="39" t="n"/>
      <c r="Y711" s="39" t="n"/>
      <c r="Z711" s="39" t="n"/>
      <c r="AA711" s="39" t="n"/>
      <c r="AB711" s="39" t="n"/>
      <c r="AC711" s="39" t="n"/>
      <c r="AD711" s="39" t="n"/>
      <c r="AE711" s="39" t="n"/>
      <c r="AF711" s="39" t="n"/>
      <c r="AG711" s="39" t="n"/>
      <c r="AH711" s="39" t="n"/>
      <c r="AI711" s="39" t="n"/>
      <c r="AJ711" s="39" t="n"/>
      <c r="AK711" s="39" t="n"/>
      <c r="AL711" s="39" t="n"/>
      <c r="AM711" s="44" t="n"/>
      <c r="AN711" s="44" t="n"/>
      <c r="AO711" s="44" t="n"/>
      <c r="AP711" s="44" t="n"/>
      <c r="AQ711" s="44" t="n"/>
      <c r="AR711" s="44" t="n"/>
      <c r="AS711" s="45" t="n"/>
      <c r="AT711" s="45" t="n"/>
      <c r="AU711" s="45" t="n"/>
    </row>
    <row r="712">
      <c r="B712" s="39" t="n"/>
      <c r="C712" s="39" t="n"/>
      <c r="D712" s="40" t="n"/>
      <c r="E712" s="39" t="n"/>
      <c r="F712" s="39" t="n"/>
      <c r="G712" s="112" t="n"/>
      <c r="H712" s="42" t="n"/>
      <c r="I712" s="42" t="n"/>
      <c r="J712" s="113" t="n"/>
      <c r="K712" s="39" t="n"/>
      <c r="L712" s="39" t="n"/>
      <c r="M712" s="39" t="n"/>
      <c r="N712" s="39" t="n"/>
      <c r="O712" s="39" t="n"/>
      <c r="P712" s="39" t="n"/>
      <c r="Q712" s="39" t="n"/>
      <c r="R712" s="39" t="n"/>
      <c r="S712" s="39" t="n"/>
      <c r="T712" s="39" t="n"/>
      <c r="U712" s="39" t="n"/>
      <c r="V712" s="39" t="n"/>
      <c r="W712" s="39" t="n"/>
      <c r="X712" s="39" t="n"/>
      <c r="Y712" s="39" t="n"/>
      <c r="Z712" s="39" t="n"/>
      <c r="AA712" s="39" t="n"/>
      <c r="AB712" s="39" t="n"/>
      <c r="AC712" s="39" t="n"/>
      <c r="AD712" s="39" t="n"/>
      <c r="AE712" s="39" t="n"/>
      <c r="AF712" s="39" t="n"/>
      <c r="AG712" s="39" t="n"/>
      <c r="AH712" s="39" t="n"/>
      <c r="AI712" s="39" t="n"/>
      <c r="AJ712" s="39" t="n"/>
      <c r="AK712" s="39" t="n"/>
      <c r="AL712" s="39" t="n"/>
      <c r="AM712" s="44" t="n"/>
      <c r="AN712" s="44" t="n"/>
      <c r="AO712" s="44" t="n"/>
      <c r="AP712" s="44" t="n"/>
      <c r="AQ712" s="44" t="n"/>
      <c r="AR712" s="44" t="n"/>
      <c r="AS712" s="45" t="n"/>
      <c r="AT712" s="45" t="n"/>
      <c r="AU712" s="45" t="n"/>
    </row>
    <row r="713">
      <c r="B713" s="39" t="n"/>
      <c r="C713" s="39" t="n"/>
      <c r="D713" s="40" t="n"/>
      <c r="E713" s="39" t="n"/>
      <c r="F713" s="39" t="n"/>
      <c r="G713" s="112" t="n"/>
      <c r="H713" s="42" t="n"/>
      <c r="I713" s="42" t="n"/>
      <c r="J713" s="113" t="n"/>
      <c r="K713" s="39" t="n"/>
      <c r="L713" s="39" t="n"/>
      <c r="M713" s="39" t="n"/>
      <c r="N713" s="39" t="n"/>
      <c r="O713" s="39" t="n"/>
      <c r="P713" s="39" t="n"/>
      <c r="Q713" s="39" t="n"/>
      <c r="R713" s="39" t="n"/>
      <c r="S713" s="39" t="n"/>
      <c r="T713" s="39" t="n"/>
      <c r="U713" s="39" t="n"/>
      <c r="V713" s="39" t="n"/>
      <c r="W713" s="39" t="n"/>
      <c r="X713" s="39" t="n"/>
      <c r="Y713" s="39" t="n"/>
      <c r="Z713" s="39" t="n"/>
      <c r="AA713" s="39" t="n"/>
      <c r="AB713" s="39" t="n"/>
      <c r="AC713" s="39" t="n"/>
      <c r="AD713" s="39" t="n"/>
      <c r="AE713" s="39" t="n"/>
      <c r="AF713" s="39" t="n"/>
      <c r="AG713" s="39" t="n"/>
      <c r="AH713" s="39" t="n"/>
      <c r="AI713" s="39" t="n"/>
      <c r="AJ713" s="39" t="n"/>
      <c r="AK713" s="39" t="n"/>
      <c r="AL713" s="39" t="n"/>
      <c r="AM713" s="44" t="n"/>
      <c r="AN713" s="44" t="n"/>
      <c r="AO713" s="44" t="n"/>
      <c r="AP713" s="44" t="n"/>
      <c r="AQ713" s="44" t="n"/>
      <c r="AR713" s="44" t="n"/>
      <c r="AS713" s="45" t="n"/>
      <c r="AT713" s="45" t="n"/>
      <c r="AU713" s="45" t="n"/>
    </row>
    <row r="714">
      <c r="B714" s="39" t="n"/>
      <c r="C714" s="39" t="n"/>
      <c r="D714" s="40" t="n"/>
      <c r="E714" s="39" t="n"/>
      <c r="F714" s="39" t="n"/>
      <c r="G714" s="112" t="n"/>
      <c r="H714" s="42" t="n"/>
      <c r="I714" s="42" t="n"/>
      <c r="J714" s="113" t="n"/>
      <c r="K714" s="39" t="n"/>
      <c r="L714" s="39" t="n"/>
      <c r="M714" s="39" t="n"/>
      <c r="N714" s="39" t="n"/>
      <c r="O714" s="39" t="n"/>
      <c r="P714" s="39" t="n"/>
      <c r="Q714" s="39" t="n"/>
      <c r="R714" s="39" t="n"/>
      <c r="S714" s="39" t="n"/>
      <c r="T714" s="39" t="n"/>
      <c r="U714" s="39" t="n"/>
      <c r="V714" s="39" t="n"/>
      <c r="W714" s="39" t="n"/>
      <c r="X714" s="39" t="n"/>
      <c r="Y714" s="39" t="n"/>
      <c r="Z714" s="39" t="n"/>
      <c r="AA714" s="39" t="n"/>
      <c r="AB714" s="39" t="n"/>
      <c r="AC714" s="39" t="n"/>
      <c r="AD714" s="39" t="n"/>
      <c r="AE714" s="39" t="n"/>
      <c r="AF714" s="39" t="n"/>
      <c r="AG714" s="39" t="n"/>
      <c r="AH714" s="39" t="n"/>
      <c r="AI714" s="39" t="n"/>
      <c r="AJ714" s="39" t="n"/>
      <c r="AK714" s="39" t="n"/>
      <c r="AL714" s="39" t="n"/>
      <c r="AM714" s="44" t="n"/>
      <c r="AN714" s="44" t="n"/>
      <c r="AO714" s="44" t="n"/>
      <c r="AP714" s="44" t="n"/>
      <c r="AQ714" s="44" t="n"/>
      <c r="AR714" s="44" t="n"/>
      <c r="AS714" s="45" t="n"/>
      <c r="AT714" s="45" t="n"/>
      <c r="AU714" s="45" t="n"/>
    </row>
    <row r="715">
      <c r="B715" s="39" t="n"/>
      <c r="C715" s="39" t="n"/>
      <c r="D715" s="40" t="n"/>
      <c r="E715" s="39" t="n"/>
      <c r="F715" s="39" t="n"/>
      <c r="G715" s="112" t="n"/>
      <c r="H715" s="42" t="n"/>
      <c r="I715" s="42" t="n"/>
      <c r="J715" s="113" t="n"/>
      <c r="K715" s="39" t="n"/>
      <c r="L715" s="39" t="n"/>
      <c r="M715" s="39" t="n"/>
      <c r="N715" s="39" t="n"/>
      <c r="O715" s="39" t="n"/>
      <c r="P715" s="39" t="n"/>
      <c r="Q715" s="39" t="n"/>
      <c r="R715" s="39" t="n"/>
      <c r="S715" s="39" t="n"/>
      <c r="T715" s="39" t="n"/>
      <c r="U715" s="39" t="n"/>
      <c r="V715" s="39" t="n"/>
      <c r="W715" s="39" t="n"/>
      <c r="X715" s="39" t="n"/>
      <c r="Y715" s="39" t="n"/>
      <c r="Z715" s="39" t="n"/>
      <c r="AA715" s="39" t="n"/>
      <c r="AB715" s="39" t="n"/>
      <c r="AC715" s="39" t="n"/>
      <c r="AD715" s="39" t="n"/>
      <c r="AE715" s="39" t="n"/>
      <c r="AF715" s="39" t="n"/>
      <c r="AG715" s="39" t="n"/>
      <c r="AH715" s="39" t="n"/>
      <c r="AI715" s="39" t="n"/>
      <c r="AJ715" s="39" t="n"/>
      <c r="AK715" s="39" t="n"/>
      <c r="AL715" s="39" t="n"/>
      <c r="AM715" s="44" t="n"/>
      <c r="AN715" s="44" t="n"/>
      <c r="AO715" s="44" t="n"/>
      <c r="AP715" s="44" t="n"/>
      <c r="AQ715" s="44" t="n"/>
      <c r="AR715" s="44" t="n"/>
      <c r="AS715" s="45" t="n"/>
      <c r="AT715" s="45" t="n"/>
      <c r="AU715" s="45" t="n"/>
    </row>
    <row r="716">
      <c r="B716" s="39" t="n"/>
      <c r="C716" s="39" t="n"/>
      <c r="D716" s="40" t="n"/>
      <c r="E716" s="39" t="n"/>
      <c r="F716" s="39" t="n"/>
      <c r="G716" s="112" t="n"/>
      <c r="H716" s="42" t="n"/>
      <c r="I716" s="42" t="n"/>
      <c r="J716" s="113" t="n"/>
      <c r="K716" s="39" t="n"/>
      <c r="L716" s="39" t="n"/>
      <c r="M716" s="39" t="n"/>
      <c r="N716" s="39" t="n"/>
      <c r="O716" s="39" t="n"/>
      <c r="P716" s="39" t="n"/>
      <c r="Q716" s="39" t="n"/>
      <c r="R716" s="39" t="n"/>
      <c r="S716" s="39" t="n"/>
      <c r="T716" s="39" t="n"/>
      <c r="U716" s="39" t="n"/>
      <c r="V716" s="39" t="n"/>
      <c r="W716" s="39" t="n"/>
      <c r="X716" s="39" t="n"/>
      <c r="Y716" s="39" t="n"/>
      <c r="Z716" s="39" t="n"/>
      <c r="AA716" s="39" t="n"/>
      <c r="AB716" s="39" t="n"/>
      <c r="AC716" s="39" t="n"/>
      <c r="AD716" s="39" t="n"/>
      <c r="AE716" s="39" t="n"/>
      <c r="AF716" s="39" t="n"/>
      <c r="AG716" s="39" t="n"/>
      <c r="AH716" s="39" t="n"/>
      <c r="AI716" s="39" t="n"/>
      <c r="AJ716" s="39" t="n"/>
      <c r="AK716" s="39" t="n"/>
      <c r="AL716" s="39" t="n"/>
      <c r="AM716" s="44" t="n"/>
      <c r="AN716" s="44" t="n"/>
      <c r="AO716" s="44" t="n"/>
      <c r="AP716" s="44" t="n"/>
      <c r="AQ716" s="44" t="n"/>
      <c r="AR716" s="44" t="n"/>
      <c r="AS716" s="45" t="n"/>
      <c r="AT716" s="45" t="n"/>
      <c r="AU716" s="45" t="n"/>
    </row>
    <row r="717">
      <c r="B717" s="39" t="n"/>
      <c r="C717" s="39" t="n"/>
      <c r="D717" s="40" t="n"/>
      <c r="E717" s="39" t="n"/>
      <c r="F717" s="39" t="n"/>
      <c r="G717" s="112" t="n"/>
      <c r="H717" s="42" t="n"/>
      <c r="I717" s="42" t="n"/>
      <c r="J717" s="113" t="n"/>
      <c r="K717" s="39" t="n"/>
      <c r="L717" s="39" t="n"/>
      <c r="M717" s="39" t="n"/>
      <c r="N717" s="39" t="n"/>
      <c r="O717" s="39" t="n"/>
      <c r="P717" s="39" t="n"/>
      <c r="Q717" s="39" t="n"/>
      <c r="R717" s="39" t="n"/>
      <c r="S717" s="39" t="n"/>
      <c r="T717" s="39" t="n"/>
      <c r="U717" s="39" t="n"/>
      <c r="V717" s="39" t="n"/>
      <c r="W717" s="39" t="n"/>
      <c r="X717" s="39" t="n"/>
      <c r="Y717" s="39" t="n"/>
      <c r="Z717" s="39" t="n"/>
      <c r="AA717" s="39" t="n"/>
      <c r="AB717" s="39" t="n"/>
      <c r="AC717" s="39" t="n"/>
      <c r="AD717" s="39" t="n"/>
      <c r="AE717" s="39" t="n"/>
      <c r="AF717" s="39" t="n"/>
      <c r="AG717" s="39" t="n"/>
      <c r="AH717" s="39" t="n"/>
      <c r="AI717" s="39" t="n"/>
      <c r="AJ717" s="39" t="n"/>
      <c r="AK717" s="39" t="n"/>
      <c r="AL717" s="39" t="n"/>
      <c r="AM717" s="44" t="n"/>
      <c r="AN717" s="44" t="n"/>
      <c r="AO717" s="44" t="n"/>
      <c r="AP717" s="44" t="n"/>
      <c r="AQ717" s="44" t="n"/>
      <c r="AR717" s="44" t="n"/>
      <c r="AS717" s="45" t="n"/>
      <c r="AT717" s="45" t="n"/>
      <c r="AU717" s="45" t="n"/>
    </row>
    <row r="718">
      <c r="B718" s="39" t="n"/>
      <c r="C718" s="39" t="n"/>
      <c r="D718" s="40" t="n"/>
      <c r="E718" s="39" t="n"/>
      <c r="F718" s="39" t="n"/>
      <c r="G718" s="112" t="n"/>
      <c r="H718" s="42" t="n"/>
      <c r="I718" s="42" t="n"/>
      <c r="J718" s="113" t="n"/>
      <c r="K718" s="39" t="n"/>
      <c r="L718" s="39" t="n"/>
      <c r="M718" s="39" t="n"/>
      <c r="N718" s="39" t="n"/>
      <c r="O718" s="39" t="n"/>
      <c r="P718" s="39" t="n"/>
      <c r="Q718" s="39" t="n"/>
      <c r="R718" s="39" t="n"/>
      <c r="S718" s="39" t="n"/>
      <c r="T718" s="39" t="n"/>
      <c r="U718" s="39" t="n"/>
      <c r="V718" s="39" t="n"/>
      <c r="W718" s="39" t="n"/>
      <c r="X718" s="39" t="n"/>
      <c r="Y718" s="39" t="n"/>
      <c r="Z718" s="39" t="n"/>
      <c r="AA718" s="39" t="n"/>
      <c r="AB718" s="39" t="n"/>
      <c r="AC718" s="39" t="n"/>
      <c r="AD718" s="39" t="n"/>
      <c r="AE718" s="39" t="n"/>
      <c r="AF718" s="39" t="n"/>
      <c r="AG718" s="39" t="n"/>
      <c r="AH718" s="39" t="n"/>
      <c r="AI718" s="39" t="n"/>
      <c r="AJ718" s="39" t="n"/>
      <c r="AK718" s="39" t="n"/>
      <c r="AL718" s="39" t="n"/>
      <c r="AM718" s="44" t="n"/>
      <c r="AN718" s="44" t="n"/>
      <c r="AO718" s="44" t="n"/>
      <c r="AP718" s="44" t="n"/>
      <c r="AQ718" s="44" t="n"/>
      <c r="AR718" s="44" t="n"/>
      <c r="AS718" s="45" t="n"/>
      <c r="AT718" s="45" t="n"/>
      <c r="AU718" s="45" t="n"/>
    </row>
    <row r="719">
      <c r="B719" s="39" t="n"/>
      <c r="C719" s="39" t="n"/>
      <c r="D719" s="40" t="n"/>
      <c r="E719" s="39" t="n"/>
      <c r="F719" s="39" t="n"/>
      <c r="G719" s="112" t="n"/>
      <c r="H719" s="42" t="n"/>
      <c r="I719" s="42" t="n"/>
      <c r="J719" s="113" t="n"/>
      <c r="K719" s="39" t="n"/>
      <c r="L719" s="39" t="n"/>
      <c r="M719" s="39" t="n"/>
      <c r="N719" s="39" t="n"/>
      <c r="O719" s="39" t="n"/>
      <c r="P719" s="39" t="n"/>
      <c r="Q719" s="39" t="n"/>
      <c r="R719" s="39" t="n"/>
      <c r="S719" s="39" t="n"/>
      <c r="T719" s="39" t="n"/>
      <c r="U719" s="39" t="n"/>
      <c r="V719" s="39" t="n"/>
      <c r="W719" s="39" t="n"/>
      <c r="X719" s="39" t="n"/>
      <c r="Y719" s="39" t="n"/>
      <c r="Z719" s="39" t="n"/>
      <c r="AA719" s="39" t="n"/>
      <c r="AB719" s="39" t="n"/>
      <c r="AC719" s="39" t="n"/>
      <c r="AD719" s="39" t="n"/>
      <c r="AE719" s="39" t="n"/>
      <c r="AF719" s="39" t="n"/>
      <c r="AG719" s="39" t="n"/>
      <c r="AH719" s="39" t="n"/>
      <c r="AI719" s="39" t="n"/>
      <c r="AJ719" s="39" t="n"/>
      <c r="AK719" s="39" t="n"/>
      <c r="AL719" s="39" t="n"/>
      <c r="AM719" s="44" t="n"/>
      <c r="AN719" s="44" t="n"/>
      <c r="AO719" s="44" t="n"/>
      <c r="AP719" s="44" t="n"/>
      <c r="AQ719" s="44" t="n"/>
      <c r="AR719" s="44" t="n"/>
      <c r="AS719" s="45" t="n"/>
      <c r="AT719" s="45" t="n"/>
      <c r="AU719" s="45" t="n"/>
    </row>
    <row r="720">
      <c r="B720" s="39" t="n"/>
      <c r="C720" s="39" t="n"/>
      <c r="D720" s="40" t="n"/>
      <c r="E720" s="39" t="n"/>
      <c r="F720" s="39" t="n"/>
      <c r="G720" s="112" t="n"/>
      <c r="H720" s="42" t="n"/>
      <c r="I720" s="42" t="n"/>
      <c r="J720" s="113" t="n"/>
      <c r="K720" s="39" t="n"/>
      <c r="L720" s="39" t="n"/>
      <c r="M720" s="39" t="n"/>
      <c r="N720" s="39" t="n"/>
      <c r="O720" s="39" t="n"/>
      <c r="P720" s="39" t="n"/>
      <c r="Q720" s="39" t="n"/>
      <c r="R720" s="39" t="n"/>
      <c r="S720" s="39" t="n"/>
      <c r="T720" s="39" t="n"/>
      <c r="U720" s="39" t="n"/>
      <c r="V720" s="39" t="n"/>
      <c r="W720" s="39" t="n"/>
      <c r="X720" s="39" t="n"/>
      <c r="Y720" s="39" t="n"/>
      <c r="Z720" s="39" t="n"/>
      <c r="AA720" s="39" t="n"/>
      <c r="AB720" s="39" t="n"/>
      <c r="AC720" s="39" t="n"/>
      <c r="AD720" s="39" t="n"/>
      <c r="AE720" s="39" t="n"/>
      <c r="AF720" s="39" t="n"/>
      <c r="AG720" s="39" t="n"/>
      <c r="AH720" s="39" t="n"/>
      <c r="AI720" s="39" t="n"/>
      <c r="AJ720" s="39" t="n"/>
      <c r="AK720" s="39" t="n"/>
      <c r="AL720" s="39" t="n"/>
      <c r="AM720" s="44" t="n"/>
      <c r="AN720" s="44" t="n"/>
      <c r="AO720" s="44" t="n"/>
      <c r="AP720" s="44" t="n"/>
      <c r="AQ720" s="44" t="n"/>
      <c r="AR720" s="44" t="n"/>
      <c r="AS720" s="45" t="n"/>
      <c r="AT720" s="45" t="n"/>
      <c r="AU720" s="45" t="n"/>
    </row>
    <row r="721">
      <c r="B721" s="39" t="n"/>
      <c r="C721" s="39" t="n"/>
      <c r="D721" s="40" t="n"/>
      <c r="E721" s="39" t="n"/>
      <c r="F721" s="39" t="n"/>
      <c r="G721" s="112" t="n"/>
      <c r="H721" s="42" t="n"/>
      <c r="I721" s="42" t="n"/>
      <c r="J721" s="113" t="n"/>
      <c r="K721" s="39" t="n"/>
      <c r="L721" s="39" t="n"/>
      <c r="M721" s="39" t="n"/>
      <c r="N721" s="39" t="n"/>
      <c r="O721" s="39" t="n"/>
      <c r="P721" s="39" t="n"/>
      <c r="Q721" s="39" t="n"/>
      <c r="R721" s="39" t="n"/>
      <c r="S721" s="39" t="n"/>
      <c r="T721" s="39" t="n"/>
      <c r="U721" s="39" t="n"/>
      <c r="V721" s="39" t="n"/>
      <c r="W721" s="39" t="n"/>
      <c r="X721" s="39" t="n"/>
      <c r="Y721" s="39" t="n"/>
      <c r="Z721" s="39" t="n"/>
      <c r="AA721" s="39" t="n"/>
      <c r="AB721" s="39" t="n"/>
      <c r="AC721" s="39" t="n"/>
      <c r="AD721" s="39" t="n"/>
      <c r="AE721" s="39" t="n"/>
      <c r="AF721" s="39" t="n"/>
      <c r="AG721" s="39" t="n"/>
      <c r="AH721" s="39" t="n"/>
      <c r="AI721" s="39" t="n"/>
      <c r="AJ721" s="39" t="n"/>
      <c r="AK721" s="39" t="n"/>
      <c r="AL721" s="39" t="n"/>
      <c r="AM721" s="44" t="n"/>
      <c r="AN721" s="44" t="n"/>
      <c r="AO721" s="44" t="n"/>
      <c r="AP721" s="44" t="n"/>
      <c r="AQ721" s="44" t="n"/>
      <c r="AR721" s="44" t="n"/>
      <c r="AS721" s="45" t="n"/>
      <c r="AT721" s="45" t="n"/>
      <c r="AU721" s="45" t="n"/>
    </row>
    <row r="722">
      <c r="B722" s="39" t="n"/>
      <c r="C722" s="39" t="n"/>
      <c r="D722" s="40" t="n"/>
      <c r="E722" s="39" t="n"/>
      <c r="F722" s="39" t="n"/>
      <c r="G722" s="112" t="n"/>
      <c r="H722" s="42" t="n"/>
      <c r="I722" s="42" t="n"/>
      <c r="J722" s="113" t="n"/>
      <c r="K722" s="39" t="n"/>
      <c r="L722" s="39" t="n"/>
      <c r="M722" s="39" t="n"/>
      <c r="N722" s="39" t="n"/>
      <c r="O722" s="39" t="n"/>
      <c r="P722" s="39" t="n"/>
      <c r="Q722" s="39" t="n"/>
      <c r="R722" s="39" t="n"/>
      <c r="S722" s="39" t="n"/>
      <c r="T722" s="39" t="n"/>
      <c r="U722" s="39" t="n"/>
      <c r="V722" s="39" t="n"/>
      <c r="W722" s="39" t="n"/>
      <c r="X722" s="39" t="n"/>
      <c r="Y722" s="39" t="n"/>
      <c r="Z722" s="39" t="n"/>
      <c r="AA722" s="39" t="n"/>
      <c r="AB722" s="39" t="n"/>
      <c r="AC722" s="39" t="n"/>
      <c r="AD722" s="39" t="n"/>
      <c r="AE722" s="39" t="n"/>
      <c r="AF722" s="39" t="n"/>
      <c r="AG722" s="39" t="n"/>
      <c r="AH722" s="39" t="n"/>
      <c r="AI722" s="39" t="n"/>
      <c r="AJ722" s="39" t="n"/>
      <c r="AK722" s="39" t="n"/>
      <c r="AL722" s="39" t="n"/>
      <c r="AM722" s="44" t="n"/>
      <c r="AN722" s="44" t="n"/>
      <c r="AO722" s="44" t="n"/>
      <c r="AP722" s="44" t="n"/>
      <c r="AQ722" s="44" t="n"/>
      <c r="AR722" s="44" t="n"/>
      <c r="AS722" s="45" t="n"/>
      <c r="AT722" s="45" t="n"/>
      <c r="AU722" s="45" t="n"/>
    </row>
    <row r="723">
      <c r="B723" s="39" t="n"/>
      <c r="C723" s="39" t="n"/>
      <c r="D723" s="40" t="n"/>
      <c r="E723" s="39" t="n"/>
      <c r="F723" s="39" t="n"/>
      <c r="G723" s="112" t="n"/>
      <c r="H723" s="42" t="n"/>
      <c r="I723" s="42" t="n"/>
      <c r="J723" s="113" t="n"/>
      <c r="K723" s="39" t="n"/>
      <c r="L723" s="39" t="n"/>
      <c r="M723" s="39" t="n"/>
      <c r="N723" s="39" t="n"/>
      <c r="O723" s="39" t="n"/>
      <c r="P723" s="39" t="n"/>
      <c r="Q723" s="39" t="n"/>
      <c r="R723" s="39" t="n"/>
      <c r="S723" s="39" t="n"/>
      <c r="T723" s="39" t="n"/>
      <c r="U723" s="39" t="n"/>
      <c r="V723" s="39" t="n"/>
      <c r="W723" s="39" t="n"/>
      <c r="X723" s="39" t="n"/>
      <c r="Y723" s="39" t="n"/>
      <c r="Z723" s="39" t="n"/>
      <c r="AA723" s="39" t="n"/>
      <c r="AB723" s="39" t="n"/>
      <c r="AC723" s="39" t="n"/>
      <c r="AD723" s="39" t="n"/>
      <c r="AE723" s="39" t="n"/>
      <c r="AF723" s="39" t="n"/>
      <c r="AG723" s="39" t="n"/>
      <c r="AH723" s="39" t="n"/>
      <c r="AI723" s="39" t="n"/>
      <c r="AJ723" s="39" t="n"/>
      <c r="AK723" s="39" t="n"/>
      <c r="AL723" s="39" t="n"/>
      <c r="AM723" s="44" t="n"/>
      <c r="AN723" s="44" t="n"/>
      <c r="AO723" s="44" t="n"/>
      <c r="AP723" s="44" t="n"/>
      <c r="AQ723" s="44" t="n"/>
      <c r="AR723" s="44" t="n"/>
      <c r="AS723" s="45" t="n"/>
      <c r="AT723" s="45" t="n"/>
      <c r="AU723" s="45" t="n"/>
    </row>
    <row r="724">
      <c r="B724" s="39" t="n"/>
      <c r="C724" s="39" t="n"/>
      <c r="D724" s="40" t="n"/>
      <c r="E724" s="39" t="n"/>
      <c r="F724" s="39" t="n"/>
      <c r="G724" s="112" t="n"/>
      <c r="H724" s="42" t="n"/>
      <c r="I724" s="42" t="n"/>
      <c r="J724" s="113" t="n"/>
      <c r="K724" s="39" t="n"/>
      <c r="L724" s="39" t="n"/>
      <c r="M724" s="39" t="n"/>
      <c r="N724" s="39" t="n"/>
      <c r="O724" s="39" t="n"/>
      <c r="P724" s="39" t="n"/>
      <c r="Q724" s="39" t="n"/>
      <c r="R724" s="39" t="n"/>
      <c r="S724" s="39" t="n"/>
      <c r="T724" s="39" t="n"/>
      <c r="U724" s="39" t="n"/>
      <c r="V724" s="39" t="n"/>
      <c r="W724" s="39" t="n"/>
      <c r="X724" s="39" t="n"/>
      <c r="Y724" s="39" t="n"/>
      <c r="Z724" s="39" t="n"/>
      <c r="AA724" s="39" t="n"/>
      <c r="AB724" s="39" t="n"/>
      <c r="AC724" s="39" t="n"/>
      <c r="AD724" s="39" t="n"/>
      <c r="AE724" s="39" t="n"/>
      <c r="AF724" s="39" t="n"/>
      <c r="AG724" s="39" t="n"/>
      <c r="AH724" s="39" t="n"/>
      <c r="AI724" s="39" t="n"/>
      <c r="AJ724" s="39" t="n"/>
      <c r="AK724" s="39" t="n"/>
      <c r="AL724" s="39" t="n"/>
      <c r="AM724" s="44" t="n"/>
      <c r="AN724" s="44" t="n"/>
      <c r="AO724" s="44" t="n"/>
      <c r="AP724" s="44" t="n"/>
      <c r="AQ724" s="44" t="n"/>
      <c r="AR724" s="44" t="n"/>
      <c r="AS724" s="45" t="n"/>
      <c r="AT724" s="45" t="n"/>
      <c r="AU724" s="45" t="n"/>
    </row>
    <row r="725">
      <c r="B725" s="39" t="n"/>
      <c r="C725" s="39" t="n"/>
      <c r="D725" s="40" t="n"/>
      <c r="E725" s="39" t="n"/>
      <c r="F725" s="39" t="n"/>
      <c r="G725" s="112" t="n"/>
      <c r="H725" s="42" t="n"/>
      <c r="I725" s="42" t="n"/>
      <c r="J725" s="113" t="n"/>
      <c r="K725" s="39" t="n"/>
      <c r="L725" s="39" t="n"/>
      <c r="M725" s="39" t="n"/>
      <c r="N725" s="39" t="n"/>
      <c r="O725" s="39" t="n"/>
      <c r="P725" s="39" t="n"/>
      <c r="Q725" s="39" t="n"/>
      <c r="R725" s="39" t="n"/>
      <c r="S725" s="39" t="n"/>
      <c r="T725" s="39" t="n"/>
      <c r="U725" s="39" t="n"/>
      <c r="V725" s="39" t="n"/>
      <c r="W725" s="39" t="n"/>
      <c r="X725" s="39" t="n"/>
      <c r="Y725" s="39" t="n"/>
      <c r="Z725" s="39" t="n"/>
      <c r="AA725" s="39" t="n"/>
      <c r="AB725" s="39" t="n"/>
      <c r="AC725" s="39" t="n"/>
      <c r="AD725" s="39" t="n"/>
      <c r="AE725" s="39" t="n"/>
      <c r="AF725" s="39" t="n"/>
      <c r="AG725" s="39" t="n"/>
      <c r="AH725" s="39" t="n"/>
      <c r="AI725" s="39" t="n"/>
      <c r="AJ725" s="39" t="n"/>
      <c r="AK725" s="39" t="n"/>
      <c r="AL725" s="39" t="n"/>
      <c r="AM725" s="44" t="n"/>
      <c r="AN725" s="44" t="n"/>
      <c r="AO725" s="44" t="n"/>
      <c r="AP725" s="44" t="n"/>
      <c r="AQ725" s="44" t="n"/>
      <c r="AR725" s="44" t="n"/>
      <c r="AS725" s="45" t="n"/>
      <c r="AT725" s="45" t="n"/>
      <c r="AU725" s="45" t="n"/>
    </row>
    <row r="726">
      <c r="B726" s="39" t="n"/>
      <c r="C726" s="39" t="n"/>
      <c r="D726" s="40" t="n"/>
      <c r="E726" s="39" t="n"/>
      <c r="F726" s="39" t="n"/>
      <c r="G726" s="112" t="n"/>
      <c r="H726" s="42" t="n"/>
      <c r="I726" s="42" t="n"/>
      <c r="J726" s="113" t="n"/>
      <c r="K726" s="39" t="n"/>
      <c r="L726" s="39" t="n"/>
      <c r="M726" s="39" t="n"/>
      <c r="N726" s="39" t="n"/>
      <c r="O726" s="39" t="n"/>
      <c r="P726" s="39" t="n"/>
      <c r="Q726" s="39" t="n"/>
      <c r="R726" s="39" t="n"/>
      <c r="S726" s="39" t="n"/>
      <c r="T726" s="39" t="n"/>
      <c r="U726" s="39" t="n"/>
      <c r="V726" s="39" t="n"/>
      <c r="W726" s="39" t="n"/>
      <c r="X726" s="39" t="n"/>
      <c r="Y726" s="39" t="n"/>
      <c r="Z726" s="39" t="n"/>
      <c r="AA726" s="39" t="n"/>
      <c r="AB726" s="39" t="n"/>
      <c r="AC726" s="39" t="n"/>
      <c r="AD726" s="39" t="n"/>
      <c r="AE726" s="39" t="n"/>
      <c r="AF726" s="39" t="n"/>
      <c r="AG726" s="39" t="n"/>
      <c r="AH726" s="39" t="n"/>
      <c r="AI726" s="39" t="n"/>
      <c r="AJ726" s="39" t="n"/>
      <c r="AK726" s="39" t="n"/>
      <c r="AL726" s="39" t="n"/>
      <c r="AM726" s="44" t="n"/>
      <c r="AN726" s="44" t="n"/>
      <c r="AO726" s="44" t="n"/>
      <c r="AP726" s="44" t="n"/>
      <c r="AQ726" s="44" t="n"/>
      <c r="AR726" s="44" t="n"/>
      <c r="AS726" s="45" t="n"/>
      <c r="AT726" s="45" t="n"/>
      <c r="AU726" s="45" t="n"/>
    </row>
    <row r="727">
      <c r="B727" s="39" t="n"/>
      <c r="C727" s="39" t="n"/>
      <c r="D727" s="40" t="n"/>
      <c r="E727" s="39" t="n"/>
      <c r="F727" s="39" t="n"/>
      <c r="G727" s="112" t="n"/>
      <c r="H727" s="42" t="n"/>
      <c r="I727" s="42" t="n"/>
      <c r="J727" s="113" t="n"/>
      <c r="K727" s="39" t="n"/>
      <c r="L727" s="39" t="n"/>
      <c r="M727" s="39" t="n"/>
      <c r="N727" s="39" t="n"/>
      <c r="O727" s="39" t="n"/>
      <c r="P727" s="39" t="n"/>
      <c r="Q727" s="39" t="n"/>
      <c r="R727" s="39" t="n"/>
      <c r="S727" s="39" t="n"/>
      <c r="T727" s="39" t="n"/>
      <c r="U727" s="39" t="n"/>
      <c r="V727" s="39" t="n"/>
      <c r="W727" s="39" t="n"/>
      <c r="X727" s="39" t="n"/>
      <c r="Y727" s="39" t="n"/>
      <c r="Z727" s="39" t="n"/>
      <c r="AA727" s="39" t="n"/>
      <c r="AB727" s="39" t="n"/>
      <c r="AC727" s="39" t="n"/>
      <c r="AD727" s="39" t="n"/>
      <c r="AE727" s="39" t="n"/>
      <c r="AF727" s="39" t="n"/>
      <c r="AG727" s="39" t="n"/>
      <c r="AH727" s="39" t="n"/>
      <c r="AI727" s="39" t="n"/>
      <c r="AJ727" s="39" t="n"/>
      <c r="AK727" s="39" t="n"/>
      <c r="AL727" s="39" t="n"/>
      <c r="AM727" s="44" t="n"/>
      <c r="AN727" s="44" t="n"/>
      <c r="AO727" s="44" t="n"/>
      <c r="AP727" s="44" t="n"/>
      <c r="AQ727" s="44" t="n"/>
      <c r="AR727" s="44" t="n"/>
      <c r="AS727" s="45" t="n"/>
      <c r="AT727" s="45" t="n"/>
      <c r="AU727" s="45" t="n"/>
    </row>
    <row r="728">
      <c r="B728" s="39" t="n"/>
      <c r="C728" s="39" t="n"/>
      <c r="D728" s="40" t="n"/>
      <c r="E728" s="39" t="n"/>
      <c r="F728" s="39" t="n"/>
      <c r="G728" s="112" t="n"/>
      <c r="H728" s="42" t="n"/>
      <c r="I728" s="42" t="n"/>
      <c r="J728" s="113" t="n"/>
      <c r="K728" s="39" t="n"/>
      <c r="L728" s="39" t="n"/>
      <c r="M728" s="39" t="n"/>
      <c r="N728" s="39" t="n"/>
      <c r="O728" s="39" t="n"/>
      <c r="P728" s="39" t="n"/>
      <c r="Q728" s="39" t="n"/>
      <c r="R728" s="39" t="n"/>
      <c r="S728" s="39" t="n"/>
      <c r="T728" s="39" t="n"/>
      <c r="U728" s="39" t="n"/>
      <c r="V728" s="39" t="n"/>
      <c r="W728" s="39" t="n"/>
      <c r="X728" s="39" t="n"/>
      <c r="Y728" s="39" t="n"/>
      <c r="Z728" s="39" t="n"/>
      <c r="AA728" s="39" t="n"/>
      <c r="AB728" s="39" t="n"/>
      <c r="AC728" s="39" t="n"/>
      <c r="AD728" s="39" t="n"/>
      <c r="AE728" s="39" t="n"/>
      <c r="AF728" s="39" t="n"/>
      <c r="AG728" s="39" t="n"/>
      <c r="AH728" s="39" t="n"/>
      <c r="AI728" s="39" t="n"/>
      <c r="AJ728" s="39" t="n"/>
      <c r="AK728" s="39" t="n"/>
      <c r="AL728" s="39" t="n"/>
      <c r="AM728" s="44" t="n"/>
      <c r="AN728" s="44" t="n"/>
      <c r="AO728" s="44" t="n"/>
      <c r="AP728" s="44" t="n"/>
      <c r="AQ728" s="44" t="n"/>
      <c r="AR728" s="44" t="n"/>
      <c r="AS728" s="45" t="n"/>
      <c r="AT728" s="45" t="n"/>
      <c r="AU728" s="45" t="n"/>
    </row>
    <row r="729">
      <c r="B729" s="39" t="n"/>
      <c r="C729" s="39" t="n"/>
      <c r="D729" s="40" t="n"/>
      <c r="E729" s="39" t="n"/>
      <c r="F729" s="39" t="n"/>
      <c r="G729" s="112" t="n"/>
      <c r="H729" s="42" t="n"/>
      <c r="I729" s="42" t="n"/>
      <c r="J729" s="113" t="n"/>
      <c r="K729" s="39" t="n"/>
      <c r="L729" s="39" t="n"/>
      <c r="M729" s="39" t="n"/>
      <c r="N729" s="39" t="n"/>
      <c r="O729" s="39" t="n"/>
      <c r="P729" s="39" t="n"/>
      <c r="Q729" s="39" t="n"/>
      <c r="R729" s="39" t="n"/>
      <c r="S729" s="39" t="n"/>
      <c r="T729" s="39" t="n"/>
      <c r="U729" s="39" t="n"/>
      <c r="V729" s="39" t="n"/>
      <c r="W729" s="39" t="n"/>
      <c r="X729" s="39" t="n"/>
      <c r="Y729" s="39" t="n"/>
      <c r="Z729" s="39" t="n"/>
      <c r="AA729" s="39" t="n"/>
      <c r="AB729" s="39" t="n"/>
      <c r="AC729" s="39" t="n"/>
      <c r="AD729" s="39" t="n"/>
      <c r="AE729" s="39" t="n"/>
      <c r="AF729" s="39" t="n"/>
      <c r="AG729" s="39" t="n"/>
      <c r="AH729" s="39" t="n"/>
      <c r="AI729" s="39" t="n"/>
      <c r="AJ729" s="39" t="n"/>
      <c r="AK729" s="39" t="n"/>
      <c r="AL729" s="39" t="n"/>
      <c r="AM729" s="44" t="n"/>
      <c r="AN729" s="44" t="n"/>
      <c r="AO729" s="44" t="n"/>
      <c r="AP729" s="44" t="n"/>
      <c r="AQ729" s="44" t="n"/>
      <c r="AR729" s="44" t="n"/>
      <c r="AS729" s="45" t="n"/>
      <c r="AT729" s="45" t="n"/>
      <c r="AU729" s="45" t="n"/>
    </row>
    <row r="730">
      <c r="B730" s="39" t="n"/>
      <c r="C730" s="39" t="n"/>
      <c r="D730" s="40" t="n"/>
      <c r="E730" s="39" t="n"/>
      <c r="F730" s="39" t="n"/>
      <c r="G730" s="112" t="n"/>
      <c r="H730" s="42" t="n"/>
      <c r="I730" s="42" t="n"/>
      <c r="J730" s="113" t="n"/>
      <c r="K730" s="39" t="n"/>
      <c r="L730" s="39" t="n"/>
      <c r="M730" s="39" t="n"/>
      <c r="N730" s="39" t="n"/>
      <c r="O730" s="39" t="n"/>
      <c r="P730" s="39" t="n"/>
      <c r="Q730" s="39" t="n"/>
      <c r="R730" s="39" t="n"/>
      <c r="S730" s="39" t="n"/>
      <c r="T730" s="39" t="n"/>
      <c r="U730" s="39" t="n"/>
      <c r="V730" s="39" t="n"/>
      <c r="W730" s="39" t="n"/>
      <c r="X730" s="39" t="n"/>
      <c r="Y730" s="39" t="n"/>
      <c r="Z730" s="39" t="n"/>
      <c r="AA730" s="39" t="n"/>
      <c r="AB730" s="39" t="n"/>
      <c r="AC730" s="39" t="n"/>
      <c r="AD730" s="39" t="n"/>
      <c r="AE730" s="39" t="n"/>
      <c r="AF730" s="39" t="n"/>
      <c r="AG730" s="39" t="n"/>
      <c r="AH730" s="39" t="n"/>
      <c r="AI730" s="39" t="n"/>
      <c r="AJ730" s="39" t="n"/>
      <c r="AK730" s="39" t="n"/>
      <c r="AL730" s="39" t="n"/>
      <c r="AM730" s="44" t="n"/>
      <c r="AN730" s="44" t="n"/>
      <c r="AO730" s="44" t="n"/>
      <c r="AP730" s="44" t="n"/>
      <c r="AQ730" s="44" t="n"/>
      <c r="AR730" s="44" t="n"/>
      <c r="AS730" s="45" t="n"/>
      <c r="AT730" s="45" t="n"/>
      <c r="AU730" s="45" t="n"/>
    </row>
    <row r="731">
      <c r="B731" s="39" t="n"/>
      <c r="C731" s="39" t="n"/>
      <c r="D731" s="40" t="n"/>
      <c r="E731" s="39" t="n"/>
      <c r="F731" s="39" t="n"/>
      <c r="G731" s="112" t="n"/>
      <c r="H731" s="42" t="n"/>
      <c r="I731" s="42" t="n"/>
      <c r="J731" s="113" t="n"/>
      <c r="K731" s="39" t="n"/>
      <c r="L731" s="39" t="n"/>
      <c r="M731" s="39" t="n"/>
      <c r="N731" s="39" t="n"/>
      <c r="O731" s="39" t="n"/>
      <c r="P731" s="39" t="n"/>
      <c r="Q731" s="39" t="n"/>
      <c r="R731" s="39" t="n"/>
      <c r="S731" s="39" t="n"/>
      <c r="T731" s="39" t="n"/>
      <c r="U731" s="39" t="n"/>
      <c r="V731" s="39" t="n"/>
      <c r="W731" s="39" t="n"/>
      <c r="X731" s="39" t="n"/>
      <c r="Y731" s="39" t="n"/>
      <c r="Z731" s="39" t="n"/>
      <c r="AA731" s="39" t="n"/>
      <c r="AB731" s="39" t="n"/>
      <c r="AC731" s="39" t="n"/>
      <c r="AD731" s="39" t="n"/>
      <c r="AE731" s="39" t="n"/>
      <c r="AF731" s="39" t="n"/>
      <c r="AG731" s="39" t="n"/>
      <c r="AH731" s="39" t="n"/>
      <c r="AI731" s="39" t="n"/>
      <c r="AJ731" s="39" t="n"/>
      <c r="AK731" s="39" t="n"/>
      <c r="AL731" s="39" t="n"/>
      <c r="AM731" s="44" t="n"/>
      <c r="AN731" s="44" t="n"/>
      <c r="AO731" s="44" t="n"/>
      <c r="AP731" s="44" t="n"/>
      <c r="AQ731" s="44" t="n"/>
      <c r="AR731" s="44" t="n"/>
      <c r="AS731" s="45" t="n"/>
      <c r="AT731" s="45" t="n"/>
      <c r="AU731" s="45" t="n"/>
    </row>
    <row r="732">
      <c r="B732" s="39" t="n"/>
      <c r="C732" s="39" t="n"/>
      <c r="D732" s="40" t="n"/>
      <c r="E732" s="39" t="n"/>
      <c r="F732" s="39" t="n"/>
      <c r="G732" s="112" t="n"/>
      <c r="H732" s="42" t="n"/>
      <c r="I732" s="42" t="n"/>
      <c r="J732" s="113" t="n"/>
      <c r="K732" s="39" t="n"/>
      <c r="L732" s="39" t="n"/>
      <c r="M732" s="39" t="n"/>
      <c r="N732" s="39" t="n"/>
      <c r="O732" s="39" t="n"/>
      <c r="P732" s="39" t="n"/>
      <c r="Q732" s="39" t="n"/>
      <c r="R732" s="39" t="n"/>
      <c r="S732" s="39" t="n"/>
      <c r="T732" s="39" t="n"/>
      <c r="U732" s="39" t="n"/>
      <c r="V732" s="39" t="n"/>
      <c r="W732" s="39" t="n"/>
      <c r="X732" s="39" t="n"/>
      <c r="Y732" s="39" t="n"/>
      <c r="Z732" s="39" t="n"/>
      <c r="AA732" s="39" t="n"/>
      <c r="AB732" s="39" t="n"/>
      <c r="AC732" s="39" t="n"/>
      <c r="AD732" s="39" t="n"/>
      <c r="AE732" s="39" t="n"/>
      <c r="AF732" s="39" t="n"/>
      <c r="AG732" s="39" t="n"/>
      <c r="AH732" s="39" t="n"/>
      <c r="AI732" s="39" t="n"/>
      <c r="AJ732" s="39" t="n"/>
      <c r="AK732" s="39" t="n"/>
      <c r="AL732" s="39" t="n"/>
      <c r="AM732" s="44" t="n"/>
      <c r="AN732" s="44" t="n"/>
      <c r="AO732" s="44" t="n"/>
      <c r="AP732" s="44" t="n"/>
      <c r="AQ732" s="44" t="n"/>
      <c r="AR732" s="44" t="n"/>
      <c r="AS732" s="45" t="n"/>
      <c r="AT732" s="45" t="n"/>
      <c r="AU732" s="45" t="n"/>
    </row>
    <row r="733">
      <c r="B733" s="39" t="n"/>
      <c r="C733" s="39" t="n"/>
      <c r="D733" s="40" t="n"/>
      <c r="E733" s="39" t="n"/>
      <c r="F733" s="39" t="n"/>
      <c r="G733" s="112" t="n"/>
      <c r="H733" s="42" t="n"/>
      <c r="I733" s="42" t="n"/>
      <c r="J733" s="113" t="n"/>
      <c r="K733" s="39" t="n"/>
      <c r="L733" s="39" t="n"/>
      <c r="M733" s="39" t="n"/>
      <c r="N733" s="39" t="n"/>
      <c r="O733" s="39" t="n"/>
      <c r="P733" s="39" t="n"/>
      <c r="Q733" s="39" t="n"/>
      <c r="R733" s="39" t="n"/>
      <c r="S733" s="39" t="n"/>
      <c r="T733" s="39" t="n"/>
      <c r="U733" s="39" t="n"/>
      <c r="V733" s="39" t="n"/>
      <c r="W733" s="39" t="n"/>
      <c r="X733" s="39" t="n"/>
      <c r="Y733" s="39" t="n"/>
      <c r="Z733" s="39" t="n"/>
      <c r="AA733" s="39" t="n"/>
      <c r="AB733" s="39" t="n"/>
      <c r="AC733" s="39" t="n"/>
      <c r="AD733" s="39" t="n"/>
      <c r="AE733" s="39" t="n"/>
      <c r="AF733" s="39" t="n"/>
      <c r="AG733" s="39" t="n"/>
      <c r="AH733" s="39" t="n"/>
      <c r="AI733" s="39" t="n"/>
      <c r="AJ733" s="39" t="n"/>
      <c r="AK733" s="39" t="n"/>
      <c r="AL733" s="39" t="n"/>
      <c r="AM733" s="44" t="n"/>
      <c r="AN733" s="44" t="n"/>
      <c r="AO733" s="44" t="n"/>
      <c r="AP733" s="44" t="n"/>
      <c r="AQ733" s="44" t="n"/>
      <c r="AR733" s="44" t="n"/>
      <c r="AS733" s="45" t="n"/>
      <c r="AT733" s="45" t="n"/>
      <c r="AU733" s="45" t="n"/>
    </row>
    <row r="734">
      <c r="B734" s="39" t="n"/>
      <c r="C734" s="39" t="n"/>
      <c r="D734" s="40" t="n"/>
      <c r="E734" s="39" t="n"/>
      <c r="F734" s="39" t="n"/>
      <c r="G734" s="112" t="n"/>
      <c r="H734" s="42" t="n"/>
      <c r="I734" s="42" t="n"/>
      <c r="J734" s="113" t="n"/>
      <c r="K734" s="39" t="n"/>
      <c r="L734" s="39" t="n"/>
      <c r="M734" s="39" t="n"/>
      <c r="N734" s="39" t="n"/>
      <c r="O734" s="39" t="n"/>
      <c r="P734" s="39" t="n"/>
      <c r="Q734" s="39" t="n"/>
      <c r="R734" s="39" t="n"/>
      <c r="S734" s="39" t="n"/>
      <c r="T734" s="39" t="n"/>
      <c r="U734" s="39" t="n"/>
      <c r="V734" s="39" t="n"/>
      <c r="W734" s="39" t="n"/>
      <c r="X734" s="39" t="n"/>
      <c r="Y734" s="39" t="n"/>
      <c r="Z734" s="39" t="n"/>
      <c r="AA734" s="39" t="n"/>
      <c r="AB734" s="39" t="n"/>
      <c r="AC734" s="39" t="n"/>
      <c r="AD734" s="39" t="n"/>
      <c r="AE734" s="39" t="n"/>
      <c r="AF734" s="39" t="n"/>
      <c r="AG734" s="39" t="n"/>
      <c r="AH734" s="39" t="n"/>
      <c r="AI734" s="39" t="n"/>
      <c r="AJ734" s="39" t="n"/>
      <c r="AK734" s="39" t="n"/>
      <c r="AL734" s="39" t="n"/>
      <c r="AM734" s="44" t="n"/>
      <c r="AN734" s="44" t="n"/>
      <c r="AO734" s="44" t="n"/>
      <c r="AP734" s="44" t="n"/>
      <c r="AQ734" s="44" t="n"/>
      <c r="AR734" s="44" t="n"/>
      <c r="AS734" s="45" t="n"/>
      <c r="AT734" s="45" t="n"/>
      <c r="AU734" s="45" t="n"/>
    </row>
    <row r="735">
      <c r="B735" s="39" t="n"/>
      <c r="C735" s="39" t="n"/>
      <c r="D735" s="40" t="n"/>
      <c r="E735" s="39" t="n"/>
      <c r="F735" s="39" t="n"/>
      <c r="G735" s="112" t="n"/>
      <c r="H735" s="42" t="n"/>
      <c r="I735" s="42" t="n"/>
      <c r="J735" s="113" t="n"/>
      <c r="K735" s="39" t="n"/>
      <c r="L735" s="39" t="n"/>
      <c r="M735" s="39" t="n"/>
      <c r="N735" s="39" t="n"/>
      <c r="O735" s="39" t="n"/>
      <c r="P735" s="39" t="n"/>
      <c r="Q735" s="39" t="n"/>
      <c r="R735" s="39" t="n"/>
      <c r="S735" s="39" t="n"/>
      <c r="T735" s="39" t="n"/>
      <c r="U735" s="39" t="n"/>
      <c r="V735" s="39" t="n"/>
      <c r="W735" s="39" t="n"/>
      <c r="X735" s="39" t="n"/>
      <c r="Y735" s="39" t="n"/>
      <c r="Z735" s="39" t="n"/>
      <c r="AA735" s="39" t="n"/>
      <c r="AB735" s="39" t="n"/>
      <c r="AC735" s="39" t="n"/>
      <c r="AD735" s="39" t="n"/>
      <c r="AE735" s="39" t="n"/>
      <c r="AF735" s="39" t="n"/>
      <c r="AG735" s="39" t="n"/>
      <c r="AH735" s="39" t="n"/>
      <c r="AI735" s="39" t="n"/>
      <c r="AJ735" s="39" t="n"/>
      <c r="AK735" s="39" t="n"/>
      <c r="AL735" s="39" t="n"/>
      <c r="AM735" s="44" t="n"/>
      <c r="AN735" s="44" t="n"/>
      <c r="AO735" s="44" t="n"/>
      <c r="AP735" s="44" t="n"/>
      <c r="AQ735" s="44" t="n"/>
      <c r="AR735" s="44" t="n"/>
      <c r="AS735" s="45" t="n"/>
      <c r="AT735" s="45" t="n"/>
      <c r="AU735" s="45" t="n"/>
    </row>
    <row r="736">
      <c r="B736" s="39" t="n"/>
      <c r="C736" s="39" t="n"/>
      <c r="D736" s="40" t="n"/>
      <c r="E736" s="39" t="n"/>
      <c r="F736" s="39" t="n"/>
      <c r="G736" s="112" t="n"/>
      <c r="H736" s="42" t="n"/>
      <c r="I736" s="42" t="n"/>
      <c r="J736" s="113" t="n"/>
      <c r="K736" s="39" t="n"/>
      <c r="L736" s="39" t="n"/>
      <c r="M736" s="39" t="n"/>
      <c r="N736" s="39" t="n"/>
      <c r="O736" s="39" t="n"/>
      <c r="P736" s="39" t="n"/>
      <c r="Q736" s="39" t="n"/>
      <c r="R736" s="39" t="n"/>
      <c r="S736" s="39" t="n"/>
      <c r="T736" s="39" t="n"/>
      <c r="U736" s="39" t="n"/>
      <c r="V736" s="39" t="n"/>
      <c r="W736" s="39" t="n"/>
      <c r="X736" s="39" t="n"/>
      <c r="Y736" s="39" t="n"/>
      <c r="Z736" s="39" t="n"/>
      <c r="AA736" s="39" t="n"/>
      <c r="AB736" s="39" t="n"/>
      <c r="AC736" s="39" t="n"/>
      <c r="AD736" s="39" t="n"/>
      <c r="AE736" s="39" t="n"/>
      <c r="AF736" s="39" t="n"/>
      <c r="AG736" s="39" t="n"/>
      <c r="AH736" s="39" t="n"/>
      <c r="AI736" s="39" t="n"/>
      <c r="AJ736" s="39" t="n"/>
      <c r="AK736" s="39" t="n"/>
      <c r="AL736" s="39" t="n"/>
      <c r="AM736" s="44" t="n"/>
      <c r="AN736" s="44" t="n"/>
      <c r="AO736" s="44" t="n"/>
      <c r="AP736" s="44" t="n"/>
      <c r="AQ736" s="44" t="n"/>
      <c r="AR736" s="44" t="n"/>
      <c r="AS736" s="45" t="n"/>
      <c r="AT736" s="45" t="n"/>
      <c r="AU736" s="45" t="n"/>
    </row>
    <row r="737">
      <c r="B737" s="39" t="n"/>
      <c r="C737" s="39" t="n"/>
      <c r="D737" s="40" t="n"/>
      <c r="E737" s="39" t="n"/>
      <c r="F737" s="39" t="n"/>
      <c r="G737" s="112" t="n"/>
      <c r="H737" s="42" t="n"/>
      <c r="I737" s="42" t="n"/>
      <c r="J737" s="113" t="n"/>
      <c r="K737" s="39" t="n"/>
      <c r="L737" s="39" t="n"/>
      <c r="M737" s="39" t="n"/>
      <c r="N737" s="39" t="n"/>
      <c r="O737" s="39" t="n"/>
      <c r="P737" s="39" t="n"/>
      <c r="Q737" s="39" t="n"/>
      <c r="R737" s="39" t="n"/>
      <c r="S737" s="39" t="n"/>
      <c r="T737" s="39" t="n"/>
      <c r="U737" s="39" t="n"/>
      <c r="V737" s="39" t="n"/>
      <c r="W737" s="39" t="n"/>
      <c r="X737" s="39" t="n"/>
      <c r="Y737" s="39" t="n"/>
      <c r="Z737" s="39" t="n"/>
      <c r="AA737" s="39" t="n"/>
      <c r="AB737" s="39" t="n"/>
      <c r="AC737" s="39" t="n"/>
      <c r="AD737" s="39" t="n"/>
      <c r="AE737" s="39" t="n"/>
      <c r="AF737" s="39" t="n"/>
      <c r="AG737" s="39" t="n"/>
      <c r="AH737" s="39" t="n"/>
      <c r="AI737" s="39" t="n"/>
      <c r="AJ737" s="39" t="n"/>
      <c r="AK737" s="39" t="n"/>
      <c r="AL737" s="39" t="n"/>
      <c r="AM737" s="44" t="n"/>
      <c r="AN737" s="44" t="n"/>
      <c r="AO737" s="44" t="n"/>
      <c r="AP737" s="44" t="n"/>
      <c r="AQ737" s="44" t="n"/>
      <c r="AR737" s="44" t="n"/>
      <c r="AS737" s="45" t="n"/>
      <c r="AT737" s="45" t="n"/>
      <c r="AU737" s="45" t="n"/>
    </row>
    <row r="738">
      <c r="B738" s="39" t="n"/>
      <c r="C738" s="39" t="n"/>
      <c r="D738" s="40" t="n"/>
      <c r="E738" s="39" t="n"/>
      <c r="F738" s="39" t="n"/>
      <c r="G738" s="112" t="n"/>
      <c r="H738" s="42" t="n"/>
      <c r="I738" s="42" t="n"/>
      <c r="J738" s="113" t="n"/>
      <c r="K738" s="39" t="n"/>
      <c r="L738" s="39" t="n"/>
      <c r="M738" s="39" t="n"/>
      <c r="N738" s="39" t="n"/>
      <c r="O738" s="39" t="n"/>
      <c r="P738" s="39" t="n"/>
      <c r="Q738" s="39" t="n"/>
      <c r="R738" s="39" t="n"/>
      <c r="S738" s="39" t="n"/>
      <c r="T738" s="39" t="n"/>
      <c r="U738" s="39" t="n"/>
      <c r="V738" s="39" t="n"/>
      <c r="W738" s="39" t="n"/>
      <c r="X738" s="39" t="n"/>
      <c r="Y738" s="39" t="n"/>
      <c r="Z738" s="39" t="n"/>
      <c r="AA738" s="39" t="n"/>
      <c r="AB738" s="39" t="n"/>
      <c r="AC738" s="39" t="n"/>
      <c r="AD738" s="39" t="n"/>
      <c r="AE738" s="39" t="n"/>
      <c r="AF738" s="39" t="n"/>
      <c r="AG738" s="39" t="n"/>
      <c r="AH738" s="39" t="n"/>
      <c r="AI738" s="39" t="n"/>
      <c r="AJ738" s="39" t="n"/>
      <c r="AK738" s="39" t="n"/>
      <c r="AL738" s="39" t="n"/>
      <c r="AM738" s="44" t="n"/>
      <c r="AN738" s="44" t="n"/>
      <c r="AO738" s="44" t="n"/>
      <c r="AP738" s="44" t="n"/>
      <c r="AQ738" s="44" t="n"/>
      <c r="AR738" s="44" t="n"/>
      <c r="AS738" s="45" t="n"/>
      <c r="AT738" s="45" t="n"/>
      <c r="AU738" s="45" t="n"/>
    </row>
    <row r="739">
      <c r="B739" s="39" t="n"/>
      <c r="C739" s="39" t="n"/>
      <c r="D739" s="40" t="n"/>
      <c r="E739" s="39" t="n"/>
      <c r="F739" s="39" t="n"/>
      <c r="G739" s="112" t="n"/>
      <c r="H739" s="42" t="n"/>
      <c r="I739" s="42" t="n"/>
      <c r="J739" s="113" t="n"/>
      <c r="K739" s="39" t="n"/>
      <c r="L739" s="39" t="n"/>
      <c r="M739" s="39" t="n"/>
      <c r="N739" s="39" t="n"/>
      <c r="O739" s="39" t="n"/>
      <c r="P739" s="39" t="n"/>
      <c r="Q739" s="39" t="n"/>
      <c r="R739" s="39" t="n"/>
      <c r="S739" s="39" t="n"/>
      <c r="T739" s="39" t="n"/>
      <c r="U739" s="39" t="n"/>
      <c r="V739" s="39" t="n"/>
      <c r="W739" s="39" t="n"/>
      <c r="X739" s="39" t="n"/>
      <c r="Y739" s="39" t="n"/>
      <c r="Z739" s="39" t="n"/>
      <c r="AA739" s="39" t="n"/>
      <c r="AB739" s="39" t="n"/>
      <c r="AC739" s="39" t="n"/>
      <c r="AD739" s="39" t="n"/>
      <c r="AE739" s="39" t="n"/>
      <c r="AF739" s="39" t="n"/>
      <c r="AG739" s="39" t="n"/>
      <c r="AH739" s="39" t="n"/>
      <c r="AI739" s="39" t="n"/>
      <c r="AJ739" s="39" t="n"/>
      <c r="AK739" s="39" t="n"/>
      <c r="AL739" s="39" t="n"/>
      <c r="AM739" s="44" t="n"/>
      <c r="AN739" s="44" t="n"/>
      <c r="AO739" s="44" t="n"/>
      <c r="AP739" s="44" t="n"/>
      <c r="AQ739" s="44" t="n"/>
      <c r="AR739" s="44" t="n"/>
      <c r="AS739" s="45" t="n"/>
      <c r="AT739" s="45" t="n"/>
      <c r="AU739" s="45" t="n"/>
    </row>
    <row r="740">
      <c r="B740" s="39" t="n"/>
      <c r="C740" s="39" t="n"/>
      <c r="D740" s="40" t="n"/>
      <c r="E740" s="39" t="n"/>
      <c r="F740" s="39" t="n"/>
      <c r="G740" s="112" t="n"/>
      <c r="H740" s="42" t="n"/>
      <c r="I740" s="42" t="n"/>
      <c r="J740" s="113" t="n"/>
      <c r="K740" s="39" t="n"/>
      <c r="L740" s="39" t="n"/>
      <c r="M740" s="39" t="n"/>
      <c r="N740" s="39" t="n"/>
      <c r="O740" s="39" t="n"/>
      <c r="P740" s="39" t="n"/>
      <c r="Q740" s="39" t="n"/>
      <c r="R740" s="39" t="n"/>
      <c r="S740" s="39" t="n"/>
      <c r="T740" s="39" t="n"/>
      <c r="U740" s="39" t="n"/>
      <c r="V740" s="39" t="n"/>
      <c r="W740" s="39" t="n"/>
      <c r="X740" s="39" t="n"/>
      <c r="Y740" s="39" t="n"/>
      <c r="Z740" s="39" t="n"/>
      <c r="AA740" s="39" t="n"/>
      <c r="AB740" s="39" t="n"/>
      <c r="AC740" s="39" t="n"/>
      <c r="AD740" s="39" t="n"/>
      <c r="AE740" s="39" t="n"/>
      <c r="AF740" s="39" t="n"/>
      <c r="AG740" s="39" t="n"/>
      <c r="AH740" s="39" t="n"/>
      <c r="AI740" s="39" t="n"/>
      <c r="AJ740" s="39" t="n"/>
      <c r="AK740" s="39" t="n"/>
      <c r="AL740" s="39" t="n"/>
      <c r="AM740" s="44" t="n"/>
      <c r="AN740" s="44" t="n"/>
      <c r="AO740" s="44" t="n"/>
      <c r="AP740" s="44" t="n"/>
      <c r="AQ740" s="44" t="n"/>
      <c r="AR740" s="44" t="n"/>
      <c r="AS740" s="45" t="n"/>
      <c r="AT740" s="45" t="n"/>
      <c r="AU740" s="45" t="n"/>
    </row>
    <row r="741">
      <c r="B741" s="39" t="n"/>
      <c r="C741" s="39" t="n"/>
      <c r="D741" s="40" t="n"/>
      <c r="E741" s="39" t="n"/>
      <c r="F741" s="39" t="n"/>
      <c r="G741" s="112" t="n"/>
      <c r="H741" s="42" t="n"/>
      <c r="I741" s="42" t="n"/>
      <c r="J741" s="113" t="n"/>
      <c r="K741" s="39" t="n"/>
      <c r="L741" s="39" t="n"/>
      <c r="M741" s="39" t="n"/>
      <c r="N741" s="39" t="n"/>
      <c r="O741" s="39" t="n"/>
      <c r="P741" s="39" t="n"/>
      <c r="Q741" s="39" t="n"/>
      <c r="R741" s="39" t="n"/>
      <c r="S741" s="39" t="n"/>
      <c r="T741" s="39" t="n"/>
      <c r="U741" s="39" t="n"/>
      <c r="V741" s="39" t="n"/>
      <c r="W741" s="39" t="n"/>
      <c r="X741" s="39" t="n"/>
      <c r="Y741" s="39" t="n"/>
      <c r="Z741" s="39" t="n"/>
      <c r="AA741" s="39" t="n"/>
      <c r="AB741" s="39" t="n"/>
      <c r="AC741" s="39" t="n"/>
      <c r="AD741" s="39" t="n"/>
      <c r="AE741" s="39" t="n"/>
      <c r="AF741" s="39" t="n"/>
      <c r="AG741" s="39" t="n"/>
      <c r="AH741" s="39" t="n"/>
      <c r="AI741" s="39" t="n"/>
      <c r="AJ741" s="39" t="n"/>
      <c r="AK741" s="39" t="n"/>
      <c r="AL741" s="39" t="n"/>
      <c r="AM741" s="44" t="n"/>
      <c r="AN741" s="44" t="n"/>
      <c r="AO741" s="44" t="n"/>
      <c r="AP741" s="44" t="n"/>
      <c r="AQ741" s="44" t="n"/>
      <c r="AR741" s="44" t="n"/>
      <c r="AS741" s="45" t="n"/>
      <c r="AT741" s="45" t="n"/>
      <c r="AU741" s="45" t="n"/>
    </row>
    <row r="742">
      <c r="B742" s="39" t="n"/>
      <c r="C742" s="39" t="n"/>
      <c r="D742" s="40" t="n"/>
      <c r="E742" s="39" t="n"/>
      <c r="F742" s="39" t="n"/>
      <c r="G742" s="112" t="n"/>
      <c r="H742" s="42" t="n"/>
      <c r="I742" s="42" t="n"/>
      <c r="J742" s="113" t="n"/>
      <c r="K742" s="39" t="n"/>
      <c r="L742" s="39" t="n"/>
      <c r="M742" s="39" t="n"/>
      <c r="N742" s="39" t="n"/>
      <c r="O742" s="39" t="n"/>
      <c r="P742" s="39" t="n"/>
      <c r="Q742" s="39" t="n"/>
      <c r="R742" s="39" t="n"/>
      <c r="S742" s="39" t="n"/>
      <c r="T742" s="39" t="n"/>
      <c r="U742" s="39" t="n"/>
      <c r="V742" s="39" t="n"/>
      <c r="W742" s="39" t="n"/>
      <c r="X742" s="39" t="n"/>
      <c r="Y742" s="39" t="n"/>
      <c r="Z742" s="39" t="n"/>
      <c r="AA742" s="39" t="n"/>
      <c r="AB742" s="39" t="n"/>
      <c r="AC742" s="39" t="n"/>
      <c r="AD742" s="39" t="n"/>
      <c r="AE742" s="39" t="n"/>
      <c r="AF742" s="39" t="n"/>
      <c r="AG742" s="39" t="n"/>
      <c r="AH742" s="39" t="n"/>
      <c r="AI742" s="39" t="n"/>
      <c r="AJ742" s="39" t="n"/>
      <c r="AK742" s="39" t="n"/>
      <c r="AL742" s="39" t="n"/>
      <c r="AM742" s="44" t="n"/>
      <c r="AN742" s="44" t="n"/>
      <c r="AO742" s="44" t="n"/>
      <c r="AP742" s="44" t="n"/>
      <c r="AQ742" s="44" t="n"/>
      <c r="AR742" s="44" t="n"/>
      <c r="AS742" s="45" t="n"/>
      <c r="AT742" s="45" t="n"/>
      <c r="AU742" s="45" t="n"/>
    </row>
    <row r="743">
      <c r="B743" s="39" t="n"/>
      <c r="C743" s="39" t="n"/>
      <c r="D743" s="40" t="n"/>
      <c r="E743" s="39" t="n"/>
      <c r="F743" s="39" t="n"/>
      <c r="G743" s="112" t="n"/>
      <c r="H743" s="42" t="n"/>
      <c r="I743" s="42" t="n"/>
      <c r="J743" s="113" t="n"/>
      <c r="K743" s="39" t="n"/>
      <c r="L743" s="39" t="n"/>
      <c r="M743" s="39" t="n"/>
      <c r="N743" s="39" t="n"/>
      <c r="O743" s="39" t="n"/>
      <c r="P743" s="39" t="n"/>
      <c r="Q743" s="39" t="n"/>
      <c r="R743" s="39" t="n"/>
      <c r="S743" s="39" t="n"/>
      <c r="T743" s="39" t="n"/>
      <c r="U743" s="39" t="n"/>
      <c r="V743" s="39" t="n"/>
      <c r="W743" s="39" t="n"/>
      <c r="X743" s="39" t="n"/>
      <c r="Y743" s="39" t="n"/>
      <c r="Z743" s="39" t="n"/>
      <c r="AA743" s="39" t="n"/>
      <c r="AB743" s="39" t="n"/>
      <c r="AC743" s="39" t="n"/>
      <c r="AD743" s="39" t="n"/>
      <c r="AE743" s="39" t="n"/>
      <c r="AF743" s="39" t="n"/>
      <c r="AG743" s="39" t="n"/>
      <c r="AH743" s="39" t="n"/>
      <c r="AI743" s="39" t="n"/>
      <c r="AJ743" s="39" t="n"/>
      <c r="AK743" s="39" t="n"/>
      <c r="AL743" s="39" t="n"/>
      <c r="AM743" s="44" t="n"/>
      <c r="AN743" s="44" t="n"/>
      <c r="AO743" s="44" t="n"/>
      <c r="AP743" s="44" t="n"/>
      <c r="AQ743" s="44" t="n"/>
      <c r="AR743" s="44" t="n"/>
      <c r="AS743" s="45" t="n"/>
      <c r="AT743" s="45" t="n"/>
      <c r="AU743" s="45" t="n"/>
    </row>
    <row r="744">
      <c r="B744" s="39" t="n"/>
      <c r="C744" s="39" t="n"/>
      <c r="D744" s="40" t="n"/>
      <c r="E744" s="39" t="n"/>
      <c r="F744" s="39" t="n"/>
      <c r="G744" s="112" t="n"/>
      <c r="H744" s="42" t="n"/>
      <c r="I744" s="42" t="n"/>
      <c r="J744" s="113" t="n"/>
      <c r="K744" s="39" t="n"/>
      <c r="L744" s="39" t="n"/>
      <c r="M744" s="39" t="n"/>
      <c r="N744" s="39" t="n"/>
      <c r="O744" s="39" t="n"/>
      <c r="P744" s="39" t="n"/>
      <c r="Q744" s="39" t="n"/>
      <c r="R744" s="39" t="n"/>
      <c r="S744" s="39" t="n"/>
      <c r="T744" s="39" t="n"/>
      <c r="U744" s="39" t="n"/>
      <c r="V744" s="39" t="n"/>
      <c r="W744" s="39" t="n"/>
      <c r="X744" s="39" t="n"/>
      <c r="Y744" s="39" t="n"/>
      <c r="Z744" s="39" t="n"/>
      <c r="AA744" s="39" t="n"/>
      <c r="AB744" s="39" t="n"/>
      <c r="AC744" s="39" t="n"/>
      <c r="AD744" s="39" t="n"/>
      <c r="AE744" s="39" t="n"/>
      <c r="AF744" s="39" t="n"/>
      <c r="AG744" s="39" t="n"/>
      <c r="AH744" s="39" t="n"/>
      <c r="AI744" s="39" t="n"/>
      <c r="AJ744" s="39" t="n"/>
      <c r="AK744" s="39" t="n"/>
      <c r="AL744" s="39" t="n"/>
      <c r="AM744" s="44" t="n"/>
      <c r="AN744" s="44" t="n"/>
      <c r="AO744" s="44" t="n"/>
      <c r="AP744" s="44" t="n"/>
      <c r="AQ744" s="44" t="n"/>
      <c r="AR744" s="44" t="n"/>
      <c r="AS744" s="45" t="n"/>
      <c r="AT744" s="45" t="n"/>
      <c r="AU744" s="45" t="n"/>
    </row>
    <row r="745">
      <c r="B745" s="39" t="n"/>
      <c r="C745" s="39" t="n"/>
      <c r="D745" s="40" t="n"/>
      <c r="E745" s="39" t="n"/>
      <c r="F745" s="39" t="n"/>
      <c r="G745" s="112" t="n"/>
      <c r="H745" s="42" t="n"/>
      <c r="I745" s="42" t="n"/>
      <c r="J745" s="113" t="n"/>
      <c r="K745" s="39" t="n"/>
      <c r="L745" s="39" t="n"/>
      <c r="M745" s="39" t="n"/>
      <c r="N745" s="39" t="n"/>
      <c r="O745" s="39" t="n"/>
      <c r="P745" s="39" t="n"/>
      <c r="Q745" s="39" t="n"/>
      <c r="R745" s="39" t="n"/>
      <c r="S745" s="39" t="n"/>
      <c r="T745" s="39" t="n"/>
      <c r="U745" s="39" t="n"/>
      <c r="V745" s="39" t="n"/>
      <c r="W745" s="39" t="n"/>
      <c r="X745" s="39" t="n"/>
      <c r="Y745" s="39" t="n"/>
      <c r="Z745" s="39" t="n"/>
      <c r="AA745" s="39" t="n"/>
      <c r="AB745" s="39" t="n"/>
      <c r="AC745" s="39" t="n"/>
      <c r="AD745" s="39" t="n"/>
      <c r="AE745" s="39" t="n"/>
      <c r="AF745" s="39" t="n"/>
      <c r="AG745" s="39" t="n"/>
      <c r="AH745" s="39" t="n"/>
      <c r="AI745" s="39" t="n"/>
      <c r="AJ745" s="39" t="n"/>
      <c r="AK745" s="39" t="n"/>
      <c r="AL745" s="39" t="n"/>
      <c r="AM745" s="44" t="n"/>
      <c r="AN745" s="44" t="n"/>
      <c r="AO745" s="44" t="n"/>
      <c r="AP745" s="44" t="n"/>
      <c r="AQ745" s="44" t="n"/>
      <c r="AR745" s="44" t="n"/>
      <c r="AS745" s="45" t="n"/>
      <c r="AT745" s="45" t="n"/>
      <c r="AU745" s="45" t="n"/>
    </row>
    <row r="746">
      <c r="B746" s="39" t="n"/>
      <c r="C746" s="39" t="n"/>
      <c r="D746" s="40" t="n"/>
      <c r="E746" s="39" t="n"/>
      <c r="F746" s="39" t="n"/>
      <c r="G746" s="112" t="n"/>
      <c r="H746" s="42" t="n"/>
      <c r="I746" s="42" t="n"/>
      <c r="J746" s="113" t="n"/>
      <c r="K746" s="39" t="n"/>
      <c r="L746" s="39" t="n"/>
      <c r="M746" s="39" t="n"/>
      <c r="N746" s="39" t="n"/>
      <c r="O746" s="39" t="n"/>
      <c r="P746" s="39" t="n"/>
      <c r="Q746" s="39" t="n"/>
      <c r="R746" s="39" t="n"/>
      <c r="S746" s="39" t="n"/>
      <c r="T746" s="39" t="n"/>
      <c r="U746" s="39" t="n"/>
      <c r="V746" s="39" t="n"/>
      <c r="W746" s="39" t="n"/>
      <c r="X746" s="39" t="n"/>
      <c r="Y746" s="39" t="n"/>
      <c r="Z746" s="39" t="n"/>
      <c r="AA746" s="39" t="n"/>
      <c r="AB746" s="39" t="n"/>
      <c r="AC746" s="39" t="n"/>
      <c r="AD746" s="39" t="n"/>
      <c r="AE746" s="39" t="n"/>
      <c r="AF746" s="39" t="n"/>
      <c r="AG746" s="39" t="n"/>
      <c r="AH746" s="39" t="n"/>
      <c r="AI746" s="39" t="n"/>
      <c r="AJ746" s="39" t="n"/>
      <c r="AK746" s="39" t="n"/>
      <c r="AL746" s="39" t="n"/>
      <c r="AM746" s="44" t="n"/>
      <c r="AN746" s="44" t="n"/>
      <c r="AO746" s="44" t="n"/>
      <c r="AP746" s="44" t="n"/>
      <c r="AQ746" s="44" t="n"/>
      <c r="AR746" s="44" t="n"/>
      <c r="AS746" s="45" t="n"/>
      <c r="AT746" s="45" t="n"/>
      <c r="AU746" s="45" t="n"/>
    </row>
    <row r="747">
      <c r="B747" s="39" t="n"/>
      <c r="C747" s="39" t="n"/>
      <c r="D747" s="40" t="n"/>
      <c r="E747" s="39" t="n"/>
      <c r="F747" s="39" t="n"/>
      <c r="G747" s="112" t="n"/>
      <c r="H747" s="42" t="n"/>
      <c r="I747" s="42" t="n"/>
      <c r="J747" s="113" t="n"/>
      <c r="K747" s="39" t="n"/>
      <c r="L747" s="39" t="n"/>
      <c r="M747" s="39" t="n"/>
      <c r="N747" s="39" t="n"/>
      <c r="O747" s="39" t="n"/>
      <c r="P747" s="39" t="n"/>
      <c r="Q747" s="39" t="n"/>
      <c r="R747" s="39" t="n"/>
      <c r="S747" s="39" t="n"/>
      <c r="T747" s="39" t="n"/>
      <c r="U747" s="39" t="n"/>
      <c r="V747" s="39" t="n"/>
      <c r="W747" s="39" t="n"/>
      <c r="X747" s="39" t="n"/>
      <c r="Y747" s="39" t="n"/>
      <c r="Z747" s="39" t="n"/>
      <c r="AA747" s="39" t="n"/>
      <c r="AB747" s="39" t="n"/>
      <c r="AC747" s="39" t="n"/>
      <c r="AD747" s="39" t="n"/>
      <c r="AE747" s="39" t="n"/>
      <c r="AF747" s="39" t="n"/>
      <c r="AG747" s="39" t="n"/>
      <c r="AH747" s="39" t="n"/>
      <c r="AI747" s="39" t="n"/>
      <c r="AJ747" s="39" t="n"/>
      <c r="AK747" s="39" t="n"/>
      <c r="AL747" s="39" t="n"/>
      <c r="AM747" s="44" t="n"/>
      <c r="AN747" s="44" t="n"/>
      <c r="AO747" s="44" t="n"/>
      <c r="AP747" s="44" t="n"/>
      <c r="AQ747" s="44" t="n"/>
      <c r="AR747" s="44" t="n"/>
      <c r="AS747" s="45" t="n"/>
      <c r="AT747" s="45" t="n"/>
      <c r="AU747" s="45" t="n"/>
    </row>
    <row r="748">
      <c r="B748" s="39" t="n"/>
      <c r="C748" s="39" t="n"/>
      <c r="D748" s="40" t="n"/>
      <c r="E748" s="39" t="n"/>
      <c r="F748" s="39" t="n"/>
      <c r="G748" s="112" t="n"/>
      <c r="H748" s="42" t="n"/>
      <c r="I748" s="42" t="n"/>
      <c r="J748" s="113" t="n"/>
      <c r="K748" s="39" t="n"/>
      <c r="L748" s="39" t="n"/>
      <c r="M748" s="39" t="n"/>
      <c r="N748" s="39" t="n"/>
      <c r="O748" s="39" t="n"/>
      <c r="P748" s="39" t="n"/>
      <c r="Q748" s="39" t="n"/>
      <c r="R748" s="39" t="n"/>
      <c r="S748" s="39" t="n"/>
      <c r="T748" s="39" t="n"/>
      <c r="U748" s="39" t="n"/>
      <c r="V748" s="39" t="n"/>
      <c r="W748" s="39" t="n"/>
      <c r="X748" s="39" t="n"/>
      <c r="Y748" s="39" t="n"/>
      <c r="Z748" s="39" t="n"/>
      <c r="AA748" s="39" t="n"/>
      <c r="AB748" s="39" t="n"/>
      <c r="AC748" s="39" t="n"/>
      <c r="AD748" s="39" t="n"/>
      <c r="AE748" s="39" t="n"/>
      <c r="AF748" s="39" t="n"/>
      <c r="AG748" s="39" t="n"/>
      <c r="AH748" s="39" t="n"/>
      <c r="AI748" s="39" t="n"/>
      <c r="AJ748" s="39" t="n"/>
      <c r="AK748" s="39" t="n"/>
      <c r="AL748" s="39" t="n"/>
      <c r="AM748" s="44" t="n"/>
      <c r="AN748" s="44" t="n"/>
      <c r="AO748" s="44" t="n"/>
      <c r="AP748" s="44" t="n"/>
      <c r="AQ748" s="44" t="n"/>
      <c r="AR748" s="44" t="n"/>
      <c r="AS748" s="45" t="n"/>
      <c r="AT748" s="45" t="n"/>
      <c r="AU748" s="45" t="n"/>
    </row>
    <row r="749">
      <c r="B749" s="39" t="n"/>
      <c r="C749" s="39" t="n"/>
      <c r="D749" s="40" t="n"/>
      <c r="E749" s="39" t="n"/>
      <c r="F749" s="39" t="n"/>
      <c r="G749" s="112" t="n"/>
      <c r="H749" s="42" t="n"/>
      <c r="I749" s="42" t="n"/>
      <c r="J749" s="113" t="n"/>
      <c r="K749" s="39" t="n"/>
      <c r="L749" s="39" t="n"/>
      <c r="M749" s="39" t="n"/>
      <c r="N749" s="39" t="n"/>
      <c r="O749" s="39" t="n"/>
      <c r="P749" s="39" t="n"/>
      <c r="Q749" s="39" t="n"/>
      <c r="R749" s="39" t="n"/>
      <c r="S749" s="39" t="n"/>
      <c r="T749" s="39" t="n"/>
      <c r="U749" s="39" t="n"/>
      <c r="V749" s="39" t="n"/>
      <c r="W749" s="39" t="n"/>
      <c r="X749" s="39" t="n"/>
      <c r="Y749" s="39" t="n"/>
      <c r="Z749" s="39" t="n"/>
      <c r="AA749" s="39" t="n"/>
      <c r="AB749" s="39" t="n"/>
      <c r="AC749" s="39" t="n"/>
      <c r="AD749" s="39" t="n"/>
      <c r="AE749" s="39" t="n"/>
      <c r="AF749" s="39" t="n"/>
      <c r="AG749" s="39" t="n"/>
      <c r="AH749" s="39" t="n"/>
      <c r="AI749" s="39" t="n"/>
      <c r="AJ749" s="39" t="n"/>
      <c r="AK749" s="39" t="n"/>
      <c r="AL749" s="39" t="n"/>
      <c r="AM749" s="44" t="n"/>
      <c r="AN749" s="44" t="n"/>
      <c r="AO749" s="44" t="n"/>
      <c r="AP749" s="44" t="n"/>
      <c r="AQ749" s="44" t="n"/>
      <c r="AR749" s="44" t="n"/>
      <c r="AS749" s="45" t="n"/>
      <c r="AT749" s="45" t="n"/>
      <c r="AU749" s="45" t="n"/>
    </row>
    <row r="750">
      <c r="B750" s="39" t="n"/>
      <c r="C750" s="39" t="n"/>
      <c r="D750" s="40" t="n"/>
      <c r="E750" s="39" t="n"/>
      <c r="F750" s="39" t="n"/>
      <c r="G750" s="112" t="n"/>
      <c r="H750" s="42" t="n"/>
      <c r="I750" s="42" t="n"/>
      <c r="J750" s="113" t="n"/>
      <c r="K750" s="39" t="n"/>
      <c r="L750" s="39" t="n"/>
      <c r="M750" s="39" t="n"/>
      <c r="N750" s="39" t="n"/>
      <c r="O750" s="39" t="n"/>
      <c r="P750" s="39" t="n"/>
      <c r="Q750" s="39" t="n"/>
      <c r="R750" s="39" t="n"/>
      <c r="S750" s="39" t="n"/>
      <c r="T750" s="39" t="n"/>
      <c r="U750" s="39" t="n"/>
      <c r="V750" s="39" t="n"/>
      <c r="W750" s="39" t="n"/>
      <c r="X750" s="39" t="n"/>
      <c r="Y750" s="39" t="n"/>
      <c r="Z750" s="39" t="n"/>
      <c r="AA750" s="39" t="n"/>
      <c r="AB750" s="39" t="n"/>
      <c r="AC750" s="39" t="n"/>
      <c r="AD750" s="39" t="n"/>
      <c r="AE750" s="39" t="n"/>
      <c r="AF750" s="39" t="n"/>
      <c r="AG750" s="39" t="n"/>
      <c r="AH750" s="39" t="n"/>
      <c r="AI750" s="39" t="n"/>
      <c r="AJ750" s="39" t="n"/>
      <c r="AK750" s="39" t="n"/>
      <c r="AL750" s="39" t="n"/>
      <c r="AM750" s="44" t="n"/>
      <c r="AN750" s="44" t="n"/>
      <c r="AO750" s="44" t="n"/>
      <c r="AP750" s="44" t="n"/>
      <c r="AQ750" s="44" t="n"/>
      <c r="AR750" s="44" t="n"/>
      <c r="AS750" s="45" t="n"/>
      <c r="AT750" s="45" t="n"/>
      <c r="AU750" s="45" t="n"/>
    </row>
    <row r="751">
      <c r="B751" s="39" t="n"/>
      <c r="C751" s="39" t="n"/>
      <c r="D751" s="40" t="n"/>
      <c r="E751" s="39" t="n"/>
      <c r="F751" s="39" t="n"/>
      <c r="G751" s="112" t="n"/>
      <c r="H751" s="42" t="n"/>
      <c r="I751" s="42" t="n"/>
      <c r="J751" s="113" t="n"/>
      <c r="K751" s="39" t="n"/>
      <c r="L751" s="39" t="n"/>
      <c r="M751" s="39" t="n"/>
      <c r="N751" s="39" t="n"/>
      <c r="O751" s="39" t="n"/>
      <c r="P751" s="39" t="n"/>
      <c r="Q751" s="39" t="n"/>
      <c r="R751" s="39" t="n"/>
      <c r="S751" s="39" t="n"/>
      <c r="T751" s="39" t="n"/>
      <c r="U751" s="39" t="n"/>
      <c r="V751" s="39" t="n"/>
      <c r="W751" s="39" t="n"/>
      <c r="X751" s="39" t="n"/>
      <c r="Y751" s="39" t="n"/>
      <c r="Z751" s="39" t="n"/>
      <c r="AA751" s="39" t="n"/>
      <c r="AB751" s="39" t="n"/>
      <c r="AC751" s="39" t="n"/>
      <c r="AD751" s="39" t="n"/>
      <c r="AE751" s="39" t="n"/>
      <c r="AF751" s="39" t="n"/>
      <c r="AG751" s="39" t="n"/>
      <c r="AH751" s="39" t="n"/>
      <c r="AI751" s="39" t="n"/>
      <c r="AJ751" s="39" t="n"/>
      <c r="AK751" s="39" t="n"/>
      <c r="AL751" s="39" t="n"/>
      <c r="AM751" s="44" t="n"/>
      <c r="AN751" s="44" t="n"/>
      <c r="AO751" s="44" t="n"/>
      <c r="AP751" s="44" t="n"/>
      <c r="AQ751" s="44" t="n"/>
      <c r="AR751" s="44" t="n"/>
      <c r="AS751" s="45" t="n"/>
      <c r="AT751" s="45" t="n"/>
      <c r="AU751" s="45" t="n"/>
    </row>
    <row r="752">
      <c r="B752" s="39" t="n"/>
      <c r="C752" s="39" t="n"/>
      <c r="D752" s="40" t="n"/>
      <c r="E752" s="39" t="n"/>
      <c r="F752" s="39" t="n"/>
      <c r="G752" s="112" t="n"/>
      <c r="H752" s="42" t="n"/>
      <c r="I752" s="42" t="n"/>
      <c r="J752" s="113" t="n"/>
      <c r="K752" s="39" t="n"/>
      <c r="L752" s="39" t="n"/>
      <c r="M752" s="39" t="n"/>
      <c r="N752" s="39" t="n"/>
      <c r="O752" s="39" t="n"/>
      <c r="P752" s="39" t="n"/>
      <c r="Q752" s="39" t="n"/>
      <c r="R752" s="39" t="n"/>
      <c r="S752" s="39" t="n"/>
      <c r="T752" s="39" t="n"/>
      <c r="U752" s="39" t="n"/>
      <c r="V752" s="39" t="n"/>
      <c r="W752" s="39" t="n"/>
      <c r="X752" s="39" t="n"/>
      <c r="Y752" s="39" t="n"/>
      <c r="Z752" s="39" t="n"/>
      <c r="AA752" s="39" t="n"/>
      <c r="AB752" s="39" t="n"/>
      <c r="AC752" s="39" t="n"/>
      <c r="AD752" s="39" t="n"/>
      <c r="AE752" s="39" t="n"/>
      <c r="AF752" s="39" t="n"/>
      <c r="AG752" s="39" t="n"/>
      <c r="AH752" s="39" t="n"/>
      <c r="AI752" s="39" t="n"/>
      <c r="AJ752" s="39" t="n"/>
      <c r="AK752" s="39" t="n"/>
      <c r="AL752" s="39" t="n"/>
      <c r="AM752" s="44" t="n"/>
      <c r="AN752" s="44" t="n"/>
      <c r="AO752" s="44" t="n"/>
      <c r="AP752" s="44" t="n"/>
      <c r="AQ752" s="44" t="n"/>
      <c r="AR752" s="44" t="n"/>
      <c r="AS752" s="45" t="n"/>
      <c r="AT752" s="45" t="n"/>
      <c r="AU752" s="45" t="n"/>
    </row>
    <row r="753">
      <c r="B753" s="39" t="n"/>
      <c r="C753" s="39" t="n"/>
      <c r="D753" s="40" t="n"/>
      <c r="E753" s="39" t="n"/>
      <c r="F753" s="39" t="n"/>
      <c r="G753" s="112" t="n"/>
      <c r="H753" s="42" t="n"/>
      <c r="I753" s="42" t="n"/>
      <c r="J753" s="113" t="n"/>
      <c r="K753" s="39" t="n"/>
      <c r="L753" s="39" t="n"/>
      <c r="M753" s="39" t="n"/>
      <c r="N753" s="39" t="n"/>
      <c r="O753" s="39" t="n"/>
      <c r="P753" s="39" t="n"/>
      <c r="Q753" s="39" t="n"/>
      <c r="R753" s="39" t="n"/>
      <c r="S753" s="39" t="n"/>
      <c r="T753" s="39" t="n"/>
      <c r="U753" s="39" t="n"/>
      <c r="V753" s="39" t="n"/>
      <c r="W753" s="39" t="n"/>
      <c r="X753" s="39" t="n"/>
      <c r="Y753" s="39" t="n"/>
      <c r="Z753" s="39" t="n"/>
      <c r="AA753" s="39" t="n"/>
      <c r="AB753" s="39" t="n"/>
      <c r="AC753" s="39" t="n"/>
      <c r="AD753" s="39" t="n"/>
      <c r="AE753" s="39" t="n"/>
      <c r="AF753" s="39" t="n"/>
      <c r="AG753" s="39" t="n"/>
      <c r="AH753" s="39" t="n"/>
      <c r="AI753" s="39" t="n"/>
      <c r="AJ753" s="39" t="n"/>
      <c r="AK753" s="39" t="n"/>
      <c r="AL753" s="39" t="n"/>
      <c r="AM753" s="44" t="n"/>
      <c r="AN753" s="44" t="n"/>
      <c r="AO753" s="44" t="n"/>
      <c r="AP753" s="44" t="n"/>
      <c r="AQ753" s="44" t="n"/>
      <c r="AR753" s="44" t="n"/>
      <c r="AS753" s="45" t="n"/>
      <c r="AT753" s="45" t="n"/>
      <c r="AU753" s="45" t="n"/>
    </row>
    <row r="754">
      <c r="B754" s="39" t="n"/>
      <c r="C754" s="39" t="n"/>
      <c r="D754" s="40" t="n"/>
      <c r="E754" s="39" t="n"/>
      <c r="F754" s="39" t="n"/>
      <c r="G754" s="112" t="n"/>
      <c r="H754" s="42" t="n"/>
      <c r="I754" s="42" t="n"/>
      <c r="J754" s="113" t="n"/>
      <c r="K754" s="39" t="n"/>
      <c r="L754" s="39" t="n"/>
      <c r="M754" s="39" t="n"/>
      <c r="N754" s="39" t="n"/>
      <c r="O754" s="39" t="n"/>
      <c r="P754" s="39" t="n"/>
      <c r="Q754" s="39" t="n"/>
      <c r="R754" s="39" t="n"/>
      <c r="S754" s="39" t="n"/>
      <c r="T754" s="39" t="n"/>
      <c r="U754" s="39" t="n"/>
      <c r="V754" s="39" t="n"/>
      <c r="W754" s="39" t="n"/>
      <c r="X754" s="39" t="n"/>
      <c r="Y754" s="39" t="n"/>
      <c r="Z754" s="39" t="n"/>
      <c r="AA754" s="39" t="n"/>
      <c r="AB754" s="39" t="n"/>
      <c r="AC754" s="39" t="n"/>
      <c r="AD754" s="39" t="n"/>
      <c r="AE754" s="39" t="n"/>
      <c r="AF754" s="39" t="n"/>
      <c r="AG754" s="39" t="n"/>
      <c r="AH754" s="39" t="n"/>
      <c r="AI754" s="39" t="n"/>
      <c r="AJ754" s="39" t="n"/>
      <c r="AK754" s="39" t="n"/>
      <c r="AL754" s="39" t="n"/>
      <c r="AM754" s="44" t="n"/>
      <c r="AN754" s="44" t="n"/>
      <c r="AO754" s="44" t="n"/>
      <c r="AP754" s="44" t="n"/>
      <c r="AQ754" s="44" t="n"/>
      <c r="AR754" s="44" t="n"/>
      <c r="AS754" s="45" t="n"/>
      <c r="AT754" s="45" t="n"/>
      <c r="AU754" s="45" t="n"/>
    </row>
    <row r="755">
      <c r="B755" s="39" t="n"/>
      <c r="C755" s="39" t="n"/>
      <c r="D755" s="40" t="n"/>
      <c r="E755" s="39" t="n"/>
      <c r="F755" s="39" t="n"/>
      <c r="G755" s="112" t="n"/>
      <c r="H755" s="42" t="n"/>
      <c r="I755" s="42" t="n"/>
      <c r="J755" s="113" t="n"/>
      <c r="K755" s="39" t="n"/>
      <c r="L755" s="39" t="n"/>
      <c r="M755" s="39" t="n"/>
      <c r="N755" s="39" t="n"/>
      <c r="O755" s="39" t="n"/>
      <c r="P755" s="39" t="n"/>
      <c r="Q755" s="39" t="n"/>
      <c r="R755" s="39" t="n"/>
      <c r="S755" s="39" t="n"/>
      <c r="T755" s="39" t="n"/>
      <c r="U755" s="39" t="n"/>
      <c r="V755" s="39" t="n"/>
      <c r="W755" s="39" t="n"/>
      <c r="X755" s="39" t="n"/>
      <c r="Y755" s="39" t="n"/>
      <c r="Z755" s="39" t="n"/>
      <c r="AA755" s="39" t="n"/>
      <c r="AB755" s="39" t="n"/>
      <c r="AC755" s="39" t="n"/>
      <c r="AD755" s="39" t="n"/>
      <c r="AE755" s="39" t="n"/>
      <c r="AF755" s="39" t="n"/>
      <c r="AG755" s="39" t="n"/>
      <c r="AH755" s="39" t="n"/>
      <c r="AI755" s="39" t="n"/>
      <c r="AJ755" s="39" t="n"/>
      <c r="AK755" s="39" t="n"/>
      <c r="AL755" s="39" t="n"/>
      <c r="AM755" s="44" t="n"/>
      <c r="AN755" s="44" t="n"/>
      <c r="AO755" s="44" t="n"/>
      <c r="AP755" s="44" t="n"/>
      <c r="AQ755" s="44" t="n"/>
      <c r="AR755" s="44" t="n"/>
      <c r="AS755" s="45" t="n"/>
      <c r="AT755" s="45" t="n"/>
      <c r="AU755" s="45" t="n"/>
    </row>
    <row r="756">
      <c r="B756" s="39" t="n"/>
      <c r="C756" s="39" t="n"/>
      <c r="D756" s="40" t="n"/>
      <c r="E756" s="39" t="n"/>
      <c r="F756" s="39" t="n"/>
      <c r="G756" s="112" t="n"/>
      <c r="H756" s="42" t="n"/>
      <c r="I756" s="42" t="n"/>
      <c r="J756" s="113" t="n"/>
      <c r="K756" s="39" t="n"/>
      <c r="L756" s="39" t="n"/>
      <c r="M756" s="39" t="n"/>
      <c r="N756" s="39" t="n"/>
      <c r="O756" s="39" t="n"/>
      <c r="P756" s="39" t="n"/>
      <c r="Q756" s="39" t="n"/>
      <c r="R756" s="39" t="n"/>
      <c r="S756" s="39" t="n"/>
      <c r="T756" s="39" t="n"/>
      <c r="U756" s="39" t="n"/>
      <c r="V756" s="39" t="n"/>
      <c r="W756" s="39" t="n"/>
      <c r="X756" s="39" t="n"/>
      <c r="Y756" s="39" t="n"/>
      <c r="Z756" s="39" t="n"/>
      <c r="AA756" s="39" t="n"/>
      <c r="AB756" s="39" t="n"/>
      <c r="AC756" s="39" t="n"/>
      <c r="AD756" s="39" t="n"/>
      <c r="AE756" s="39" t="n"/>
      <c r="AF756" s="39" t="n"/>
      <c r="AG756" s="39" t="n"/>
      <c r="AH756" s="39" t="n"/>
      <c r="AI756" s="39" t="n"/>
      <c r="AJ756" s="39" t="n"/>
      <c r="AK756" s="39" t="n"/>
      <c r="AL756" s="39" t="n"/>
      <c r="AM756" s="44" t="n"/>
      <c r="AN756" s="44" t="n"/>
      <c r="AO756" s="44" t="n"/>
      <c r="AP756" s="44" t="n"/>
      <c r="AQ756" s="44" t="n"/>
      <c r="AR756" s="44" t="n"/>
      <c r="AS756" s="45" t="n"/>
      <c r="AT756" s="45" t="n"/>
      <c r="AU756" s="45" t="n"/>
    </row>
    <row r="757">
      <c r="B757" s="39" t="n"/>
      <c r="C757" s="39" t="n"/>
      <c r="D757" s="40" t="n"/>
      <c r="E757" s="39" t="n"/>
      <c r="F757" s="39" t="n"/>
      <c r="G757" s="112" t="n"/>
      <c r="H757" s="42" t="n"/>
      <c r="I757" s="42" t="n"/>
      <c r="J757" s="113" t="n"/>
      <c r="K757" s="39" t="n"/>
      <c r="L757" s="39" t="n"/>
      <c r="M757" s="39" t="n"/>
      <c r="N757" s="39" t="n"/>
      <c r="O757" s="39" t="n"/>
      <c r="P757" s="39" t="n"/>
      <c r="Q757" s="39" t="n"/>
      <c r="R757" s="39" t="n"/>
      <c r="S757" s="39" t="n"/>
      <c r="T757" s="39" t="n"/>
      <c r="U757" s="39" t="n"/>
      <c r="V757" s="39" t="n"/>
      <c r="W757" s="39" t="n"/>
      <c r="X757" s="39" t="n"/>
      <c r="Y757" s="39" t="n"/>
      <c r="Z757" s="39" t="n"/>
      <c r="AA757" s="39" t="n"/>
      <c r="AB757" s="39" t="n"/>
      <c r="AC757" s="39" t="n"/>
      <c r="AD757" s="39" t="n"/>
      <c r="AE757" s="39" t="n"/>
      <c r="AF757" s="39" t="n"/>
      <c r="AG757" s="39" t="n"/>
      <c r="AH757" s="39" t="n"/>
      <c r="AI757" s="39" t="n"/>
      <c r="AJ757" s="39" t="n"/>
      <c r="AK757" s="39" t="n"/>
      <c r="AL757" s="39" t="n"/>
      <c r="AM757" s="44" t="n"/>
      <c r="AN757" s="44" t="n"/>
      <c r="AO757" s="44" t="n"/>
      <c r="AP757" s="44" t="n"/>
      <c r="AQ757" s="44" t="n"/>
      <c r="AR757" s="44" t="n"/>
      <c r="AS757" s="45" t="n"/>
      <c r="AT757" s="45" t="n"/>
      <c r="AU757" s="45" t="n"/>
    </row>
    <row r="758">
      <c r="B758" s="39" t="n"/>
      <c r="C758" s="39" t="n"/>
      <c r="D758" s="40" t="n"/>
      <c r="E758" s="39" t="n"/>
      <c r="F758" s="39" t="n"/>
      <c r="G758" s="112" t="n"/>
      <c r="H758" s="42" t="n"/>
      <c r="I758" s="42" t="n"/>
      <c r="J758" s="113" t="n"/>
      <c r="K758" s="39" t="n"/>
      <c r="L758" s="39" t="n"/>
      <c r="M758" s="39" t="n"/>
      <c r="N758" s="39" t="n"/>
      <c r="O758" s="39" t="n"/>
      <c r="P758" s="39" t="n"/>
      <c r="Q758" s="39" t="n"/>
      <c r="R758" s="39" t="n"/>
      <c r="S758" s="39" t="n"/>
      <c r="T758" s="39" t="n"/>
      <c r="U758" s="39" t="n"/>
      <c r="V758" s="39" t="n"/>
      <c r="W758" s="39" t="n"/>
      <c r="X758" s="39" t="n"/>
      <c r="Y758" s="39" t="n"/>
      <c r="Z758" s="39" t="n"/>
      <c r="AA758" s="39" t="n"/>
      <c r="AB758" s="39" t="n"/>
      <c r="AC758" s="39" t="n"/>
      <c r="AD758" s="39" t="n"/>
      <c r="AE758" s="39" t="n"/>
      <c r="AF758" s="39" t="n"/>
      <c r="AG758" s="39" t="n"/>
      <c r="AH758" s="39" t="n"/>
      <c r="AI758" s="39" t="n"/>
      <c r="AJ758" s="39" t="n"/>
      <c r="AK758" s="39" t="n"/>
      <c r="AL758" s="39" t="n"/>
      <c r="AM758" s="44" t="n"/>
      <c r="AN758" s="44" t="n"/>
      <c r="AO758" s="44" t="n"/>
      <c r="AP758" s="44" t="n"/>
      <c r="AQ758" s="44" t="n"/>
      <c r="AR758" s="44" t="n"/>
      <c r="AS758" s="45" t="n"/>
      <c r="AT758" s="45" t="n"/>
      <c r="AU758" s="45" t="n"/>
    </row>
    <row r="759">
      <c r="B759" s="39" t="n"/>
      <c r="C759" s="39" t="n"/>
      <c r="D759" s="40" t="n"/>
      <c r="E759" s="39" t="n"/>
      <c r="F759" s="39" t="n"/>
      <c r="G759" s="112" t="n"/>
      <c r="H759" s="42" t="n"/>
      <c r="I759" s="42" t="n"/>
      <c r="J759" s="113" t="n"/>
      <c r="K759" s="39" t="n"/>
      <c r="L759" s="39" t="n"/>
      <c r="M759" s="39" t="n"/>
      <c r="N759" s="39" t="n"/>
      <c r="O759" s="39" t="n"/>
      <c r="P759" s="39" t="n"/>
      <c r="Q759" s="39" t="n"/>
      <c r="R759" s="39" t="n"/>
      <c r="S759" s="39" t="n"/>
      <c r="T759" s="39" t="n"/>
      <c r="U759" s="39" t="n"/>
      <c r="V759" s="39" t="n"/>
      <c r="W759" s="39" t="n"/>
      <c r="X759" s="39" t="n"/>
      <c r="Y759" s="39" t="n"/>
      <c r="Z759" s="39" t="n"/>
      <c r="AA759" s="39" t="n"/>
      <c r="AB759" s="39" t="n"/>
      <c r="AC759" s="39" t="n"/>
      <c r="AD759" s="39" t="n"/>
      <c r="AE759" s="39" t="n"/>
      <c r="AF759" s="39" t="n"/>
      <c r="AG759" s="39" t="n"/>
      <c r="AH759" s="39" t="n"/>
      <c r="AI759" s="39" t="n"/>
      <c r="AJ759" s="39" t="n"/>
      <c r="AK759" s="39" t="n"/>
      <c r="AL759" s="39" t="n"/>
      <c r="AM759" s="44" t="n"/>
      <c r="AN759" s="44" t="n"/>
      <c r="AO759" s="44" t="n"/>
      <c r="AP759" s="44" t="n"/>
      <c r="AQ759" s="44" t="n"/>
      <c r="AR759" s="44" t="n"/>
      <c r="AS759" s="45" t="n"/>
      <c r="AT759" s="45" t="n"/>
      <c r="AU759" s="45" t="n"/>
    </row>
    <row r="760">
      <c r="B760" s="39" t="n"/>
      <c r="C760" s="39" t="n"/>
      <c r="D760" s="40" t="n"/>
      <c r="E760" s="39" t="n"/>
      <c r="F760" s="39" t="n"/>
      <c r="G760" s="112" t="n"/>
      <c r="H760" s="42" t="n"/>
      <c r="I760" s="42" t="n"/>
      <c r="J760" s="113" t="n"/>
      <c r="K760" s="39" t="n"/>
      <c r="L760" s="39" t="n"/>
      <c r="M760" s="39" t="n"/>
      <c r="N760" s="39" t="n"/>
      <c r="O760" s="39" t="n"/>
      <c r="P760" s="39" t="n"/>
      <c r="Q760" s="39" t="n"/>
      <c r="R760" s="39" t="n"/>
      <c r="S760" s="39" t="n"/>
      <c r="T760" s="39" t="n"/>
      <c r="U760" s="39" t="n"/>
      <c r="V760" s="39" t="n"/>
      <c r="W760" s="39" t="n"/>
      <c r="X760" s="39" t="n"/>
      <c r="Y760" s="39" t="n"/>
      <c r="Z760" s="39" t="n"/>
      <c r="AA760" s="39" t="n"/>
      <c r="AB760" s="39" t="n"/>
      <c r="AC760" s="39" t="n"/>
      <c r="AD760" s="39" t="n"/>
      <c r="AE760" s="39" t="n"/>
      <c r="AF760" s="39" t="n"/>
      <c r="AG760" s="39" t="n"/>
      <c r="AH760" s="39" t="n"/>
      <c r="AI760" s="39" t="n"/>
      <c r="AJ760" s="39" t="n"/>
      <c r="AK760" s="39" t="n"/>
      <c r="AL760" s="39" t="n"/>
      <c r="AM760" s="44" t="n"/>
      <c r="AN760" s="44" t="n"/>
      <c r="AO760" s="44" t="n"/>
      <c r="AP760" s="44" t="n"/>
      <c r="AQ760" s="44" t="n"/>
      <c r="AR760" s="44" t="n"/>
      <c r="AS760" s="45" t="n"/>
      <c r="AT760" s="45" t="n"/>
      <c r="AU760" s="45" t="n"/>
    </row>
    <row r="761">
      <c r="B761" s="39" t="n"/>
      <c r="C761" s="39" t="n"/>
      <c r="D761" s="40" t="n"/>
      <c r="E761" s="39" t="n"/>
      <c r="F761" s="39" t="n"/>
      <c r="G761" s="112" t="n"/>
      <c r="H761" s="42" t="n"/>
      <c r="I761" s="42" t="n"/>
      <c r="J761" s="113" t="n"/>
      <c r="K761" s="39" t="n"/>
      <c r="L761" s="39" t="n"/>
      <c r="M761" s="39" t="n"/>
      <c r="N761" s="39" t="n"/>
      <c r="O761" s="39" t="n"/>
      <c r="P761" s="39" t="n"/>
      <c r="Q761" s="39" t="n"/>
      <c r="R761" s="39" t="n"/>
      <c r="S761" s="39" t="n"/>
      <c r="T761" s="39" t="n"/>
      <c r="U761" s="39" t="n"/>
      <c r="V761" s="39" t="n"/>
      <c r="W761" s="39" t="n"/>
      <c r="X761" s="39" t="n"/>
      <c r="Y761" s="39" t="n"/>
      <c r="Z761" s="39" t="n"/>
      <c r="AA761" s="39" t="n"/>
      <c r="AB761" s="39" t="n"/>
      <c r="AC761" s="39" t="n"/>
      <c r="AD761" s="39" t="n"/>
      <c r="AE761" s="39" t="n"/>
      <c r="AF761" s="39" t="n"/>
      <c r="AG761" s="39" t="n"/>
      <c r="AH761" s="39" t="n"/>
      <c r="AI761" s="39" t="n"/>
      <c r="AJ761" s="39" t="n"/>
      <c r="AK761" s="39" t="n"/>
      <c r="AL761" s="39" t="n"/>
      <c r="AM761" s="44" t="n"/>
      <c r="AN761" s="44" t="n"/>
      <c r="AO761" s="44" t="n"/>
      <c r="AP761" s="44" t="n"/>
      <c r="AQ761" s="44" t="n"/>
      <c r="AR761" s="44" t="n"/>
      <c r="AS761" s="45" t="n"/>
      <c r="AT761" s="45" t="n"/>
      <c r="AU761" s="45" t="n"/>
    </row>
    <row r="762">
      <c r="B762" s="39" t="n"/>
      <c r="C762" s="39" t="n"/>
      <c r="D762" s="40" t="n"/>
      <c r="E762" s="39" t="n"/>
      <c r="F762" s="39" t="n"/>
      <c r="G762" s="112" t="n"/>
      <c r="H762" s="42" t="n"/>
      <c r="I762" s="42" t="n"/>
      <c r="J762" s="113" t="n"/>
      <c r="K762" s="39" t="n"/>
      <c r="L762" s="39" t="n"/>
      <c r="M762" s="39" t="n"/>
      <c r="N762" s="39" t="n"/>
      <c r="O762" s="39" t="n"/>
      <c r="P762" s="39" t="n"/>
      <c r="Q762" s="39" t="n"/>
      <c r="R762" s="39" t="n"/>
      <c r="S762" s="39" t="n"/>
      <c r="T762" s="39" t="n"/>
      <c r="U762" s="39" t="n"/>
      <c r="V762" s="39" t="n"/>
      <c r="W762" s="39" t="n"/>
      <c r="X762" s="39" t="n"/>
      <c r="Y762" s="39" t="n"/>
      <c r="Z762" s="39" t="n"/>
      <c r="AA762" s="39" t="n"/>
      <c r="AB762" s="39" t="n"/>
      <c r="AC762" s="39" t="n"/>
      <c r="AD762" s="39" t="n"/>
      <c r="AE762" s="39" t="n"/>
      <c r="AF762" s="39" t="n"/>
      <c r="AG762" s="39" t="n"/>
      <c r="AH762" s="39" t="n"/>
      <c r="AI762" s="39" t="n"/>
      <c r="AJ762" s="39" t="n"/>
      <c r="AK762" s="39" t="n"/>
      <c r="AL762" s="39" t="n"/>
      <c r="AM762" s="44" t="n"/>
      <c r="AN762" s="44" t="n"/>
      <c r="AO762" s="44" t="n"/>
      <c r="AP762" s="44" t="n"/>
      <c r="AQ762" s="44" t="n"/>
      <c r="AR762" s="44" t="n"/>
      <c r="AS762" s="45" t="n"/>
      <c r="AT762" s="45" t="n"/>
      <c r="AU762" s="45" t="n"/>
    </row>
    <row r="763">
      <c r="B763" s="39" t="n"/>
      <c r="C763" s="39" t="n"/>
      <c r="D763" s="40" t="n"/>
      <c r="E763" s="39" t="n"/>
      <c r="F763" s="39" t="n"/>
      <c r="G763" s="112" t="n"/>
      <c r="H763" s="42" t="n"/>
      <c r="I763" s="42" t="n"/>
      <c r="J763" s="113" t="n"/>
      <c r="K763" s="39" t="n"/>
      <c r="L763" s="39" t="n"/>
      <c r="M763" s="39" t="n"/>
      <c r="N763" s="39" t="n"/>
      <c r="O763" s="39" t="n"/>
      <c r="P763" s="39" t="n"/>
      <c r="Q763" s="39" t="n"/>
      <c r="R763" s="39" t="n"/>
      <c r="S763" s="39" t="n"/>
      <c r="T763" s="39" t="n"/>
      <c r="U763" s="39" t="n"/>
      <c r="V763" s="39" t="n"/>
      <c r="W763" s="39" t="n"/>
      <c r="X763" s="39" t="n"/>
      <c r="Y763" s="39" t="n"/>
      <c r="Z763" s="39" t="n"/>
      <c r="AA763" s="39" t="n"/>
      <c r="AB763" s="39" t="n"/>
      <c r="AC763" s="39" t="n"/>
      <c r="AD763" s="39" t="n"/>
      <c r="AE763" s="39" t="n"/>
      <c r="AF763" s="39" t="n"/>
      <c r="AG763" s="39" t="n"/>
      <c r="AH763" s="39" t="n"/>
      <c r="AI763" s="39" t="n"/>
      <c r="AJ763" s="39" t="n"/>
      <c r="AK763" s="39" t="n"/>
      <c r="AL763" s="39" t="n"/>
      <c r="AM763" s="44" t="n"/>
      <c r="AN763" s="44" t="n"/>
      <c r="AO763" s="44" t="n"/>
      <c r="AP763" s="44" t="n"/>
      <c r="AQ763" s="44" t="n"/>
      <c r="AR763" s="44" t="n"/>
      <c r="AS763" s="45" t="n"/>
      <c r="AT763" s="45" t="n"/>
      <c r="AU763" s="45" t="n"/>
    </row>
    <row r="764">
      <c r="B764" s="39" t="n"/>
      <c r="C764" s="39" t="n"/>
      <c r="D764" s="40" t="n"/>
      <c r="E764" s="39" t="n"/>
      <c r="F764" s="39" t="n"/>
      <c r="G764" s="112" t="n"/>
      <c r="H764" s="42" t="n"/>
      <c r="I764" s="42" t="n"/>
      <c r="J764" s="113" t="n"/>
      <c r="K764" s="39" t="n"/>
      <c r="L764" s="39" t="n"/>
      <c r="M764" s="39" t="n"/>
      <c r="N764" s="39" t="n"/>
      <c r="O764" s="39" t="n"/>
      <c r="P764" s="39" t="n"/>
      <c r="Q764" s="39" t="n"/>
      <c r="R764" s="39" t="n"/>
      <c r="S764" s="39" t="n"/>
      <c r="T764" s="39" t="n"/>
      <c r="U764" s="39" t="n"/>
      <c r="V764" s="39" t="n"/>
      <c r="W764" s="39" t="n"/>
      <c r="X764" s="39" t="n"/>
      <c r="Y764" s="39" t="n"/>
      <c r="Z764" s="39" t="n"/>
      <c r="AA764" s="39" t="n"/>
      <c r="AB764" s="39" t="n"/>
      <c r="AC764" s="39" t="n"/>
      <c r="AD764" s="39" t="n"/>
      <c r="AE764" s="39" t="n"/>
      <c r="AF764" s="39" t="n"/>
      <c r="AG764" s="39" t="n"/>
      <c r="AH764" s="39" t="n"/>
      <c r="AI764" s="39" t="n"/>
      <c r="AJ764" s="39" t="n"/>
      <c r="AK764" s="39" t="n"/>
      <c r="AL764" s="39" t="n"/>
      <c r="AM764" s="44" t="n"/>
      <c r="AN764" s="44" t="n"/>
      <c r="AO764" s="44" t="n"/>
      <c r="AP764" s="44" t="n"/>
      <c r="AQ764" s="44" t="n"/>
      <c r="AR764" s="44" t="n"/>
      <c r="AS764" s="45" t="n"/>
      <c r="AT764" s="45" t="n"/>
      <c r="AU764" s="45" t="n"/>
    </row>
    <row r="765">
      <c r="B765" s="39" t="n"/>
      <c r="C765" s="39" t="n"/>
      <c r="D765" s="40" t="n"/>
      <c r="E765" s="39" t="n"/>
      <c r="F765" s="39" t="n"/>
      <c r="G765" s="112" t="n"/>
      <c r="H765" s="42" t="n"/>
      <c r="I765" s="42" t="n"/>
      <c r="J765" s="113" t="n"/>
      <c r="K765" s="39" t="n"/>
      <c r="L765" s="39" t="n"/>
      <c r="M765" s="39" t="n"/>
      <c r="N765" s="39" t="n"/>
      <c r="O765" s="39" t="n"/>
      <c r="P765" s="39" t="n"/>
      <c r="Q765" s="39" t="n"/>
      <c r="R765" s="39" t="n"/>
      <c r="S765" s="39" t="n"/>
      <c r="T765" s="39" t="n"/>
      <c r="U765" s="39" t="n"/>
      <c r="V765" s="39" t="n"/>
      <c r="W765" s="39" t="n"/>
      <c r="X765" s="39" t="n"/>
      <c r="Y765" s="39" t="n"/>
      <c r="Z765" s="39" t="n"/>
      <c r="AA765" s="39" t="n"/>
      <c r="AB765" s="39" t="n"/>
      <c r="AC765" s="39" t="n"/>
      <c r="AD765" s="39" t="n"/>
      <c r="AE765" s="39" t="n"/>
      <c r="AF765" s="39" t="n"/>
      <c r="AG765" s="39" t="n"/>
      <c r="AH765" s="39" t="n"/>
      <c r="AI765" s="39" t="n"/>
      <c r="AJ765" s="39" t="n"/>
      <c r="AK765" s="39" t="n"/>
      <c r="AL765" s="39" t="n"/>
      <c r="AM765" s="44" t="n"/>
      <c r="AN765" s="44" t="n"/>
      <c r="AO765" s="44" t="n"/>
      <c r="AP765" s="44" t="n"/>
      <c r="AQ765" s="44" t="n"/>
      <c r="AR765" s="44" t="n"/>
      <c r="AS765" s="45" t="n"/>
      <c r="AT765" s="45" t="n"/>
      <c r="AU765" s="45" t="n"/>
    </row>
    <row r="766">
      <c r="B766" s="39" t="n"/>
      <c r="C766" s="39" t="n"/>
      <c r="D766" s="40" t="n"/>
      <c r="E766" s="39" t="n"/>
      <c r="F766" s="39" t="n"/>
      <c r="G766" s="112" t="n"/>
      <c r="H766" s="42" t="n"/>
      <c r="I766" s="42" t="n"/>
      <c r="J766" s="113" t="n"/>
      <c r="K766" s="39" t="n"/>
      <c r="L766" s="39" t="n"/>
      <c r="M766" s="39" t="n"/>
      <c r="N766" s="39" t="n"/>
      <c r="O766" s="39" t="n"/>
      <c r="P766" s="39" t="n"/>
      <c r="Q766" s="39" t="n"/>
      <c r="R766" s="39" t="n"/>
      <c r="S766" s="39" t="n"/>
      <c r="T766" s="39" t="n"/>
      <c r="U766" s="39" t="n"/>
      <c r="V766" s="39" t="n"/>
      <c r="W766" s="39" t="n"/>
      <c r="X766" s="39" t="n"/>
      <c r="Y766" s="39" t="n"/>
      <c r="Z766" s="39" t="n"/>
      <c r="AA766" s="39" t="n"/>
      <c r="AB766" s="39" t="n"/>
      <c r="AC766" s="39" t="n"/>
      <c r="AD766" s="39" t="n"/>
      <c r="AE766" s="39" t="n"/>
      <c r="AF766" s="39" t="n"/>
      <c r="AG766" s="39" t="n"/>
      <c r="AH766" s="39" t="n"/>
      <c r="AI766" s="39" t="n"/>
      <c r="AJ766" s="39" t="n"/>
      <c r="AK766" s="39" t="n"/>
      <c r="AL766" s="39" t="n"/>
      <c r="AM766" s="44" t="n"/>
      <c r="AN766" s="44" t="n"/>
      <c r="AO766" s="44" t="n"/>
      <c r="AP766" s="44" t="n"/>
      <c r="AQ766" s="44" t="n"/>
      <c r="AR766" s="44" t="n"/>
      <c r="AS766" s="45" t="n"/>
      <c r="AT766" s="45" t="n"/>
      <c r="AU766" s="45" t="n"/>
    </row>
    <row r="767">
      <c r="B767" s="39" t="n"/>
      <c r="C767" s="39" t="n"/>
      <c r="D767" s="40" t="n"/>
      <c r="E767" s="39" t="n"/>
      <c r="F767" s="39" t="n"/>
      <c r="G767" s="112" t="n"/>
      <c r="H767" s="42" t="n"/>
      <c r="I767" s="42" t="n"/>
      <c r="J767" s="113" t="n"/>
      <c r="K767" s="39" t="n"/>
      <c r="L767" s="39" t="n"/>
      <c r="M767" s="39" t="n"/>
      <c r="N767" s="39" t="n"/>
      <c r="O767" s="39" t="n"/>
      <c r="P767" s="39" t="n"/>
      <c r="Q767" s="39" t="n"/>
      <c r="R767" s="39" t="n"/>
      <c r="S767" s="39" t="n"/>
      <c r="T767" s="39" t="n"/>
      <c r="U767" s="39" t="n"/>
      <c r="V767" s="39" t="n"/>
      <c r="W767" s="39" t="n"/>
      <c r="X767" s="39" t="n"/>
      <c r="Y767" s="39" t="n"/>
      <c r="Z767" s="39" t="n"/>
      <c r="AA767" s="39" t="n"/>
      <c r="AB767" s="39" t="n"/>
      <c r="AC767" s="39" t="n"/>
      <c r="AD767" s="39" t="n"/>
      <c r="AE767" s="39" t="n"/>
      <c r="AF767" s="39" t="n"/>
      <c r="AG767" s="39" t="n"/>
      <c r="AH767" s="39" t="n"/>
      <c r="AI767" s="39" t="n"/>
      <c r="AJ767" s="39" t="n"/>
      <c r="AK767" s="39" t="n"/>
      <c r="AL767" s="39" t="n"/>
      <c r="AM767" s="44" t="n"/>
      <c r="AN767" s="44" t="n"/>
      <c r="AO767" s="44" t="n"/>
      <c r="AP767" s="44" t="n"/>
      <c r="AQ767" s="44" t="n"/>
      <c r="AR767" s="44" t="n"/>
      <c r="AS767" s="45" t="n"/>
      <c r="AT767" s="45" t="n"/>
      <c r="AU767" s="45" t="n"/>
    </row>
    <row r="768">
      <c r="B768" s="39" t="n"/>
      <c r="C768" s="39" t="n"/>
      <c r="D768" s="40" t="n"/>
      <c r="E768" s="39" t="n"/>
      <c r="F768" s="39" t="n"/>
      <c r="G768" s="112" t="n"/>
      <c r="H768" s="42" t="n"/>
      <c r="I768" s="42" t="n"/>
      <c r="J768" s="113" t="n"/>
      <c r="K768" s="39" t="n"/>
      <c r="L768" s="39" t="n"/>
      <c r="M768" s="39" t="n"/>
      <c r="N768" s="39" t="n"/>
      <c r="O768" s="39" t="n"/>
      <c r="P768" s="39" t="n"/>
      <c r="Q768" s="39" t="n"/>
      <c r="R768" s="39" t="n"/>
      <c r="S768" s="39" t="n"/>
      <c r="T768" s="39" t="n"/>
      <c r="U768" s="39" t="n"/>
      <c r="V768" s="39" t="n"/>
      <c r="W768" s="39" t="n"/>
      <c r="X768" s="39" t="n"/>
      <c r="Y768" s="39" t="n"/>
      <c r="Z768" s="39" t="n"/>
      <c r="AA768" s="39" t="n"/>
      <c r="AB768" s="39" t="n"/>
      <c r="AC768" s="39" t="n"/>
      <c r="AD768" s="39" t="n"/>
      <c r="AE768" s="39" t="n"/>
      <c r="AF768" s="39" t="n"/>
      <c r="AG768" s="39" t="n"/>
      <c r="AH768" s="39" t="n"/>
      <c r="AI768" s="39" t="n"/>
      <c r="AJ768" s="39" t="n"/>
      <c r="AK768" s="39" t="n"/>
      <c r="AL768" s="39" t="n"/>
      <c r="AM768" s="44" t="n"/>
      <c r="AN768" s="44" t="n"/>
      <c r="AO768" s="44" t="n"/>
      <c r="AP768" s="44" t="n"/>
      <c r="AQ768" s="44" t="n"/>
      <c r="AR768" s="44" t="n"/>
      <c r="AS768" s="45" t="n"/>
      <c r="AT768" s="45" t="n"/>
      <c r="AU768" s="45" t="n"/>
    </row>
    <row r="769">
      <c r="B769" s="39" t="n"/>
      <c r="C769" s="39" t="n"/>
      <c r="D769" s="40" t="n"/>
      <c r="E769" s="39" t="n"/>
      <c r="F769" s="39" t="n"/>
      <c r="G769" s="112" t="n"/>
      <c r="H769" s="42" t="n"/>
      <c r="I769" s="42" t="n"/>
      <c r="J769" s="113" t="n"/>
      <c r="K769" s="39" t="n"/>
      <c r="L769" s="39" t="n"/>
      <c r="M769" s="39" t="n"/>
      <c r="N769" s="39" t="n"/>
      <c r="O769" s="39" t="n"/>
      <c r="P769" s="39" t="n"/>
      <c r="Q769" s="39" t="n"/>
      <c r="R769" s="39" t="n"/>
      <c r="S769" s="39" t="n"/>
      <c r="T769" s="39" t="n"/>
      <c r="U769" s="39" t="n"/>
      <c r="V769" s="39" t="n"/>
      <c r="W769" s="39" t="n"/>
      <c r="X769" s="39" t="n"/>
      <c r="Y769" s="39" t="n"/>
      <c r="Z769" s="39" t="n"/>
      <c r="AA769" s="39" t="n"/>
      <c r="AB769" s="39" t="n"/>
      <c r="AC769" s="39" t="n"/>
      <c r="AD769" s="39" t="n"/>
      <c r="AE769" s="39" t="n"/>
      <c r="AF769" s="39" t="n"/>
      <c r="AG769" s="39" t="n"/>
      <c r="AH769" s="39" t="n"/>
      <c r="AI769" s="39" t="n"/>
      <c r="AJ769" s="39" t="n"/>
      <c r="AK769" s="39" t="n"/>
      <c r="AL769" s="39" t="n"/>
      <c r="AM769" s="44" t="n"/>
      <c r="AN769" s="44" t="n"/>
      <c r="AO769" s="44" t="n"/>
      <c r="AP769" s="44" t="n"/>
      <c r="AQ769" s="44" t="n"/>
      <c r="AR769" s="44" t="n"/>
      <c r="AS769" s="45" t="n"/>
      <c r="AT769" s="45" t="n"/>
      <c r="AU769" s="45" t="n"/>
    </row>
    <row r="770">
      <c r="B770" s="39" t="n"/>
      <c r="C770" s="39" t="n"/>
      <c r="D770" s="40" t="n"/>
      <c r="E770" s="39" t="n"/>
      <c r="F770" s="39" t="n"/>
      <c r="G770" s="112" t="n"/>
      <c r="H770" s="42" t="n"/>
      <c r="I770" s="42" t="n"/>
      <c r="J770" s="113" t="n"/>
      <c r="K770" s="39" t="n"/>
      <c r="L770" s="39" t="n"/>
      <c r="M770" s="39" t="n"/>
      <c r="N770" s="39" t="n"/>
      <c r="O770" s="39" t="n"/>
      <c r="P770" s="39" t="n"/>
      <c r="Q770" s="39" t="n"/>
      <c r="R770" s="39" t="n"/>
      <c r="S770" s="39" t="n"/>
      <c r="T770" s="39" t="n"/>
      <c r="U770" s="39" t="n"/>
      <c r="V770" s="39" t="n"/>
      <c r="W770" s="39" t="n"/>
      <c r="X770" s="39" t="n"/>
      <c r="Y770" s="39" t="n"/>
      <c r="Z770" s="39" t="n"/>
      <c r="AA770" s="39" t="n"/>
      <c r="AB770" s="39" t="n"/>
      <c r="AC770" s="39" t="n"/>
      <c r="AD770" s="39" t="n"/>
      <c r="AE770" s="39" t="n"/>
      <c r="AF770" s="39" t="n"/>
      <c r="AG770" s="39" t="n"/>
      <c r="AH770" s="39" t="n"/>
      <c r="AI770" s="39" t="n"/>
      <c r="AJ770" s="39" t="n"/>
      <c r="AK770" s="39" t="n"/>
      <c r="AL770" s="39" t="n"/>
      <c r="AM770" s="44" t="n"/>
      <c r="AN770" s="44" t="n"/>
      <c r="AO770" s="44" t="n"/>
      <c r="AP770" s="44" t="n"/>
      <c r="AQ770" s="44" t="n"/>
      <c r="AR770" s="44" t="n"/>
      <c r="AS770" s="45" t="n"/>
      <c r="AT770" s="45" t="n"/>
      <c r="AU770" s="45" t="n"/>
    </row>
    <row r="771">
      <c r="B771" s="39" t="n"/>
      <c r="C771" s="39" t="n"/>
      <c r="D771" s="40" t="n"/>
      <c r="E771" s="39" t="n"/>
      <c r="F771" s="39" t="n"/>
      <c r="G771" s="112" t="n"/>
      <c r="H771" s="42" t="n"/>
      <c r="I771" s="42" t="n"/>
      <c r="J771" s="113" t="n"/>
      <c r="K771" s="39" t="n"/>
      <c r="L771" s="39" t="n"/>
      <c r="M771" s="39" t="n"/>
      <c r="N771" s="39" t="n"/>
      <c r="O771" s="39" t="n"/>
      <c r="P771" s="39" t="n"/>
      <c r="Q771" s="39" t="n"/>
      <c r="R771" s="39" t="n"/>
      <c r="S771" s="39" t="n"/>
      <c r="T771" s="39" t="n"/>
      <c r="U771" s="39" t="n"/>
      <c r="V771" s="39" t="n"/>
      <c r="W771" s="39" t="n"/>
      <c r="X771" s="39" t="n"/>
      <c r="Y771" s="39" t="n"/>
      <c r="Z771" s="39" t="n"/>
      <c r="AA771" s="39" t="n"/>
      <c r="AB771" s="39" t="n"/>
      <c r="AC771" s="39" t="n"/>
      <c r="AD771" s="39" t="n"/>
      <c r="AE771" s="39" t="n"/>
      <c r="AF771" s="39" t="n"/>
      <c r="AG771" s="39" t="n"/>
      <c r="AH771" s="39" t="n"/>
      <c r="AI771" s="39" t="n"/>
      <c r="AJ771" s="39" t="n"/>
      <c r="AK771" s="39" t="n"/>
      <c r="AL771" s="39" t="n"/>
      <c r="AM771" s="44" t="n"/>
      <c r="AN771" s="44" t="n"/>
      <c r="AO771" s="44" t="n"/>
      <c r="AP771" s="44" t="n"/>
      <c r="AQ771" s="44" t="n"/>
      <c r="AR771" s="44" t="n"/>
      <c r="AS771" s="45" t="n"/>
      <c r="AT771" s="45" t="n"/>
      <c r="AU771" s="45" t="n"/>
    </row>
    <row r="772">
      <c r="B772" s="39" t="n"/>
      <c r="C772" s="39" t="n"/>
      <c r="D772" s="40" t="n"/>
      <c r="E772" s="39" t="n"/>
      <c r="F772" s="39" t="n"/>
      <c r="G772" s="112" t="n"/>
      <c r="H772" s="42" t="n"/>
      <c r="I772" s="42" t="n"/>
      <c r="J772" s="113" t="n"/>
      <c r="K772" s="39" t="n"/>
      <c r="L772" s="39" t="n"/>
      <c r="M772" s="39" t="n"/>
      <c r="N772" s="39" t="n"/>
      <c r="O772" s="39" t="n"/>
      <c r="P772" s="39" t="n"/>
      <c r="Q772" s="39" t="n"/>
      <c r="R772" s="39" t="n"/>
      <c r="S772" s="39" t="n"/>
      <c r="T772" s="39" t="n"/>
      <c r="U772" s="39" t="n"/>
      <c r="V772" s="39" t="n"/>
      <c r="W772" s="39" t="n"/>
      <c r="X772" s="39" t="n"/>
      <c r="Y772" s="39" t="n"/>
      <c r="Z772" s="39" t="n"/>
      <c r="AA772" s="39" t="n"/>
      <c r="AB772" s="39" t="n"/>
      <c r="AC772" s="39" t="n"/>
      <c r="AD772" s="39" t="n"/>
      <c r="AE772" s="39" t="n"/>
      <c r="AF772" s="39" t="n"/>
      <c r="AG772" s="39" t="n"/>
      <c r="AH772" s="39" t="n"/>
      <c r="AI772" s="39" t="n"/>
      <c r="AJ772" s="39" t="n"/>
      <c r="AK772" s="39" t="n"/>
      <c r="AL772" s="39" t="n"/>
      <c r="AM772" s="44" t="n"/>
      <c r="AN772" s="44" t="n"/>
      <c r="AO772" s="44" t="n"/>
      <c r="AP772" s="44" t="n"/>
      <c r="AQ772" s="44" t="n"/>
      <c r="AR772" s="44" t="n"/>
      <c r="AS772" s="45" t="n"/>
      <c r="AT772" s="45" t="n"/>
      <c r="AU772" s="45" t="n"/>
    </row>
    <row r="773">
      <c r="B773" s="39" t="n"/>
      <c r="C773" s="39" t="n"/>
      <c r="D773" s="40" t="n"/>
      <c r="E773" s="39" t="n"/>
      <c r="F773" s="39" t="n"/>
      <c r="G773" s="112" t="n"/>
      <c r="H773" s="42" t="n"/>
      <c r="I773" s="42" t="n"/>
      <c r="J773" s="113" t="n"/>
      <c r="K773" s="39" t="n"/>
      <c r="L773" s="39" t="n"/>
      <c r="M773" s="39" t="n"/>
      <c r="N773" s="39" t="n"/>
      <c r="O773" s="39" t="n"/>
      <c r="P773" s="39" t="n"/>
      <c r="Q773" s="39" t="n"/>
      <c r="R773" s="39" t="n"/>
      <c r="S773" s="39" t="n"/>
      <c r="T773" s="39" t="n"/>
      <c r="U773" s="39" t="n"/>
      <c r="V773" s="39" t="n"/>
      <c r="W773" s="39" t="n"/>
      <c r="X773" s="39" t="n"/>
      <c r="Y773" s="39" t="n"/>
      <c r="Z773" s="39" t="n"/>
      <c r="AA773" s="39" t="n"/>
      <c r="AB773" s="39" t="n"/>
      <c r="AC773" s="39" t="n"/>
      <c r="AD773" s="39" t="n"/>
      <c r="AE773" s="39" t="n"/>
      <c r="AF773" s="39" t="n"/>
      <c r="AG773" s="39" t="n"/>
      <c r="AH773" s="39" t="n"/>
      <c r="AI773" s="39" t="n"/>
      <c r="AJ773" s="39" t="n"/>
      <c r="AK773" s="39" t="n"/>
      <c r="AL773" s="39" t="n"/>
      <c r="AM773" s="44" t="n"/>
      <c r="AN773" s="44" t="n"/>
      <c r="AO773" s="44" t="n"/>
      <c r="AP773" s="44" t="n"/>
      <c r="AQ773" s="44" t="n"/>
      <c r="AR773" s="44" t="n"/>
      <c r="AS773" s="45" t="n"/>
      <c r="AT773" s="45" t="n"/>
      <c r="AU773" s="45" t="n"/>
    </row>
    <row r="774">
      <c r="B774" s="39" t="n"/>
      <c r="C774" s="39" t="n"/>
      <c r="D774" s="40" t="n"/>
      <c r="E774" s="39" t="n"/>
      <c r="F774" s="39" t="n"/>
      <c r="G774" s="112" t="n"/>
      <c r="H774" s="42" t="n"/>
      <c r="I774" s="42" t="n"/>
      <c r="J774" s="113" t="n"/>
      <c r="K774" s="39" t="n"/>
      <c r="L774" s="39" t="n"/>
      <c r="M774" s="39" t="n"/>
      <c r="N774" s="39" t="n"/>
      <c r="O774" s="39" t="n"/>
      <c r="P774" s="39" t="n"/>
      <c r="Q774" s="39" t="n"/>
      <c r="R774" s="39" t="n"/>
      <c r="S774" s="39" t="n"/>
      <c r="T774" s="39" t="n"/>
      <c r="U774" s="39" t="n"/>
      <c r="V774" s="39" t="n"/>
      <c r="W774" s="39" t="n"/>
      <c r="X774" s="39" t="n"/>
      <c r="Y774" s="39" t="n"/>
      <c r="Z774" s="39" t="n"/>
      <c r="AA774" s="39" t="n"/>
      <c r="AB774" s="39" t="n"/>
      <c r="AC774" s="39" t="n"/>
      <c r="AD774" s="39" t="n"/>
      <c r="AE774" s="39" t="n"/>
      <c r="AF774" s="39" t="n"/>
      <c r="AG774" s="39" t="n"/>
      <c r="AH774" s="39" t="n"/>
      <c r="AI774" s="39" t="n"/>
      <c r="AJ774" s="39" t="n"/>
      <c r="AK774" s="39" t="n"/>
      <c r="AL774" s="39" t="n"/>
      <c r="AM774" s="44" t="n"/>
      <c r="AN774" s="44" t="n"/>
      <c r="AO774" s="44" t="n"/>
      <c r="AP774" s="44" t="n"/>
      <c r="AQ774" s="44" t="n"/>
      <c r="AR774" s="44" t="n"/>
      <c r="AS774" s="45" t="n"/>
      <c r="AT774" s="45" t="n"/>
      <c r="AU774" s="45" t="n"/>
    </row>
    <row r="775">
      <c r="B775" s="39" t="n"/>
      <c r="C775" s="39" t="n"/>
      <c r="D775" s="40" t="n"/>
      <c r="E775" s="39" t="n"/>
      <c r="F775" s="39" t="n"/>
      <c r="G775" s="112" t="n"/>
      <c r="H775" s="42" t="n"/>
      <c r="I775" s="42" t="n"/>
      <c r="J775" s="113" t="n"/>
      <c r="K775" s="39" t="n"/>
      <c r="L775" s="39" t="n"/>
      <c r="M775" s="39" t="n"/>
      <c r="N775" s="39" t="n"/>
      <c r="O775" s="39" t="n"/>
      <c r="P775" s="39" t="n"/>
      <c r="Q775" s="39" t="n"/>
      <c r="R775" s="39" t="n"/>
      <c r="S775" s="39" t="n"/>
      <c r="T775" s="39" t="n"/>
      <c r="U775" s="39" t="n"/>
      <c r="V775" s="39" t="n"/>
      <c r="W775" s="39" t="n"/>
      <c r="X775" s="39" t="n"/>
      <c r="Y775" s="39" t="n"/>
      <c r="Z775" s="39" t="n"/>
      <c r="AA775" s="39" t="n"/>
      <c r="AB775" s="39" t="n"/>
      <c r="AC775" s="39" t="n"/>
      <c r="AD775" s="39" t="n"/>
      <c r="AE775" s="39" t="n"/>
      <c r="AF775" s="39" t="n"/>
      <c r="AG775" s="39" t="n"/>
      <c r="AH775" s="39" t="n"/>
      <c r="AI775" s="39" t="n"/>
      <c r="AJ775" s="39" t="n"/>
      <c r="AK775" s="39" t="n"/>
      <c r="AL775" s="39" t="n"/>
      <c r="AM775" s="44" t="n"/>
      <c r="AN775" s="44" t="n"/>
      <c r="AO775" s="44" t="n"/>
      <c r="AP775" s="44" t="n"/>
      <c r="AQ775" s="44" t="n"/>
      <c r="AR775" s="44" t="n"/>
      <c r="AS775" s="45" t="n"/>
      <c r="AT775" s="45" t="n"/>
      <c r="AU775" s="45" t="n"/>
    </row>
    <row r="776">
      <c r="B776" s="39" t="n"/>
      <c r="C776" s="39" t="n"/>
      <c r="D776" s="40" t="n"/>
      <c r="E776" s="39" t="n"/>
      <c r="F776" s="39" t="n"/>
      <c r="G776" s="112" t="n"/>
      <c r="H776" s="42" t="n"/>
      <c r="I776" s="42" t="n"/>
      <c r="J776" s="113" t="n"/>
      <c r="K776" s="39" t="n"/>
      <c r="L776" s="39" t="n"/>
      <c r="M776" s="39" t="n"/>
      <c r="N776" s="39" t="n"/>
      <c r="O776" s="39" t="n"/>
      <c r="P776" s="39" t="n"/>
      <c r="Q776" s="39" t="n"/>
      <c r="R776" s="39" t="n"/>
      <c r="S776" s="39" t="n"/>
      <c r="T776" s="39" t="n"/>
      <c r="U776" s="39" t="n"/>
      <c r="V776" s="39" t="n"/>
      <c r="W776" s="39" t="n"/>
      <c r="X776" s="39" t="n"/>
      <c r="Y776" s="39" t="n"/>
      <c r="Z776" s="39" t="n"/>
      <c r="AA776" s="39" t="n"/>
      <c r="AB776" s="39" t="n"/>
      <c r="AC776" s="39" t="n"/>
      <c r="AD776" s="39" t="n"/>
      <c r="AE776" s="39" t="n"/>
      <c r="AF776" s="39" t="n"/>
      <c r="AG776" s="39" t="n"/>
      <c r="AH776" s="39" t="n"/>
      <c r="AI776" s="39" t="n"/>
      <c r="AJ776" s="39" t="n"/>
      <c r="AK776" s="39" t="n"/>
      <c r="AL776" s="39" t="n"/>
      <c r="AM776" s="44" t="n"/>
      <c r="AN776" s="44" t="n"/>
      <c r="AO776" s="44" t="n"/>
      <c r="AP776" s="44" t="n"/>
      <c r="AQ776" s="44" t="n"/>
      <c r="AR776" s="44" t="n"/>
      <c r="AS776" s="45" t="n"/>
      <c r="AT776" s="45" t="n"/>
      <c r="AU776" s="45" t="n"/>
    </row>
    <row r="777">
      <c r="B777" s="39" t="n"/>
      <c r="C777" s="39" t="n"/>
      <c r="D777" s="40" t="n"/>
      <c r="E777" s="39" t="n"/>
      <c r="F777" s="39" t="n"/>
      <c r="G777" s="112" t="n"/>
      <c r="H777" s="42" t="n"/>
      <c r="I777" s="42" t="n"/>
      <c r="J777" s="113" t="n"/>
      <c r="K777" s="39" t="n"/>
      <c r="L777" s="39" t="n"/>
      <c r="M777" s="39" t="n"/>
      <c r="N777" s="39" t="n"/>
      <c r="O777" s="39" t="n"/>
      <c r="P777" s="39" t="n"/>
      <c r="Q777" s="39" t="n"/>
      <c r="R777" s="39" t="n"/>
      <c r="S777" s="39" t="n"/>
      <c r="T777" s="39" t="n"/>
      <c r="U777" s="39" t="n"/>
      <c r="V777" s="39" t="n"/>
      <c r="W777" s="39" t="n"/>
      <c r="X777" s="39" t="n"/>
      <c r="Y777" s="39" t="n"/>
      <c r="Z777" s="39" t="n"/>
      <c r="AA777" s="39" t="n"/>
      <c r="AB777" s="39" t="n"/>
      <c r="AC777" s="39" t="n"/>
      <c r="AD777" s="39" t="n"/>
      <c r="AE777" s="39" t="n"/>
      <c r="AF777" s="39" t="n"/>
      <c r="AG777" s="39" t="n"/>
      <c r="AH777" s="39" t="n"/>
      <c r="AI777" s="39" t="n"/>
      <c r="AJ777" s="39" t="n"/>
      <c r="AK777" s="39" t="n"/>
      <c r="AL777" s="39" t="n"/>
      <c r="AM777" s="44" t="n"/>
      <c r="AN777" s="44" t="n"/>
      <c r="AO777" s="44" t="n"/>
      <c r="AP777" s="44" t="n"/>
      <c r="AQ777" s="44" t="n"/>
      <c r="AR777" s="44" t="n"/>
      <c r="AS777" s="45" t="n"/>
      <c r="AT777" s="45" t="n"/>
      <c r="AU777" s="45" t="n"/>
    </row>
    <row r="778">
      <c r="B778" s="39" t="n"/>
      <c r="C778" s="39" t="n"/>
      <c r="D778" s="40" t="n"/>
      <c r="E778" s="39" t="n"/>
      <c r="F778" s="39" t="n"/>
      <c r="G778" s="112" t="n"/>
      <c r="H778" s="42" t="n"/>
      <c r="I778" s="42" t="n"/>
      <c r="J778" s="113" t="n"/>
      <c r="K778" s="39" t="n"/>
      <c r="L778" s="39" t="n"/>
      <c r="M778" s="39" t="n"/>
      <c r="N778" s="39" t="n"/>
      <c r="O778" s="39" t="n"/>
      <c r="P778" s="39" t="n"/>
      <c r="Q778" s="39" t="n"/>
      <c r="R778" s="39" t="n"/>
      <c r="S778" s="39" t="n"/>
      <c r="T778" s="39" t="n"/>
      <c r="U778" s="39" t="n"/>
      <c r="V778" s="39" t="n"/>
      <c r="W778" s="39" t="n"/>
      <c r="X778" s="39" t="n"/>
      <c r="Y778" s="39" t="n"/>
      <c r="Z778" s="39" t="n"/>
      <c r="AA778" s="39" t="n"/>
      <c r="AB778" s="39" t="n"/>
      <c r="AC778" s="39" t="n"/>
      <c r="AD778" s="39" t="n"/>
      <c r="AE778" s="39" t="n"/>
      <c r="AF778" s="39" t="n"/>
      <c r="AG778" s="39" t="n"/>
      <c r="AH778" s="39" t="n"/>
      <c r="AI778" s="39" t="n"/>
      <c r="AJ778" s="39" t="n"/>
      <c r="AK778" s="39" t="n"/>
      <c r="AL778" s="39" t="n"/>
      <c r="AM778" s="44" t="n"/>
      <c r="AN778" s="44" t="n"/>
      <c r="AO778" s="44" t="n"/>
      <c r="AP778" s="44" t="n"/>
      <c r="AQ778" s="44" t="n"/>
      <c r="AR778" s="44" t="n"/>
      <c r="AS778" s="45" t="n"/>
      <c r="AT778" s="45" t="n"/>
      <c r="AU778" s="45" t="n"/>
    </row>
    <row r="779">
      <c r="B779" s="39" t="n"/>
      <c r="C779" s="39" t="n"/>
      <c r="D779" s="40" t="n"/>
      <c r="E779" s="39" t="n"/>
      <c r="F779" s="39" t="n"/>
      <c r="G779" s="112" t="n"/>
      <c r="H779" s="42" t="n"/>
      <c r="I779" s="42" t="n"/>
      <c r="J779" s="113" t="n"/>
      <c r="K779" s="39" t="n"/>
      <c r="L779" s="39" t="n"/>
      <c r="M779" s="39" t="n"/>
      <c r="N779" s="39" t="n"/>
      <c r="O779" s="39" t="n"/>
      <c r="P779" s="39" t="n"/>
      <c r="Q779" s="39" t="n"/>
      <c r="R779" s="39" t="n"/>
      <c r="S779" s="39" t="n"/>
      <c r="T779" s="39" t="n"/>
      <c r="U779" s="39" t="n"/>
      <c r="V779" s="39" t="n"/>
      <c r="W779" s="39" t="n"/>
      <c r="X779" s="39" t="n"/>
      <c r="Y779" s="39" t="n"/>
      <c r="Z779" s="39" t="n"/>
      <c r="AA779" s="39" t="n"/>
      <c r="AB779" s="39" t="n"/>
      <c r="AC779" s="39" t="n"/>
      <c r="AD779" s="39" t="n"/>
      <c r="AE779" s="39" t="n"/>
      <c r="AF779" s="39" t="n"/>
      <c r="AG779" s="39" t="n"/>
      <c r="AH779" s="39" t="n"/>
      <c r="AI779" s="39" t="n"/>
      <c r="AJ779" s="39" t="n"/>
      <c r="AK779" s="39" t="n"/>
      <c r="AL779" s="39" t="n"/>
      <c r="AM779" s="44" t="n"/>
      <c r="AN779" s="44" t="n"/>
      <c r="AO779" s="44" t="n"/>
      <c r="AP779" s="44" t="n"/>
      <c r="AQ779" s="44" t="n"/>
      <c r="AR779" s="44" t="n"/>
      <c r="AS779" s="45" t="n"/>
      <c r="AT779" s="45" t="n"/>
      <c r="AU779" s="45" t="n"/>
    </row>
    <row r="780">
      <c r="B780" s="39" t="n"/>
      <c r="C780" s="39" t="n"/>
      <c r="D780" s="40" t="n"/>
      <c r="E780" s="39" t="n"/>
      <c r="F780" s="39" t="n"/>
      <c r="G780" s="112" t="n"/>
      <c r="H780" s="42" t="n"/>
      <c r="I780" s="42" t="n"/>
      <c r="J780" s="113" t="n"/>
      <c r="K780" s="39" t="n"/>
      <c r="L780" s="39" t="n"/>
      <c r="M780" s="39" t="n"/>
      <c r="N780" s="39" t="n"/>
      <c r="O780" s="39" t="n"/>
      <c r="P780" s="39" t="n"/>
      <c r="Q780" s="39" t="n"/>
      <c r="R780" s="39" t="n"/>
      <c r="S780" s="39" t="n"/>
      <c r="T780" s="39" t="n"/>
      <c r="U780" s="39" t="n"/>
      <c r="V780" s="39" t="n"/>
      <c r="W780" s="39" t="n"/>
      <c r="X780" s="39" t="n"/>
      <c r="Y780" s="39" t="n"/>
      <c r="Z780" s="39" t="n"/>
      <c r="AA780" s="39" t="n"/>
      <c r="AB780" s="39" t="n"/>
      <c r="AC780" s="39" t="n"/>
      <c r="AD780" s="39" t="n"/>
      <c r="AE780" s="39" t="n"/>
      <c r="AF780" s="39" t="n"/>
      <c r="AG780" s="39" t="n"/>
      <c r="AH780" s="39" t="n"/>
      <c r="AI780" s="39" t="n"/>
      <c r="AJ780" s="39" t="n"/>
      <c r="AK780" s="39" t="n"/>
      <c r="AL780" s="39" t="n"/>
      <c r="AM780" s="44" t="n"/>
      <c r="AN780" s="44" t="n"/>
      <c r="AO780" s="44" t="n"/>
      <c r="AP780" s="44" t="n"/>
      <c r="AQ780" s="44" t="n"/>
      <c r="AR780" s="44" t="n"/>
      <c r="AS780" s="45" t="n"/>
      <c r="AT780" s="45" t="n"/>
      <c r="AU780" s="45" t="n"/>
    </row>
    <row r="781">
      <c r="B781" s="39" t="n"/>
      <c r="C781" s="39" t="n"/>
      <c r="D781" s="40" t="n"/>
      <c r="E781" s="39" t="n"/>
      <c r="F781" s="39" t="n"/>
      <c r="G781" s="112" t="n"/>
      <c r="H781" s="42" t="n"/>
      <c r="I781" s="42" t="n"/>
      <c r="J781" s="113" t="n"/>
      <c r="K781" s="39" t="n"/>
      <c r="L781" s="39" t="n"/>
      <c r="M781" s="39" t="n"/>
      <c r="N781" s="39" t="n"/>
      <c r="O781" s="39" t="n"/>
      <c r="P781" s="39" t="n"/>
      <c r="Q781" s="39" t="n"/>
      <c r="R781" s="39" t="n"/>
      <c r="S781" s="39" t="n"/>
      <c r="T781" s="39" t="n"/>
      <c r="U781" s="39" t="n"/>
      <c r="V781" s="39" t="n"/>
      <c r="W781" s="39" t="n"/>
      <c r="X781" s="39" t="n"/>
      <c r="Y781" s="39" t="n"/>
      <c r="Z781" s="39" t="n"/>
      <c r="AA781" s="39" t="n"/>
      <c r="AB781" s="39" t="n"/>
      <c r="AC781" s="39" t="n"/>
      <c r="AD781" s="39" t="n"/>
      <c r="AE781" s="39" t="n"/>
      <c r="AF781" s="39" t="n"/>
      <c r="AG781" s="39" t="n"/>
      <c r="AH781" s="39" t="n"/>
      <c r="AI781" s="39" t="n"/>
      <c r="AJ781" s="39" t="n"/>
      <c r="AK781" s="39" t="n"/>
      <c r="AL781" s="39" t="n"/>
      <c r="AM781" s="44" t="n"/>
      <c r="AN781" s="44" t="n"/>
      <c r="AO781" s="44" t="n"/>
      <c r="AP781" s="44" t="n"/>
      <c r="AQ781" s="44" t="n"/>
      <c r="AR781" s="44" t="n"/>
      <c r="AS781" s="45" t="n"/>
      <c r="AT781" s="45" t="n"/>
      <c r="AU781" s="45" t="n"/>
    </row>
    <row r="782">
      <c r="B782" s="39" t="n"/>
      <c r="C782" s="39" t="n"/>
      <c r="D782" s="40" t="n"/>
      <c r="E782" s="39" t="n"/>
      <c r="F782" s="39" t="n"/>
      <c r="G782" s="112" t="n"/>
      <c r="H782" s="42" t="n"/>
      <c r="I782" s="42" t="n"/>
      <c r="J782" s="113" t="n"/>
      <c r="K782" s="39" t="n"/>
      <c r="L782" s="39" t="n"/>
      <c r="M782" s="39" t="n"/>
      <c r="N782" s="39" t="n"/>
      <c r="O782" s="39" t="n"/>
      <c r="P782" s="39" t="n"/>
      <c r="Q782" s="39" t="n"/>
      <c r="R782" s="39" t="n"/>
      <c r="S782" s="39" t="n"/>
      <c r="T782" s="39" t="n"/>
      <c r="U782" s="39" t="n"/>
      <c r="V782" s="39" t="n"/>
      <c r="W782" s="39" t="n"/>
      <c r="X782" s="39" t="n"/>
      <c r="Y782" s="39" t="n"/>
      <c r="Z782" s="39" t="n"/>
      <c r="AA782" s="39" t="n"/>
      <c r="AB782" s="39" t="n"/>
      <c r="AC782" s="39" t="n"/>
      <c r="AD782" s="39" t="n"/>
      <c r="AE782" s="39" t="n"/>
      <c r="AF782" s="39" t="n"/>
      <c r="AG782" s="39" t="n"/>
      <c r="AH782" s="39" t="n"/>
      <c r="AI782" s="39" t="n"/>
      <c r="AJ782" s="39" t="n"/>
      <c r="AK782" s="39" t="n"/>
      <c r="AL782" s="39" t="n"/>
      <c r="AM782" s="44" t="n"/>
      <c r="AN782" s="44" t="n"/>
      <c r="AO782" s="44" t="n"/>
      <c r="AP782" s="44" t="n"/>
      <c r="AQ782" s="44" t="n"/>
      <c r="AR782" s="44" t="n"/>
      <c r="AS782" s="45" t="n"/>
      <c r="AT782" s="45" t="n"/>
      <c r="AU782" s="45" t="n"/>
    </row>
    <row r="783">
      <c r="B783" s="39" t="n"/>
      <c r="C783" s="39" t="n"/>
      <c r="D783" s="40" t="n"/>
      <c r="E783" s="39" t="n"/>
      <c r="F783" s="39" t="n"/>
      <c r="G783" s="112" t="n"/>
      <c r="H783" s="42" t="n"/>
      <c r="I783" s="42" t="n"/>
      <c r="J783" s="113" t="n"/>
      <c r="K783" s="39" t="n"/>
      <c r="L783" s="39" t="n"/>
      <c r="M783" s="39" t="n"/>
      <c r="N783" s="39" t="n"/>
      <c r="O783" s="39" t="n"/>
      <c r="P783" s="39" t="n"/>
      <c r="Q783" s="39" t="n"/>
      <c r="R783" s="39" t="n"/>
      <c r="S783" s="39" t="n"/>
      <c r="T783" s="39" t="n"/>
      <c r="U783" s="39" t="n"/>
      <c r="V783" s="39" t="n"/>
      <c r="W783" s="39" t="n"/>
      <c r="X783" s="39" t="n"/>
      <c r="Y783" s="39" t="n"/>
      <c r="Z783" s="39" t="n"/>
      <c r="AA783" s="39" t="n"/>
      <c r="AB783" s="39" t="n"/>
      <c r="AC783" s="39" t="n"/>
      <c r="AD783" s="39" t="n"/>
      <c r="AE783" s="39" t="n"/>
      <c r="AF783" s="39" t="n"/>
      <c r="AG783" s="39" t="n"/>
      <c r="AH783" s="39" t="n"/>
      <c r="AI783" s="39" t="n"/>
      <c r="AJ783" s="39" t="n"/>
      <c r="AK783" s="39" t="n"/>
      <c r="AL783" s="39" t="n"/>
      <c r="AM783" s="44" t="n"/>
      <c r="AN783" s="44" t="n"/>
      <c r="AO783" s="44" t="n"/>
      <c r="AP783" s="44" t="n"/>
      <c r="AQ783" s="44" t="n"/>
      <c r="AR783" s="44" t="n"/>
      <c r="AS783" s="45" t="n"/>
      <c r="AT783" s="45" t="n"/>
      <c r="AU783" s="45" t="n"/>
    </row>
    <row r="784">
      <c r="B784" s="39" t="n"/>
      <c r="C784" s="39" t="n"/>
      <c r="D784" s="40" t="n"/>
      <c r="E784" s="39" t="n"/>
      <c r="F784" s="39" t="n"/>
      <c r="G784" s="112" t="n"/>
      <c r="H784" s="42" t="n"/>
      <c r="I784" s="42" t="n"/>
      <c r="J784" s="113" t="n"/>
      <c r="K784" s="39" t="n"/>
      <c r="L784" s="39" t="n"/>
      <c r="M784" s="39" t="n"/>
      <c r="N784" s="39" t="n"/>
      <c r="O784" s="39" t="n"/>
      <c r="P784" s="39" t="n"/>
      <c r="Q784" s="39" t="n"/>
      <c r="R784" s="39" t="n"/>
      <c r="S784" s="39" t="n"/>
      <c r="T784" s="39" t="n"/>
      <c r="U784" s="39" t="n"/>
      <c r="V784" s="39" t="n"/>
      <c r="W784" s="39" t="n"/>
      <c r="X784" s="39" t="n"/>
      <c r="Y784" s="39" t="n"/>
      <c r="Z784" s="39" t="n"/>
      <c r="AA784" s="39" t="n"/>
      <c r="AB784" s="39" t="n"/>
      <c r="AC784" s="39" t="n"/>
      <c r="AD784" s="39" t="n"/>
      <c r="AE784" s="39" t="n"/>
      <c r="AF784" s="39" t="n"/>
      <c r="AG784" s="39" t="n"/>
      <c r="AH784" s="39" t="n"/>
      <c r="AI784" s="39" t="n"/>
      <c r="AJ784" s="39" t="n"/>
      <c r="AK784" s="39" t="n"/>
      <c r="AL784" s="39" t="n"/>
      <c r="AM784" s="44" t="n"/>
      <c r="AN784" s="44" t="n"/>
      <c r="AO784" s="44" t="n"/>
      <c r="AP784" s="44" t="n"/>
      <c r="AQ784" s="44" t="n"/>
      <c r="AR784" s="44" t="n"/>
      <c r="AS784" s="45" t="n"/>
      <c r="AT784" s="45" t="n"/>
      <c r="AU784" s="45" t="n"/>
    </row>
    <row r="785">
      <c r="B785" s="39" t="n"/>
      <c r="C785" s="39" t="n"/>
      <c r="D785" s="40" t="n"/>
      <c r="E785" s="39" t="n"/>
      <c r="F785" s="39" t="n"/>
      <c r="G785" s="112" t="n"/>
      <c r="H785" s="42" t="n"/>
      <c r="I785" s="42" t="n"/>
      <c r="J785" s="113" t="n"/>
      <c r="K785" s="39" t="n"/>
      <c r="L785" s="39" t="n"/>
      <c r="M785" s="39" t="n"/>
      <c r="N785" s="39" t="n"/>
      <c r="O785" s="39" t="n"/>
      <c r="P785" s="39" t="n"/>
      <c r="Q785" s="39" t="n"/>
      <c r="R785" s="39" t="n"/>
      <c r="S785" s="39" t="n"/>
      <c r="T785" s="39" t="n"/>
      <c r="U785" s="39" t="n"/>
      <c r="V785" s="39" t="n"/>
      <c r="W785" s="39" t="n"/>
      <c r="X785" s="39" t="n"/>
      <c r="Y785" s="39" t="n"/>
      <c r="Z785" s="39" t="n"/>
      <c r="AA785" s="39" t="n"/>
      <c r="AB785" s="39" t="n"/>
      <c r="AC785" s="39" t="n"/>
      <c r="AD785" s="39" t="n"/>
      <c r="AE785" s="39" t="n"/>
      <c r="AF785" s="39" t="n"/>
      <c r="AG785" s="39" t="n"/>
      <c r="AH785" s="39" t="n"/>
      <c r="AI785" s="39" t="n"/>
      <c r="AJ785" s="39" t="n"/>
      <c r="AK785" s="39" t="n"/>
      <c r="AL785" s="39" t="n"/>
      <c r="AM785" s="44" t="n"/>
      <c r="AN785" s="44" t="n"/>
      <c r="AO785" s="44" t="n"/>
      <c r="AP785" s="44" t="n"/>
      <c r="AQ785" s="44" t="n"/>
      <c r="AR785" s="44" t="n"/>
      <c r="AS785" s="45" t="n"/>
      <c r="AT785" s="45" t="n"/>
      <c r="AU785" s="45" t="n"/>
    </row>
    <row r="786">
      <c r="B786" s="39" t="n"/>
      <c r="C786" s="39" t="n"/>
      <c r="D786" s="40" t="n"/>
      <c r="E786" s="39" t="n"/>
      <c r="F786" s="39" t="n"/>
      <c r="G786" s="112" t="n"/>
      <c r="H786" s="42" t="n"/>
      <c r="I786" s="42" t="n"/>
      <c r="J786" s="113" t="n"/>
      <c r="K786" s="39" t="n"/>
      <c r="L786" s="39" t="n"/>
      <c r="M786" s="39" t="n"/>
      <c r="N786" s="39" t="n"/>
      <c r="O786" s="39" t="n"/>
      <c r="P786" s="39" t="n"/>
      <c r="Q786" s="39" t="n"/>
      <c r="R786" s="39" t="n"/>
      <c r="S786" s="39" t="n"/>
      <c r="T786" s="39" t="n"/>
      <c r="U786" s="39" t="n"/>
      <c r="V786" s="39" t="n"/>
      <c r="W786" s="39" t="n"/>
      <c r="X786" s="39" t="n"/>
      <c r="Y786" s="39" t="n"/>
      <c r="Z786" s="39" t="n"/>
      <c r="AA786" s="39" t="n"/>
      <c r="AB786" s="39" t="n"/>
      <c r="AC786" s="39" t="n"/>
      <c r="AD786" s="39" t="n"/>
      <c r="AE786" s="39" t="n"/>
      <c r="AF786" s="39" t="n"/>
      <c r="AG786" s="39" t="n"/>
      <c r="AH786" s="39" t="n"/>
      <c r="AI786" s="39" t="n"/>
      <c r="AJ786" s="39" t="n"/>
      <c r="AK786" s="39" t="n"/>
      <c r="AL786" s="39" t="n"/>
      <c r="AM786" s="44" t="n"/>
      <c r="AN786" s="44" t="n"/>
      <c r="AO786" s="44" t="n"/>
      <c r="AP786" s="44" t="n"/>
      <c r="AQ786" s="44" t="n"/>
      <c r="AR786" s="44" t="n"/>
      <c r="AS786" s="45" t="n"/>
      <c r="AT786" s="45" t="n"/>
      <c r="AU786" s="45" t="n"/>
    </row>
    <row r="787">
      <c r="B787" s="39" t="n"/>
      <c r="C787" s="39" t="n"/>
      <c r="D787" s="40" t="n"/>
      <c r="E787" s="39" t="n"/>
      <c r="F787" s="39" t="n"/>
      <c r="G787" s="112" t="n"/>
      <c r="H787" s="42" t="n"/>
      <c r="I787" s="42" t="n"/>
      <c r="J787" s="113" t="n"/>
      <c r="K787" s="39" t="n"/>
      <c r="L787" s="39" t="n"/>
      <c r="M787" s="39" t="n"/>
      <c r="N787" s="39" t="n"/>
      <c r="O787" s="39" t="n"/>
      <c r="P787" s="39" t="n"/>
      <c r="Q787" s="39" t="n"/>
      <c r="R787" s="39" t="n"/>
      <c r="S787" s="39" t="n"/>
      <c r="T787" s="39" t="n"/>
      <c r="U787" s="39" t="n"/>
      <c r="V787" s="39" t="n"/>
      <c r="W787" s="39" t="n"/>
      <c r="X787" s="39" t="n"/>
      <c r="Y787" s="39" t="n"/>
      <c r="Z787" s="39" t="n"/>
      <c r="AA787" s="39" t="n"/>
      <c r="AB787" s="39" t="n"/>
      <c r="AC787" s="39" t="n"/>
      <c r="AD787" s="39" t="n"/>
      <c r="AE787" s="39" t="n"/>
      <c r="AF787" s="39" t="n"/>
      <c r="AG787" s="39" t="n"/>
      <c r="AH787" s="39" t="n"/>
      <c r="AI787" s="39" t="n"/>
      <c r="AJ787" s="39" t="n"/>
      <c r="AK787" s="39" t="n"/>
      <c r="AL787" s="39" t="n"/>
      <c r="AM787" s="44" t="n"/>
      <c r="AN787" s="44" t="n"/>
      <c r="AO787" s="44" t="n"/>
      <c r="AP787" s="44" t="n"/>
      <c r="AQ787" s="44" t="n"/>
      <c r="AR787" s="44" t="n"/>
      <c r="AS787" s="45" t="n"/>
      <c r="AT787" s="45" t="n"/>
      <c r="AU787" s="45" t="n"/>
    </row>
    <row r="788">
      <c r="B788" s="39" t="n"/>
      <c r="C788" s="39" t="n"/>
      <c r="D788" s="40" t="n"/>
      <c r="E788" s="39" t="n"/>
      <c r="F788" s="39" t="n"/>
      <c r="G788" s="112" t="n"/>
      <c r="H788" s="42" t="n"/>
      <c r="I788" s="42" t="n"/>
      <c r="J788" s="113" t="n"/>
      <c r="K788" s="39" t="n"/>
      <c r="L788" s="39" t="n"/>
      <c r="M788" s="39" t="n"/>
      <c r="N788" s="39" t="n"/>
      <c r="O788" s="39" t="n"/>
      <c r="P788" s="39" t="n"/>
      <c r="Q788" s="39" t="n"/>
      <c r="R788" s="39" t="n"/>
      <c r="S788" s="39" t="n"/>
      <c r="T788" s="39" t="n"/>
      <c r="U788" s="39" t="n"/>
      <c r="V788" s="39" t="n"/>
      <c r="W788" s="39" t="n"/>
      <c r="X788" s="39" t="n"/>
      <c r="Y788" s="39" t="n"/>
      <c r="Z788" s="39" t="n"/>
      <c r="AA788" s="39" t="n"/>
      <c r="AB788" s="39" t="n"/>
      <c r="AC788" s="39" t="n"/>
      <c r="AD788" s="39" t="n"/>
      <c r="AE788" s="39" t="n"/>
      <c r="AF788" s="39" t="n"/>
      <c r="AG788" s="39" t="n"/>
      <c r="AH788" s="39" t="n"/>
      <c r="AI788" s="39" t="n"/>
      <c r="AJ788" s="39" t="n"/>
      <c r="AK788" s="39" t="n"/>
      <c r="AL788" s="39" t="n"/>
      <c r="AM788" s="44" t="n"/>
      <c r="AN788" s="44" t="n"/>
      <c r="AO788" s="44" t="n"/>
      <c r="AP788" s="44" t="n"/>
      <c r="AQ788" s="44" t="n"/>
      <c r="AR788" s="44" t="n"/>
      <c r="AS788" s="45" t="n"/>
      <c r="AT788" s="45" t="n"/>
      <c r="AU788" s="45" t="n"/>
    </row>
    <row r="789">
      <c r="B789" s="39" t="n"/>
      <c r="C789" s="39" t="n"/>
      <c r="D789" s="40" t="n"/>
      <c r="E789" s="39" t="n"/>
      <c r="F789" s="39" t="n"/>
      <c r="G789" s="112" t="n"/>
      <c r="H789" s="42" t="n"/>
      <c r="I789" s="42" t="n"/>
      <c r="J789" s="113" t="n"/>
      <c r="K789" s="39" t="n"/>
      <c r="L789" s="39" t="n"/>
      <c r="M789" s="39" t="n"/>
      <c r="N789" s="39" t="n"/>
      <c r="O789" s="39" t="n"/>
      <c r="P789" s="39" t="n"/>
      <c r="Q789" s="39" t="n"/>
      <c r="R789" s="39" t="n"/>
      <c r="S789" s="39" t="n"/>
      <c r="T789" s="39" t="n"/>
      <c r="U789" s="39" t="n"/>
      <c r="V789" s="39" t="n"/>
      <c r="W789" s="39" t="n"/>
      <c r="X789" s="39" t="n"/>
      <c r="Y789" s="39" t="n"/>
      <c r="Z789" s="39" t="n"/>
      <c r="AA789" s="39" t="n"/>
      <c r="AB789" s="39" t="n"/>
      <c r="AC789" s="39" t="n"/>
      <c r="AD789" s="39" t="n"/>
      <c r="AE789" s="39" t="n"/>
      <c r="AF789" s="39" t="n"/>
      <c r="AG789" s="39" t="n"/>
      <c r="AH789" s="39" t="n"/>
      <c r="AI789" s="39" t="n"/>
      <c r="AJ789" s="39" t="n"/>
      <c r="AK789" s="39" t="n"/>
      <c r="AL789" s="39" t="n"/>
      <c r="AM789" s="44" t="n"/>
      <c r="AN789" s="44" t="n"/>
      <c r="AO789" s="44" t="n"/>
      <c r="AP789" s="44" t="n"/>
      <c r="AQ789" s="44" t="n"/>
      <c r="AR789" s="44" t="n"/>
      <c r="AS789" s="45" t="n"/>
      <c r="AT789" s="45" t="n"/>
      <c r="AU789" s="45" t="n"/>
    </row>
    <row r="790">
      <c r="B790" s="39" t="n"/>
      <c r="C790" s="39" t="n"/>
      <c r="D790" s="40" t="n"/>
      <c r="E790" s="39" t="n"/>
      <c r="F790" s="39" t="n"/>
      <c r="G790" s="112" t="n"/>
      <c r="H790" s="42" t="n"/>
      <c r="I790" s="42" t="n"/>
      <c r="J790" s="113" t="n"/>
      <c r="K790" s="39" t="n"/>
      <c r="L790" s="39" t="n"/>
      <c r="M790" s="39" t="n"/>
      <c r="N790" s="39" t="n"/>
      <c r="O790" s="39" t="n"/>
      <c r="P790" s="39" t="n"/>
      <c r="Q790" s="39" t="n"/>
      <c r="R790" s="39" t="n"/>
      <c r="S790" s="39" t="n"/>
      <c r="T790" s="39" t="n"/>
      <c r="U790" s="39" t="n"/>
      <c r="V790" s="39" t="n"/>
      <c r="W790" s="39" t="n"/>
      <c r="X790" s="39" t="n"/>
      <c r="Y790" s="39" t="n"/>
      <c r="Z790" s="39" t="n"/>
      <c r="AA790" s="39" t="n"/>
      <c r="AB790" s="39" t="n"/>
      <c r="AC790" s="39" t="n"/>
      <c r="AD790" s="39" t="n"/>
      <c r="AE790" s="39" t="n"/>
      <c r="AF790" s="39" t="n"/>
      <c r="AG790" s="39" t="n"/>
      <c r="AH790" s="39" t="n"/>
      <c r="AI790" s="39" t="n"/>
      <c r="AJ790" s="39" t="n"/>
      <c r="AK790" s="39" t="n"/>
      <c r="AL790" s="39" t="n"/>
      <c r="AM790" s="44" t="n"/>
      <c r="AN790" s="44" t="n"/>
      <c r="AO790" s="44" t="n"/>
      <c r="AP790" s="44" t="n"/>
      <c r="AQ790" s="44" t="n"/>
      <c r="AR790" s="44" t="n"/>
      <c r="AS790" s="45" t="n"/>
      <c r="AT790" s="45" t="n"/>
      <c r="AU790" s="45" t="n"/>
    </row>
    <row r="791">
      <c r="B791" s="39" t="n"/>
      <c r="C791" s="39" t="n"/>
      <c r="D791" s="40" t="n"/>
      <c r="E791" s="39" t="n"/>
      <c r="F791" s="39" t="n"/>
      <c r="G791" s="112" t="n"/>
      <c r="H791" s="42" t="n"/>
      <c r="I791" s="42" t="n"/>
      <c r="J791" s="113" t="n"/>
      <c r="K791" s="39" t="n"/>
      <c r="L791" s="39" t="n"/>
      <c r="M791" s="39" t="n"/>
      <c r="N791" s="39" t="n"/>
      <c r="O791" s="39" t="n"/>
      <c r="P791" s="39" t="n"/>
      <c r="Q791" s="39" t="n"/>
      <c r="R791" s="39" t="n"/>
      <c r="S791" s="39" t="n"/>
      <c r="T791" s="39" t="n"/>
      <c r="U791" s="39" t="n"/>
      <c r="V791" s="39" t="n"/>
      <c r="W791" s="39" t="n"/>
      <c r="X791" s="39" t="n"/>
      <c r="Y791" s="39" t="n"/>
      <c r="Z791" s="39" t="n"/>
      <c r="AA791" s="39" t="n"/>
      <c r="AB791" s="39" t="n"/>
      <c r="AC791" s="39" t="n"/>
      <c r="AD791" s="39" t="n"/>
      <c r="AE791" s="39" t="n"/>
      <c r="AF791" s="39" t="n"/>
      <c r="AG791" s="39" t="n"/>
      <c r="AH791" s="39" t="n"/>
      <c r="AI791" s="39" t="n"/>
      <c r="AJ791" s="39" t="n"/>
      <c r="AK791" s="39" t="n"/>
      <c r="AL791" s="39" t="n"/>
      <c r="AM791" s="44" t="n"/>
      <c r="AN791" s="44" t="n"/>
      <c r="AO791" s="44" t="n"/>
      <c r="AP791" s="44" t="n"/>
      <c r="AQ791" s="44" t="n"/>
      <c r="AR791" s="44" t="n"/>
      <c r="AS791" s="45" t="n"/>
      <c r="AT791" s="45" t="n"/>
      <c r="AU791" s="45" t="n"/>
    </row>
    <row r="792">
      <c r="B792" s="39" t="n"/>
      <c r="C792" s="39" t="n"/>
      <c r="D792" s="40" t="n"/>
      <c r="E792" s="39" t="n"/>
      <c r="F792" s="39" t="n"/>
      <c r="G792" s="112" t="n"/>
      <c r="H792" s="42" t="n"/>
      <c r="I792" s="42" t="n"/>
      <c r="J792" s="113" t="n"/>
      <c r="K792" s="39" t="n"/>
      <c r="L792" s="39" t="n"/>
      <c r="M792" s="39" t="n"/>
      <c r="N792" s="39" t="n"/>
      <c r="O792" s="39" t="n"/>
      <c r="P792" s="39" t="n"/>
      <c r="Q792" s="39" t="n"/>
      <c r="R792" s="39" t="n"/>
      <c r="S792" s="39" t="n"/>
      <c r="T792" s="39" t="n"/>
      <c r="U792" s="39" t="n"/>
      <c r="V792" s="39" t="n"/>
      <c r="W792" s="39" t="n"/>
      <c r="X792" s="39" t="n"/>
      <c r="Y792" s="39" t="n"/>
      <c r="Z792" s="39" t="n"/>
      <c r="AA792" s="39" t="n"/>
      <c r="AB792" s="39" t="n"/>
      <c r="AC792" s="39" t="n"/>
      <c r="AD792" s="39" t="n"/>
      <c r="AE792" s="39" t="n"/>
      <c r="AF792" s="39" t="n"/>
      <c r="AG792" s="39" t="n"/>
      <c r="AH792" s="39" t="n"/>
      <c r="AI792" s="39" t="n"/>
      <c r="AJ792" s="39" t="n"/>
      <c r="AK792" s="39" t="n"/>
      <c r="AL792" s="39" t="n"/>
      <c r="AM792" s="44" t="n"/>
      <c r="AN792" s="44" t="n"/>
      <c r="AO792" s="44" t="n"/>
      <c r="AP792" s="44" t="n"/>
      <c r="AQ792" s="44" t="n"/>
      <c r="AR792" s="44" t="n"/>
      <c r="AS792" s="45" t="n"/>
      <c r="AT792" s="45" t="n"/>
      <c r="AU792" s="45" t="n"/>
    </row>
    <row r="793">
      <c r="B793" s="39" t="n"/>
      <c r="C793" s="39" t="n"/>
      <c r="D793" s="40" t="n"/>
      <c r="E793" s="39" t="n"/>
      <c r="F793" s="39" t="n"/>
      <c r="G793" s="112" t="n"/>
      <c r="H793" s="42" t="n"/>
      <c r="I793" s="42" t="n"/>
      <c r="J793" s="113" t="n"/>
      <c r="K793" s="39" t="n"/>
      <c r="L793" s="39" t="n"/>
      <c r="M793" s="39" t="n"/>
      <c r="N793" s="39" t="n"/>
      <c r="O793" s="39" t="n"/>
      <c r="P793" s="39" t="n"/>
      <c r="Q793" s="39" t="n"/>
      <c r="R793" s="39" t="n"/>
      <c r="S793" s="39" t="n"/>
      <c r="T793" s="39" t="n"/>
      <c r="U793" s="39" t="n"/>
      <c r="V793" s="39" t="n"/>
      <c r="W793" s="39" t="n"/>
      <c r="X793" s="39" t="n"/>
      <c r="Y793" s="39" t="n"/>
      <c r="Z793" s="39" t="n"/>
      <c r="AA793" s="39" t="n"/>
      <c r="AB793" s="39" t="n"/>
      <c r="AC793" s="39" t="n"/>
      <c r="AD793" s="39" t="n"/>
      <c r="AE793" s="39" t="n"/>
      <c r="AF793" s="39" t="n"/>
      <c r="AG793" s="39" t="n"/>
      <c r="AH793" s="39" t="n"/>
      <c r="AI793" s="39" t="n"/>
      <c r="AJ793" s="39" t="n"/>
      <c r="AK793" s="39" t="n"/>
      <c r="AL793" s="39" t="n"/>
      <c r="AM793" s="44" t="n"/>
      <c r="AN793" s="44" t="n"/>
      <c r="AO793" s="44" t="n"/>
      <c r="AP793" s="44" t="n"/>
      <c r="AQ793" s="44" t="n"/>
      <c r="AR793" s="44" t="n"/>
      <c r="AS793" s="45" t="n"/>
      <c r="AT793" s="45" t="n"/>
      <c r="AU793" s="45" t="n"/>
    </row>
    <row r="794">
      <c r="B794" s="39" t="n"/>
      <c r="C794" s="39" t="n"/>
      <c r="D794" s="40" t="n"/>
      <c r="E794" s="39" t="n"/>
      <c r="F794" s="39" t="n"/>
      <c r="G794" s="112" t="n"/>
      <c r="H794" s="42" t="n"/>
      <c r="I794" s="42" t="n"/>
      <c r="J794" s="113" t="n"/>
      <c r="K794" s="39" t="n"/>
      <c r="L794" s="39" t="n"/>
      <c r="M794" s="39" t="n"/>
      <c r="N794" s="39" t="n"/>
      <c r="O794" s="39" t="n"/>
      <c r="P794" s="39" t="n"/>
      <c r="Q794" s="39" t="n"/>
      <c r="R794" s="39" t="n"/>
      <c r="S794" s="39" t="n"/>
      <c r="T794" s="39" t="n"/>
      <c r="U794" s="39" t="n"/>
      <c r="V794" s="39" t="n"/>
      <c r="W794" s="39" t="n"/>
      <c r="X794" s="39" t="n"/>
      <c r="Y794" s="39" t="n"/>
      <c r="Z794" s="39" t="n"/>
      <c r="AA794" s="39" t="n"/>
      <c r="AB794" s="39" t="n"/>
      <c r="AC794" s="39" t="n"/>
      <c r="AD794" s="39" t="n"/>
      <c r="AE794" s="39" t="n"/>
      <c r="AF794" s="39" t="n"/>
      <c r="AG794" s="39" t="n"/>
      <c r="AH794" s="39" t="n"/>
      <c r="AI794" s="39" t="n"/>
      <c r="AJ794" s="39" t="n"/>
      <c r="AK794" s="39" t="n"/>
      <c r="AL794" s="39" t="n"/>
      <c r="AM794" s="44" t="n"/>
      <c r="AN794" s="44" t="n"/>
      <c r="AO794" s="44" t="n"/>
      <c r="AP794" s="44" t="n"/>
      <c r="AQ794" s="44" t="n"/>
      <c r="AR794" s="44" t="n"/>
      <c r="AS794" s="45" t="n"/>
      <c r="AT794" s="45" t="n"/>
      <c r="AU794" s="45" t="n"/>
    </row>
    <row r="795">
      <c r="B795" s="39" t="n"/>
      <c r="C795" s="39" t="n"/>
      <c r="D795" s="40" t="n"/>
      <c r="E795" s="39" t="n"/>
      <c r="F795" s="39" t="n"/>
      <c r="G795" s="112" t="n"/>
      <c r="H795" s="42" t="n"/>
      <c r="I795" s="42" t="n"/>
      <c r="J795" s="113" t="n"/>
      <c r="K795" s="39" t="n"/>
      <c r="L795" s="39" t="n"/>
      <c r="M795" s="39" t="n"/>
      <c r="N795" s="39" t="n"/>
      <c r="O795" s="39" t="n"/>
      <c r="P795" s="39" t="n"/>
      <c r="Q795" s="39" t="n"/>
      <c r="R795" s="39" t="n"/>
      <c r="S795" s="39" t="n"/>
      <c r="T795" s="39" t="n"/>
      <c r="U795" s="39" t="n"/>
      <c r="V795" s="39" t="n"/>
      <c r="W795" s="39" t="n"/>
      <c r="X795" s="39" t="n"/>
      <c r="Y795" s="39" t="n"/>
      <c r="Z795" s="39" t="n"/>
      <c r="AA795" s="39" t="n"/>
      <c r="AB795" s="39" t="n"/>
      <c r="AC795" s="39" t="n"/>
      <c r="AD795" s="39" t="n"/>
      <c r="AE795" s="39" t="n"/>
      <c r="AF795" s="39" t="n"/>
      <c r="AG795" s="39" t="n"/>
      <c r="AH795" s="39" t="n"/>
      <c r="AI795" s="39" t="n"/>
      <c r="AJ795" s="39" t="n"/>
      <c r="AK795" s="39" t="n"/>
      <c r="AL795" s="39" t="n"/>
      <c r="AM795" s="44" t="n"/>
      <c r="AN795" s="44" t="n"/>
      <c r="AO795" s="44" t="n"/>
      <c r="AP795" s="44" t="n"/>
      <c r="AQ795" s="44" t="n"/>
      <c r="AR795" s="44" t="n"/>
      <c r="AS795" s="45" t="n"/>
      <c r="AT795" s="45" t="n"/>
      <c r="AU795" s="45" t="n"/>
    </row>
    <row r="796">
      <c r="B796" s="39" t="n"/>
      <c r="C796" s="39" t="n"/>
      <c r="D796" s="40" t="n"/>
      <c r="E796" s="39" t="n"/>
      <c r="F796" s="39" t="n"/>
      <c r="G796" s="112" t="n"/>
      <c r="H796" s="42" t="n"/>
      <c r="I796" s="42" t="n"/>
      <c r="J796" s="113" t="n"/>
      <c r="K796" s="39" t="n"/>
      <c r="L796" s="39" t="n"/>
      <c r="M796" s="39" t="n"/>
      <c r="N796" s="39" t="n"/>
      <c r="O796" s="39" t="n"/>
      <c r="P796" s="39" t="n"/>
      <c r="Q796" s="39" t="n"/>
      <c r="R796" s="39" t="n"/>
      <c r="S796" s="39" t="n"/>
      <c r="T796" s="39" t="n"/>
      <c r="U796" s="39" t="n"/>
      <c r="V796" s="39" t="n"/>
      <c r="W796" s="39" t="n"/>
      <c r="X796" s="39" t="n"/>
      <c r="Y796" s="39" t="n"/>
      <c r="Z796" s="39" t="n"/>
      <c r="AA796" s="39" t="n"/>
      <c r="AB796" s="39" t="n"/>
      <c r="AC796" s="39" t="n"/>
      <c r="AD796" s="39" t="n"/>
      <c r="AE796" s="39" t="n"/>
      <c r="AF796" s="39" t="n"/>
      <c r="AG796" s="39" t="n"/>
      <c r="AH796" s="39" t="n"/>
      <c r="AI796" s="39" t="n"/>
      <c r="AJ796" s="39" t="n"/>
      <c r="AK796" s="39" t="n"/>
      <c r="AL796" s="39" t="n"/>
      <c r="AM796" s="44" t="n"/>
      <c r="AN796" s="44" t="n"/>
      <c r="AO796" s="44" t="n"/>
      <c r="AP796" s="44" t="n"/>
      <c r="AQ796" s="44" t="n"/>
      <c r="AR796" s="44" t="n"/>
      <c r="AS796" s="45" t="n"/>
      <c r="AT796" s="45" t="n"/>
      <c r="AU796" s="45" t="n"/>
    </row>
    <row r="797">
      <c r="B797" s="39" t="n"/>
      <c r="C797" s="39" t="n"/>
      <c r="D797" s="40" t="n"/>
      <c r="E797" s="39" t="n"/>
      <c r="F797" s="39" t="n"/>
      <c r="G797" s="112" t="n"/>
      <c r="H797" s="42" t="n"/>
      <c r="I797" s="42" t="n"/>
      <c r="J797" s="113" t="n"/>
      <c r="K797" s="39" t="n"/>
      <c r="L797" s="39" t="n"/>
      <c r="M797" s="39" t="n"/>
      <c r="N797" s="39" t="n"/>
      <c r="O797" s="39" t="n"/>
      <c r="P797" s="39" t="n"/>
      <c r="Q797" s="39" t="n"/>
      <c r="R797" s="39" t="n"/>
      <c r="S797" s="39" t="n"/>
      <c r="T797" s="39" t="n"/>
      <c r="U797" s="39" t="n"/>
      <c r="V797" s="39" t="n"/>
      <c r="W797" s="39" t="n"/>
      <c r="X797" s="39" t="n"/>
      <c r="Y797" s="39" t="n"/>
      <c r="Z797" s="39" t="n"/>
      <c r="AA797" s="39" t="n"/>
      <c r="AB797" s="39" t="n"/>
      <c r="AC797" s="39" t="n"/>
      <c r="AD797" s="39" t="n"/>
      <c r="AE797" s="39" t="n"/>
      <c r="AF797" s="39" t="n"/>
      <c r="AG797" s="39" t="n"/>
      <c r="AH797" s="39" t="n"/>
      <c r="AI797" s="39" t="n"/>
      <c r="AJ797" s="39" t="n"/>
      <c r="AK797" s="39" t="n"/>
      <c r="AL797" s="39" t="n"/>
      <c r="AM797" s="44" t="n"/>
      <c r="AN797" s="44" t="n"/>
      <c r="AO797" s="44" t="n"/>
      <c r="AP797" s="44" t="n"/>
      <c r="AQ797" s="44" t="n"/>
      <c r="AR797" s="44" t="n"/>
      <c r="AS797" s="45" t="n"/>
      <c r="AT797" s="45" t="n"/>
      <c r="AU797" s="45" t="n"/>
    </row>
    <row r="798">
      <c r="B798" s="39" t="n"/>
      <c r="C798" s="39" t="n"/>
      <c r="D798" s="40" t="n"/>
      <c r="E798" s="39" t="n"/>
      <c r="F798" s="39" t="n"/>
      <c r="G798" s="112" t="n"/>
      <c r="H798" s="42" t="n"/>
      <c r="I798" s="42" t="n"/>
      <c r="J798" s="113" t="n"/>
      <c r="K798" s="39" t="n"/>
      <c r="L798" s="39" t="n"/>
      <c r="M798" s="39" t="n"/>
      <c r="N798" s="39" t="n"/>
      <c r="O798" s="39" t="n"/>
      <c r="P798" s="39" t="n"/>
      <c r="Q798" s="39" t="n"/>
      <c r="R798" s="39" t="n"/>
      <c r="S798" s="39" t="n"/>
      <c r="T798" s="39" t="n"/>
      <c r="U798" s="39" t="n"/>
      <c r="V798" s="39" t="n"/>
      <c r="W798" s="39" t="n"/>
      <c r="X798" s="39" t="n"/>
      <c r="Y798" s="39" t="n"/>
      <c r="Z798" s="39" t="n"/>
      <c r="AA798" s="39" t="n"/>
      <c r="AB798" s="39" t="n"/>
      <c r="AC798" s="39" t="n"/>
      <c r="AD798" s="39" t="n"/>
      <c r="AE798" s="39" t="n"/>
      <c r="AF798" s="39" t="n"/>
      <c r="AG798" s="39" t="n"/>
      <c r="AH798" s="39" t="n"/>
      <c r="AI798" s="39" t="n"/>
      <c r="AJ798" s="39" t="n"/>
      <c r="AK798" s="39" t="n"/>
      <c r="AL798" s="39" t="n"/>
      <c r="AM798" s="44" t="n"/>
      <c r="AN798" s="44" t="n"/>
      <c r="AO798" s="44" t="n"/>
      <c r="AP798" s="44" t="n"/>
      <c r="AQ798" s="44" t="n"/>
      <c r="AR798" s="44" t="n"/>
      <c r="AS798" s="45" t="n"/>
      <c r="AT798" s="45" t="n"/>
      <c r="AU798" s="45" t="n"/>
    </row>
    <row r="799">
      <c r="B799" s="39" t="n"/>
      <c r="C799" s="39" t="n"/>
      <c r="D799" s="40" t="n"/>
      <c r="E799" s="39" t="n"/>
      <c r="F799" s="39" t="n"/>
      <c r="G799" s="112" t="n"/>
      <c r="H799" s="42" t="n"/>
      <c r="I799" s="42" t="n"/>
      <c r="J799" s="113" t="n"/>
      <c r="K799" s="39" t="n"/>
      <c r="L799" s="39" t="n"/>
      <c r="M799" s="39" t="n"/>
      <c r="N799" s="39" t="n"/>
      <c r="O799" s="39" t="n"/>
      <c r="P799" s="39" t="n"/>
      <c r="Q799" s="39" t="n"/>
      <c r="R799" s="39" t="n"/>
      <c r="S799" s="39" t="n"/>
      <c r="T799" s="39" t="n"/>
      <c r="U799" s="39" t="n"/>
      <c r="V799" s="39" t="n"/>
      <c r="W799" s="39" t="n"/>
      <c r="X799" s="39" t="n"/>
      <c r="Y799" s="39" t="n"/>
      <c r="Z799" s="39" t="n"/>
      <c r="AA799" s="39" t="n"/>
      <c r="AB799" s="39" t="n"/>
      <c r="AC799" s="39" t="n"/>
      <c r="AD799" s="39" t="n"/>
      <c r="AE799" s="39" t="n"/>
      <c r="AF799" s="39" t="n"/>
      <c r="AG799" s="39" t="n"/>
      <c r="AH799" s="39" t="n"/>
      <c r="AI799" s="39" t="n"/>
      <c r="AJ799" s="39" t="n"/>
      <c r="AK799" s="39" t="n"/>
      <c r="AL799" s="39" t="n"/>
      <c r="AM799" s="44" t="n"/>
      <c r="AN799" s="44" t="n"/>
      <c r="AO799" s="44" t="n"/>
      <c r="AP799" s="44" t="n"/>
      <c r="AQ799" s="44" t="n"/>
      <c r="AR799" s="44" t="n"/>
      <c r="AS799" s="45" t="n"/>
      <c r="AT799" s="45" t="n"/>
      <c r="AU799" s="45" t="n"/>
    </row>
    <row r="800">
      <c r="B800" s="39" t="n"/>
      <c r="C800" s="39" t="n"/>
      <c r="D800" s="40" t="n"/>
      <c r="E800" s="39" t="n"/>
      <c r="F800" s="39" t="n"/>
      <c r="G800" s="112" t="n"/>
      <c r="H800" s="42" t="n"/>
      <c r="I800" s="42" t="n"/>
      <c r="J800" s="113" t="n"/>
      <c r="K800" s="39" t="n"/>
      <c r="L800" s="39" t="n"/>
      <c r="M800" s="39" t="n"/>
      <c r="N800" s="39" t="n"/>
      <c r="O800" s="39" t="n"/>
      <c r="P800" s="39" t="n"/>
      <c r="Q800" s="39" t="n"/>
      <c r="R800" s="39" t="n"/>
      <c r="S800" s="39" t="n"/>
      <c r="T800" s="39" t="n"/>
      <c r="U800" s="39" t="n"/>
      <c r="V800" s="39" t="n"/>
      <c r="W800" s="39" t="n"/>
      <c r="X800" s="39" t="n"/>
      <c r="Y800" s="39" t="n"/>
      <c r="Z800" s="39" t="n"/>
      <c r="AA800" s="39" t="n"/>
      <c r="AB800" s="39" t="n"/>
      <c r="AC800" s="39" t="n"/>
      <c r="AD800" s="39" t="n"/>
      <c r="AE800" s="39" t="n"/>
      <c r="AF800" s="39" t="n"/>
      <c r="AG800" s="39" t="n"/>
      <c r="AH800" s="39" t="n"/>
      <c r="AI800" s="39" t="n"/>
      <c r="AJ800" s="39" t="n"/>
      <c r="AK800" s="39" t="n"/>
      <c r="AL800" s="39" t="n"/>
      <c r="AM800" s="44" t="n"/>
      <c r="AN800" s="44" t="n"/>
      <c r="AO800" s="44" t="n"/>
      <c r="AP800" s="44" t="n"/>
      <c r="AQ800" s="44" t="n"/>
      <c r="AR800" s="44" t="n"/>
      <c r="AS800" s="45" t="n"/>
      <c r="AT800" s="45" t="n"/>
      <c r="AU800" s="45" t="n"/>
    </row>
    <row r="801">
      <c r="B801" s="39" t="n"/>
      <c r="C801" s="39" t="n"/>
      <c r="D801" s="40" t="n"/>
      <c r="E801" s="39" t="n"/>
      <c r="F801" s="39" t="n"/>
      <c r="G801" s="112" t="n"/>
      <c r="H801" s="42" t="n"/>
      <c r="I801" s="42" t="n"/>
      <c r="J801" s="113" t="n"/>
      <c r="K801" s="39" t="n"/>
      <c r="L801" s="39" t="n"/>
      <c r="M801" s="39" t="n"/>
      <c r="N801" s="39" t="n"/>
      <c r="O801" s="39" t="n"/>
      <c r="P801" s="39" t="n"/>
      <c r="Q801" s="39" t="n"/>
      <c r="R801" s="39" t="n"/>
      <c r="S801" s="39" t="n"/>
      <c r="T801" s="39" t="n"/>
      <c r="U801" s="39" t="n"/>
      <c r="V801" s="39" t="n"/>
      <c r="W801" s="39" t="n"/>
      <c r="X801" s="39" t="n"/>
      <c r="Y801" s="39" t="n"/>
      <c r="Z801" s="39" t="n"/>
      <c r="AA801" s="39" t="n"/>
      <c r="AB801" s="39" t="n"/>
      <c r="AC801" s="39" t="n"/>
      <c r="AD801" s="39" t="n"/>
      <c r="AE801" s="39" t="n"/>
      <c r="AF801" s="39" t="n"/>
      <c r="AG801" s="39" t="n"/>
      <c r="AH801" s="39" t="n"/>
      <c r="AI801" s="39" t="n"/>
      <c r="AJ801" s="39" t="n"/>
      <c r="AK801" s="39" t="n"/>
      <c r="AL801" s="39" t="n"/>
      <c r="AM801" s="44" t="n"/>
      <c r="AN801" s="44" t="n"/>
      <c r="AO801" s="44" t="n"/>
      <c r="AP801" s="44" t="n"/>
      <c r="AQ801" s="44" t="n"/>
      <c r="AR801" s="44" t="n"/>
      <c r="AS801" s="45" t="n"/>
      <c r="AT801" s="45" t="n"/>
      <c r="AU801" s="45" t="n"/>
    </row>
    <row r="802">
      <c r="B802" s="39" t="n"/>
      <c r="C802" s="39" t="n"/>
      <c r="D802" s="40" t="n"/>
      <c r="E802" s="39" t="n"/>
      <c r="F802" s="39" t="n"/>
      <c r="G802" s="112" t="n"/>
      <c r="H802" s="42" t="n"/>
      <c r="I802" s="42" t="n"/>
      <c r="J802" s="113" t="n"/>
      <c r="K802" s="39" t="n"/>
      <c r="L802" s="39" t="n"/>
      <c r="M802" s="39" t="n"/>
      <c r="N802" s="39" t="n"/>
      <c r="O802" s="39" t="n"/>
      <c r="P802" s="39" t="n"/>
      <c r="Q802" s="39" t="n"/>
      <c r="R802" s="39" t="n"/>
      <c r="S802" s="39" t="n"/>
      <c r="T802" s="39" t="n"/>
      <c r="U802" s="39" t="n"/>
      <c r="V802" s="39" t="n"/>
      <c r="W802" s="39" t="n"/>
      <c r="X802" s="39" t="n"/>
      <c r="Y802" s="39" t="n"/>
      <c r="Z802" s="39" t="n"/>
      <c r="AA802" s="39" t="n"/>
      <c r="AB802" s="39" t="n"/>
      <c r="AC802" s="39" t="n"/>
      <c r="AD802" s="39" t="n"/>
      <c r="AE802" s="39" t="n"/>
      <c r="AF802" s="39" t="n"/>
      <c r="AG802" s="39" t="n"/>
      <c r="AH802" s="39" t="n"/>
      <c r="AI802" s="39" t="n"/>
      <c r="AJ802" s="39" t="n"/>
      <c r="AK802" s="39" t="n"/>
      <c r="AL802" s="39" t="n"/>
      <c r="AM802" s="44" t="n"/>
      <c r="AN802" s="44" t="n"/>
      <c r="AO802" s="44" t="n"/>
      <c r="AP802" s="44" t="n"/>
      <c r="AQ802" s="44" t="n"/>
      <c r="AR802" s="44" t="n"/>
      <c r="AS802" s="45" t="n"/>
      <c r="AT802" s="45" t="n"/>
      <c r="AU802" s="45" t="n"/>
    </row>
    <row r="803">
      <c r="B803" s="39" t="n"/>
      <c r="C803" s="39" t="n"/>
      <c r="D803" s="40" t="n"/>
      <c r="E803" s="39" t="n"/>
      <c r="F803" s="39" t="n"/>
      <c r="G803" s="112" t="n"/>
      <c r="H803" s="42" t="n"/>
      <c r="I803" s="42" t="n"/>
      <c r="J803" s="113" t="n"/>
      <c r="K803" s="39" t="n"/>
      <c r="L803" s="39" t="n"/>
      <c r="M803" s="39" t="n"/>
      <c r="N803" s="39" t="n"/>
      <c r="O803" s="39" t="n"/>
      <c r="P803" s="39" t="n"/>
      <c r="Q803" s="39" t="n"/>
      <c r="R803" s="39" t="n"/>
      <c r="S803" s="39" t="n"/>
      <c r="T803" s="39" t="n"/>
      <c r="U803" s="39" t="n"/>
      <c r="V803" s="39" t="n"/>
      <c r="W803" s="39" t="n"/>
      <c r="X803" s="39" t="n"/>
      <c r="Y803" s="39" t="n"/>
      <c r="Z803" s="39" t="n"/>
      <c r="AA803" s="39" t="n"/>
      <c r="AB803" s="39" t="n"/>
      <c r="AC803" s="39" t="n"/>
      <c r="AD803" s="39" t="n"/>
      <c r="AE803" s="39" t="n"/>
      <c r="AF803" s="39" t="n"/>
      <c r="AG803" s="39" t="n"/>
      <c r="AH803" s="39" t="n"/>
      <c r="AI803" s="39" t="n"/>
      <c r="AJ803" s="39" t="n"/>
      <c r="AK803" s="39" t="n"/>
      <c r="AL803" s="39" t="n"/>
      <c r="AM803" s="44" t="n"/>
      <c r="AN803" s="44" t="n"/>
      <c r="AO803" s="44" t="n"/>
      <c r="AP803" s="44" t="n"/>
      <c r="AQ803" s="44" t="n"/>
      <c r="AR803" s="44" t="n"/>
      <c r="AS803" s="45" t="n"/>
      <c r="AT803" s="45" t="n"/>
      <c r="AU803" s="45" t="n"/>
    </row>
    <row r="804">
      <c r="B804" s="39" t="n"/>
      <c r="C804" s="39" t="n"/>
      <c r="D804" s="40" t="n"/>
      <c r="E804" s="39" t="n"/>
      <c r="F804" s="39" t="n"/>
      <c r="G804" s="112" t="n"/>
      <c r="H804" s="42" t="n"/>
      <c r="I804" s="42" t="n"/>
      <c r="J804" s="113" t="n"/>
      <c r="K804" s="39" t="n"/>
      <c r="L804" s="39" t="n"/>
      <c r="M804" s="39" t="n"/>
      <c r="N804" s="39" t="n"/>
      <c r="O804" s="39" t="n"/>
      <c r="P804" s="39" t="n"/>
      <c r="Q804" s="39" t="n"/>
      <c r="R804" s="39" t="n"/>
      <c r="S804" s="39" t="n"/>
      <c r="T804" s="39" t="n"/>
      <c r="U804" s="39" t="n"/>
      <c r="V804" s="39" t="n"/>
      <c r="W804" s="39" t="n"/>
      <c r="X804" s="39" t="n"/>
      <c r="Y804" s="39" t="n"/>
      <c r="Z804" s="39" t="n"/>
      <c r="AA804" s="39" t="n"/>
      <c r="AB804" s="39" t="n"/>
      <c r="AC804" s="39" t="n"/>
      <c r="AD804" s="39" t="n"/>
      <c r="AE804" s="39" t="n"/>
      <c r="AF804" s="39" t="n"/>
      <c r="AG804" s="39" t="n"/>
      <c r="AH804" s="39" t="n"/>
      <c r="AI804" s="39" t="n"/>
      <c r="AJ804" s="39" t="n"/>
      <c r="AK804" s="39" t="n"/>
      <c r="AL804" s="39" t="n"/>
      <c r="AM804" s="44" t="n"/>
      <c r="AN804" s="44" t="n"/>
      <c r="AO804" s="44" t="n"/>
      <c r="AP804" s="44" t="n"/>
      <c r="AQ804" s="44" t="n"/>
      <c r="AR804" s="44" t="n"/>
      <c r="AS804" s="45" t="n"/>
      <c r="AT804" s="45" t="n"/>
      <c r="AU804" s="45" t="n"/>
    </row>
    <row r="805">
      <c r="B805" s="39" t="n"/>
      <c r="C805" s="39" t="n"/>
      <c r="D805" s="40" t="n"/>
      <c r="E805" s="39" t="n"/>
      <c r="F805" s="39" t="n"/>
      <c r="G805" s="112" t="n"/>
      <c r="H805" s="42" t="n"/>
      <c r="I805" s="42" t="n"/>
      <c r="J805" s="113" t="n"/>
      <c r="K805" s="39" t="n"/>
      <c r="L805" s="39" t="n"/>
      <c r="M805" s="39" t="n"/>
      <c r="N805" s="39" t="n"/>
      <c r="O805" s="39" t="n"/>
      <c r="P805" s="39" t="n"/>
      <c r="Q805" s="39" t="n"/>
      <c r="R805" s="39" t="n"/>
      <c r="S805" s="39" t="n"/>
      <c r="T805" s="39" t="n"/>
      <c r="U805" s="39" t="n"/>
      <c r="V805" s="39" t="n"/>
      <c r="W805" s="39" t="n"/>
      <c r="X805" s="39" t="n"/>
      <c r="Y805" s="39" t="n"/>
      <c r="Z805" s="39" t="n"/>
      <c r="AA805" s="39" t="n"/>
      <c r="AB805" s="39" t="n"/>
      <c r="AC805" s="39" t="n"/>
      <c r="AD805" s="39" t="n"/>
      <c r="AE805" s="39" t="n"/>
      <c r="AF805" s="39" t="n"/>
      <c r="AG805" s="39" t="n"/>
      <c r="AH805" s="39" t="n"/>
      <c r="AI805" s="39" t="n"/>
      <c r="AJ805" s="39" t="n"/>
      <c r="AK805" s="39" t="n"/>
      <c r="AL805" s="39" t="n"/>
      <c r="AM805" s="44" t="n"/>
      <c r="AN805" s="44" t="n"/>
      <c r="AO805" s="44" t="n"/>
      <c r="AP805" s="44" t="n"/>
      <c r="AQ805" s="44" t="n"/>
      <c r="AR805" s="44" t="n"/>
      <c r="AS805" s="45" t="n"/>
      <c r="AT805" s="45" t="n"/>
      <c r="AU805" s="45" t="n"/>
    </row>
    <row r="806">
      <c r="B806" s="39" t="n"/>
      <c r="C806" s="39" t="n"/>
      <c r="D806" s="40" t="n"/>
      <c r="E806" s="39" t="n"/>
      <c r="F806" s="39" t="n"/>
      <c r="G806" s="112" t="n"/>
      <c r="H806" s="42" t="n"/>
      <c r="I806" s="42" t="n"/>
      <c r="J806" s="113" t="n"/>
      <c r="K806" s="39" t="n"/>
      <c r="L806" s="39" t="n"/>
      <c r="M806" s="39" t="n"/>
      <c r="N806" s="39" t="n"/>
      <c r="O806" s="39" t="n"/>
      <c r="P806" s="39" t="n"/>
      <c r="Q806" s="39" t="n"/>
      <c r="R806" s="39" t="n"/>
      <c r="S806" s="39" t="n"/>
      <c r="T806" s="39" t="n"/>
      <c r="U806" s="39" t="n"/>
      <c r="V806" s="39" t="n"/>
      <c r="W806" s="39" t="n"/>
      <c r="X806" s="39" t="n"/>
      <c r="Y806" s="39" t="n"/>
      <c r="Z806" s="39" t="n"/>
      <c r="AA806" s="39" t="n"/>
      <c r="AB806" s="39" t="n"/>
      <c r="AC806" s="39" t="n"/>
      <c r="AD806" s="39" t="n"/>
      <c r="AE806" s="39" t="n"/>
      <c r="AF806" s="39" t="n"/>
      <c r="AG806" s="39" t="n"/>
      <c r="AH806" s="39" t="n"/>
      <c r="AI806" s="39" t="n"/>
      <c r="AJ806" s="39" t="n"/>
      <c r="AK806" s="39" t="n"/>
      <c r="AL806" s="39" t="n"/>
      <c r="AM806" s="44" t="n"/>
      <c r="AN806" s="44" t="n"/>
      <c r="AO806" s="44" t="n"/>
      <c r="AP806" s="44" t="n"/>
      <c r="AQ806" s="44" t="n"/>
      <c r="AR806" s="44" t="n"/>
      <c r="AS806" s="45" t="n"/>
      <c r="AT806" s="45" t="n"/>
      <c r="AU806" s="45" t="n"/>
    </row>
    <row r="807">
      <c r="B807" s="39" t="n"/>
      <c r="C807" s="39" t="n"/>
      <c r="D807" s="40" t="n"/>
      <c r="E807" s="39" t="n"/>
      <c r="F807" s="39" t="n"/>
      <c r="G807" s="112" t="n"/>
      <c r="H807" s="42" t="n"/>
      <c r="I807" s="42" t="n"/>
      <c r="J807" s="113" t="n"/>
      <c r="K807" s="39" t="n"/>
      <c r="L807" s="39" t="n"/>
      <c r="M807" s="39" t="n"/>
      <c r="N807" s="39" t="n"/>
      <c r="O807" s="39" t="n"/>
      <c r="P807" s="39" t="n"/>
      <c r="Q807" s="39" t="n"/>
      <c r="R807" s="39" t="n"/>
      <c r="S807" s="39" t="n"/>
      <c r="T807" s="39" t="n"/>
      <c r="U807" s="39" t="n"/>
      <c r="V807" s="39" t="n"/>
      <c r="W807" s="39" t="n"/>
      <c r="X807" s="39" t="n"/>
      <c r="Y807" s="39" t="n"/>
      <c r="Z807" s="39" t="n"/>
      <c r="AA807" s="39" t="n"/>
      <c r="AB807" s="39" t="n"/>
      <c r="AC807" s="39" t="n"/>
      <c r="AD807" s="39" t="n"/>
      <c r="AE807" s="39" t="n"/>
      <c r="AF807" s="39" t="n"/>
      <c r="AG807" s="39" t="n"/>
      <c r="AH807" s="39" t="n"/>
      <c r="AI807" s="39" t="n"/>
      <c r="AJ807" s="39" t="n"/>
      <c r="AK807" s="39" t="n"/>
      <c r="AL807" s="39" t="n"/>
      <c r="AM807" s="44" t="n"/>
      <c r="AN807" s="44" t="n"/>
      <c r="AO807" s="44" t="n"/>
      <c r="AP807" s="44" t="n"/>
      <c r="AQ807" s="44" t="n"/>
      <c r="AR807" s="44" t="n"/>
      <c r="AS807" s="45" t="n"/>
      <c r="AT807" s="45" t="n"/>
      <c r="AU807" s="45" t="n"/>
    </row>
    <row r="808">
      <c r="B808" s="39" t="n"/>
      <c r="C808" s="39" t="n"/>
      <c r="D808" s="40" t="n"/>
      <c r="E808" s="39" t="n"/>
      <c r="F808" s="39" t="n"/>
      <c r="G808" s="112" t="n"/>
      <c r="H808" s="42" t="n"/>
      <c r="I808" s="42" t="n"/>
      <c r="J808" s="113" t="n"/>
      <c r="K808" s="39" t="n"/>
      <c r="L808" s="39" t="n"/>
      <c r="M808" s="39" t="n"/>
      <c r="N808" s="39" t="n"/>
      <c r="O808" s="39" t="n"/>
      <c r="P808" s="39" t="n"/>
      <c r="Q808" s="39" t="n"/>
      <c r="R808" s="39" t="n"/>
      <c r="S808" s="39" t="n"/>
      <c r="T808" s="39" t="n"/>
      <c r="U808" s="39" t="n"/>
      <c r="V808" s="39" t="n"/>
      <c r="W808" s="39" t="n"/>
      <c r="X808" s="39" t="n"/>
      <c r="Y808" s="39" t="n"/>
      <c r="Z808" s="39" t="n"/>
      <c r="AA808" s="39" t="n"/>
      <c r="AB808" s="39" t="n"/>
      <c r="AC808" s="39" t="n"/>
      <c r="AD808" s="39" t="n"/>
      <c r="AE808" s="39" t="n"/>
      <c r="AF808" s="39" t="n"/>
      <c r="AG808" s="39" t="n"/>
      <c r="AH808" s="39" t="n"/>
      <c r="AI808" s="39" t="n"/>
      <c r="AJ808" s="39" t="n"/>
      <c r="AK808" s="39" t="n"/>
      <c r="AL808" s="39" t="n"/>
      <c r="AM808" s="44" t="n"/>
      <c r="AN808" s="44" t="n"/>
      <c r="AO808" s="44" t="n"/>
      <c r="AP808" s="44" t="n"/>
      <c r="AQ808" s="44" t="n"/>
      <c r="AR808" s="44" t="n"/>
      <c r="AS808" s="45" t="n"/>
      <c r="AT808" s="45" t="n"/>
      <c r="AU808" s="45" t="n"/>
    </row>
    <row r="809">
      <c r="B809" s="39" t="n"/>
      <c r="C809" s="39" t="n"/>
      <c r="D809" s="40" t="n"/>
      <c r="E809" s="39" t="n"/>
      <c r="F809" s="39" t="n"/>
      <c r="G809" s="112" t="n"/>
      <c r="H809" s="42" t="n"/>
      <c r="I809" s="42" t="n"/>
      <c r="J809" s="113" t="n"/>
      <c r="K809" s="39" t="n"/>
      <c r="L809" s="39" t="n"/>
      <c r="M809" s="39" t="n"/>
      <c r="N809" s="39" t="n"/>
      <c r="O809" s="39" t="n"/>
      <c r="P809" s="39" t="n"/>
      <c r="Q809" s="39" t="n"/>
      <c r="R809" s="39" t="n"/>
      <c r="S809" s="39" t="n"/>
      <c r="T809" s="39" t="n"/>
      <c r="U809" s="39" t="n"/>
      <c r="V809" s="39" t="n"/>
      <c r="W809" s="39" t="n"/>
      <c r="X809" s="39" t="n"/>
      <c r="Y809" s="39" t="n"/>
      <c r="Z809" s="39" t="n"/>
      <c r="AA809" s="39" t="n"/>
      <c r="AB809" s="39" t="n"/>
      <c r="AC809" s="39" t="n"/>
      <c r="AD809" s="39" t="n"/>
      <c r="AE809" s="39" t="n"/>
      <c r="AF809" s="39" t="n"/>
      <c r="AG809" s="39" t="n"/>
      <c r="AH809" s="39" t="n"/>
      <c r="AI809" s="39" t="n"/>
      <c r="AJ809" s="39" t="n"/>
      <c r="AK809" s="39" t="n"/>
      <c r="AL809" s="39" t="n"/>
      <c r="AM809" s="44" t="n"/>
      <c r="AN809" s="44" t="n"/>
      <c r="AO809" s="44" t="n"/>
      <c r="AP809" s="44" t="n"/>
      <c r="AQ809" s="44" t="n"/>
      <c r="AR809" s="44" t="n"/>
      <c r="AS809" s="45" t="n"/>
      <c r="AT809" s="45" t="n"/>
      <c r="AU809" s="45" t="n"/>
    </row>
    <row r="810">
      <c r="B810" s="39" t="n"/>
      <c r="C810" s="39" t="n"/>
      <c r="D810" s="40" t="n"/>
      <c r="E810" s="39" t="n"/>
      <c r="F810" s="39" t="n"/>
      <c r="G810" s="112" t="n"/>
      <c r="H810" s="42" t="n"/>
      <c r="I810" s="42" t="n"/>
      <c r="J810" s="113" t="n"/>
      <c r="K810" s="39" t="n"/>
      <c r="L810" s="39" t="n"/>
      <c r="M810" s="39" t="n"/>
      <c r="N810" s="39" t="n"/>
      <c r="O810" s="39" t="n"/>
      <c r="P810" s="39" t="n"/>
      <c r="Q810" s="39" t="n"/>
      <c r="R810" s="39" t="n"/>
      <c r="S810" s="39" t="n"/>
      <c r="T810" s="39" t="n"/>
      <c r="U810" s="39" t="n"/>
      <c r="V810" s="39" t="n"/>
      <c r="W810" s="39" t="n"/>
      <c r="X810" s="39" t="n"/>
      <c r="Y810" s="39" t="n"/>
      <c r="Z810" s="39" t="n"/>
      <c r="AA810" s="39" t="n"/>
      <c r="AB810" s="39" t="n"/>
      <c r="AC810" s="39" t="n"/>
      <c r="AD810" s="39" t="n"/>
      <c r="AE810" s="39" t="n"/>
      <c r="AF810" s="39" t="n"/>
      <c r="AG810" s="39" t="n"/>
      <c r="AH810" s="39" t="n"/>
      <c r="AI810" s="39" t="n"/>
      <c r="AJ810" s="39" t="n"/>
      <c r="AK810" s="39" t="n"/>
      <c r="AL810" s="39" t="n"/>
      <c r="AM810" s="44" t="n"/>
      <c r="AN810" s="44" t="n"/>
      <c r="AO810" s="44" t="n"/>
      <c r="AP810" s="44" t="n"/>
      <c r="AQ810" s="44" t="n"/>
      <c r="AR810" s="44" t="n"/>
      <c r="AS810" s="45" t="n"/>
      <c r="AT810" s="45" t="n"/>
      <c r="AU810" s="45" t="n"/>
    </row>
    <row r="811">
      <c r="B811" s="39" t="n"/>
      <c r="C811" s="39" t="n"/>
      <c r="D811" s="40" t="n"/>
      <c r="E811" s="39" t="n"/>
      <c r="F811" s="39" t="n"/>
      <c r="G811" s="112" t="n"/>
      <c r="H811" s="42" t="n"/>
      <c r="I811" s="42" t="n"/>
      <c r="J811" s="113" t="n"/>
      <c r="K811" s="39" t="n"/>
      <c r="L811" s="39" t="n"/>
      <c r="M811" s="39" t="n"/>
      <c r="N811" s="39" t="n"/>
      <c r="O811" s="39" t="n"/>
      <c r="P811" s="39" t="n"/>
      <c r="Q811" s="39" t="n"/>
      <c r="R811" s="39" t="n"/>
      <c r="S811" s="39" t="n"/>
      <c r="T811" s="39" t="n"/>
      <c r="U811" s="39" t="n"/>
      <c r="V811" s="39" t="n"/>
      <c r="W811" s="39" t="n"/>
      <c r="X811" s="39" t="n"/>
      <c r="Y811" s="39" t="n"/>
      <c r="Z811" s="39" t="n"/>
      <c r="AA811" s="39" t="n"/>
      <c r="AB811" s="39" t="n"/>
      <c r="AC811" s="39" t="n"/>
      <c r="AD811" s="39" t="n"/>
      <c r="AE811" s="39" t="n"/>
      <c r="AF811" s="39" t="n"/>
      <c r="AG811" s="39" t="n"/>
      <c r="AH811" s="39" t="n"/>
      <c r="AI811" s="39" t="n"/>
      <c r="AJ811" s="39" t="n"/>
      <c r="AK811" s="39" t="n"/>
      <c r="AL811" s="39" t="n"/>
      <c r="AM811" s="44" t="n"/>
      <c r="AN811" s="44" t="n"/>
      <c r="AO811" s="44" t="n"/>
      <c r="AP811" s="44" t="n"/>
      <c r="AQ811" s="44" t="n"/>
      <c r="AR811" s="44" t="n"/>
      <c r="AS811" s="45" t="n"/>
      <c r="AT811" s="45" t="n"/>
      <c r="AU811" s="45" t="n"/>
    </row>
    <row r="812">
      <c r="B812" s="39" t="n"/>
      <c r="C812" s="39" t="n"/>
      <c r="D812" s="40" t="n"/>
      <c r="E812" s="39" t="n"/>
      <c r="F812" s="39" t="n"/>
      <c r="G812" s="112" t="n"/>
      <c r="H812" s="42" t="n"/>
      <c r="I812" s="42" t="n"/>
      <c r="J812" s="113" t="n"/>
      <c r="K812" s="39" t="n"/>
      <c r="L812" s="39" t="n"/>
      <c r="M812" s="39" t="n"/>
      <c r="N812" s="39" t="n"/>
      <c r="O812" s="39" t="n"/>
      <c r="P812" s="39" t="n"/>
      <c r="Q812" s="39" t="n"/>
      <c r="R812" s="39" t="n"/>
      <c r="S812" s="39" t="n"/>
      <c r="T812" s="39" t="n"/>
      <c r="U812" s="39" t="n"/>
      <c r="V812" s="39" t="n"/>
      <c r="W812" s="39" t="n"/>
      <c r="X812" s="39" t="n"/>
      <c r="Y812" s="39" t="n"/>
      <c r="Z812" s="39" t="n"/>
      <c r="AA812" s="39" t="n"/>
      <c r="AB812" s="39" t="n"/>
      <c r="AC812" s="39" t="n"/>
      <c r="AD812" s="39" t="n"/>
      <c r="AE812" s="39" t="n"/>
      <c r="AF812" s="39" t="n"/>
      <c r="AG812" s="39" t="n"/>
      <c r="AH812" s="39" t="n"/>
      <c r="AI812" s="39" t="n"/>
      <c r="AJ812" s="39" t="n"/>
      <c r="AK812" s="39" t="n"/>
      <c r="AL812" s="39" t="n"/>
      <c r="AM812" s="44" t="n"/>
      <c r="AN812" s="44" t="n"/>
      <c r="AO812" s="44" t="n"/>
      <c r="AP812" s="44" t="n"/>
      <c r="AQ812" s="44" t="n"/>
      <c r="AR812" s="44" t="n"/>
      <c r="AS812" s="45" t="n"/>
      <c r="AT812" s="45" t="n"/>
      <c r="AU812" s="45" t="n"/>
    </row>
    <row r="813">
      <c r="B813" s="39" t="n"/>
      <c r="C813" s="39" t="n"/>
      <c r="D813" s="40" t="n"/>
      <c r="E813" s="39" t="n"/>
      <c r="F813" s="39" t="n"/>
      <c r="G813" s="112" t="n"/>
      <c r="H813" s="42" t="n"/>
      <c r="I813" s="42" t="n"/>
      <c r="J813" s="113" t="n"/>
      <c r="K813" s="39" t="n"/>
      <c r="L813" s="39" t="n"/>
      <c r="M813" s="39" t="n"/>
      <c r="N813" s="39" t="n"/>
      <c r="O813" s="39" t="n"/>
      <c r="P813" s="39" t="n"/>
      <c r="Q813" s="39" t="n"/>
      <c r="R813" s="39" t="n"/>
      <c r="S813" s="39" t="n"/>
      <c r="T813" s="39" t="n"/>
      <c r="U813" s="39" t="n"/>
      <c r="V813" s="39" t="n"/>
      <c r="W813" s="39" t="n"/>
      <c r="X813" s="39" t="n"/>
      <c r="Y813" s="39" t="n"/>
      <c r="Z813" s="39" t="n"/>
      <c r="AA813" s="39" t="n"/>
      <c r="AB813" s="39" t="n"/>
      <c r="AC813" s="39" t="n"/>
      <c r="AD813" s="39" t="n"/>
      <c r="AE813" s="39" t="n"/>
      <c r="AF813" s="39" t="n"/>
      <c r="AG813" s="39" t="n"/>
      <c r="AH813" s="39" t="n"/>
      <c r="AI813" s="39" t="n"/>
      <c r="AJ813" s="39" t="n"/>
      <c r="AK813" s="39" t="n"/>
      <c r="AL813" s="39" t="n"/>
      <c r="AM813" s="44" t="n"/>
      <c r="AN813" s="44" t="n"/>
      <c r="AO813" s="44" t="n"/>
      <c r="AP813" s="44" t="n"/>
      <c r="AQ813" s="44" t="n"/>
      <c r="AR813" s="44" t="n"/>
      <c r="AS813" s="45" t="n"/>
      <c r="AT813" s="45" t="n"/>
      <c r="AU813" s="45" t="n"/>
    </row>
    <row r="814">
      <c r="B814" s="39" t="n"/>
      <c r="C814" s="39" t="n"/>
      <c r="D814" s="40" t="n"/>
      <c r="E814" s="39" t="n"/>
      <c r="F814" s="39" t="n"/>
      <c r="G814" s="112" t="n"/>
      <c r="H814" s="42" t="n"/>
      <c r="I814" s="42" t="n"/>
      <c r="J814" s="113" t="n"/>
      <c r="K814" s="39" t="n"/>
      <c r="L814" s="39" t="n"/>
      <c r="M814" s="39" t="n"/>
      <c r="N814" s="39" t="n"/>
      <c r="O814" s="39" t="n"/>
      <c r="P814" s="39" t="n"/>
      <c r="Q814" s="39" t="n"/>
      <c r="R814" s="39" t="n"/>
      <c r="S814" s="39" t="n"/>
      <c r="T814" s="39" t="n"/>
      <c r="U814" s="39" t="n"/>
      <c r="V814" s="39" t="n"/>
      <c r="W814" s="39" t="n"/>
      <c r="X814" s="39" t="n"/>
      <c r="Y814" s="39" t="n"/>
      <c r="Z814" s="39" t="n"/>
      <c r="AA814" s="39" t="n"/>
      <c r="AB814" s="39" t="n"/>
      <c r="AC814" s="39" t="n"/>
      <c r="AD814" s="39" t="n"/>
      <c r="AE814" s="39" t="n"/>
      <c r="AF814" s="39" t="n"/>
      <c r="AG814" s="39" t="n"/>
      <c r="AH814" s="39" t="n"/>
      <c r="AI814" s="39" t="n"/>
      <c r="AJ814" s="39" t="n"/>
      <c r="AK814" s="39" t="n"/>
      <c r="AL814" s="39" t="n"/>
      <c r="AM814" s="44" t="n"/>
      <c r="AN814" s="44" t="n"/>
      <c r="AO814" s="44" t="n"/>
      <c r="AP814" s="44" t="n"/>
      <c r="AQ814" s="44" t="n"/>
      <c r="AR814" s="44" t="n"/>
      <c r="AS814" s="45" t="n"/>
      <c r="AT814" s="45" t="n"/>
      <c r="AU814" s="45" t="n"/>
    </row>
    <row r="815">
      <c r="B815" s="39" t="n"/>
      <c r="C815" s="39" t="n"/>
      <c r="D815" s="40" t="n"/>
      <c r="E815" s="39" t="n"/>
      <c r="F815" s="39" t="n"/>
      <c r="G815" s="112" t="n"/>
      <c r="H815" s="42" t="n"/>
      <c r="I815" s="42" t="n"/>
      <c r="J815" s="113" t="n"/>
      <c r="K815" s="39" t="n"/>
      <c r="L815" s="39" t="n"/>
      <c r="M815" s="39" t="n"/>
      <c r="N815" s="39" t="n"/>
      <c r="O815" s="39" t="n"/>
      <c r="P815" s="39" t="n"/>
      <c r="Q815" s="39" t="n"/>
      <c r="R815" s="39" t="n"/>
      <c r="S815" s="39" t="n"/>
      <c r="T815" s="39" t="n"/>
      <c r="U815" s="39" t="n"/>
      <c r="V815" s="39" t="n"/>
      <c r="W815" s="39" t="n"/>
      <c r="X815" s="39" t="n"/>
      <c r="Y815" s="39" t="n"/>
      <c r="Z815" s="39" t="n"/>
      <c r="AA815" s="39" t="n"/>
      <c r="AB815" s="39" t="n"/>
      <c r="AC815" s="39" t="n"/>
      <c r="AD815" s="39" t="n"/>
      <c r="AE815" s="39" t="n"/>
      <c r="AF815" s="39" t="n"/>
      <c r="AG815" s="39" t="n"/>
      <c r="AH815" s="39" t="n"/>
      <c r="AI815" s="39" t="n"/>
      <c r="AJ815" s="39" t="n"/>
      <c r="AK815" s="39" t="n"/>
      <c r="AL815" s="39" t="n"/>
      <c r="AM815" s="44" t="n"/>
      <c r="AN815" s="44" t="n"/>
      <c r="AO815" s="44" t="n"/>
      <c r="AP815" s="44" t="n"/>
      <c r="AQ815" s="44" t="n"/>
      <c r="AR815" s="44" t="n"/>
      <c r="AS815" s="45" t="n"/>
      <c r="AT815" s="45" t="n"/>
      <c r="AU815" s="45" t="n"/>
    </row>
    <row r="816">
      <c r="B816" s="39" t="n"/>
      <c r="C816" s="39" t="n"/>
      <c r="D816" s="40" t="n"/>
      <c r="E816" s="39" t="n"/>
      <c r="F816" s="39" t="n"/>
      <c r="G816" s="112" t="n"/>
      <c r="H816" s="42" t="n"/>
      <c r="I816" s="42" t="n"/>
      <c r="J816" s="113" t="n"/>
      <c r="K816" s="39" t="n"/>
      <c r="L816" s="39" t="n"/>
      <c r="M816" s="39" t="n"/>
      <c r="N816" s="39" t="n"/>
      <c r="O816" s="39" t="n"/>
      <c r="P816" s="39" t="n"/>
      <c r="Q816" s="39" t="n"/>
      <c r="R816" s="39" t="n"/>
      <c r="S816" s="39" t="n"/>
      <c r="T816" s="39" t="n"/>
      <c r="U816" s="39" t="n"/>
      <c r="V816" s="39" t="n"/>
      <c r="W816" s="39" t="n"/>
      <c r="X816" s="39" t="n"/>
      <c r="Y816" s="39" t="n"/>
      <c r="Z816" s="39" t="n"/>
      <c r="AA816" s="39" t="n"/>
      <c r="AB816" s="39" t="n"/>
      <c r="AC816" s="39" t="n"/>
      <c r="AD816" s="39" t="n"/>
      <c r="AE816" s="39" t="n"/>
      <c r="AF816" s="39" t="n"/>
      <c r="AG816" s="39" t="n"/>
      <c r="AH816" s="39" t="n"/>
      <c r="AI816" s="39" t="n"/>
      <c r="AJ816" s="39" t="n"/>
      <c r="AK816" s="39" t="n"/>
      <c r="AL816" s="39" t="n"/>
      <c r="AM816" s="44" t="n"/>
      <c r="AN816" s="44" t="n"/>
      <c r="AO816" s="44" t="n"/>
      <c r="AP816" s="44" t="n"/>
      <c r="AQ816" s="44" t="n"/>
      <c r="AR816" s="44" t="n"/>
      <c r="AS816" s="45" t="n"/>
      <c r="AT816" s="45" t="n"/>
      <c r="AU816" s="45" t="n"/>
    </row>
    <row r="817">
      <c r="B817" s="39" t="n"/>
      <c r="C817" s="39" t="n"/>
      <c r="D817" s="40" t="n"/>
      <c r="E817" s="39" t="n"/>
      <c r="F817" s="39" t="n"/>
      <c r="G817" s="112" t="n"/>
      <c r="H817" s="42" t="n"/>
      <c r="I817" s="42" t="n"/>
      <c r="J817" s="113" t="n"/>
      <c r="K817" s="39" t="n"/>
      <c r="L817" s="39" t="n"/>
      <c r="M817" s="39" t="n"/>
      <c r="N817" s="39" t="n"/>
      <c r="O817" s="39" t="n"/>
      <c r="P817" s="39" t="n"/>
      <c r="Q817" s="39" t="n"/>
      <c r="R817" s="39" t="n"/>
      <c r="S817" s="39" t="n"/>
      <c r="T817" s="39" t="n"/>
      <c r="U817" s="39" t="n"/>
      <c r="V817" s="39" t="n"/>
      <c r="W817" s="39" t="n"/>
      <c r="X817" s="39" t="n"/>
      <c r="Y817" s="39" t="n"/>
      <c r="Z817" s="39" t="n"/>
      <c r="AA817" s="39" t="n"/>
      <c r="AB817" s="39" t="n"/>
      <c r="AC817" s="39" t="n"/>
      <c r="AD817" s="39" t="n"/>
      <c r="AE817" s="39" t="n"/>
      <c r="AF817" s="39" t="n"/>
      <c r="AG817" s="39" t="n"/>
      <c r="AH817" s="39" t="n"/>
      <c r="AI817" s="39" t="n"/>
      <c r="AJ817" s="39" t="n"/>
      <c r="AK817" s="39" t="n"/>
      <c r="AL817" s="39" t="n"/>
      <c r="AM817" s="44" t="n"/>
      <c r="AN817" s="44" t="n"/>
      <c r="AO817" s="44" t="n"/>
      <c r="AP817" s="44" t="n"/>
      <c r="AQ817" s="44" t="n"/>
      <c r="AR817" s="44" t="n"/>
      <c r="AS817" s="45" t="n"/>
      <c r="AT817" s="45" t="n"/>
      <c r="AU817" s="45" t="n"/>
    </row>
    <row r="818">
      <c r="B818" s="39" t="n"/>
      <c r="C818" s="39" t="n"/>
      <c r="D818" s="40" t="n"/>
      <c r="E818" s="39" t="n"/>
      <c r="F818" s="39" t="n"/>
      <c r="G818" s="112" t="n"/>
      <c r="H818" s="42" t="n"/>
      <c r="I818" s="42" t="n"/>
      <c r="J818" s="113" t="n"/>
      <c r="K818" s="39" t="n"/>
      <c r="L818" s="39" t="n"/>
      <c r="M818" s="39" t="n"/>
      <c r="N818" s="39" t="n"/>
      <c r="O818" s="39" t="n"/>
      <c r="P818" s="39" t="n"/>
      <c r="Q818" s="39" t="n"/>
      <c r="R818" s="39" t="n"/>
      <c r="S818" s="39" t="n"/>
      <c r="T818" s="39" t="n"/>
      <c r="U818" s="39" t="n"/>
      <c r="V818" s="39" t="n"/>
      <c r="W818" s="39" t="n"/>
      <c r="X818" s="39" t="n"/>
      <c r="Y818" s="39" t="n"/>
      <c r="Z818" s="39" t="n"/>
      <c r="AA818" s="39" t="n"/>
      <c r="AB818" s="39" t="n"/>
      <c r="AC818" s="39" t="n"/>
      <c r="AD818" s="39" t="n"/>
      <c r="AE818" s="39" t="n"/>
      <c r="AF818" s="39" t="n"/>
      <c r="AG818" s="39" t="n"/>
      <c r="AH818" s="39" t="n"/>
      <c r="AI818" s="39" t="n"/>
      <c r="AJ818" s="39" t="n"/>
      <c r="AK818" s="39" t="n"/>
      <c r="AL818" s="39" t="n"/>
      <c r="AM818" s="44" t="n"/>
      <c r="AN818" s="44" t="n"/>
      <c r="AO818" s="44" t="n"/>
      <c r="AP818" s="44" t="n"/>
      <c r="AQ818" s="44" t="n"/>
      <c r="AR818" s="44" t="n"/>
      <c r="AS818" s="45" t="n"/>
      <c r="AT818" s="45" t="n"/>
      <c r="AU818" s="45" t="n"/>
    </row>
    <row r="819">
      <c r="B819" s="39" t="n"/>
      <c r="C819" s="39" t="n"/>
      <c r="D819" s="40" t="n"/>
      <c r="E819" s="39" t="n"/>
      <c r="F819" s="39" t="n"/>
      <c r="G819" s="112" t="n"/>
      <c r="H819" s="42" t="n"/>
      <c r="I819" s="42" t="n"/>
      <c r="J819" s="113" t="n"/>
      <c r="K819" s="39" t="n"/>
      <c r="L819" s="39" t="n"/>
      <c r="M819" s="39" t="n"/>
      <c r="N819" s="39" t="n"/>
      <c r="O819" s="39" t="n"/>
      <c r="P819" s="39" t="n"/>
      <c r="Q819" s="39" t="n"/>
      <c r="R819" s="39" t="n"/>
      <c r="S819" s="39" t="n"/>
      <c r="T819" s="39" t="n"/>
      <c r="U819" s="39" t="n"/>
      <c r="V819" s="39" t="n"/>
      <c r="W819" s="39" t="n"/>
      <c r="X819" s="39" t="n"/>
      <c r="Y819" s="39" t="n"/>
      <c r="Z819" s="39" t="n"/>
      <c r="AA819" s="39" t="n"/>
      <c r="AB819" s="39" t="n"/>
      <c r="AC819" s="39" t="n"/>
      <c r="AD819" s="39" t="n"/>
      <c r="AE819" s="39" t="n"/>
      <c r="AF819" s="39" t="n"/>
      <c r="AG819" s="39" t="n"/>
      <c r="AH819" s="39" t="n"/>
      <c r="AI819" s="39" t="n"/>
      <c r="AJ819" s="39" t="n"/>
      <c r="AK819" s="39" t="n"/>
      <c r="AL819" s="39" t="n"/>
      <c r="AM819" s="44" t="n"/>
      <c r="AN819" s="44" t="n"/>
      <c r="AO819" s="44" t="n"/>
      <c r="AP819" s="44" t="n"/>
      <c r="AQ819" s="44" t="n"/>
      <c r="AR819" s="44" t="n"/>
      <c r="AS819" s="45" t="n"/>
      <c r="AT819" s="45" t="n"/>
      <c r="AU819" s="45" t="n"/>
    </row>
    <row r="820">
      <c r="B820" s="39" t="n"/>
      <c r="C820" s="39" t="n"/>
      <c r="D820" s="40" t="n"/>
      <c r="E820" s="39" t="n"/>
      <c r="F820" s="39" t="n"/>
      <c r="G820" s="112" t="n"/>
      <c r="H820" s="42" t="n"/>
      <c r="I820" s="42" t="n"/>
      <c r="J820" s="113" t="n"/>
      <c r="K820" s="39" t="n"/>
      <c r="L820" s="39" t="n"/>
      <c r="M820" s="39" t="n"/>
      <c r="N820" s="39" t="n"/>
      <c r="O820" s="39" t="n"/>
      <c r="P820" s="39" t="n"/>
      <c r="Q820" s="39" t="n"/>
      <c r="R820" s="39" t="n"/>
      <c r="S820" s="39" t="n"/>
      <c r="T820" s="39" t="n"/>
      <c r="U820" s="39" t="n"/>
      <c r="V820" s="39" t="n"/>
      <c r="W820" s="39" t="n"/>
      <c r="X820" s="39" t="n"/>
      <c r="Y820" s="39" t="n"/>
      <c r="Z820" s="39" t="n"/>
      <c r="AA820" s="39" t="n"/>
      <c r="AB820" s="39" t="n"/>
      <c r="AC820" s="39" t="n"/>
      <c r="AD820" s="39" t="n"/>
      <c r="AE820" s="39" t="n"/>
      <c r="AF820" s="39" t="n"/>
      <c r="AG820" s="39" t="n"/>
      <c r="AH820" s="39" t="n"/>
      <c r="AI820" s="39" t="n"/>
      <c r="AJ820" s="39" t="n"/>
      <c r="AK820" s="39" t="n"/>
      <c r="AL820" s="39" t="n"/>
      <c r="AM820" s="44" t="n"/>
      <c r="AN820" s="44" t="n"/>
      <c r="AO820" s="44" t="n"/>
      <c r="AP820" s="44" t="n"/>
      <c r="AQ820" s="44" t="n"/>
      <c r="AR820" s="44" t="n"/>
      <c r="AS820" s="45" t="n"/>
      <c r="AT820" s="45" t="n"/>
      <c r="AU820" s="45" t="n"/>
    </row>
    <row r="821">
      <c r="B821" s="39" t="n"/>
      <c r="C821" s="39" t="n"/>
      <c r="D821" s="40" t="n"/>
      <c r="E821" s="39" t="n"/>
      <c r="F821" s="39" t="n"/>
      <c r="G821" s="112" t="n"/>
      <c r="H821" s="42" t="n"/>
      <c r="I821" s="42" t="n"/>
      <c r="J821" s="113" t="n"/>
      <c r="K821" s="39" t="n"/>
      <c r="L821" s="39" t="n"/>
      <c r="M821" s="39" t="n"/>
      <c r="N821" s="39" t="n"/>
      <c r="O821" s="39" t="n"/>
      <c r="P821" s="39" t="n"/>
      <c r="Q821" s="39" t="n"/>
      <c r="R821" s="39" t="n"/>
      <c r="S821" s="39" t="n"/>
      <c r="T821" s="39" t="n"/>
      <c r="U821" s="39" t="n"/>
      <c r="V821" s="39" t="n"/>
      <c r="W821" s="39" t="n"/>
      <c r="X821" s="39" t="n"/>
      <c r="Y821" s="39" t="n"/>
      <c r="Z821" s="39" t="n"/>
      <c r="AA821" s="39" t="n"/>
      <c r="AB821" s="39" t="n"/>
      <c r="AC821" s="39" t="n"/>
      <c r="AD821" s="39" t="n"/>
      <c r="AE821" s="39" t="n"/>
      <c r="AF821" s="39" t="n"/>
      <c r="AG821" s="39" t="n"/>
      <c r="AH821" s="39" t="n"/>
      <c r="AI821" s="39" t="n"/>
      <c r="AJ821" s="39" t="n"/>
      <c r="AK821" s="39" t="n"/>
      <c r="AL821" s="39" t="n"/>
      <c r="AM821" s="44" t="n"/>
      <c r="AN821" s="44" t="n"/>
      <c r="AO821" s="44" t="n"/>
      <c r="AP821" s="44" t="n"/>
      <c r="AQ821" s="44" t="n"/>
      <c r="AR821" s="44" t="n"/>
      <c r="AS821" s="45" t="n"/>
      <c r="AT821" s="45" t="n"/>
      <c r="AU821" s="45" t="n"/>
    </row>
    <row r="822">
      <c r="B822" s="39" t="n"/>
      <c r="C822" s="39" t="n"/>
      <c r="D822" s="40" t="n"/>
      <c r="E822" s="39" t="n"/>
      <c r="F822" s="39" t="n"/>
      <c r="G822" s="112" t="n"/>
      <c r="H822" s="42" t="n"/>
      <c r="I822" s="42" t="n"/>
      <c r="J822" s="113" t="n"/>
      <c r="K822" s="39" t="n"/>
      <c r="L822" s="39" t="n"/>
      <c r="M822" s="39" t="n"/>
      <c r="N822" s="39" t="n"/>
      <c r="O822" s="39" t="n"/>
      <c r="P822" s="39" t="n"/>
      <c r="Q822" s="39" t="n"/>
      <c r="R822" s="39" t="n"/>
      <c r="S822" s="39" t="n"/>
      <c r="T822" s="39" t="n"/>
      <c r="U822" s="39" t="n"/>
      <c r="V822" s="39" t="n"/>
      <c r="W822" s="39" t="n"/>
      <c r="X822" s="39" t="n"/>
      <c r="Y822" s="39" t="n"/>
      <c r="Z822" s="39" t="n"/>
      <c r="AA822" s="39" t="n"/>
      <c r="AB822" s="39" t="n"/>
      <c r="AC822" s="39" t="n"/>
      <c r="AD822" s="39" t="n"/>
      <c r="AE822" s="39" t="n"/>
      <c r="AF822" s="39" t="n"/>
      <c r="AG822" s="39" t="n"/>
      <c r="AH822" s="39" t="n"/>
      <c r="AI822" s="39" t="n"/>
      <c r="AJ822" s="39" t="n"/>
      <c r="AK822" s="39" t="n"/>
      <c r="AL822" s="39" t="n"/>
      <c r="AM822" s="44" t="n"/>
      <c r="AN822" s="44" t="n"/>
      <c r="AO822" s="44" t="n"/>
      <c r="AP822" s="44" t="n"/>
      <c r="AQ822" s="44" t="n"/>
      <c r="AR822" s="44" t="n"/>
      <c r="AS822" s="45" t="n"/>
      <c r="AT822" s="45" t="n"/>
      <c r="AU822" s="45" t="n"/>
    </row>
    <row r="823">
      <c r="B823" s="39" t="n"/>
      <c r="C823" s="39" t="n"/>
      <c r="D823" s="40" t="n"/>
      <c r="E823" s="39" t="n"/>
      <c r="F823" s="39" t="n"/>
      <c r="G823" s="112" t="n"/>
      <c r="H823" s="42" t="n"/>
      <c r="I823" s="42" t="n"/>
      <c r="J823" s="113" t="n"/>
      <c r="K823" s="39" t="n"/>
      <c r="L823" s="39" t="n"/>
      <c r="M823" s="39" t="n"/>
      <c r="N823" s="39" t="n"/>
      <c r="O823" s="39" t="n"/>
      <c r="P823" s="39" t="n"/>
      <c r="Q823" s="39" t="n"/>
      <c r="R823" s="39" t="n"/>
      <c r="S823" s="39" t="n"/>
      <c r="T823" s="39" t="n"/>
      <c r="U823" s="39" t="n"/>
      <c r="V823" s="39" t="n"/>
      <c r="W823" s="39" t="n"/>
      <c r="X823" s="39" t="n"/>
      <c r="Y823" s="39" t="n"/>
      <c r="Z823" s="39" t="n"/>
      <c r="AA823" s="39" t="n"/>
      <c r="AB823" s="39" t="n"/>
      <c r="AC823" s="39" t="n"/>
      <c r="AD823" s="39" t="n"/>
      <c r="AE823" s="39" t="n"/>
      <c r="AF823" s="39" t="n"/>
      <c r="AG823" s="39" t="n"/>
      <c r="AH823" s="39" t="n"/>
      <c r="AI823" s="39" t="n"/>
      <c r="AJ823" s="39" t="n"/>
      <c r="AK823" s="39" t="n"/>
      <c r="AL823" s="39" t="n"/>
      <c r="AM823" s="44" t="n"/>
      <c r="AN823" s="44" t="n"/>
      <c r="AO823" s="44" t="n"/>
      <c r="AP823" s="44" t="n"/>
      <c r="AQ823" s="44" t="n"/>
      <c r="AR823" s="44" t="n"/>
      <c r="AS823" s="45" t="n"/>
      <c r="AT823" s="45" t="n"/>
      <c r="AU823" s="45" t="n"/>
    </row>
    <row r="824">
      <c r="B824" s="39" t="n"/>
      <c r="C824" s="39" t="n"/>
      <c r="D824" s="40" t="n"/>
      <c r="E824" s="39" t="n"/>
      <c r="F824" s="39" t="n"/>
      <c r="G824" s="112" t="n"/>
      <c r="H824" s="42" t="n"/>
      <c r="I824" s="42" t="n"/>
      <c r="J824" s="113" t="n"/>
      <c r="K824" s="39" t="n"/>
      <c r="L824" s="39" t="n"/>
      <c r="M824" s="39" t="n"/>
      <c r="N824" s="39" t="n"/>
      <c r="O824" s="39" t="n"/>
      <c r="P824" s="39" t="n"/>
      <c r="Q824" s="39" t="n"/>
      <c r="R824" s="39" t="n"/>
      <c r="S824" s="39" t="n"/>
      <c r="T824" s="39" t="n"/>
      <c r="U824" s="39" t="n"/>
      <c r="V824" s="39" t="n"/>
      <c r="W824" s="39" t="n"/>
      <c r="X824" s="39" t="n"/>
      <c r="Y824" s="39" t="n"/>
      <c r="Z824" s="39" t="n"/>
      <c r="AA824" s="39" t="n"/>
      <c r="AB824" s="39" t="n"/>
      <c r="AC824" s="39" t="n"/>
      <c r="AD824" s="39" t="n"/>
      <c r="AE824" s="39" t="n"/>
      <c r="AF824" s="39" t="n"/>
      <c r="AG824" s="39" t="n"/>
      <c r="AH824" s="39" t="n"/>
      <c r="AI824" s="39" t="n"/>
      <c r="AJ824" s="39" t="n"/>
      <c r="AK824" s="39" t="n"/>
      <c r="AL824" s="39" t="n"/>
      <c r="AM824" s="44" t="n"/>
      <c r="AN824" s="44" t="n"/>
      <c r="AO824" s="44" t="n"/>
      <c r="AP824" s="44" t="n"/>
      <c r="AQ824" s="44" t="n"/>
      <c r="AR824" s="44" t="n"/>
      <c r="AS824" s="45" t="n"/>
      <c r="AT824" s="45" t="n"/>
      <c r="AU824" s="45" t="n"/>
    </row>
    <row r="825">
      <c r="B825" s="39" t="n"/>
      <c r="C825" s="39" t="n"/>
      <c r="D825" s="40" t="n"/>
      <c r="E825" s="39" t="n"/>
      <c r="F825" s="39" t="n"/>
      <c r="G825" s="112" t="n"/>
      <c r="H825" s="42" t="n"/>
      <c r="I825" s="42" t="n"/>
      <c r="J825" s="113" t="n"/>
      <c r="K825" s="39" t="n"/>
      <c r="L825" s="39" t="n"/>
      <c r="M825" s="39" t="n"/>
      <c r="N825" s="39" t="n"/>
      <c r="O825" s="39" t="n"/>
      <c r="P825" s="39" t="n"/>
      <c r="Q825" s="39" t="n"/>
      <c r="R825" s="39" t="n"/>
      <c r="S825" s="39" t="n"/>
      <c r="T825" s="39" t="n"/>
      <c r="U825" s="39" t="n"/>
      <c r="V825" s="39" t="n"/>
      <c r="W825" s="39" t="n"/>
      <c r="X825" s="39" t="n"/>
      <c r="Y825" s="39" t="n"/>
      <c r="Z825" s="39" t="n"/>
      <c r="AA825" s="39" t="n"/>
      <c r="AB825" s="39" t="n"/>
      <c r="AC825" s="39" t="n"/>
      <c r="AD825" s="39" t="n"/>
      <c r="AE825" s="39" t="n"/>
      <c r="AF825" s="39" t="n"/>
      <c r="AG825" s="39" t="n"/>
      <c r="AH825" s="39" t="n"/>
      <c r="AI825" s="39" t="n"/>
      <c r="AJ825" s="39" t="n"/>
      <c r="AK825" s="39" t="n"/>
      <c r="AL825" s="39" t="n"/>
      <c r="AM825" s="44" t="n"/>
      <c r="AN825" s="44" t="n"/>
      <c r="AO825" s="44" t="n"/>
      <c r="AP825" s="44" t="n"/>
      <c r="AQ825" s="44" t="n"/>
      <c r="AR825" s="44" t="n"/>
      <c r="AS825" s="45" t="n"/>
      <c r="AT825" s="45" t="n"/>
      <c r="AU825" s="45" t="n"/>
    </row>
    <row r="826">
      <c r="B826" s="39" t="n"/>
      <c r="C826" s="39" t="n"/>
      <c r="D826" s="40" t="n"/>
      <c r="E826" s="39" t="n"/>
      <c r="F826" s="39" t="n"/>
      <c r="G826" s="112" t="n"/>
      <c r="H826" s="42" t="n"/>
      <c r="I826" s="42" t="n"/>
      <c r="J826" s="113" t="n"/>
      <c r="K826" s="39" t="n"/>
      <c r="L826" s="39" t="n"/>
      <c r="M826" s="39" t="n"/>
      <c r="N826" s="39" t="n"/>
      <c r="O826" s="39" t="n"/>
      <c r="P826" s="39" t="n"/>
      <c r="Q826" s="39" t="n"/>
      <c r="R826" s="39" t="n"/>
      <c r="S826" s="39" t="n"/>
      <c r="T826" s="39" t="n"/>
      <c r="U826" s="39" t="n"/>
      <c r="V826" s="39" t="n"/>
      <c r="W826" s="39" t="n"/>
      <c r="X826" s="39" t="n"/>
      <c r="Y826" s="39" t="n"/>
      <c r="Z826" s="39" t="n"/>
      <c r="AA826" s="39" t="n"/>
      <c r="AB826" s="39" t="n"/>
      <c r="AC826" s="39" t="n"/>
      <c r="AD826" s="39" t="n"/>
      <c r="AE826" s="39" t="n"/>
      <c r="AF826" s="39" t="n"/>
      <c r="AG826" s="39" t="n"/>
      <c r="AH826" s="39" t="n"/>
      <c r="AI826" s="39" t="n"/>
      <c r="AJ826" s="39" t="n"/>
      <c r="AK826" s="39" t="n"/>
      <c r="AL826" s="39" t="n"/>
      <c r="AM826" s="44" t="n"/>
      <c r="AN826" s="44" t="n"/>
      <c r="AO826" s="44" t="n"/>
      <c r="AP826" s="44" t="n"/>
      <c r="AQ826" s="44" t="n"/>
      <c r="AR826" s="44" t="n"/>
      <c r="AS826" s="45" t="n"/>
      <c r="AT826" s="45" t="n"/>
      <c r="AU826" s="45" t="n"/>
    </row>
    <row r="827">
      <c r="B827" s="39" t="n"/>
      <c r="C827" s="39" t="n"/>
      <c r="D827" s="40" t="n"/>
      <c r="E827" s="39" t="n"/>
      <c r="F827" s="39" t="n"/>
      <c r="G827" s="112" t="n"/>
      <c r="H827" s="42" t="n"/>
      <c r="I827" s="42" t="n"/>
      <c r="J827" s="113" t="n"/>
      <c r="K827" s="39" t="n"/>
      <c r="L827" s="39" t="n"/>
      <c r="M827" s="39" t="n"/>
      <c r="N827" s="39" t="n"/>
      <c r="O827" s="39" t="n"/>
      <c r="P827" s="39" t="n"/>
      <c r="Q827" s="39" t="n"/>
      <c r="R827" s="39" t="n"/>
      <c r="S827" s="39" t="n"/>
      <c r="T827" s="39" t="n"/>
      <c r="U827" s="39" t="n"/>
      <c r="V827" s="39" t="n"/>
      <c r="W827" s="39" t="n"/>
      <c r="X827" s="39" t="n"/>
      <c r="Y827" s="39" t="n"/>
      <c r="Z827" s="39" t="n"/>
      <c r="AA827" s="39" t="n"/>
      <c r="AB827" s="39" t="n"/>
      <c r="AC827" s="39" t="n"/>
      <c r="AD827" s="39" t="n"/>
      <c r="AE827" s="39" t="n"/>
      <c r="AF827" s="39" t="n"/>
      <c r="AG827" s="39" t="n"/>
      <c r="AH827" s="39" t="n"/>
      <c r="AI827" s="39" t="n"/>
      <c r="AJ827" s="39" t="n"/>
      <c r="AK827" s="39" t="n"/>
      <c r="AL827" s="39" t="n"/>
      <c r="AM827" s="44" t="n"/>
      <c r="AN827" s="44" t="n"/>
      <c r="AO827" s="44" t="n"/>
      <c r="AP827" s="44" t="n"/>
      <c r="AQ827" s="44" t="n"/>
      <c r="AR827" s="44" t="n"/>
      <c r="AS827" s="45" t="n"/>
      <c r="AT827" s="45" t="n"/>
      <c r="AU827" s="45" t="n"/>
    </row>
    <row r="828">
      <c r="B828" s="39" t="n"/>
      <c r="C828" s="39" t="n"/>
      <c r="D828" s="40" t="n"/>
      <c r="E828" s="39" t="n"/>
      <c r="F828" s="39" t="n"/>
      <c r="G828" s="112" t="n"/>
      <c r="H828" s="42" t="n"/>
      <c r="I828" s="42" t="n"/>
      <c r="J828" s="113" t="n"/>
      <c r="K828" s="39" t="n"/>
      <c r="L828" s="39" t="n"/>
      <c r="M828" s="39" t="n"/>
      <c r="N828" s="39" t="n"/>
      <c r="O828" s="39" t="n"/>
      <c r="P828" s="39" t="n"/>
      <c r="Q828" s="39" t="n"/>
      <c r="R828" s="39" t="n"/>
      <c r="S828" s="39" t="n"/>
      <c r="T828" s="39" t="n"/>
      <c r="U828" s="39" t="n"/>
      <c r="V828" s="39" t="n"/>
      <c r="W828" s="39" t="n"/>
      <c r="X828" s="39" t="n"/>
      <c r="Y828" s="39" t="n"/>
      <c r="Z828" s="39" t="n"/>
      <c r="AA828" s="39" t="n"/>
      <c r="AB828" s="39" t="n"/>
      <c r="AC828" s="39" t="n"/>
      <c r="AD828" s="39" t="n"/>
      <c r="AE828" s="39" t="n"/>
      <c r="AF828" s="39" t="n"/>
      <c r="AG828" s="39" t="n"/>
      <c r="AH828" s="39" t="n"/>
      <c r="AI828" s="39" t="n"/>
      <c r="AJ828" s="39" t="n"/>
      <c r="AK828" s="39" t="n"/>
      <c r="AL828" s="39" t="n"/>
      <c r="AM828" s="44" t="n"/>
      <c r="AN828" s="44" t="n"/>
      <c r="AO828" s="44" t="n"/>
      <c r="AP828" s="44" t="n"/>
      <c r="AQ828" s="44" t="n"/>
      <c r="AR828" s="44" t="n"/>
      <c r="AS828" s="45" t="n"/>
      <c r="AT828" s="45" t="n"/>
      <c r="AU828" s="45" t="n"/>
    </row>
    <row r="829">
      <c r="B829" s="39" t="n"/>
      <c r="C829" s="39" t="n"/>
      <c r="D829" s="40" t="n"/>
      <c r="E829" s="39" t="n"/>
      <c r="F829" s="39" t="n"/>
      <c r="G829" s="112" t="n"/>
      <c r="H829" s="42" t="n"/>
      <c r="I829" s="42" t="n"/>
      <c r="J829" s="113" t="n"/>
      <c r="K829" s="39" t="n"/>
      <c r="L829" s="39" t="n"/>
      <c r="M829" s="39" t="n"/>
      <c r="N829" s="39" t="n"/>
      <c r="O829" s="39" t="n"/>
      <c r="P829" s="39" t="n"/>
      <c r="Q829" s="39" t="n"/>
      <c r="R829" s="39" t="n"/>
      <c r="S829" s="39" t="n"/>
      <c r="T829" s="39" t="n"/>
      <c r="U829" s="39" t="n"/>
      <c r="V829" s="39" t="n"/>
      <c r="W829" s="39" t="n"/>
      <c r="X829" s="39" t="n"/>
      <c r="Y829" s="39" t="n"/>
      <c r="Z829" s="39" t="n"/>
      <c r="AA829" s="39" t="n"/>
      <c r="AB829" s="39" t="n"/>
      <c r="AC829" s="39" t="n"/>
      <c r="AD829" s="39" t="n"/>
      <c r="AE829" s="39" t="n"/>
      <c r="AF829" s="39" t="n"/>
      <c r="AG829" s="39" t="n"/>
      <c r="AH829" s="39" t="n"/>
      <c r="AI829" s="39" t="n"/>
      <c r="AJ829" s="39" t="n"/>
      <c r="AK829" s="39" t="n"/>
      <c r="AL829" s="39" t="n"/>
      <c r="AM829" s="44" t="n"/>
      <c r="AN829" s="44" t="n"/>
      <c r="AO829" s="44" t="n"/>
      <c r="AP829" s="44" t="n"/>
      <c r="AQ829" s="44" t="n"/>
      <c r="AR829" s="44" t="n"/>
      <c r="AS829" s="45" t="n"/>
      <c r="AT829" s="45" t="n"/>
      <c r="AU829" s="45" t="n"/>
    </row>
    <row r="830">
      <c r="B830" s="39" t="n"/>
      <c r="C830" s="39" t="n"/>
      <c r="D830" s="40" t="n"/>
      <c r="E830" s="39" t="n"/>
      <c r="F830" s="39" t="n"/>
      <c r="G830" s="112" t="n"/>
      <c r="H830" s="42" t="n"/>
      <c r="I830" s="42" t="n"/>
      <c r="J830" s="113" t="n"/>
      <c r="K830" s="39" t="n"/>
      <c r="L830" s="39" t="n"/>
      <c r="M830" s="39" t="n"/>
      <c r="N830" s="39" t="n"/>
      <c r="O830" s="39" t="n"/>
      <c r="P830" s="39" t="n"/>
      <c r="Q830" s="39" t="n"/>
      <c r="R830" s="39" t="n"/>
      <c r="S830" s="39" t="n"/>
      <c r="T830" s="39" t="n"/>
      <c r="U830" s="39" t="n"/>
      <c r="V830" s="39" t="n"/>
      <c r="W830" s="39" t="n"/>
      <c r="X830" s="39" t="n"/>
      <c r="Y830" s="39" t="n"/>
      <c r="Z830" s="39" t="n"/>
      <c r="AA830" s="39" t="n"/>
      <c r="AB830" s="39" t="n"/>
      <c r="AC830" s="39" t="n"/>
      <c r="AD830" s="39" t="n"/>
      <c r="AE830" s="39" t="n"/>
      <c r="AF830" s="39" t="n"/>
      <c r="AG830" s="39" t="n"/>
      <c r="AH830" s="39" t="n"/>
      <c r="AI830" s="39" t="n"/>
      <c r="AJ830" s="39" t="n"/>
      <c r="AK830" s="39" t="n"/>
      <c r="AL830" s="39" t="n"/>
      <c r="AM830" s="44" t="n"/>
      <c r="AN830" s="44" t="n"/>
      <c r="AO830" s="44" t="n"/>
      <c r="AP830" s="44" t="n"/>
      <c r="AQ830" s="44" t="n"/>
      <c r="AR830" s="44" t="n"/>
      <c r="AS830" s="45" t="n"/>
      <c r="AT830" s="45" t="n"/>
      <c r="AU830" s="45" t="n"/>
    </row>
    <row r="831">
      <c r="B831" s="39" t="n"/>
      <c r="C831" s="39" t="n"/>
      <c r="D831" s="40" t="n"/>
      <c r="E831" s="39" t="n"/>
      <c r="F831" s="39" t="n"/>
      <c r="G831" s="112" t="n"/>
      <c r="H831" s="42" t="n"/>
      <c r="I831" s="42" t="n"/>
      <c r="J831" s="113" t="n"/>
      <c r="K831" s="39" t="n"/>
      <c r="L831" s="39" t="n"/>
      <c r="M831" s="39" t="n"/>
      <c r="N831" s="39" t="n"/>
      <c r="O831" s="39" t="n"/>
      <c r="P831" s="39" t="n"/>
      <c r="Q831" s="39" t="n"/>
      <c r="R831" s="39" t="n"/>
      <c r="S831" s="39" t="n"/>
      <c r="T831" s="39" t="n"/>
      <c r="U831" s="39" t="n"/>
      <c r="V831" s="39" t="n"/>
      <c r="W831" s="39" t="n"/>
      <c r="X831" s="39" t="n"/>
      <c r="Y831" s="39" t="n"/>
      <c r="Z831" s="39" t="n"/>
      <c r="AA831" s="39" t="n"/>
      <c r="AB831" s="39" t="n"/>
      <c r="AC831" s="39" t="n"/>
      <c r="AD831" s="39" t="n"/>
      <c r="AE831" s="39" t="n"/>
      <c r="AF831" s="39" t="n"/>
      <c r="AG831" s="39" t="n"/>
      <c r="AH831" s="39" t="n"/>
      <c r="AI831" s="39" t="n"/>
      <c r="AJ831" s="39" t="n"/>
      <c r="AK831" s="39" t="n"/>
      <c r="AL831" s="39" t="n"/>
      <c r="AM831" s="44" t="n"/>
      <c r="AN831" s="44" t="n"/>
      <c r="AO831" s="44" t="n"/>
      <c r="AP831" s="44" t="n"/>
      <c r="AQ831" s="44" t="n"/>
      <c r="AR831" s="44" t="n"/>
      <c r="AS831" s="45" t="n"/>
      <c r="AT831" s="45" t="n"/>
      <c r="AU831" s="45" t="n"/>
    </row>
    <row r="832">
      <c r="B832" s="39" t="n"/>
      <c r="C832" s="39" t="n"/>
      <c r="D832" s="40" t="n"/>
      <c r="E832" s="39" t="n"/>
      <c r="F832" s="39" t="n"/>
      <c r="G832" s="112" t="n"/>
      <c r="H832" s="42" t="n"/>
      <c r="I832" s="42" t="n"/>
      <c r="J832" s="113" t="n"/>
      <c r="K832" s="39" t="n"/>
      <c r="L832" s="39" t="n"/>
      <c r="M832" s="39" t="n"/>
      <c r="N832" s="39" t="n"/>
      <c r="O832" s="39" t="n"/>
      <c r="P832" s="39" t="n"/>
      <c r="Q832" s="39" t="n"/>
      <c r="R832" s="39" t="n"/>
      <c r="S832" s="39" t="n"/>
      <c r="T832" s="39" t="n"/>
      <c r="U832" s="39" t="n"/>
      <c r="V832" s="39" t="n"/>
      <c r="W832" s="39" t="n"/>
      <c r="X832" s="39" t="n"/>
      <c r="Y832" s="39" t="n"/>
      <c r="Z832" s="39" t="n"/>
      <c r="AA832" s="39" t="n"/>
      <c r="AB832" s="39" t="n"/>
      <c r="AC832" s="39" t="n"/>
      <c r="AD832" s="39" t="n"/>
      <c r="AE832" s="39" t="n"/>
      <c r="AF832" s="39" t="n"/>
      <c r="AG832" s="39" t="n"/>
      <c r="AH832" s="39" t="n"/>
      <c r="AI832" s="39" t="n"/>
      <c r="AJ832" s="39" t="n"/>
      <c r="AK832" s="39" t="n"/>
      <c r="AL832" s="39" t="n"/>
      <c r="AM832" s="44" t="n"/>
      <c r="AN832" s="44" t="n"/>
      <c r="AO832" s="44" t="n"/>
      <c r="AP832" s="44" t="n"/>
      <c r="AQ832" s="44" t="n"/>
      <c r="AR832" s="44" t="n"/>
      <c r="AS832" s="45" t="n"/>
      <c r="AT832" s="45" t="n"/>
      <c r="AU832" s="45" t="n"/>
    </row>
    <row r="833">
      <c r="B833" s="39" t="n"/>
      <c r="C833" s="39" t="n"/>
      <c r="D833" s="40" t="n"/>
      <c r="E833" s="39" t="n"/>
      <c r="F833" s="39" t="n"/>
      <c r="G833" s="112" t="n"/>
      <c r="H833" s="42" t="n"/>
      <c r="I833" s="42" t="n"/>
      <c r="J833" s="113" t="n"/>
      <c r="K833" s="39" t="n"/>
      <c r="L833" s="39" t="n"/>
      <c r="M833" s="39" t="n"/>
      <c r="N833" s="39" t="n"/>
      <c r="O833" s="39" t="n"/>
      <c r="P833" s="39" t="n"/>
      <c r="Q833" s="39" t="n"/>
      <c r="R833" s="39" t="n"/>
      <c r="S833" s="39" t="n"/>
      <c r="T833" s="39" t="n"/>
      <c r="U833" s="39" t="n"/>
      <c r="V833" s="39" t="n"/>
      <c r="W833" s="39" t="n"/>
      <c r="X833" s="39" t="n"/>
      <c r="Y833" s="39" t="n"/>
      <c r="Z833" s="39" t="n"/>
      <c r="AA833" s="39" t="n"/>
      <c r="AB833" s="39" t="n"/>
      <c r="AC833" s="39" t="n"/>
      <c r="AD833" s="39" t="n"/>
      <c r="AE833" s="39" t="n"/>
      <c r="AF833" s="39" t="n"/>
      <c r="AG833" s="39" t="n"/>
      <c r="AH833" s="39" t="n"/>
      <c r="AI833" s="39" t="n"/>
      <c r="AJ833" s="39" t="n"/>
      <c r="AK833" s="39" t="n"/>
      <c r="AL833" s="39" t="n"/>
      <c r="AM833" s="44" t="n"/>
      <c r="AN833" s="44" t="n"/>
      <c r="AO833" s="44" t="n"/>
      <c r="AP833" s="44" t="n"/>
      <c r="AQ833" s="44" t="n"/>
      <c r="AR833" s="44" t="n"/>
      <c r="AS833" s="45" t="n"/>
      <c r="AT833" s="45" t="n"/>
      <c r="AU833" s="45" t="n"/>
    </row>
    <row r="834">
      <c r="B834" s="39" t="n"/>
      <c r="C834" s="39" t="n"/>
      <c r="D834" s="40" t="n"/>
      <c r="E834" s="39" t="n"/>
      <c r="F834" s="39" t="n"/>
      <c r="G834" s="112" t="n"/>
      <c r="H834" s="42" t="n"/>
      <c r="I834" s="42" t="n"/>
      <c r="J834" s="113" t="n"/>
      <c r="K834" s="39" t="n"/>
      <c r="L834" s="39" t="n"/>
      <c r="M834" s="39" t="n"/>
      <c r="N834" s="39" t="n"/>
      <c r="O834" s="39" t="n"/>
      <c r="P834" s="39" t="n"/>
      <c r="Q834" s="39" t="n"/>
      <c r="R834" s="39" t="n"/>
      <c r="S834" s="39" t="n"/>
      <c r="T834" s="39" t="n"/>
      <c r="U834" s="39" t="n"/>
      <c r="V834" s="39" t="n"/>
      <c r="W834" s="39" t="n"/>
      <c r="X834" s="39" t="n"/>
      <c r="Y834" s="39" t="n"/>
      <c r="Z834" s="39" t="n"/>
      <c r="AA834" s="39" t="n"/>
      <c r="AB834" s="39" t="n"/>
      <c r="AC834" s="39" t="n"/>
      <c r="AD834" s="39" t="n"/>
      <c r="AE834" s="39" t="n"/>
      <c r="AF834" s="39" t="n"/>
      <c r="AG834" s="39" t="n"/>
      <c r="AH834" s="39" t="n"/>
      <c r="AI834" s="39" t="n"/>
      <c r="AJ834" s="39" t="n"/>
      <c r="AK834" s="39" t="n"/>
      <c r="AL834" s="39" t="n"/>
      <c r="AM834" s="44" t="n"/>
      <c r="AN834" s="44" t="n"/>
      <c r="AO834" s="44" t="n"/>
      <c r="AP834" s="44" t="n"/>
      <c r="AQ834" s="44" t="n"/>
      <c r="AR834" s="44" t="n"/>
      <c r="AS834" s="45" t="n"/>
      <c r="AT834" s="45" t="n"/>
      <c r="AU834" s="45" t="n"/>
    </row>
    <row r="835">
      <c r="B835" s="39" t="n"/>
      <c r="C835" s="39" t="n"/>
      <c r="D835" s="40" t="n"/>
      <c r="E835" s="39" t="n"/>
      <c r="F835" s="39" t="n"/>
      <c r="G835" s="112" t="n"/>
      <c r="H835" s="42" t="n"/>
      <c r="I835" s="42" t="n"/>
      <c r="J835" s="113" t="n"/>
      <c r="K835" s="39" t="n"/>
      <c r="L835" s="39" t="n"/>
      <c r="M835" s="39" t="n"/>
      <c r="N835" s="39" t="n"/>
      <c r="O835" s="39" t="n"/>
      <c r="P835" s="39" t="n"/>
      <c r="Q835" s="39" t="n"/>
      <c r="R835" s="39" t="n"/>
      <c r="S835" s="39" t="n"/>
      <c r="T835" s="39" t="n"/>
      <c r="U835" s="39" t="n"/>
      <c r="V835" s="39" t="n"/>
      <c r="W835" s="39" t="n"/>
      <c r="X835" s="39" t="n"/>
      <c r="Y835" s="39" t="n"/>
      <c r="Z835" s="39" t="n"/>
      <c r="AA835" s="39" t="n"/>
      <c r="AB835" s="39" t="n"/>
      <c r="AC835" s="39" t="n"/>
      <c r="AD835" s="39" t="n"/>
      <c r="AE835" s="39" t="n"/>
      <c r="AF835" s="39" t="n"/>
      <c r="AG835" s="39" t="n"/>
      <c r="AH835" s="39" t="n"/>
      <c r="AI835" s="39" t="n"/>
      <c r="AJ835" s="39" t="n"/>
      <c r="AK835" s="39" t="n"/>
      <c r="AL835" s="39" t="n"/>
      <c r="AM835" s="44" t="n"/>
      <c r="AN835" s="44" t="n"/>
      <c r="AO835" s="44" t="n"/>
      <c r="AP835" s="44" t="n"/>
      <c r="AQ835" s="44" t="n"/>
      <c r="AR835" s="44" t="n"/>
      <c r="AS835" s="45" t="n"/>
      <c r="AT835" s="45" t="n"/>
      <c r="AU835" s="45" t="n"/>
    </row>
    <row r="836">
      <c r="B836" s="39" t="n"/>
      <c r="C836" s="39" t="n"/>
      <c r="D836" s="40" t="n"/>
      <c r="E836" s="39" t="n"/>
      <c r="F836" s="39" t="n"/>
      <c r="G836" s="112" t="n"/>
      <c r="H836" s="42" t="n"/>
      <c r="I836" s="42" t="n"/>
      <c r="J836" s="113" t="n"/>
      <c r="K836" s="39" t="n"/>
      <c r="L836" s="39" t="n"/>
      <c r="M836" s="39" t="n"/>
      <c r="N836" s="39" t="n"/>
      <c r="O836" s="39" t="n"/>
      <c r="P836" s="39" t="n"/>
      <c r="Q836" s="39" t="n"/>
      <c r="R836" s="39" t="n"/>
      <c r="S836" s="39" t="n"/>
      <c r="T836" s="39" t="n"/>
      <c r="U836" s="39" t="n"/>
      <c r="V836" s="39" t="n"/>
      <c r="W836" s="39" t="n"/>
      <c r="X836" s="39" t="n"/>
      <c r="Y836" s="39" t="n"/>
      <c r="Z836" s="39" t="n"/>
      <c r="AA836" s="39" t="n"/>
      <c r="AB836" s="39" t="n"/>
      <c r="AC836" s="39" t="n"/>
      <c r="AD836" s="39" t="n"/>
      <c r="AE836" s="39" t="n"/>
      <c r="AF836" s="39" t="n"/>
      <c r="AG836" s="39" t="n"/>
      <c r="AH836" s="39" t="n"/>
      <c r="AI836" s="39" t="n"/>
      <c r="AJ836" s="39" t="n"/>
      <c r="AK836" s="39" t="n"/>
      <c r="AL836" s="39" t="n"/>
      <c r="AM836" s="44" t="n"/>
      <c r="AN836" s="44" t="n"/>
      <c r="AO836" s="44" t="n"/>
      <c r="AP836" s="44" t="n"/>
      <c r="AQ836" s="44" t="n"/>
      <c r="AR836" s="44" t="n"/>
      <c r="AS836" s="45" t="n"/>
      <c r="AT836" s="45" t="n"/>
      <c r="AU836" s="45" t="n"/>
    </row>
    <row r="837">
      <c r="B837" s="39" t="n"/>
      <c r="C837" s="39" t="n"/>
      <c r="D837" s="40" t="n"/>
      <c r="E837" s="39" t="n"/>
      <c r="F837" s="39" t="n"/>
      <c r="G837" s="112" t="n"/>
      <c r="H837" s="42" t="n"/>
      <c r="I837" s="42" t="n"/>
      <c r="J837" s="113" t="n"/>
      <c r="K837" s="39" t="n"/>
      <c r="L837" s="39" t="n"/>
      <c r="M837" s="39" t="n"/>
      <c r="N837" s="39" t="n"/>
      <c r="O837" s="39" t="n"/>
      <c r="P837" s="39" t="n"/>
      <c r="Q837" s="39" t="n"/>
      <c r="R837" s="39" t="n"/>
      <c r="S837" s="39" t="n"/>
      <c r="T837" s="39" t="n"/>
      <c r="U837" s="39" t="n"/>
      <c r="V837" s="39" t="n"/>
      <c r="W837" s="39" t="n"/>
      <c r="X837" s="39" t="n"/>
      <c r="Y837" s="39" t="n"/>
      <c r="Z837" s="39" t="n"/>
      <c r="AA837" s="39" t="n"/>
      <c r="AB837" s="39" t="n"/>
      <c r="AC837" s="39" t="n"/>
      <c r="AD837" s="39" t="n"/>
      <c r="AE837" s="39" t="n"/>
      <c r="AF837" s="39" t="n"/>
      <c r="AG837" s="39" t="n"/>
      <c r="AH837" s="39" t="n"/>
      <c r="AI837" s="39" t="n"/>
      <c r="AJ837" s="39" t="n"/>
      <c r="AK837" s="39" t="n"/>
      <c r="AL837" s="39" t="n"/>
      <c r="AM837" s="44" t="n"/>
      <c r="AN837" s="44" t="n"/>
      <c r="AO837" s="44" t="n"/>
      <c r="AP837" s="44" t="n"/>
      <c r="AQ837" s="44" t="n"/>
      <c r="AR837" s="44" t="n"/>
      <c r="AS837" s="45" t="n"/>
      <c r="AT837" s="45" t="n"/>
      <c r="AU837" s="45" t="n"/>
    </row>
    <row r="838">
      <c r="B838" s="39" t="n"/>
      <c r="C838" s="39" t="n"/>
      <c r="D838" s="40" t="n"/>
      <c r="E838" s="39" t="n"/>
      <c r="F838" s="39" t="n"/>
      <c r="G838" s="112" t="n"/>
      <c r="H838" s="42" t="n"/>
      <c r="I838" s="42" t="n"/>
      <c r="J838" s="113" t="n"/>
      <c r="K838" s="39" t="n"/>
      <c r="L838" s="39" t="n"/>
      <c r="M838" s="39" t="n"/>
      <c r="N838" s="39" t="n"/>
      <c r="O838" s="39" t="n"/>
      <c r="P838" s="39" t="n"/>
      <c r="Q838" s="39" t="n"/>
      <c r="R838" s="39" t="n"/>
      <c r="S838" s="39" t="n"/>
      <c r="T838" s="39" t="n"/>
      <c r="U838" s="39" t="n"/>
      <c r="V838" s="39" t="n"/>
      <c r="W838" s="39" t="n"/>
      <c r="X838" s="39" t="n"/>
      <c r="Y838" s="39" t="n"/>
      <c r="Z838" s="39" t="n"/>
      <c r="AA838" s="39" t="n"/>
      <c r="AB838" s="39" t="n"/>
      <c r="AC838" s="39" t="n"/>
      <c r="AD838" s="39" t="n"/>
      <c r="AE838" s="39" t="n"/>
      <c r="AF838" s="39" t="n"/>
      <c r="AG838" s="39" t="n"/>
      <c r="AH838" s="39" t="n"/>
      <c r="AI838" s="39" t="n"/>
      <c r="AJ838" s="39" t="n"/>
      <c r="AK838" s="39" t="n"/>
      <c r="AL838" s="39" t="n"/>
      <c r="AM838" s="44" t="n"/>
      <c r="AN838" s="44" t="n"/>
      <c r="AO838" s="44" t="n"/>
      <c r="AP838" s="44" t="n"/>
      <c r="AQ838" s="44" t="n"/>
      <c r="AR838" s="44" t="n"/>
      <c r="AS838" s="45" t="n"/>
      <c r="AT838" s="45" t="n"/>
      <c r="AU838" s="45" t="n"/>
    </row>
    <row r="839">
      <c r="B839" s="39" t="n"/>
      <c r="C839" s="39" t="n"/>
      <c r="D839" s="40" t="n"/>
      <c r="E839" s="39" t="n"/>
      <c r="F839" s="39" t="n"/>
      <c r="G839" s="112" t="n"/>
      <c r="H839" s="42" t="n"/>
      <c r="I839" s="42" t="n"/>
      <c r="J839" s="113" t="n"/>
      <c r="K839" s="39" t="n"/>
      <c r="L839" s="39" t="n"/>
      <c r="M839" s="39" t="n"/>
      <c r="N839" s="39" t="n"/>
      <c r="O839" s="39" t="n"/>
      <c r="P839" s="39" t="n"/>
      <c r="Q839" s="39" t="n"/>
      <c r="R839" s="39" t="n"/>
      <c r="S839" s="39" t="n"/>
      <c r="T839" s="39" t="n"/>
      <c r="U839" s="39" t="n"/>
      <c r="V839" s="39" t="n"/>
      <c r="W839" s="39" t="n"/>
      <c r="X839" s="39" t="n"/>
      <c r="Y839" s="39" t="n"/>
      <c r="Z839" s="39" t="n"/>
      <c r="AA839" s="39" t="n"/>
      <c r="AB839" s="39" t="n"/>
      <c r="AC839" s="39" t="n"/>
      <c r="AD839" s="39" t="n"/>
      <c r="AE839" s="39" t="n"/>
      <c r="AF839" s="39" t="n"/>
      <c r="AG839" s="39" t="n"/>
      <c r="AH839" s="39" t="n"/>
      <c r="AI839" s="39" t="n"/>
      <c r="AJ839" s="39" t="n"/>
      <c r="AK839" s="39" t="n"/>
      <c r="AL839" s="39" t="n"/>
      <c r="AM839" s="44" t="n"/>
      <c r="AN839" s="44" t="n"/>
      <c r="AO839" s="44" t="n"/>
      <c r="AP839" s="44" t="n"/>
      <c r="AQ839" s="44" t="n"/>
      <c r="AR839" s="44" t="n"/>
      <c r="AS839" s="45" t="n"/>
      <c r="AT839" s="45" t="n"/>
      <c r="AU839" s="45" t="n"/>
    </row>
    <row r="840">
      <c r="B840" s="39" t="n"/>
      <c r="C840" s="39" t="n"/>
      <c r="D840" s="40" t="n"/>
      <c r="E840" s="39" t="n"/>
      <c r="F840" s="39" t="n"/>
      <c r="G840" s="112" t="n"/>
      <c r="H840" s="42" t="n"/>
      <c r="I840" s="42" t="n"/>
      <c r="J840" s="113" t="n"/>
      <c r="K840" s="39" t="n"/>
      <c r="L840" s="39" t="n"/>
      <c r="M840" s="39" t="n"/>
      <c r="N840" s="39" t="n"/>
      <c r="O840" s="39" t="n"/>
      <c r="P840" s="39" t="n"/>
      <c r="Q840" s="39" t="n"/>
      <c r="R840" s="39" t="n"/>
      <c r="S840" s="39" t="n"/>
      <c r="T840" s="39" t="n"/>
      <c r="U840" s="39" t="n"/>
      <c r="V840" s="39" t="n"/>
      <c r="W840" s="39" t="n"/>
      <c r="X840" s="39" t="n"/>
      <c r="Y840" s="39" t="n"/>
      <c r="Z840" s="39" t="n"/>
      <c r="AA840" s="39" t="n"/>
      <c r="AB840" s="39" t="n"/>
      <c r="AC840" s="39" t="n"/>
      <c r="AD840" s="39" t="n"/>
      <c r="AE840" s="39" t="n"/>
      <c r="AF840" s="39" t="n"/>
      <c r="AG840" s="39" t="n"/>
      <c r="AH840" s="39" t="n"/>
      <c r="AI840" s="39" t="n"/>
      <c r="AJ840" s="39" t="n"/>
      <c r="AK840" s="39" t="n"/>
      <c r="AL840" s="39" t="n"/>
      <c r="AM840" s="44" t="n"/>
      <c r="AN840" s="44" t="n"/>
      <c r="AO840" s="44" t="n"/>
      <c r="AP840" s="44" t="n"/>
      <c r="AQ840" s="44" t="n"/>
      <c r="AR840" s="44" t="n"/>
      <c r="AS840" s="45" t="n"/>
      <c r="AT840" s="45" t="n"/>
      <c r="AU840" s="45" t="n"/>
    </row>
    <row r="841">
      <c r="B841" s="39" t="n"/>
      <c r="C841" s="39" t="n"/>
      <c r="D841" s="40" t="n"/>
      <c r="E841" s="39" t="n"/>
      <c r="F841" s="39" t="n"/>
      <c r="G841" s="112" t="n"/>
      <c r="H841" s="42" t="n"/>
      <c r="I841" s="42" t="n"/>
      <c r="J841" s="113" t="n"/>
      <c r="K841" s="39" t="n"/>
      <c r="L841" s="39" t="n"/>
      <c r="M841" s="39" t="n"/>
      <c r="N841" s="39" t="n"/>
      <c r="O841" s="39" t="n"/>
      <c r="P841" s="39" t="n"/>
      <c r="Q841" s="39" t="n"/>
      <c r="R841" s="39" t="n"/>
      <c r="S841" s="39" t="n"/>
      <c r="T841" s="39" t="n"/>
      <c r="U841" s="39" t="n"/>
      <c r="V841" s="39" t="n"/>
      <c r="W841" s="39" t="n"/>
      <c r="X841" s="39" t="n"/>
      <c r="Y841" s="39" t="n"/>
      <c r="Z841" s="39" t="n"/>
      <c r="AA841" s="39" t="n"/>
      <c r="AB841" s="39" t="n"/>
      <c r="AC841" s="39" t="n"/>
      <c r="AD841" s="39" t="n"/>
      <c r="AE841" s="39" t="n"/>
      <c r="AF841" s="39" t="n"/>
      <c r="AG841" s="39" t="n"/>
      <c r="AH841" s="39" t="n"/>
      <c r="AI841" s="39" t="n"/>
      <c r="AJ841" s="39" t="n"/>
      <c r="AK841" s="39" t="n"/>
      <c r="AL841" s="39" t="n"/>
      <c r="AM841" s="44" t="n"/>
      <c r="AN841" s="44" t="n"/>
      <c r="AO841" s="44" t="n"/>
      <c r="AP841" s="44" t="n"/>
      <c r="AQ841" s="44" t="n"/>
      <c r="AR841" s="44" t="n"/>
      <c r="AS841" s="45" t="n"/>
      <c r="AT841" s="45" t="n"/>
      <c r="AU841" s="45" t="n"/>
    </row>
    <row r="842">
      <c r="B842" s="39" t="n"/>
      <c r="C842" s="39" t="n"/>
      <c r="D842" s="40" t="n"/>
      <c r="E842" s="39" t="n"/>
      <c r="F842" s="39" t="n"/>
      <c r="G842" s="112" t="n"/>
      <c r="H842" s="42" t="n"/>
      <c r="I842" s="42" t="n"/>
      <c r="J842" s="113" t="n"/>
      <c r="K842" s="39" t="n"/>
      <c r="L842" s="39" t="n"/>
      <c r="M842" s="39" t="n"/>
      <c r="N842" s="39" t="n"/>
      <c r="O842" s="39" t="n"/>
      <c r="P842" s="39" t="n"/>
      <c r="Q842" s="39" t="n"/>
      <c r="R842" s="39" t="n"/>
      <c r="S842" s="39" t="n"/>
      <c r="T842" s="39" t="n"/>
      <c r="U842" s="39" t="n"/>
      <c r="V842" s="39" t="n"/>
      <c r="W842" s="39" t="n"/>
      <c r="X842" s="39" t="n"/>
      <c r="Y842" s="39" t="n"/>
      <c r="Z842" s="39" t="n"/>
      <c r="AA842" s="39" t="n"/>
      <c r="AB842" s="39" t="n"/>
      <c r="AC842" s="39" t="n"/>
      <c r="AD842" s="39" t="n"/>
      <c r="AE842" s="39" t="n"/>
      <c r="AF842" s="39" t="n"/>
      <c r="AG842" s="39" t="n"/>
      <c r="AH842" s="39" t="n"/>
      <c r="AI842" s="39" t="n"/>
      <c r="AJ842" s="39" t="n"/>
      <c r="AK842" s="39" t="n"/>
      <c r="AL842" s="39" t="n"/>
      <c r="AM842" s="44" t="n"/>
      <c r="AN842" s="44" t="n"/>
      <c r="AO842" s="44" t="n"/>
      <c r="AP842" s="44" t="n"/>
      <c r="AQ842" s="44" t="n"/>
      <c r="AR842" s="44" t="n"/>
      <c r="AS842" s="45" t="n"/>
      <c r="AT842" s="45" t="n"/>
      <c r="AU842" s="45" t="n"/>
    </row>
    <row r="843">
      <c r="B843" s="39" t="n"/>
      <c r="C843" s="39" t="n"/>
      <c r="D843" s="40" t="n"/>
      <c r="E843" s="39" t="n"/>
      <c r="F843" s="39" t="n"/>
      <c r="G843" s="112" t="n"/>
      <c r="H843" s="42" t="n"/>
      <c r="I843" s="42" t="n"/>
      <c r="J843" s="113" t="n"/>
      <c r="K843" s="39" t="n"/>
      <c r="L843" s="39" t="n"/>
      <c r="M843" s="39" t="n"/>
      <c r="N843" s="39" t="n"/>
      <c r="O843" s="39" t="n"/>
      <c r="P843" s="39" t="n"/>
      <c r="Q843" s="39" t="n"/>
      <c r="R843" s="39" t="n"/>
      <c r="S843" s="39" t="n"/>
      <c r="T843" s="39" t="n"/>
      <c r="U843" s="39" t="n"/>
      <c r="V843" s="39" t="n"/>
      <c r="W843" s="39" t="n"/>
      <c r="X843" s="39" t="n"/>
      <c r="Y843" s="39" t="n"/>
      <c r="Z843" s="39" t="n"/>
      <c r="AA843" s="39" t="n"/>
      <c r="AB843" s="39" t="n"/>
      <c r="AC843" s="39" t="n"/>
      <c r="AD843" s="39" t="n"/>
      <c r="AE843" s="39" t="n"/>
      <c r="AF843" s="39" t="n"/>
      <c r="AG843" s="39" t="n"/>
      <c r="AH843" s="39" t="n"/>
      <c r="AI843" s="39" t="n"/>
      <c r="AJ843" s="39" t="n"/>
      <c r="AK843" s="39" t="n"/>
      <c r="AL843" s="39" t="n"/>
      <c r="AM843" s="44" t="n"/>
      <c r="AN843" s="44" t="n"/>
      <c r="AO843" s="44" t="n"/>
      <c r="AP843" s="44" t="n"/>
      <c r="AQ843" s="44" t="n"/>
      <c r="AR843" s="44" t="n"/>
      <c r="AS843" s="45" t="n"/>
      <c r="AT843" s="45" t="n"/>
      <c r="AU843" s="45" t="n"/>
    </row>
    <row r="844">
      <c r="B844" s="39" t="n"/>
      <c r="C844" s="39" t="n"/>
      <c r="D844" s="40" t="n"/>
      <c r="E844" s="39" t="n"/>
      <c r="F844" s="39" t="n"/>
      <c r="G844" s="112" t="n"/>
      <c r="H844" s="42" t="n"/>
      <c r="I844" s="42" t="n"/>
      <c r="J844" s="113" t="n"/>
      <c r="K844" s="39" t="n"/>
      <c r="L844" s="39" t="n"/>
      <c r="M844" s="39" t="n"/>
      <c r="N844" s="39" t="n"/>
      <c r="O844" s="39" t="n"/>
      <c r="P844" s="39" t="n"/>
      <c r="Q844" s="39" t="n"/>
      <c r="R844" s="39" t="n"/>
      <c r="S844" s="39" t="n"/>
      <c r="T844" s="39" t="n"/>
      <c r="U844" s="39" t="n"/>
      <c r="V844" s="39" t="n"/>
      <c r="W844" s="39" t="n"/>
      <c r="X844" s="39" t="n"/>
      <c r="Y844" s="39" t="n"/>
      <c r="Z844" s="39" t="n"/>
      <c r="AA844" s="39" t="n"/>
      <c r="AB844" s="39" t="n"/>
      <c r="AC844" s="39" t="n"/>
      <c r="AD844" s="39" t="n"/>
      <c r="AE844" s="39" t="n"/>
      <c r="AF844" s="39" t="n"/>
      <c r="AG844" s="39" t="n"/>
      <c r="AH844" s="39" t="n"/>
      <c r="AI844" s="39" t="n"/>
      <c r="AJ844" s="39" t="n"/>
      <c r="AK844" s="39" t="n"/>
      <c r="AL844" s="39" t="n"/>
      <c r="AM844" s="44" t="n"/>
      <c r="AN844" s="44" t="n"/>
      <c r="AO844" s="44" t="n"/>
      <c r="AP844" s="44" t="n"/>
      <c r="AQ844" s="44" t="n"/>
      <c r="AR844" s="44" t="n"/>
      <c r="AS844" s="45" t="n"/>
      <c r="AT844" s="45" t="n"/>
      <c r="AU844" s="45" t="n"/>
    </row>
    <row r="845">
      <c r="B845" s="39" t="n"/>
      <c r="C845" s="39" t="n"/>
      <c r="D845" s="40" t="n"/>
      <c r="E845" s="39" t="n"/>
      <c r="F845" s="39" t="n"/>
      <c r="G845" s="112" t="n"/>
      <c r="H845" s="42" t="n"/>
      <c r="I845" s="42" t="n"/>
      <c r="J845" s="113" t="n"/>
      <c r="K845" s="39" t="n"/>
      <c r="L845" s="39" t="n"/>
      <c r="M845" s="39" t="n"/>
      <c r="N845" s="39" t="n"/>
      <c r="O845" s="39" t="n"/>
      <c r="P845" s="39" t="n"/>
      <c r="Q845" s="39" t="n"/>
      <c r="R845" s="39" t="n"/>
      <c r="S845" s="39" t="n"/>
      <c r="T845" s="39" t="n"/>
      <c r="U845" s="39" t="n"/>
      <c r="V845" s="39" t="n"/>
      <c r="W845" s="39" t="n"/>
      <c r="X845" s="39" t="n"/>
      <c r="Y845" s="39" t="n"/>
      <c r="Z845" s="39" t="n"/>
      <c r="AA845" s="39" t="n"/>
      <c r="AB845" s="39" t="n"/>
      <c r="AC845" s="39" t="n"/>
      <c r="AD845" s="39" t="n"/>
      <c r="AE845" s="39" t="n"/>
      <c r="AF845" s="39" t="n"/>
      <c r="AG845" s="39" t="n"/>
      <c r="AH845" s="39" t="n"/>
      <c r="AI845" s="39" t="n"/>
      <c r="AJ845" s="39" t="n"/>
      <c r="AK845" s="39" t="n"/>
      <c r="AL845" s="39" t="n"/>
      <c r="AM845" s="44" t="n"/>
      <c r="AN845" s="44" t="n"/>
      <c r="AO845" s="44" t="n"/>
      <c r="AP845" s="44" t="n"/>
      <c r="AQ845" s="44" t="n"/>
      <c r="AR845" s="44" t="n"/>
      <c r="AS845" s="45" t="n"/>
      <c r="AT845" s="45" t="n"/>
      <c r="AU845" s="45" t="n"/>
    </row>
    <row r="846">
      <c r="B846" s="39" t="n"/>
      <c r="C846" s="39" t="n"/>
      <c r="D846" s="40" t="n"/>
      <c r="E846" s="39" t="n"/>
      <c r="F846" s="39" t="n"/>
      <c r="G846" s="112" t="n"/>
      <c r="H846" s="42" t="n"/>
      <c r="I846" s="42" t="n"/>
      <c r="J846" s="113" t="n"/>
      <c r="K846" s="39" t="n"/>
      <c r="L846" s="39" t="n"/>
      <c r="M846" s="39" t="n"/>
      <c r="N846" s="39" t="n"/>
      <c r="O846" s="39" t="n"/>
      <c r="P846" s="39" t="n"/>
      <c r="Q846" s="39" t="n"/>
      <c r="R846" s="39" t="n"/>
      <c r="S846" s="39" t="n"/>
      <c r="T846" s="39" t="n"/>
      <c r="U846" s="39" t="n"/>
      <c r="V846" s="39" t="n"/>
      <c r="W846" s="39" t="n"/>
      <c r="X846" s="39" t="n"/>
      <c r="Y846" s="39" t="n"/>
      <c r="Z846" s="39" t="n"/>
      <c r="AA846" s="39" t="n"/>
      <c r="AB846" s="39" t="n"/>
      <c r="AC846" s="39" t="n"/>
      <c r="AD846" s="39" t="n"/>
      <c r="AE846" s="39" t="n"/>
      <c r="AF846" s="39" t="n"/>
      <c r="AG846" s="39" t="n"/>
      <c r="AH846" s="39" t="n"/>
      <c r="AI846" s="39" t="n"/>
      <c r="AJ846" s="39" t="n"/>
      <c r="AK846" s="39" t="n"/>
      <c r="AL846" s="39" t="n"/>
      <c r="AM846" s="44" t="n"/>
      <c r="AN846" s="44" t="n"/>
      <c r="AO846" s="44" t="n"/>
      <c r="AP846" s="44" t="n"/>
      <c r="AQ846" s="44" t="n"/>
      <c r="AR846" s="44" t="n"/>
      <c r="AS846" s="45" t="n"/>
      <c r="AT846" s="45" t="n"/>
      <c r="AU846" s="45" t="n"/>
    </row>
    <row r="847">
      <c r="B847" s="39" t="n"/>
      <c r="C847" s="39" t="n"/>
      <c r="D847" s="40" t="n"/>
      <c r="E847" s="39" t="n"/>
      <c r="F847" s="39" t="n"/>
      <c r="G847" s="112" t="n"/>
      <c r="H847" s="42" t="n"/>
      <c r="I847" s="42" t="n"/>
      <c r="J847" s="113" t="n"/>
      <c r="K847" s="39" t="n"/>
      <c r="L847" s="39" t="n"/>
      <c r="M847" s="39" t="n"/>
      <c r="N847" s="39" t="n"/>
      <c r="O847" s="39" t="n"/>
      <c r="P847" s="39" t="n"/>
      <c r="Q847" s="39" t="n"/>
      <c r="R847" s="39" t="n"/>
      <c r="S847" s="39" t="n"/>
      <c r="T847" s="39" t="n"/>
      <c r="U847" s="39" t="n"/>
      <c r="V847" s="39" t="n"/>
      <c r="W847" s="39" t="n"/>
      <c r="X847" s="39" t="n"/>
      <c r="Y847" s="39" t="n"/>
      <c r="Z847" s="39" t="n"/>
      <c r="AA847" s="39" t="n"/>
      <c r="AB847" s="39" t="n"/>
      <c r="AC847" s="39" t="n"/>
      <c r="AD847" s="39" t="n"/>
      <c r="AE847" s="39" t="n"/>
      <c r="AF847" s="39" t="n"/>
      <c r="AG847" s="39" t="n"/>
      <c r="AH847" s="39" t="n"/>
      <c r="AI847" s="39" t="n"/>
      <c r="AJ847" s="39" t="n"/>
      <c r="AK847" s="39" t="n"/>
      <c r="AL847" s="39" t="n"/>
      <c r="AM847" s="44" t="n"/>
      <c r="AN847" s="44" t="n"/>
      <c r="AO847" s="44" t="n"/>
      <c r="AP847" s="44" t="n"/>
      <c r="AQ847" s="44" t="n"/>
      <c r="AR847" s="44" t="n"/>
      <c r="AS847" s="45" t="n"/>
      <c r="AT847" s="45" t="n"/>
      <c r="AU847" s="45" t="n"/>
    </row>
    <row r="848">
      <c r="B848" s="39" t="n"/>
      <c r="C848" s="39" t="n"/>
      <c r="D848" s="40" t="n"/>
      <c r="E848" s="39" t="n"/>
      <c r="F848" s="39" t="n"/>
      <c r="G848" s="112" t="n"/>
      <c r="H848" s="42" t="n"/>
      <c r="I848" s="42" t="n"/>
      <c r="J848" s="113" t="n"/>
      <c r="K848" s="39" t="n"/>
      <c r="L848" s="39" t="n"/>
      <c r="M848" s="39" t="n"/>
      <c r="N848" s="39" t="n"/>
      <c r="O848" s="39" t="n"/>
      <c r="P848" s="39" t="n"/>
      <c r="Q848" s="39" t="n"/>
      <c r="R848" s="39" t="n"/>
      <c r="S848" s="39" t="n"/>
      <c r="T848" s="39" t="n"/>
      <c r="U848" s="39" t="n"/>
      <c r="V848" s="39" t="n"/>
      <c r="W848" s="39" t="n"/>
      <c r="X848" s="39" t="n"/>
      <c r="Y848" s="39" t="n"/>
      <c r="Z848" s="39" t="n"/>
      <c r="AA848" s="39" t="n"/>
      <c r="AB848" s="39" t="n"/>
      <c r="AC848" s="39" t="n"/>
      <c r="AD848" s="39" t="n"/>
      <c r="AE848" s="39" t="n"/>
      <c r="AF848" s="39" t="n"/>
      <c r="AG848" s="39" t="n"/>
      <c r="AH848" s="39" t="n"/>
      <c r="AI848" s="39" t="n"/>
      <c r="AJ848" s="39" t="n"/>
      <c r="AK848" s="39" t="n"/>
      <c r="AL848" s="39" t="n"/>
      <c r="AM848" s="44" t="n"/>
      <c r="AN848" s="44" t="n"/>
      <c r="AO848" s="44" t="n"/>
      <c r="AP848" s="44" t="n"/>
      <c r="AQ848" s="44" t="n"/>
      <c r="AR848" s="44" t="n"/>
      <c r="AS848" s="45" t="n"/>
      <c r="AT848" s="45" t="n"/>
      <c r="AU848" s="45" t="n"/>
    </row>
    <row r="849">
      <c r="B849" s="39" t="n"/>
      <c r="C849" s="39" t="n"/>
      <c r="D849" s="40" t="n"/>
      <c r="E849" s="39" t="n"/>
      <c r="F849" s="39" t="n"/>
      <c r="G849" s="112" t="n"/>
      <c r="H849" s="42" t="n"/>
      <c r="I849" s="42" t="n"/>
      <c r="J849" s="113" t="n"/>
      <c r="K849" s="39" t="n"/>
      <c r="L849" s="39" t="n"/>
      <c r="M849" s="39" t="n"/>
      <c r="N849" s="39" t="n"/>
      <c r="O849" s="39" t="n"/>
      <c r="P849" s="39" t="n"/>
      <c r="Q849" s="39" t="n"/>
      <c r="R849" s="39" t="n"/>
      <c r="S849" s="39" t="n"/>
      <c r="T849" s="39" t="n"/>
      <c r="U849" s="39" t="n"/>
      <c r="V849" s="39" t="n"/>
      <c r="W849" s="39" t="n"/>
      <c r="X849" s="39" t="n"/>
      <c r="Y849" s="39" t="n"/>
      <c r="Z849" s="39" t="n"/>
      <c r="AA849" s="39" t="n"/>
      <c r="AB849" s="39" t="n"/>
      <c r="AC849" s="39" t="n"/>
      <c r="AD849" s="39" t="n"/>
      <c r="AE849" s="39" t="n"/>
      <c r="AF849" s="39" t="n"/>
      <c r="AG849" s="39" t="n"/>
      <c r="AH849" s="39" t="n"/>
      <c r="AI849" s="39" t="n"/>
      <c r="AJ849" s="39" t="n"/>
      <c r="AK849" s="39" t="n"/>
      <c r="AL849" s="39" t="n"/>
      <c r="AM849" s="44" t="n"/>
      <c r="AN849" s="44" t="n"/>
      <c r="AO849" s="44" t="n"/>
      <c r="AP849" s="44" t="n"/>
      <c r="AQ849" s="44" t="n"/>
      <c r="AR849" s="44" t="n"/>
      <c r="AS849" s="45" t="n"/>
      <c r="AT849" s="45" t="n"/>
      <c r="AU849" s="45" t="n"/>
    </row>
    <row r="850">
      <c r="B850" s="39" t="n"/>
      <c r="C850" s="39" t="n"/>
      <c r="D850" s="40" t="n"/>
      <c r="E850" s="39" t="n"/>
      <c r="F850" s="39" t="n"/>
      <c r="G850" s="112" t="n"/>
      <c r="H850" s="42" t="n"/>
      <c r="I850" s="42" t="n"/>
      <c r="J850" s="113" t="n"/>
      <c r="K850" s="39" t="n"/>
      <c r="L850" s="39" t="n"/>
      <c r="M850" s="39" t="n"/>
      <c r="N850" s="39" t="n"/>
      <c r="O850" s="39" t="n"/>
      <c r="P850" s="39" t="n"/>
      <c r="Q850" s="39" t="n"/>
      <c r="R850" s="39" t="n"/>
      <c r="S850" s="39" t="n"/>
      <c r="T850" s="39" t="n"/>
      <c r="U850" s="39" t="n"/>
      <c r="V850" s="39" t="n"/>
      <c r="W850" s="39" t="n"/>
      <c r="X850" s="39" t="n"/>
      <c r="Y850" s="39" t="n"/>
      <c r="Z850" s="39" t="n"/>
      <c r="AA850" s="39" t="n"/>
      <c r="AB850" s="39" t="n"/>
      <c r="AC850" s="39" t="n"/>
      <c r="AD850" s="39" t="n"/>
      <c r="AE850" s="39" t="n"/>
      <c r="AF850" s="39" t="n"/>
      <c r="AG850" s="39" t="n"/>
      <c r="AH850" s="39" t="n"/>
      <c r="AI850" s="39" t="n"/>
      <c r="AJ850" s="39" t="n"/>
      <c r="AK850" s="39" t="n"/>
      <c r="AL850" s="39" t="n"/>
      <c r="AM850" s="44" t="n"/>
      <c r="AN850" s="44" t="n"/>
      <c r="AO850" s="44" t="n"/>
      <c r="AP850" s="44" t="n"/>
      <c r="AQ850" s="44" t="n"/>
      <c r="AR850" s="44" t="n"/>
      <c r="AS850" s="45" t="n"/>
      <c r="AT850" s="45" t="n"/>
      <c r="AU850" s="45" t="n"/>
    </row>
    <row r="851">
      <c r="B851" s="39" t="n"/>
      <c r="C851" s="39" t="n"/>
      <c r="D851" s="40" t="n"/>
      <c r="E851" s="39" t="n"/>
      <c r="F851" s="39" t="n"/>
      <c r="G851" s="112" t="n"/>
      <c r="H851" s="42" t="n"/>
      <c r="I851" s="42" t="n"/>
      <c r="J851" s="113" t="n"/>
      <c r="K851" s="39" t="n"/>
      <c r="L851" s="39" t="n"/>
      <c r="M851" s="39" t="n"/>
      <c r="N851" s="39" t="n"/>
      <c r="O851" s="39" t="n"/>
      <c r="P851" s="39" t="n"/>
      <c r="Q851" s="39" t="n"/>
      <c r="R851" s="39" t="n"/>
      <c r="S851" s="39" t="n"/>
      <c r="T851" s="39" t="n"/>
      <c r="U851" s="39" t="n"/>
      <c r="V851" s="39" t="n"/>
      <c r="W851" s="39" t="n"/>
      <c r="X851" s="39" t="n"/>
      <c r="Y851" s="39" t="n"/>
      <c r="Z851" s="39" t="n"/>
      <c r="AA851" s="39" t="n"/>
      <c r="AB851" s="39" t="n"/>
      <c r="AC851" s="39" t="n"/>
      <c r="AD851" s="39" t="n"/>
      <c r="AE851" s="39" t="n"/>
      <c r="AF851" s="39" t="n"/>
      <c r="AG851" s="39" t="n"/>
      <c r="AH851" s="39" t="n"/>
      <c r="AI851" s="39" t="n"/>
      <c r="AJ851" s="39" t="n"/>
      <c r="AK851" s="39" t="n"/>
      <c r="AL851" s="39" t="n"/>
      <c r="AM851" s="44" t="n"/>
      <c r="AN851" s="44" t="n"/>
      <c r="AO851" s="44" t="n"/>
      <c r="AP851" s="44" t="n"/>
      <c r="AQ851" s="44" t="n"/>
      <c r="AR851" s="44" t="n"/>
      <c r="AS851" s="45" t="n"/>
      <c r="AT851" s="45" t="n"/>
      <c r="AU851" s="45" t="n"/>
    </row>
    <row r="852">
      <c r="B852" s="39" t="n"/>
      <c r="C852" s="39" t="n"/>
      <c r="D852" s="40" t="n"/>
      <c r="E852" s="39" t="n"/>
      <c r="F852" s="39" t="n"/>
      <c r="G852" s="112" t="n"/>
      <c r="H852" s="42" t="n"/>
      <c r="I852" s="42" t="n"/>
      <c r="J852" s="113" t="n"/>
      <c r="K852" s="39" t="n"/>
      <c r="L852" s="39" t="n"/>
      <c r="M852" s="39" t="n"/>
      <c r="N852" s="39" t="n"/>
      <c r="O852" s="39" t="n"/>
      <c r="P852" s="39" t="n"/>
      <c r="Q852" s="39" t="n"/>
      <c r="R852" s="39" t="n"/>
      <c r="S852" s="39" t="n"/>
      <c r="T852" s="39" t="n"/>
      <c r="U852" s="39" t="n"/>
      <c r="V852" s="39" t="n"/>
      <c r="W852" s="39" t="n"/>
      <c r="X852" s="39" t="n"/>
      <c r="Y852" s="39" t="n"/>
      <c r="Z852" s="39" t="n"/>
      <c r="AA852" s="39" t="n"/>
      <c r="AB852" s="39" t="n"/>
      <c r="AC852" s="39" t="n"/>
      <c r="AD852" s="39" t="n"/>
      <c r="AE852" s="39" t="n"/>
      <c r="AF852" s="39" t="n"/>
      <c r="AG852" s="39" t="n"/>
      <c r="AH852" s="39" t="n"/>
      <c r="AI852" s="39" t="n"/>
      <c r="AJ852" s="39" t="n"/>
      <c r="AK852" s="39" t="n"/>
      <c r="AL852" s="39" t="n"/>
      <c r="AM852" s="44" t="n"/>
      <c r="AN852" s="44" t="n"/>
      <c r="AO852" s="44" t="n"/>
      <c r="AP852" s="44" t="n"/>
      <c r="AQ852" s="44" t="n"/>
      <c r="AR852" s="44" t="n"/>
      <c r="AS852" s="45" t="n"/>
      <c r="AT852" s="45" t="n"/>
      <c r="AU852" s="45" t="n"/>
    </row>
    <row r="853">
      <c r="B853" s="39" t="n"/>
      <c r="C853" s="39" t="n"/>
      <c r="D853" s="40" t="n"/>
      <c r="E853" s="39" t="n"/>
      <c r="F853" s="39" t="n"/>
      <c r="G853" s="112" t="n"/>
      <c r="H853" s="42" t="n"/>
      <c r="I853" s="42" t="n"/>
      <c r="J853" s="113" t="n"/>
      <c r="K853" s="39" t="n"/>
      <c r="L853" s="39" t="n"/>
      <c r="M853" s="39" t="n"/>
      <c r="N853" s="39" t="n"/>
      <c r="O853" s="39" t="n"/>
      <c r="P853" s="39" t="n"/>
      <c r="Q853" s="39" t="n"/>
      <c r="R853" s="39" t="n"/>
      <c r="S853" s="39" t="n"/>
      <c r="T853" s="39" t="n"/>
      <c r="U853" s="39" t="n"/>
      <c r="V853" s="39" t="n"/>
      <c r="W853" s="39" t="n"/>
      <c r="X853" s="39" t="n"/>
      <c r="Y853" s="39" t="n"/>
      <c r="Z853" s="39" t="n"/>
      <c r="AA853" s="39" t="n"/>
      <c r="AB853" s="39" t="n"/>
      <c r="AC853" s="39" t="n"/>
      <c r="AD853" s="39" t="n"/>
      <c r="AE853" s="39" t="n"/>
      <c r="AF853" s="39" t="n"/>
      <c r="AG853" s="39" t="n"/>
      <c r="AH853" s="39" t="n"/>
      <c r="AI853" s="39" t="n"/>
      <c r="AJ853" s="39" t="n"/>
      <c r="AK853" s="39" t="n"/>
      <c r="AL853" s="39" t="n"/>
      <c r="AM853" s="44" t="n"/>
      <c r="AN853" s="44" t="n"/>
      <c r="AO853" s="44" t="n"/>
      <c r="AP853" s="44" t="n"/>
      <c r="AQ853" s="44" t="n"/>
      <c r="AR853" s="44" t="n"/>
      <c r="AS853" s="45" t="n"/>
      <c r="AT853" s="45" t="n"/>
      <c r="AU853" s="45" t="n"/>
    </row>
    <row r="854">
      <c r="B854" s="39" t="n"/>
      <c r="C854" s="39" t="n"/>
      <c r="D854" s="40" t="n"/>
      <c r="E854" s="39" t="n"/>
      <c r="F854" s="39" t="n"/>
      <c r="G854" s="112" t="n"/>
      <c r="H854" s="42" t="n"/>
      <c r="I854" s="42" t="n"/>
      <c r="J854" s="113" t="n"/>
      <c r="K854" s="39" t="n"/>
      <c r="L854" s="39" t="n"/>
      <c r="M854" s="39" t="n"/>
      <c r="N854" s="39" t="n"/>
      <c r="O854" s="39" t="n"/>
      <c r="P854" s="39" t="n"/>
      <c r="Q854" s="39" t="n"/>
      <c r="R854" s="39" t="n"/>
      <c r="S854" s="39" t="n"/>
      <c r="T854" s="39" t="n"/>
      <c r="U854" s="39" t="n"/>
      <c r="V854" s="39" t="n"/>
      <c r="W854" s="39" t="n"/>
      <c r="X854" s="39" t="n"/>
      <c r="Y854" s="39" t="n"/>
      <c r="Z854" s="39" t="n"/>
      <c r="AA854" s="39" t="n"/>
      <c r="AB854" s="39" t="n"/>
      <c r="AC854" s="39" t="n"/>
      <c r="AD854" s="39" t="n"/>
      <c r="AE854" s="39" t="n"/>
      <c r="AF854" s="39" t="n"/>
      <c r="AG854" s="39" t="n"/>
      <c r="AH854" s="39" t="n"/>
      <c r="AI854" s="39" t="n"/>
      <c r="AJ854" s="39" t="n"/>
      <c r="AK854" s="39" t="n"/>
      <c r="AL854" s="39" t="n"/>
      <c r="AM854" s="44" t="n"/>
      <c r="AN854" s="44" t="n"/>
      <c r="AO854" s="44" t="n"/>
      <c r="AP854" s="44" t="n"/>
      <c r="AQ854" s="44" t="n"/>
      <c r="AR854" s="44" t="n"/>
      <c r="AS854" s="45" t="n"/>
      <c r="AT854" s="45" t="n"/>
      <c r="AU854" s="45" t="n"/>
    </row>
    <row r="855">
      <c r="B855" s="39" t="n"/>
      <c r="C855" s="39" t="n"/>
      <c r="D855" s="40" t="n"/>
      <c r="E855" s="39" t="n"/>
      <c r="F855" s="39" t="n"/>
      <c r="G855" s="112" t="n"/>
      <c r="H855" s="42" t="n"/>
      <c r="I855" s="42" t="n"/>
      <c r="J855" s="113" t="n"/>
      <c r="K855" s="39" t="n"/>
      <c r="L855" s="39" t="n"/>
      <c r="M855" s="39" t="n"/>
      <c r="N855" s="39" t="n"/>
      <c r="O855" s="39" t="n"/>
      <c r="P855" s="39" t="n"/>
      <c r="Q855" s="39" t="n"/>
      <c r="R855" s="39" t="n"/>
      <c r="S855" s="39" t="n"/>
      <c r="T855" s="39" t="n"/>
      <c r="U855" s="39" t="n"/>
      <c r="V855" s="39" t="n"/>
      <c r="W855" s="39" t="n"/>
      <c r="X855" s="39" t="n"/>
      <c r="Y855" s="39" t="n"/>
      <c r="Z855" s="39" t="n"/>
      <c r="AA855" s="39" t="n"/>
      <c r="AB855" s="39" t="n"/>
      <c r="AC855" s="39" t="n"/>
      <c r="AD855" s="39" t="n"/>
      <c r="AE855" s="39" t="n"/>
      <c r="AF855" s="39" t="n"/>
      <c r="AG855" s="39" t="n"/>
      <c r="AH855" s="39" t="n"/>
      <c r="AI855" s="39" t="n"/>
      <c r="AJ855" s="39" t="n"/>
      <c r="AK855" s="39" t="n"/>
      <c r="AL855" s="39" t="n"/>
      <c r="AM855" s="44" t="n"/>
      <c r="AN855" s="44" t="n"/>
      <c r="AO855" s="44" t="n"/>
      <c r="AP855" s="44" t="n"/>
      <c r="AQ855" s="44" t="n"/>
      <c r="AR855" s="44" t="n"/>
      <c r="AS855" s="45" t="n"/>
      <c r="AT855" s="45" t="n"/>
      <c r="AU855" s="45" t="n"/>
    </row>
    <row r="856">
      <c r="B856" s="39" t="n"/>
      <c r="C856" s="39" t="n"/>
      <c r="D856" s="40" t="n"/>
      <c r="E856" s="39" t="n"/>
      <c r="F856" s="39" t="n"/>
      <c r="G856" s="112" t="n"/>
      <c r="H856" s="42" t="n"/>
      <c r="I856" s="42" t="n"/>
      <c r="J856" s="113" t="n"/>
      <c r="K856" s="39" t="n"/>
      <c r="L856" s="39" t="n"/>
      <c r="M856" s="39" t="n"/>
      <c r="N856" s="39" t="n"/>
      <c r="O856" s="39" t="n"/>
      <c r="P856" s="39" t="n"/>
      <c r="Q856" s="39" t="n"/>
      <c r="R856" s="39" t="n"/>
      <c r="S856" s="39" t="n"/>
      <c r="T856" s="39" t="n"/>
      <c r="U856" s="39" t="n"/>
      <c r="V856" s="39" t="n"/>
      <c r="W856" s="39" t="n"/>
      <c r="X856" s="39" t="n"/>
      <c r="Y856" s="39" t="n"/>
      <c r="Z856" s="39" t="n"/>
      <c r="AA856" s="39" t="n"/>
      <c r="AB856" s="39" t="n"/>
      <c r="AC856" s="39" t="n"/>
      <c r="AD856" s="39" t="n"/>
      <c r="AE856" s="39" t="n"/>
      <c r="AF856" s="39" t="n"/>
      <c r="AG856" s="39" t="n"/>
      <c r="AH856" s="39" t="n"/>
      <c r="AI856" s="39" t="n"/>
      <c r="AJ856" s="39" t="n"/>
      <c r="AK856" s="39" t="n"/>
      <c r="AL856" s="39" t="n"/>
      <c r="AM856" s="44" t="n"/>
      <c r="AN856" s="44" t="n"/>
      <c r="AO856" s="44" t="n"/>
      <c r="AP856" s="44" t="n"/>
      <c r="AQ856" s="44" t="n"/>
      <c r="AR856" s="44" t="n"/>
      <c r="AS856" s="45" t="n"/>
      <c r="AT856" s="45" t="n"/>
      <c r="AU856" s="45" t="n"/>
    </row>
    <row r="857">
      <c r="B857" s="39" t="n"/>
      <c r="C857" s="39" t="n"/>
      <c r="D857" s="40" t="n"/>
      <c r="E857" s="39" t="n"/>
      <c r="F857" s="39" t="n"/>
      <c r="G857" s="112" t="n"/>
      <c r="H857" s="42" t="n"/>
      <c r="I857" s="42" t="n"/>
      <c r="J857" s="113" t="n"/>
      <c r="K857" s="39" t="n"/>
      <c r="L857" s="39" t="n"/>
      <c r="M857" s="39" t="n"/>
      <c r="N857" s="39" t="n"/>
      <c r="O857" s="39" t="n"/>
      <c r="P857" s="39" t="n"/>
      <c r="Q857" s="39" t="n"/>
      <c r="R857" s="39" t="n"/>
      <c r="S857" s="39" t="n"/>
      <c r="T857" s="39" t="n"/>
      <c r="U857" s="39" t="n"/>
      <c r="V857" s="39" t="n"/>
      <c r="W857" s="39" t="n"/>
      <c r="X857" s="39" t="n"/>
      <c r="Y857" s="39" t="n"/>
      <c r="Z857" s="39" t="n"/>
      <c r="AA857" s="39" t="n"/>
      <c r="AB857" s="39" t="n"/>
      <c r="AC857" s="39" t="n"/>
      <c r="AD857" s="39" t="n"/>
      <c r="AE857" s="39" t="n"/>
      <c r="AF857" s="39" t="n"/>
      <c r="AG857" s="39" t="n"/>
      <c r="AH857" s="39" t="n"/>
      <c r="AI857" s="39" t="n"/>
      <c r="AJ857" s="39" t="n"/>
      <c r="AK857" s="39" t="n"/>
      <c r="AL857" s="39" t="n"/>
      <c r="AM857" s="44" t="n"/>
      <c r="AN857" s="44" t="n"/>
      <c r="AO857" s="44" t="n"/>
      <c r="AP857" s="44" t="n"/>
      <c r="AQ857" s="44" t="n"/>
      <c r="AR857" s="44" t="n"/>
      <c r="AS857" s="45" t="n"/>
      <c r="AT857" s="45" t="n"/>
      <c r="AU857" s="45" t="n"/>
    </row>
    <row r="858">
      <c r="B858" s="39" t="n"/>
      <c r="C858" s="39" t="n"/>
      <c r="D858" s="40" t="n"/>
      <c r="E858" s="39" t="n"/>
      <c r="F858" s="39" t="n"/>
      <c r="G858" s="112" t="n"/>
      <c r="H858" s="42" t="n"/>
      <c r="I858" s="42" t="n"/>
      <c r="J858" s="113" t="n"/>
      <c r="K858" s="39" t="n"/>
      <c r="L858" s="39" t="n"/>
      <c r="M858" s="39" t="n"/>
      <c r="N858" s="39" t="n"/>
      <c r="O858" s="39" t="n"/>
      <c r="P858" s="39" t="n"/>
      <c r="Q858" s="39" t="n"/>
      <c r="R858" s="39" t="n"/>
      <c r="S858" s="39" t="n"/>
      <c r="T858" s="39" t="n"/>
      <c r="U858" s="39" t="n"/>
      <c r="V858" s="39" t="n"/>
      <c r="W858" s="39" t="n"/>
      <c r="X858" s="39" t="n"/>
      <c r="Y858" s="39" t="n"/>
      <c r="Z858" s="39" t="n"/>
      <c r="AA858" s="39" t="n"/>
      <c r="AB858" s="39" t="n"/>
      <c r="AC858" s="39" t="n"/>
      <c r="AD858" s="39" t="n"/>
      <c r="AE858" s="39" t="n"/>
      <c r="AF858" s="39" t="n"/>
      <c r="AG858" s="39" t="n"/>
      <c r="AH858" s="39" t="n"/>
      <c r="AI858" s="39" t="n"/>
      <c r="AJ858" s="39" t="n"/>
      <c r="AK858" s="39" t="n"/>
      <c r="AL858" s="39" t="n"/>
      <c r="AM858" s="44" t="n"/>
      <c r="AN858" s="44" t="n"/>
      <c r="AO858" s="44" t="n"/>
      <c r="AP858" s="44" t="n"/>
      <c r="AQ858" s="44" t="n"/>
      <c r="AR858" s="44" t="n"/>
      <c r="AS858" s="45" t="n"/>
      <c r="AT858" s="45" t="n"/>
      <c r="AU858" s="45" t="n"/>
    </row>
    <row r="859">
      <c r="B859" s="39" t="n"/>
      <c r="C859" s="39" t="n"/>
      <c r="D859" s="40" t="n"/>
      <c r="E859" s="39" t="n"/>
      <c r="F859" s="39" t="n"/>
      <c r="G859" s="112" t="n"/>
      <c r="H859" s="42" t="n"/>
      <c r="I859" s="42" t="n"/>
      <c r="J859" s="113" t="n"/>
      <c r="K859" s="39" t="n"/>
      <c r="L859" s="39" t="n"/>
      <c r="M859" s="39" t="n"/>
      <c r="N859" s="39" t="n"/>
      <c r="O859" s="39" t="n"/>
      <c r="P859" s="39" t="n"/>
      <c r="Q859" s="39" t="n"/>
      <c r="R859" s="39" t="n"/>
      <c r="S859" s="39" t="n"/>
      <c r="T859" s="39" t="n"/>
      <c r="U859" s="39" t="n"/>
      <c r="V859" s="39" t="n"/>
      <c r="W859" s="39" t="n"/>
      <c r="X859" s="39" t="n"/>
      <c r="Y859" s="39" t="n"/>
      <c r="Z859" s="39" t="n"/>
      <c r="AA859" s="39" t="n"/>
      <c r="AB859" s="39" t="n"/>
      <c r="AC859" s="39" t="n"/>
      <c r="AD859" s="39" t="n"/>
      <c r="AE859" s="39" t="n"/>
      <c r="AF859" s="39" t="n"/>
      <c r="AG859" s="39" t="n"/>
      <c r="AH859" s="39" t="n"/>
      <c r="AI859" s="39" t="n"/>
      <c r="AJ859" s="39" t="n"/>
      <c r="AK859" s="39" t="n"/>
      <c r="AL859" s="39" t="n"/>
      <c r="AM859" s="44" t="n"/>
      <c r="AN859" s="44" t="n"/>
      <c r="AO859" s="44" t="n"/>
      <c r="AP859" s="44" t="n"/>
      <c r="AQ859" s="44" t="n"/>
      <c r="AR859" s="44" t="n"/>
      <c r="AS859" s="45" t="n"/>
      <c r="AT859" s="45" t="n"/>
      <c r="AU859" s="45" t="n"/>
    </row>
    <row r="860">
      <c r="B860" s="39" t="n"/>
      <c r="C860" s="39" t="n"/>
      <c r="D860" s="40" t="n"/>
      <c r="E860" s="39" t="n"/>
      <c r="F860" s="39" t="n"/>
      <c r="G860" s="112" t="n"/>
      <c r="H860" s="42" t="n"/>
      <c r="I860" s="42" t="n"/>
      <c r="J860" s="113" t="n"/>
      <c r="K860" s="39" t="n"/>
      <c r="L860" s="39" t="n"/>
      <c r="M860" s="39" t="n"/>
      <c r="N860" s="39" t="n"/>
      <c r="O860" s="39" t="n"/>
      <c r="P860" s="39" t="n"/>
      <c r="Q860" s="39" t="n"/>
      <c r="R860" s="39" t="n"/>
      <c r="S860" s="39" t="n"/>
      <c r="T860" s="39" t="n"/>
      <c r="U860" s="39" t="n"/>
      <c r="V860" s="39" t="n"/>
      <c r="W860" s="39" t="n"/>
      <c r="X860" s="39" t="n"/>
      <c r="Y860" s="39" t="n"/>
      <c r="Z860" s="39" t="n"/>
      <c r="AA860" s="39" t="n"/>
      <c r="AB860" s="39" t="n"/>
      <c r="AC860" s="39" t="n"/>
      <c r="AD860" s="39" t="n"/>
      <c r="AE860" s="39" t="n"/>
      <c r="AF860" s="39" t="n"/>
      <c r="AG860" s="39" t="n"/>
      <c r="AH860" s="39" t="n"/>
      <c r="AI860" s="39" t="n"/>
      <c r="AJ860" s="39" t="n"/>
      <c r="AK860" s="39" t="n"/>
      <c r="AL860" s="39" t="n"/>
      <c r="AM860" s="44" t="n"/>
      <c r="AN860" s="44" t="n"/>
      <c r="AO860" s="44" t="n"/>
      <c r="AP860" s="44" t="n"/>
      <c r="AQ860" s="44" t="n"/>
      <c r="AR860" s="44" t="n"/>
      <c r="AS860" s="45" t="n"/>
      <c r="AT860" s="45" t="n"/>
      <c r="AU860" s="45" t="n"/>
    </row>
    <row r="861">
      <c r="B861" s="39" t="n"/>
      <c r="C861" s="39" t="n"/>
      <c r="D861" s="40" t="n"/>
      <c r="E861" s="39" t="n"/>
      <c r="F861" s="39" t="n"/>
      <c r="G861" s="112" t="n"/>
      <c r="H861" s="42" t="n"/>
      <c r="I861" s="42" t="n"/>
      <c r="J861" s="113" t="n"/>
      <c r="K861" s="39" t="n"/>
      <c r="L861" s="39" t="n"/>
      <c r="M861" s="39" t="n"/>
      <c r="N861" s="39" t="n"/>
      <c r="O861" s="39" t="n"/>
      <c r="P861" s="39" t="n"/>
      <c r="Q861" s="39" t="n"/>
      <c r="R861" s="39" t="n"/>
      <c r="S861" s="39" t="n"/>
      <c r="T861" s="39" t="n"/>
      <c r="U861" s="39" t="n"/>
      <c r="V861" s="39" t="n"/>
      <c r="W861" s="39" t="n"/>
      <c r="X861" s="39" t="n"/>
      <c r="Y861" s="39" t="n"/>
      <c r="Z861" s="39" t="n"/>
      <c r="AA861" s="39" t="n"/>
      <c r="AB861" s="39" t="n"/>
      <c r="AC861" s="39" t="n"/>
      <c r="AD861" s="39" t="n"/>
      <c r="AE861" s="39" t="n"/>
      <c r="AF861" s="39" t="n"/>
      <c r="AG861" s="39" t="n"/>
      <c r="AH861" s="39" t="n"/>
      <c r="AI861" s="39" t="n"/>
      <c r="AJ861" s="39" t="n"/>
      <c r="AK861" s="39" t="n"/>
      <c r="AL861" s="39" t="n"/>
      <c r="AM861" s="44" t="n"/>
      <c r="AN861" s="44" t="n"/>
      <c r="AO861" s="44" t="n"/>
      <c r="AP861" s="44" t="n"/>
      <c r="AQ861" s="44" t="n"/>
      <c r="AR861" s="44" t="n"/>
      <c r="AS861" s="45" t="n"/>
      <c r="AT861" s="45" t="n"/>
      <c r="AU861" s="45" t="n"/>
    </row>
    <row r="862">
      <c r="B862" s="39" t="n"/>
      <c r="C862" s="39" t="n"/>
      <c r="D862" s="40" t="n"/>
      <c r="E862" s="39" t="n"/>
      <c r="F862" s="39" t="n"/>
      <c r="G862" s="112" t="n"/>
      <c r="H862" s="42" t="n"/>
      <c r="I862" s="42" t="n"/>
      <c r="J862" s="113" t="n"/>
      <c r="K862" s="39" t="n"/>
      <c r="L862" s="39" t="n"/>
      <c r="M862" s="39" t="n"/>
      <c r="N862" s="39" t="n"/>
      <c r="O862" s="39" t="n"/>
      <c r="P862" s="39" t="n"/>
      <c r="Q862" s="39" t="n"/>
      <c r="R862" s="39" t="n"/>
      <c r="S862" s="39" t="n"/>
      <c r="T862" s="39" t="n"/>
      <c r="U862" s="39" t="n"/>
      <c r="V862" s="39" t="n"/>
      <c r="W862" s="39" t="n"/>
      <c r="X862" s="39" t="n"/>
      <c r="Y862" s="39" t="n"/>
      <c r="Z862" s="39" t="n"/>
      <c r="AA862" s="39" t="n"/>
      <c r="AB862" s="39" t="n"/>
      <c r="AC862" s="39" t="n"/>
      <c r="AD862" s="39" t="n"/>
      <c r="AE862" s="39" t="n"/>
      <c r="AF862" s="39" t="n"/>
      <c r="AG862" s="39" t="n"/>
      <c r="AH862" s="39" t="n"/>
      <c r="AI862" s="39" t="n"/>
      <c r="AJ862" s="39" t="n"/>
      <c r="AK862" s="39" t="n"/>
      <c r="AL862" s="39" t="n"/>
      <c r="AM862" s="44" t="n"/>
      <c r="AN862" s="44" t="n"/>
      <c r="AO862" s="44" t="n"/>
      <c r="AP862" s="44" t="n"/>
      <c r="AQ862" s="44" t="n"/>
      <c r="AR862" s="44" t="n"/>
      <c r="AS862" s="45" t="n"/>
      <c r="AT862" s="45" t="n"/>
      <c r="AU862" s="45" t="n"/>
    </row>
    <row r="863">
      <c r="B863" s="39" t="n"/>
      <c r="C863" s="39" t="n"/>
      <c r="D863" s="40" t="n"/>
      <c r="E863" s="39" t="n"/>
      <c r="F863" s="39" t="n"/>
      <c r="G863" s="112" t="n"/>
      <c r="H863" s="42" t="n"/>
      <c r="I863" s="42" t="n"/>
      <c r="J863" s="113" t="n"/>
      <c r="K863" s="39" t="n"/>
      <c r="L863" s="39" t="n"/>
      <c r="M863" s="39" t="n"/>
      <c r="N863" s="39" t="n"/>
      <c r="O863" s="39" t="n"/>
      <c r="P863" s="39" t="n"/>
      <c r="Q863" s="39" t="n"/>
      <c r="R863" s="39" t="n"/>
      <c r="S863" s="39" t="n"/>
      <c r="T863" s="39" t="n"/>
      <c r="U863" s="39" t="n"/>
      <c r="V863" s="39" t="n"/>
      <c r="W863" s="39" t="n"/>
      <c r="X863" s="39" t="n"/>
      <c r="Y863" s="39" t="n"/>
      <c r="Z863" s="39" t="n"/>
      <c r="AA863" s="39" t="n"/>
      <c r="AB863" s="39" t="n"/>
      <c r="AC863" s="39" t="n"/>
      <c r="AD863" s="39" t="n"/>
      <c r="AE863" s="39" t="n"/>
      <c r="AF863" s="39" t="n"/>
      <c r="AG863" s="39" t="n"/>
      <c r="AH863" s="39" t="n"/>
      <c r="AI863" s="39" t="n"/>
      <c r="AJ863" s="39" t="n"/>
      <c r="AK863" s="39" t="n"/>
      <c r="AL863" s="39" t="n"/>
      <c r="AM863" s="44" t="n"/>
      <c r="AN863" s="44" t="n"/>
      <c r="AO863" s="44" t="n"/>
      <c r="AP863" s="44" t="n"/>
      <c r="AQ863" s="44" t="n"/>
      <c r="AR863" s="44" t="n"/>
      <c r="AS863" s="45" t="n"/>
      <c r="AT863" s="45" t="n"/>
      <c r="AU863" s="45" t="n"/>
    </row>
    <row r="864">
      <c r="B864" s="39" t="n"/>
      <c r="C864" s="39" t="n"/>
      <c r="D864" s="40" t="n"/>
      <c r="E864" s="39" t="n"/>
      <c r="F864" s="39" t="n"/>
      <c r="G864" s="112" t="n"/>
      <c r="H864" s="42" t="n"/>
      <c r="I864" s="42" t="n"/>
      <c r="J864" s="113" t="n"/>
      <c r="K864" s="39" t="n"/>
      <c r="L864" s="39" t="n"/>
      <c r="M864" s="39" t="n"/>
      <c r="N864" s="39" t="n"/>
      <c r="O864" s="39" t="n"/>
      <c r="P864" s="39" t="n"/>
      <c r="Q864" s="39" t="n"/>
      <c r="R864" s="39" t="n"/>
      <c r="S864" s="39" t="n"/>
      <c r="T864" s="39" t="n"/>
      <c r="U864" s="39" t="n"/>
      <c r="V864" s="39" t="n"/>
      <c r="W864" s="39" t="n"/>
      <c r="X864" s="39" t="n"/>
      <c r="Y864" s="39" t="n"/>
      <c r="Z864" s="39" t="n"/>
      <c r="AA864" s="39" t="n"/>
      <c r="AB864" s="39" t="n"/>
      <c r="AC864" s="39" t="n"/>
      <c r="AD864" s="39" t="n"/>
      <c r="AE864" s="39" t="n"/>
      <c r="AF864" s="39" t="n"/>
      <c r="AG864" s="39" t="n"/>
      <c r="AH864" s="39" t="n"/>
      <c r="AI864" s="39" t="n"/>
      <c r="AJ864" s="39" t="n"/>
      <c r="AK864" s="39" t="n"/>
      <c r="AL864" s="39" t="n"/>
      <c r="AM864" s="44" t="n"/>
      <c r="AN864" s="44" t="n"/>
      <c r="AO864" s="44" t="n"/>
      <c r="AP864" s="44" t="n"/>
      <c r="AQ864" s="44" t="n"/>
      <c r="AR864" s="44" t="n"/>
      <c r="AS864" s="45" t="n"/>
      <c r="AT864" s="45" t="n"/>
      <c r="AU864" s="45" t="n"/>
    </row>
    <row r="865">
      <c r="B865" s="39" t="n"/>
      <c r="C865" s="39" t="n"/>
      <c r="D865" s="40" t="n"/>
      <c r="E865" s="39" t="n"/>
      <c r="F865" s="39" t="n"/>
      <c r="G865" s="112" t="n"/>
      <c r="H865" s="42" t="n"/>
      <c r="I865" s="42" t="n"/>
      <c r="J865" s="113" t="n"/>
      <c r="K865" s="39" t="n"/>
      <c r="L865" s="39" t="n"/>
      <c r="M865" s="39" t="n"/>
      <c r="N865" s="39" t="n"/>
      <c r="O865" s="39" t="n"/>
      <c r="P865" s="39" t="n"/>
      <c r="Q865" s="39" t="n"/>
      <c r="R865" s="39" t="n"/>
      <c r="S865" s="39" t="n"/>
      <c r="T865" s="39" t="n"/>
      <c r="U865" s="39" t="n"/>
      <c r="V865" s="39" t="n"/>
      <c r="W865" s="39" t="n"/>
      <c r="X865" s="39" t="n"/>
      <c r="Y865" s="39" t="n"/>
      <c r="Z865" s="39" t="n"/>
      <c r="AA865" s="39" t="n"/>
      <c r="AB865" s="39" t="n"/>
      <c r="AC865" s="39" t="n"/>
      <c r="AD865" s="39" t="n"/>
      <c r="AE865" s="39" t="n"/>
      <c r="AF865" s="39" t="n"/>
      <c r="AG865" s="39" t="n"/>
      <c r="AH865" s="39" t="n"/>
      <c r="AI865" s="39" t="n"/>
      <c r="AJ865" s="39" t="n"/>
      <c r="AK865" s="39" t="n"/>
      <c r="AL865" s="39" t="n"/>
      <c r="AM865" s="44" t="n"/>
      <c r="AN865" s="44" t="n"/>
      <c r="AO865" s="44" t="n"/>
      <c r="AP865" s="44" t="n"/>
      <c r="AQ865" s="44" t="n"/>
      <c r="AR865" s="44" t="n"/>
      <c r="AS865" s="45" t="n"/>
      <c r="AT865" s="45" t="n"/>
      <c r="AU865" s="45" t="n"/>
    </row>
    <row r="866">
      <c r="B866" s="39" t="n"/>
      <c r="C866" s="39" t="n"/>
      <c r="D866" s="40" t="n"/>
      <c r="E866" s="39" t="n"/>
      <c r="F866" s="39" t="n"/>
      <c r="G866" s="112" t="n"/>
      <c r="H866" s="42" t="n"/>
      <c r="I866" s="42" t="n"/>
      <c r="J866" s="113" t="n"/>
      <c r="K866" s="39" t="n"/>
      <c r="L866" s="39" t="n"/>
      <c r="M866" s="39" t="n"/>
      <c r="N866" s="39" t="n"/>
      <c r="O866" s="39" t="n"/>
      <c r="P866" s="39" t="n"/>
      <c r="Q866" s="39" t="n"/>
      <c r="R866" s="39" t="n"/>
      <c r="S866" s="39" t="n"/>
      <c r="T866" s="39" t="n"/>
      <c r="U866" s="39" t="n"/>
      <c r="V866" s="39" t="n"/>
      <c r="W866" s="39" t="n"/>
      <c r="X866" s="39" t="n"/>
      <c r="Y866" s="39" t="n"/>
      <c r="Z866" s="39" t="n"/>
      <c r="AA866" s="39" t="n"/>
      <c r="AB866" s="39" t="n"/>
      <c r="AC866" s="39" t="n"/>
      <c r="AD866" s="39" t="n"/>
      <c r="AE866" s="39" t="n"/>
      <c r="AF866" s="39" t="n"/>
      <c r="AG866" s="39" t="n"/>
      <c r="AH866" s="39" t="n"/>
      <c r="AI866" s="39" t="n"/>
      <c r="AJ866" s="39" t="n"/>
      <c r="AK866" s="39" t="n"/>
      <c r="AL866" s="39" t="n"/>
      <c r="AM866" s="44" t="n"/>
      <c r="AN866" s="44" t="n"/>
      <c r="AO866" s="44" t="n"/>
      <c r="AP866" s="44" t="n"/>
      <c r="AQ866" s="44" t="n"/>
      <c r="AR866" s="44" t="n"/>
      <c r="AS866" s="45" t="n"/>
      <c r="AT866" s="45" t="n"/>
      <c r="AU866" s="45" t="n"/>
    </row>
    <row r="867">
      <c r="B867" s="39" t="n"/>
      <c r="C867" s="39" t="n"/>
      <c r="D867" s="40" t="n"/>
      <c r="E867" s="39" t="n"/>
      <c r="F867" s="39" t="n"/>
      <c r="G867" s="112" t="n"/>
      <c r="H867" s="42" t="n"/>
      <c r="I867" s="42" t="n"/>
      <c r="J867" s="113" t="n"/>
      <c r="K867" s="39" t="n"/>
      <c r="L867" s="39" t="n"/>
      <c r="M867" s="39" t="n"/>
      <c r="N867" s="39" t="n"/>
      <c r="O867" s="39" t="n"/>
      <c r="P867" s="39" t="n"/>
      <c r="Q867" s="39" t="n"/>
      <c r="R867" s="39" t="n"/>
      <c r="S867" s="39" t="n"/>
      <c r="T867" s="39" t="n"/>
      <c r="U867" s="39" t="n"/>
      <c r="V867" s="39" t="n"/>
      <c r="W867" s="39" t="n"/>
      <c r="X867" s="39" t="n"/>
      <c r="Y867" s="39" t="n"/>
      <c r="Z867" s="39" t="n"/>
      <c r="AA867" s="39" t="n"/>
      <c r="AB867" s="39" t="n"/>
      <c r="AC867" s="39" t="n"/>
      <c r="AD867" s="39" t="n"/>
      <c r="AE867" s="39" t="n"/>
      <c r="AF867" s="39" t="n"/>
      <c r="AG867" s="39" t="n"/>
      <c r="AH867" s="39" t="n"/>
      <c r="AI867" s="39" t="n"/>
      <c r="AJ867" s="39" t="n"/>
      <c r="AK867" s="39" t="n"/>
      <c r="AL867" s="39" t="n"/>
      <c r="AM867" s="44" t="n"/>
      <c r="AN867" s="44" t="n"/>
      <c r="AO867" s="44" t="n"/>
      <c r="AP867" s="44" t="n"/>
      <c r="AQ867" s="44" t="n"/>
      <c r="AR867" s="44" t="n"/>
      <c r="AS867" s="45" t="n"/>
      <c r="AT867" s="45" t="n"/>
      <c r="AU867" s="45" t="n"/>
    </row>
    <row r="868">
      <c r="B868" s="39" t="n"/>
      <c r="C868" s="39" t="n"/>
      <c r="D868" s="40" t="n"/>
      <c r="E868" s="39" t="n"/>
      <c r="F868" s="39" t="n"/>
      <c r="G868" s="112" t="n"/>
      <c r="H868" s="42" t="n"/>
      <c r="I868" s="42" t="n"/>
      <c r="J868" s="113" t="n"/>
      <c r="K868" s="39" t="n"/>
      <c r="L868" s="39" t="n"/>
      <c r="M868" s="39" t="n"/>
      <c r="N868" s="39" t="n"/>
      <c r="O868" s="39" t="n"/>
      <c r="P868" s="39" t="n"/>
      <c r="Q868" s="39" t="n"/>
      <c r="R868" s="39" t="n"/>
      <c r="S868" s="39" t="n"/>
      <c r="T868" s="39" t="n"/>
      <c r="U868" s="39" t="n"/>
      <c r="V868" s="39" t="n"/>
      <c r="W868" s="39" t="n"/>
      <c r="X868" s="39" t="n"/>
      <c r="Y868" s="39" t="n"/>
      <c r="Z868" s="39" t="n"/>
      <c r="AA868" s="39" t="n"/>
      <c r="AB868" s="39" t="n"/>
      <c r="AC868" s="39" t="n"/>
      <c r="AD868" s="39" t="n"/>
      <c r="AE868" s="39" t="n"/>
      <c r="AF868" s="39" t="n"/>
      <c r="AG868" s="39" t="n"/>
      <c r="AH868" s="39" t="n"/>
      <c r="AI868" s="39" t="n"/>
      <c r="AJ868" s="39" t="n"/>
      <c r="AK868" s="39" t="n"/>
      <c r="AL868" s="39" t="n"/>
      <c r="AM868" s="44" t="n"/>
      <c r="AN868" s="44" t="n"/>
      <c r="AO868" s="44" t="n"/>
      <c r="AP868" s="44" t="n"/>
      <c r="AQ868" s="44" t="n"/>
      <c r="AR868" s="44" t="n"/>
      <c r="AS868" s="45" t="n"/>
      <c r="AT868" s="45" t="n"/>
      <c r="AU868" s="45" t="n"/>
    </row>
    <row r="869">
      <c r="B869" s="39" t="n"/>
      <c r="C869" s="39" t="n"/>
      <c r="D869" s="40" t="n"/>
      <c r="E869" s="39" t="n"/>
      <c r="F869" s="39" t="n"/>
      <c r="G869" s="112" t="n"/>
      <c r="H869" s="42" t="n"/>
      <c r="I869" s="42" t="n"/>
      <c r="J869" s="113" t="n"/>
      <c r="K869" s="39" t="n"/>
      <c r="L869" s="39" t="n"/>
      <c r="M869" s="39" t="n"/>
      <c r="N869" s="39" t="n"/>
      <c r="O869" s="39" t="n"/>
      <c r="P869" s="39" t="n"/>
      <c r="Q869" s="39" t="n"/>
      <c r="R869" s="39" t="n"/>
      <c r="S869" s="39" t="n"/>
      <c r="T869" s="39" t="n"/>
      <c r="U869" s="39" t="n"/>
      <c r="V869" s="39" t="n"/>
      <c r="W869" s="39" t="n"/>
      <c r="X869" s="39" t="n"/>
      <c r="Y869" s="39" t="n"/>
      <c r="Z869" s="39" t="n"/>
      <c r="AA869" s="39" t="n"/>
      <c r="AB869" s="39" t="n"/>
      <c r="AC869" s="39" t="n"/>
      <c r="AD869" s="39" t="n"/>
      <c r="AE869" s="39" t="n"/>
      <c r="AF869" s="39" t="n"/>
      <c r="AG869" s="39" t="n"/>
      <c r="AH869" s="39" t="n"/>
      <c r="AI869" s="39" t="n"/>
      <c r="AJ869" s="39" t="n"/>
      <c r="AK869" s="39" t="n"/>
      <c r="AL869" s="39" t="n"/>
      <c r="AM869" s="44" t="n"/>
      <c r="AN869" s="44" t="n"/>
      <c r="AO869" s="44" t="n"/>
      <c r="AP869" s="44" t="n"/>
      <c r="AQ869" s="44" t="n"/>
      <c r="AR869" s="44" t="n"/>
      <c r="AS869" s="45" t="n"/>
      <c r="AT869" s="45" t="n"/>
      <c r="AU869" s="45" t="n"/>
    </row>
    <row r="870">
      <c r="B870" s="39" t="n"/>
      <c r="C870" s="39" t="n"/>
      <c r="D870" s="40" t="n"/>
      <c r="E870" s="39" t="n"/>
      <c r="F870" s="39" t="n"/>
      <c r="G870" s="112" t="n"/>
      <c r="H870" s="42" t="n"/>
      <c r="I870" s="42" t="n"/>
      <c r="J870" s="113" t="n"/>
      <c r="K870" s="39" t="n"/>
      <c r="L870" s="39" t="n"/>
      <c r="M870" s="39" t="n"/>
      <c r="N870" s="39" t="n"/>
      <c r="O870" s="39" t="n"/>
      <c r="P870" s="39" t="n"/>
      <c r="Q870" s="39" t="n"/>
      <c r="R870" s="39" t="n"/>
      <c r="S870" s="39" t="n"/>
      <c r="T870" s="39" t="n"/>
      <c r="U870" s="39" t="n"/>
      <c r="V870" s="39" t="n"/>
      <c r="W870" s="39" t="n"/>
      <c r="X870" s="39" t="n"/>
      <c r="Y870" s="39" t="n"/>
      <c r="Z870" s="39" t="n"/>
      <c r="AA870" s="39" t="n"/>
      <c r="AB870" s="39" t="n"/>
      <c r="AC870" s="39" t="n"/>
      <c r="AD870" s="39" t="n"/>
      <c r="AE870" s="39" t="n"/>
      <c r="AF870" s="39" t="n"/>
      <c r="AG870" s="39" t="n"/>
      <c r="AH870" s="39" t="n"/>
      <c r="AI870" s="39" t="n"/>
      <c r="AJ870" s="39" t="n"/>
      <c r="AK870" s="39" t="n"/>
      <c r="AL870" s="39" t="n"/>
      <c r="AM870" s="44" t="n"/>
      <c r="AN870" s="44" t="n"/>
      <c r="AO870" s="44" t="n"/>
      <c r="AP870" s="44" t="n"/>
      <c r="AQ870" s="44" t="n"/>
      <c r="AR870" s="44" t="n"/>
      <c r="AS870" s="45" t="n"/>
      <c r="AT870" s="45" t="n"/>
      <c r="AU870" s="45" t="n"/>
    </row>
    <row r="871">
      <c r="B871" s="39" t="n"/>
      <c r="C871" s="39" t="n"/>
      <c r="D871" s="40" t="n"/>
      <c r="E871" s="39" t="n"/>
      <c r="F871" s="39" t="n"/>
      <c r="G871" s="112" t="n"/>
      <c r="H871" s="42" t="n"/>
      <c r="I871" s="42" t="n"/>
      <c r="J871" s="113" t="n"/>
      <c r="K871" s="39" t="n"/>
      <c r="L871" s="39" t="n"/>
      <c r="M871" s="39" t="n"/>
      <c r="N871" s="39" t="n"/>
      <c r="O871" s="39" t="n"/>
      <c r="P871" s="39" t="n"/>
      <c r="Q871" s="39" t="n"/>
      <c r="R871" s="39" t="n"/>
      <c r="S871" s="39" t="n"/>
      <c r="T871" s="39" t="n"/>
      <c r="U871" s="39" t="n"/>
      <c r="V871" s="39" t="n"/>
      <c r="W871" s="39" t="n"/>
      <c r="X871" s="39" t="n"/>
      <c r="Y871" s="39" t="n"/>
      <c r="Z871" s="39" t="n"/>
      <c r="AA871" s="39" t="n"/>
      <c r="AB871" s="39" t="n"/>
      <c r="AC871" s="39" t="n"/>
      <c r="AD871" s="39" t="n"/>
      <c r="AE871" s="39" t="n"/>
      <c r="AF871" s="39" t="n"/>
      <c r="AG871" s="39" t="n"/>
      <c r="AH871" s="39" t="n"/>
      <c r="AI871" s="39" t="n"/>
      <c r="AJ871" s="39" t="n"/>
      <c r="AK871" s="39" t="n"/>
      <c r="AL871" s="39" t="n"/>
      <c r="AM871" s="44" t="n"/>
      <c r="AN871" s="44" t="n"/>
      <c r="AO871" s="44" t="n"/>
      <c r="AP871" s="44" t="n"/>
      <c r="AQ871" s="44" t="n"/>
      <c r="AR871" s="44" t="n"/>
      <c r="AS871" s="45" t="n"/>
      <c r="AT871" s="45" t="n"/>
      <c r="AU871" s="45" t="n"/>
    </row>
    <row r="872">
      <c r="B872" s="39" t="n"/>
      <c r="C872" s="39" t="n"/>
      <c r="D872" s="40" t="n"/>
      <c r="E872" s="39" t="n"/>
      <c r="F872" s="39" t="n"/>
      <c r="G872" s="112" t="n"/>
      <c r="H872" s="42" t="n"/>
      <c r="I872" s="42" t="n"/>
      <c r="J872" s="113" t="n"/>
      <c r="K872" s="39" t="n"/>
      <c r="L872" s="39" t="n"/>
      <c r="M872" s="39" t="n"/>
      <c r="N872" s="39" t="n"/>
      <c r="O872" s="39" t="n"/>
      <c r="P872" s="39" t="n"/>
      <c r="Q872" s="39" t="n"/>
      <c r="R872" s="39" t="n"/>
      <c r="S872" s="39" t="n"/>
      <c r="T872" s="39" t="n"/>
      <c r="U872" s="39" t="n"/>
      <c r="V872" s="39" t="n"/>
      <c r="W872" s="39" t="n"/>
      <c r="X872" s="39" t="n"/>
      <c r="Y872" s="39" t="n"/>
      <c r="Z872" s="39" t="n"/>
      <c r="AA872" s="39" t="n"/>
      <c r="AB872" s="39" t="n"/>
      <c r="AC872" s="39" t="n"/>
      <c r="AD872" s="39" t="n"/>
      <c r="AE872" s="39" t="n"/>
      <c r="AF872" s="39" t="n"/>
      <c r="AG872" s="39" t="n"/>
      <c r="AH872" s="39" t="n"/>
      <c r="AI872" s="39" t="n"/>
      <c r="AJ872" s="39" t="n"/>
      <c r="AK872" s="39" t="n"/>
      <c r="AL872" s="39" t="n"/>
      <c r="AM872" s="44" t="n"/>
      <c r="AN872" s="44" t="n"/>
      <c r="AO872" s="44" t="n"/>
      <c r="AP872" s="44" t="n"/>
      <c r="AQ872" s="44" t="n"/>
      <c r="AR872" s="44" t="n"/>
      <c r="AS872" s="45" t="n"/>
      <c r="AT872" s="45" t="n"/>
      <c r="AU872" s="45" t="n"/>
    </row>
    <row r="873">
      <c r="B873" s="39" t="n"/>
      <c r="C873" s="39" t="n"/>
      <c r="D873" s="40" t="n"/>
      <c r="E873" s="39" t="n"/>
      <c r="F873" s="39" t="n"/>
      <c r="G873" s="112" t="n"/>
      <c r="H873" s="42" t="n"/>
      <c r="I873" s="42" t="n"/>
      <c r="J873" s="113" t="n"/>
      <c r="K873" s="39" t="n"/>
      <c r="L873" s="39" t="n"/>
      <c r="M873" s="39" t="n"/>
      <c r="N873" s="39" t="n"/>
      <c r="O873" s="39" t="n"/>
      <c r="P873" s="39" t="n"/>
      <c r="Q873" s="39" t="n"/>
      <c r="R873" s="39" t="n"/>
      <c r="S873" s="39" t="n"/>
      <c r="T873" s="39" t="n"/>
      <c r="U873" s="39" t="n"/>
      <c r="V873" s="39" t="n"/>
      <c r="W873" s="39" t="n"/>
      <c r="X873" s="39" t="n"/>
      <c r="Y873" s="39" t="n"/>
      <c r="Z873" s="39" t="n"/>
      <c r="AA873" s="39" t="n"/>
      <c r="AB873" s="39" t="n"/>
      <c r="AC873" s="39" t="n"/>
      <c r="AD873" s="39" t="n"/>
      <c r="AE873" s="39" t="n"/>
      <c r="AF873" s="39" t="n"/>
      <c r="AG873" s="39" t="n"/>
      <c r="AH873" s="39" t="n"/>
      <c r="AI873" s="39" t="n"/>
      <c r="AJ873" s="39" t="n"/>
      <c r="AK873" s="39" t="n"/>
      <c r="AL873" s="39" t="n"/>
      <c r="AM873" s="44" t="n"/>
      <c r="AN873" s="44" t="n"/>
      <c r="AO873" s="44" t="n"/>
      <c r="AP873" s="44" t="n"/>
      <c r="AQ873" s="44" t="n"/>
      <c r="AR873" s="44" t="n"/>
      <c r="AS873" s="45" t="n"/>
      <c r="AT873" s="45" t="n"/>
      <c r="AU873" s="45" t="n"/>
    </row>
    <row r="874">
      <c r="B874" s="39" t="n"/>
      <c r="C874" s="39" t="n"/>
      <c r="D874" s="40" t="n"/>
      <c r="E874" s="39" t="n"/>
      <c r="F874" s="39" t="n"/>
      <c r="G874" s="112" t="n"/>
      <c r="H874" s="42" t="n"/>
      <c r="I874" s="42" t="n"/>
      <c r="J874" s="113" t="n"/>
      <c r="K874" s="39" t="n"/>
      <c r="L874" s="39" t="n"/>
      <c r="M874" s="39" t="n"/>
      <c r="N874" s="39" t="n"/>
      <c r="O874" s="39" t="n"/>
      <c r="P874" s="39" t="n"/>
      <c r="Q874" s="39" t="n"/>
      <c r="R874" s="39" t="n"/>
      <c r="S874" s="39" t="n"/>
      <c r="T874" s="39" t="n"/>
      <c r="U874" s="39" t="n"/>
      <c r="V874" s="39" t="n"/>
      <c r="W874" s="39" t="n"/>
      <c r="X874" s="39" t="n"/>
      <c r="Y874" s="39" t="n"/>
      <c r="Z874" s="39" t="n"/>
      <c r="AA874" s="39" t="n"/>
      <c r="AB874" s="39" t="n"/>
      <c r="AC874" s="39" t="n"/>
      <c r="AD874" s="39" t="n"/>
      <c r="AE874" s="39" t="n"/>
      <c r="AF874" s="39" t="n"/>
      <c r="AG874" s="39" t="n"/>
      <c r="AH874" s="39" t="n"/>
      <c r="AI874" s="39" t="n"/>
      <c r="AJ874" s="39" t="n"/>
      <c r="AK874" s="39" t="n"/>
      <c r="AL874" s="39" t="n"/>
      <c r="AM874" s="44" t="n"/>
      <c r="AN874" s="44" t="n"/>
      <c r="AO874" s="44" t="n"/>
      <c r="AP874" s="44" t="n"/>
      <c r="AQ874" s="44" t="n"/>
      <c r="AR874" s="44" t="n"/>
      <c r="AS874" s="45" t="n"/>
      <c r="AT874" s="45" t="n"/>
      <c r="AU874" s="45" t="n"/>
    </row>
    <row r="875">
      <c r="B875" s="39" t="n"/>
      <c r="C875" s="39" t="n"/>
      <c r="D875" s="40" t="n"/>
      <c r="E875" s="39" t="n"/>
      <c r="F875" s="39" t="n"/>
      <c r="G875" s="112" t="n"/>
      <c r="H875" s="42" t="n"/>
      <c r="I875" s="42" t="n"/>
      <c r="J875" s="113" t="n"/>
      <c r="K875" s="39" t="n"/>
      <c r="L875" s="39" t="n"/>
      <c r="M875" s="39" t="n"/>
      <c r="N875" s="39" t="n"/>
      <c r="O875" s="39" t="n"/>
      <c r="P875" s="39" t="n"/>
      <c r="Q875" s="39" t="n"/>
      <c r="R875" s="39" t="n"/>
      <c r="S875" s="39" t="n"/>
      <c r="T875" s="39" t="n"/>
      <c r="U875" s="39" t="n"/>
      <c r="V875" s="39" t="n"/>
      <c r="W875" s="39" t="n"/>
      <c r="X875" s="39" t="n"/>
      <c r="Y875" s="39" t="n"/>
      <c r="Z875" s="39" t="n"/>
      <c r="AA875" s="39" t="n"/>
      <c r="AB875" s="39" t="n"/>
      <c r="AC875" s="39" t="n"/>
      <c r="AD875" s="39" t="n"/>
      <c r="AE875" s="39" t="n"/>
      <c r="AF875" s="39" t="n"/>
      <c r="AG875" s="39" t="n"/>
      <c r="AH875" s="39" t="n"/>
      <c r="AI875" s="39" t="n"/>
      <c r="AJ875" s="39" t="n"/>
      <c r="AK875" s="39" t="n"/>
      <c r="AL875" s="39" t="n"/>
      <c r="AM875" s="44" t="n"/>
      <c r="AN875" s="44" t="n"/>
      <c r="AO875" s="44" t="n"/>
      <c r="AP875" s="44" t="n"/>
      <c r="AQ875" s="44" t="n"/>
      <c r="AR875" s="44" t="n"/>
      <c r="AS875" s="45" t="n"/>
      <c r="AT875" s="45" t="n"/>
      <c r="AU875" s="45" t="n"/>
    </row>
    <row r="876">
      <c r="B876" s="39" t="n"/>
      <c r="C876" s="39" t="n"/>
      <c r="D876" s="40" t="n"/>
      <c r="E876" s="39" t="n"/>
      <c r="F876" s="39" t="n"/>
      <c r="G876" s="112" t="n"/>
      <c r="H876" s="42" t="n"/>
      <c r="I876" s="42" t="n"/>
      <c r="J876" s="113" t="n"/>
      <c r="K876" s="39" t="n"/>
      <c r="L876" s="39" t="n"/>
      <c r="M876" s="39" t="n"/>
      <c r="N876" s="39" t="n"/>
      <c r="O876" s="39" t="n"/>
      <c r="P876" s="39" t="n"/>
      <c r="Q876" s="39" t="n"/>
      <c r="R876" s="39" t="n"/>
      <c r="S876" s="39" t="n"/>
      <c r="T876" s="39" t="n"/>
      <c r="U876" s="39" t="n"/>
      <c r="V876" s="39" t="n"/>
      <c r="W876" s="39" t="n"/>
      <c r="X876" s="39" t="n"/>
      <c r="Y876" s="39" t="n"/>
      <c r="Z876" s="39" t="n"/>
      <c r="AA876" s="39" t="n"/>
      <c r="AB876" s="39" t="n"/>
      <c r="AC876" s="39" t="n"/>
      <c r="AD876" s="39" t="n"/>
      <c r="AE876" s="39" t="n"/>
      <c r="AF876" s="39" t="n"/>
      <c r="AG876" s="39" t="n"/>
      <c r="AH876" s="39" t="n"/>
      <c r="AI876" s="39" t="n"/>
      <c r="AJ876" s="39" t="n"/>
      <c r="AK876" s="39" t="n"/>
      <c r="AL876" s="39" t="n"/>
      <c r="AM876" s="44" t="n"/>
      <c r="AN876" s="44" t="n"/>
      <c r="AO876" s="44" t="n"/>
      <c r="AP876" s="44" t="n"/>
      <c r="AQ876" s="44" t="n"/>
      <c r="AR876" s="44" t="n"/>
      <c r="AS876" s="45" t="n"/>
      <c r="AT876" s="45" t="n"/>
      <c r="AU876" s="45" t="n"/>
    </row>
    <row r="877">
      <c r="B877" s="39" t="n"/>
      <c r="C877" s="39" t="n"/>
      <c r="D877" s="40" t="n"/>
      <c r="E877" s="39" t="n"/>
      <c r="F877" s="39" t="n"/>
      <c r="G877" s="112" t="n"/>
      <c r="H877" s="42" t="n"/>
      <c r="I877" s="42" t="n"/>
      <c r="J877" s="113" t="n"/>
      <c r="K877" s="39" t="n"/>
      <c r="L877" s="39" t="n"/>
      <c r="M877" s="39" t="n"/>
      <c r="N877" s="39" t="n"/>
      <c r="O877" s="39" t="n"/>
      <c r="P877" s="39" t="n"/>
      <c r="Q877" s="39" t="n"/>
      <c r="R877" s="39" t="n"/>
      <c r="S877" s="39" t="n"/>
      <c r="T877" s="39" t="n"/>
      <c r="U877" s="39" t="n"/>
      <c r="V877" s="39" t="n"/>
      <c r="W877" s="39" t="n"/>
      <c r="X877" s="39" t="n"/>
      <c r="Y877" s="39" t="n"/>
      <c r="Z877" s="39" t="n"/>
      <c r="AA877" s="39" t="n"/>
      <c r="AB877" s="39" t="n"/>
      <c r="AC877" s="39" t="n"/>
      <c r="AD877" s="39" t="n"/>
      <c r="AE877" s="39" t="n"/>
      <c r="AF877" s="39" t="n"/>
      <c r="AG877" s="39" t="n"/>
      <c r="AH877" s="39" t="n"/>
      <c r="AI877" s="39" t="n"/>
      <c r="AJ877" s="39" t="n"/>
      <c r="AK877" s="39" t="n"/>
      <c r="AL877" s="39" t="n"/>
      <c r="AM877" s="44" t="n"/>
      <c r="AN877" s="44" t="n"/>
      <c r="AO877" s="44" t="n"/>
      <c r="AP877" s="44" t="n"/>
      <c r="AQ877" s="44" t="n"/>
      <c r="AR877" s="44" t="n"/>
      <c r="AS877" s="45" t="n"/>
      <c r="AT877" s="45" t="n"/>
      <c r="AU877" s="45" t="n"/>
    </row>
    <row r="878">
      <c r="B878" s="39" t="n"/>
      <c r="C878" s="39" t="n"/>
      <c r="D878" s="40" t="n"/>
      <c r="E878" s="39" t="n"/>
      <c r="F878" s="39" t="n"/>
      <c r="G878" s="112" t="n"/>
      <c r="H878" s="42" t="n"/>
      <c r="I878" s="42" t="n"/>
      <c r="J878" s="113" t="n"/>
      <c r="K878" s="39" t="n"/>
      <c r="L878" s="39" t="n"/>
      <c r="M878" s="39" t="n"/>
      <c r="N878" s="39" t="n"/>
      <c r="O878" s="39" t="n"/>
      <c r="P878" s="39" t="n"/>
      <c r="Q878" s="39" t="n"/>
      <c r="R878" s="39" t="n"/>
      <c r="S878" s="39" t="n"/>
      <c r="T878" s="39" t="n"/>
      <c r="U878" s="39" t="n"/>
      <c r="V878" s="39" t="n"/>
      <c r="W878" s="39" t="n"/>
      <c r="X878" s="39" t="n"/>
      <c r="Y878" s="39" t="n"/>
      <c r="Z878" s="39" t="n"/>
      <c r="AA878" s="39" t="n"/>
      <c r="AB878" s="39" t="n"/>
      <c r="AC878" s="39" t="n"/>
      <c r="AD878" s="39" t="n"/>
      <c r="AE878" s="39" t="n"/>
      <c r="AF878" s="39" t="n"/>
      <c r="AG878" s="39" t="n"/>
      <c r="AH878" s="39" t="n"/>
      <c r="AI878" s="39" t="n"/>
      <c r="AJ878" s="39" t="n"/>
      <c r="AK878" s="39" t="n"/>
      <c r="AL878" s="39" t="n"/>
      <c r="AM878" s="44" t="n"/>
      <c r="AN878" s="44" t="n"/>
      <c r="AO878" s="44" t="n"/>
      <c r="AP878" s="44" t="n"/>
      <c r="AQ878" s="44" t="n"/>
      <c r="AR878" s="44" t="n"/>
      <c r="AS878" s="45" t="n"/>
      <c r="AT878" s="45" t="n"/>
      <c r="AU878" s="45" t="n"/>
    </row>
    <row r="879">
      <c r="B879" s="39" t="n"/>
      <c r="C879" s="39" t="n"/>
      <c r="D879" s="40" t="n"/>
      <c r="E879" s="39" t="n"/>
      <c r="F879" s="39" t="n"/>
      <c r="G879" s="112" t="n"/>
      <c r="H879" s="42" t="n"/>
      <c r="I879" s="42" t="n"/>
      <c r="J879" s="113" t="n"/>
      <c r="K879" s="39" t="n"/>
      <c r="L879" s="39" t="n"/>
      <c r="M879" s="39" t="n"/>
      <c r="N879" s="39" t="n"/>
      <c r="O879" s="39" t="n"/>
      <c r="P879" s="39" t="n"/>
      <c r="Q879" s="39" t="n"/>
      <c r="R879" s="39" t="n"/>
      <c r="S879" s="39" t="n"/>
      <c r="T879" s="39" t="n"/>
      <c r="U879" s="39" t="n"/>
      <c r="V879" s="39" t="n"/>
      <c r="W879" s="39" t="n"/>
      <c r="X879" s="39" t="n"/>
      <c r="Y879" s="39" t="n"/>
      <c r="Z879" s="39" t="n"/>
      <c r="AA879" s="39" t="n"/>
      <c r="AB879" s="39" t="n"/>
      <c r="AC879" s="39" t="n"/>
      <c r="AD879" s="39" t="n"/>
      <c r="AE879" s="39" t="n"/>
      <c r="AF879" s="39" t="n"/>
      <c r="AG879" s="39" t="n"/>
      <c r="AH879" s="39" t="n"/>
      <c r="AI879" s="39" t="n"/>
      <c r="AJ879" s="39" t="n"/>
      <c r="AK879" s="39" t="n"/>
      <c r="AL879" s="39" t="n"/>
      <c r="AM879" s="44" t="n"/>
      <c r="AN879" s="44" t="n"/>
      <c r="AO879" s="44" t="n"/>
      <c r="AP879" s="44" t="n"/>
      <c r="AQ879" s="44" t="n"/>
      <c r="AR879" s="44" t="n"/>
      <c r="AS879" s="45" t="n"/>
      <c r="AT879" s="45" t="n"/>
      <c r="AU879" s="45" t="n"/>
    </row>
    <row r="880">
      <c r="B880" s="39" t="n"/>
      <c r="C880" s="39" t="n"/>
      <c r="D880" s="40" t="n"/>
      <c r="E880" s="39" t="n"/>
      <c r="F880" s="39" t="n"/>
      <c r="G880" s="112" t="n"/>
      <c r="H880" s="42" t="n"/>
      <c r="I880" s="42" t="n"/>
      <c r="J880" s="113" t="n"/>
      <c r="K880" s="39" t="n"/>
      <c r="L880" s="39" t="n"/>
      <c r="M880" s="39" t="n"/>
      <c r="N880" s="39" t="n"/>
      <c r="O880" s="39" t="n"/>
      <c r="P880" s="39" t="n"/>
      <c r="Q880" s="39" t="n"/>
      <c r="R880" s="39" t="n"/>
      <c r="S880" s="39" t="n"/>
      <c r="T880" s="39" t="n"/>
      <c r="U880" s="39" t="n"/>
      <c r="V880" s="39" t="n"/>
      <c r="W880" s="39" t="n"/>
      <c r="X880" s="39" t="n"/>
      <c r="Y880" s="39" t="n"/>
      <c r="Z880" s="39" t="n"/>
      <c r="AA880" s="39" t="n"/>
      <c r="AB880" s="39" t="n"/>
      <c r="AC880" s="39" t="n"/>
      <c r="AD880" s="39" t="n"/>
      <c r="AE880" s="39" t="n"/>
      <c r="AF880" s="39" t="n"/>
      <c r="AG880" s="39" t="n"/>
      <c r="AH880" s="39" t="n"/>
      <c r="AI880" s="39" t="n"/>
      <c r="AJ880" s="39" t="n"/>
      <c r="AK880" s="39" t="n"/>
      <c r="AL880" s="39" t="n"/>
      <c r="AM880" s="44" t="n"/>
      <c r="AN880" s="44" t="n"/>
      <c r="AO880" s="44" t="n"/>
      <c r="AP880" s="44" t="n"/>
      <c r="AQ880" s="44" t="n"/>
      <c r="AR880" s="44" t="n"/>
      <c r="AS880" s="45" t="n"/>
      <c r="AT880" s="45" t="n"/>
      <c r="AU880" s="45" t="n"/>
    </row>
    <row r="881">
      <c r="B881" s="39" t="n"/>
      <c r="C881" s="39" t="n"/>
      <c r="D881" s="40" t="n"/>
      <c r="E881" s="39" t="n"/>
      <c r="F881" s="39" t="n"/>
      <c r="G881" s="112" t="n"/>
      <c r="H881" s="42" t="n"/>
      <c r="I881" s="42" t="n"/>
      <c r="J881" s="113" t="n"/>
      <c r="K881" s="39" t="n"/>
      <c r="L881" s="39" t="n"/>
      <c r="M881" s="39" t="n"/>
      <c r="N881" s="39" t="n"/>
      <c r="O881" s="39" t="n"/>
      <c r="P881" s="39" t="n"/>
      <c r="Q881" s="39" t="n"/>
      <c r="R881" s="39" t="n"/>
      <c r="S881" s="39" t="n"/>
      <c r="T881" s="39" t="n"/>
      <c r="U881" s="39" t="n"/>
      <c r="V881" s="39" t="n"/>
      <c r="W881" s="39" t="n"/>
      <c r="X881" s="39" t="n"/>
      <c r="Y881" s="39" t="n"/>
      <c r="Z881" s="39" t="n"/>
      <c r="AA881" s="39" t="n"/>
      <c r="AB881" s="39" t="n"/>
      <c r="AC881" s="39" t="n"/>
      <c r="AD881" s="39" t="n"/>
      <c r="AE881" s="39" t="n"/>
      <c r="AF881" s="39" t="n"/>
      <c r="AG881" s="39" t="n"/>
      <c r="AH881" s="39" t="n"/>
      <c r="AI881" s="39" t="n"/>
      <c r="AJ881" s="39" t="n"/>
      <c r="AK881" s="39" t="n"/>
      <c r="AL881" s="39" t="n"/>
      <c r="AM881" s="44" t="n"/>
      <c r="AN881" s="44" t="n"/>
      <c r="AO881" s="44" t="n"/>
      <c r="AP881" s="44" t="n"/>
      <c r="AQ881" s="44" t="n"/>
      <c r="AR881" s="44" t="n"/>
      <c r="AS881" s="45" t="n"/>
      <c r="AT881" s="45" t="n"/>
      <c r="AU881" s="45" t="n"/>
    </row>
    <row r="882">
      <c r="B882" s="39" t="n"/>
      <c r="C882" s="39" t="n"/>
      <c r="D882" s="40" t="n"/>
      <c r="E882" s="39" t="n"/>
      <c r="F882" s="39" t="n"/>
      <c r="G882" s="112" t="n"/>
      <c r="H882" s="42" t="n"/>
      <c r="I882" s="42" t="n"/>
      <c r="J882" s="113" t="n"/>
      <c r="K882" s="39" t="n"/>
      <c r="L882" s="39" t="n"/>
      <c r="M882" s="39" t="n"/>
      <c r="N882" s="39" t="n"/>
      <c r="O882" s="39" t="n"/>
      <c r="P882" s="39" t="n"/>
      <c r="Q882" s="39" t="n"/>
      <c r="R882" s="39" t="n"/>
      <c r="S882" s="39" t="n"/>
      <c r="T882" s="39" t="n"/>
      <c r="U882" s="39" t="n"/>
      <c r="V882" s="39" t="n"/>
      <c r="W882" s="39" t="n"/>
      <c r="X882" s="39" t="n"/>
      <c r="Y882" s="39" t="n"/>
      <c r="Z882" s="39" t="n"/>
      <c r="AA882" s="39" t="n"/>
      <c r="AB882" s="39" t="n"/>
      <c r="AC882" s="39" t="n"/>
      <c r="AD882" s="39" t="n"/>
      <c r="AE882" s="39" t="n"/>
      <c r="AF882" s="39" t="n"/>
      <c r="AG882" s="39" t="n"/>
      <c r="AH882" s="39" t="n"/>
      <c r="AI882" s="39" t="n"/>
      <c r="AJ882" s="39" t="n"/>
      <c r="AK882" s="39" t="n"/>
      <c r="AL882" s="39" t="n"/>
      <c r="AM882" s="44" t="n"/>
      <c r="AN882" s="44" t="n"/>
      <c r="AO882" s="44" t="n"/>
      <c r="AP882" s="44" t="n"/>
      <c r="AQ882" s="44" t="n"/>
      <c r="AR882" s="44" t="n"/>
      <c r="AS882" s="45" t="n"/>
      <c r="AT882" s="45" t="n"/>
      <c r="AU882" s="45" t="n"/>
    </row>
    <row r="883">
      <c r="B883" s="39" t="n"/>
      <c r="C883" s="39" t="n"/>
      <c r="D883" s="40" t="n"/>
      <c r="E883" s="39" t="n"/>
      <c r="F883" s="39" t="n"/>
      <c r="G883" s="112" t="n"/>
      <c r="H883" s="42" t="n"/>
      <c r="I883" s="42" t="n"/>
      <c r="J883" s="113" t="n"/>
      <c r="K883" s="39" t="n"/>
      <c r="L883" s="39" t="n"/>
      <c r="M883" s="39" t="n"/>
      <c r="N883" s="39" t="n"/>
      <c r="O883" s="39" t="n"/>
      <c r="P883" s="39" t="n"/>
      <c r="Q883" s="39" t="n"/>
      <c r="R883" s="39" t="n"/>
      <c r="S883" s="39" t="n"/>
      <c r="T883" s="39" t="n"/>
      <c r="U883" s="39" t="n"/>
      <c r="V883" s="39" t="n"/>
      <c r="W883" s="39" t="n"/>
      <c r="X883" s="39" t="n"/>
      <c r="Y883" s="39" t="n"/>
      <c r="Z883" s="39" t="n"/>
      <c r="AA883" s="39" t="n"/>
      <c r="AB883" s="39" t="n"/>
      <c r="AC883" s="39" t="n"/>
      <c r="AD883" s="39" t="n"/>
      <c r="AE883" s="39" t="n"/>
      <c r="AF883" s="39" t="n"/>
      <c r="AG883" s="39" t="n"/>
      <c r="AH883" s="39" t="n"/>
      <c r="AI883" s="39" t="n"/>
      <c r="AJ883" s="39" t="n"/>
      <c r="AK883" s="39" t="n"/>
      <c r="AL883" s="39" t="n"/>
      <c r="AM883" s="44" t="n"/>
      <c r="AN883" s="44" t="n"/>
      <c r="AO883" s="44" t="n"/>
      <c r="AP883" s="44" t="n"/>
      <c r="AQ883" s="44" t="n"/>
      <c r="AR883" s="44" t="n"/>
      <c r="AS883" s="45" t="n"/>
      <c r="AT883" s="45" t="n"/>
      <c r="AU883" s="45" t="n"/>
    </row>
    <row r="884">
      <c r="B884" s="39" t="n"/>
      <c r="C884" s="39" t="n"/>
      <c r="D884" s="40" t="n"/>
      <c r="E884" s="39" t="n"/>
      <c r="F884" s="39" t="n"/>
      <c r="G884" s="112" t="n"/>
      <c r="H884" s="42" t="n"/>
      <c r="I884" s="42" t="n"/>
      <c r="J884" s="113" t="n"/>
      <c r="K884" s="39" t="n"/>
      <c r="L884" s="39" t="n"/>
      <c r="M884" s="39" t="n"/>
      <c r="N884" s="39" t="n"/>
      <c r="O884" s="39" t="n"/>
      <c r="P884" s="39" t="n"/>
      <c r="Q884" s="39" t="n"/>
      <c r="R884" s="39" t="n"/>
      <c r="S884" s="39" t="n"/>
      <c r="T884" s="39" t="n"/>
      <c r="U884" s="39" t="n"/>
      <c r="V884" s="39" t="n"/>
      <c r="W884" s="39" t="n"/>
      <c r="X884" s="39" t="n"/>
      <c r="Y884" s="39" t="n"/>
      <c r="Z884" s="39" t="n"/>
      <c r="AA884" s="39" t="n"/>
      <c r="AB884" s="39" t="n"/>
      <c r="AC884" s="39" t="n"/>
      <c r="AD884" s="39" t="n"/>
      <c r="AE884" s="39" t="n"/>
      <c r="AF884" s="39" t="n"/>
      <c r="AG884" s="39" t="n"/>
      <c r="AH884" s="39" t="n"/>
      <c r="AI884" s="39" t="n"/>
      <c r="AJ884" s="39" t="n"/>
      <c r="AK884" s="39" t="n"/>
      <c r="AL884" s="39" t="n"/>
      <c r="AM884" s="44" t="n"/>
      <c r="AN884" s="44" t="n"/>
      <c r="AO884" s="44" t="n"/>
      <c r="AP884" s="44" t="n"/>
      <c r="AQ884" s="44" t="n"/>
      <c r="AR884" s="44" t="n"/>
      <c r="AS884" s="45" t="n"/>
      <c r="AT884" s="45" t="n"/>
      <c r="AU884" s="45" t="n"/>
    </row>
    <row r="885">
      <c r="B885" s="39" t="n"/>
      <c r="C885" s="39" t="n"/>
      <c r="D885" s="40" t="n"/>
      <c r="E885" s="39" t="n"/>
      <c r="F885" s="39" t="n"/>
      <c r="G885" s="112" t="n"/>
      <c r="H885" s="42" t="n"/>
      <c r="I885" s="42" t="n"/>
      <c r="J885" s="113" t="n"/>
      <c r="K885" s="39" t="n"/>
      <c r="L885" s="39" t="n"/>
      <c r="M885" s="39" t="n"/>
      <c r="N885" s="39" t="n"/>
      <c r="O885" s="39" t="n"/>
      <c r="P885" s="39" t="n"/>
      <c r="Q885" s="39" t="n"/>
      <c r="R885" s="39" t="n"/>
      <c r="S885" s="39" t="n"/>
      <c r="T885" s="39" t="n"/>
      <c r="U885" s="39" t="n"/>
      <c r="V885" s="39" t="n"/>
      <c r="W885" s="39" t="n"/>
      <c r="X885" s="39" t="n"/>
      <c r="Y885" s="39" t="n"/>
      <c r="Z885" s="39" t="n"/>
      <c r="AA885" s="39" t="n"/>
      <c r="AB885" s="39" t="n"/>
      <c r="AC885" s="39" t="n"/>
      <c r="AD885" s="39" t="n"/>
      <c r="AE885" s="39" t="n"/>
      <c r="AF885" s="39" t="n"/>
      <c r="AG885" s="39" t="n"/>
      <c r="AH885" s="39" t="n"/>
      <c r="AI885" s="39" t="n"/>
      <c r="AJ885" s="39" t="n"/>
      <c r="AK885" s="39" t="n"/>
      <c r="AL885" s="39" t="n"/>
      <c r="AM885" s="44" t="n"/>
      <c r="AN885" s="44" t="n"/>
      <c r="AO885" s="44" t="n"/>
      <c r="AP885" s="44" t="n"/>
      <c r="AQ885" s="44" t="n"/>
      <c r="AR885" s="44" t="n"/>
      <c r="AS885" s="45" t="n"/>
      <c r="AT885" s="45" t="n"/>
      <c r="AU885" s="45" t="n"/>
    </row>
    <row r="886">
      <c r="B886" s="39" t="n"/>
      <c r="C886" s="39" t="n"/>
      <c r="D886" s="40" t="n"/>
      <c r="E886" s="39" t="n"/>
      <c r="F886" s="39" t="n"/>
      <c r="G886" s="112" t="n"/>
      <c r="H886" s="42" t="n"/>
      <c r="I886" s="42" t="n"/>
      <c r="J886" s="113" t="n"/>
      <c r="K886" s="39" t="n"/>
      <c r="L886" s="39" t="n"/>
      <c r="M886" s="39" t="n"/>
      <c r="N886" s="39" t="n"/>
      <c r="O886" s="39" t="n"/>
      <c r="P886" s="39" t="n"/>
      <c r="Q886" s="39" t="n"/>
      <c r="R886" s="39" t="n"/>
      <c r="S886" s="39" t="n"/>
      <c r="T886" s="39" t="n"/>
      <c r="U886" s="39" t="n"/>
      <c r="V886" s="39" t="n"/>
      <c r="W886" s="39" t="n"/>
      <c r="X886" s="39" t="n"/>
      <c r="Y886" s="39" t="n"/>
      <c r="Z886" s="39" t="n"/>
      <c r="AA886" s="39" t="n"/>
      <c r="AB886" s="39" t="n"/>
      <c r="AC886" s="39" t="n"/>
      <c r="AD886" s="39" t="n"/>
      <c r="AE886" s="39" t="n"/>
      <c r="AF886" s="39" t="n"/>
      <c r="AG886" s="39" t="n"/>
      <c r="AH886" s="39" t="n"/>
      <c r="AI886" s="39" t="n"/>
      <c r="AJ886" s="39" t="n"/>
      <c r="AK886" s="39" t="n"/>
      <c r="AL886" s="39" t="n"/>
      <c r="AM886" s="44" t="n"/>
      <c r="AN886" s="44" t="n"/>
      <c r="AO886" s="44" t="n"/>
      <c r="AP886" s="44" t="n"/>
      <c r="AQ886" s="44" t="n"/>
      <c r="AR886" s="44" t="n"/>
      <c r="AS886" s="45" t="n"/>
      <c r="AT886" s="45" t="n"/>
      <c r="AU886" s="45" t="n"/>
    </row>
    <row r="887">
      <c r="B887" s="39" t="n"/>
      <c r="C887" s="39" t="n"/>
      <c r="D887" s="40" t="n"/>
      <c r="E887" s="39" t="n"/>
      <c r="F887" s="39" t="n"/>
      <c r="G887" s="112" t="n"/>
      <c r="H887" s="42" t="n"/>
      <c r="I887" s="42" t="n"/>
      <c r="J887" s="113" t="n"/>
      <c r="K887" s="39" t="n"/>
      <c r="L887" s="39" t="n"/>
      <c r="M887" s="39" t="n"/>
      <c r="N887" s="39" t="n"/>
      <c r="O887" s="39" t="n"/>
      <c r="P887" s="39" t="n"/>
      <c r="Q887" s="39" t="n"/>
      <c r="R887" s="39" t="n"/>
      <c r="S887" s="39" t="n"/>
      <c r="T887" s="39" t="n"/>
      <c r="U887" s="39" t="n"/>
      <c r="V887" s="39" t="n"/>
      <c r="W887" s="39" t="n"/>
      <c r="X887" s="39" t="n"/>
      <c r="Y887" s="39" t="n"/>
      <c r="Z887" s="39" t="n"/>
      <c r="AA887" s="39" t="n"/>
      <c r="AB887" s="39" t="n"/>
      <c r="AC887" s="39" t="n"/>
      <c r="AD887" s="39" t="n"/>
      <c r="AE887" s="39" t="n"/>
      <c r="AF887" s="39" t="n"/>
      <c r="AG887" s="39" t="n"/>
      <c r="AH887" s="39" t="n"/>
      <c r="AI887" s="39" t="n"/>
      <c r="AJ887" s="39" t="n"/>
      <c r="AK887" s="39" t="n"/>
      <c r="AL887" s="39" t="n"/>
      <c r="AM887" s="44" t="n"/>
      <c r="AN887" s="44" t="n"/>
      <c r="AO887" s="44" t="n"/>
      <c r="AP887" s="44" t="n"/>
      <c r="AQ887" s="44" t="n"/>
      <c r="AR887" s="44" t="n"/>
      <c r="AS887" s="45" t="n"/>
      <c r="AT887" s="45" t="n"/>
      <c r="AU887" s="45" t="n"/>
    </row>
    <row r="888">
      <c r="B888" s="39" t="n"/>
      <c r="C888" s="39" t="n"/>
      <c r="D888" s="40" t="n"/>
      <c r="E888" s="39" t="n"/>
      <c r="F888" s="39" t="n"/>
      <c r="G888" s="112" t="n"/>
      <c r="H888" s="42" t="n"/>
      <c r="I888" s="42" t="n"/>
      <c r="J888" s="113" t="n"/>
      <c r="K888" s="39" t="n"/>
      <c r="L888" s="39" t="n"/>
      <c r="M888" s="39" t="n"/>
      <c r="N888" s="39" t="n"/>
      <c r="O888" s="39" t="n"/>
      <c r="P888" s="39" t="n"/>
      <c r="Q888" s="39" t="n"/>
      <c r="R888" s="39" t="n"/>
      <c r="S888" s="39" t="n"/>
      <c r="T888" s="39" t="n"/>
      <c r="U888" s="39" t="n"/>
      <c r="V888" s="39" t="n"/>
      <c r="W888" s="39" t="n"/>
      <c r="X888" s="39" t="n"/>
      <c r="Y888" s="39" t="n"/>
      <c r="Z888" s="39" t="n"/>
      <c r="AA888" s="39" t="n"/>
      <c r="AB888" s="39" t="n"/>
      <c r="AC888" s="39" t="n"/>
      <c r="AD888" s="39" t="n"/>
      <c r="AE888" s="39" t="n"/>
      <c r="AF888" s="39" t="n"/>
      <c r="AG888" s="39" t="n"/>
      <c r="AH888" s="39" t="n"/>
      <c r="AI888" s="39" t="n"/>
      <c r="AJ888" s="39" t="n"/>
      <c r="AK888" s="39" t="n"/>
      <c r="AL888" s="39" t="n"/>
      <c r="AM888" s="44" t="n"/>
      <c r="AN888" s="44" t="n"/>
      <c r="AO888" s="44" t="n"/>
      <c r="AP888" s="44" t="n"/>
      <c r="AQ888" s="44" t="n"/>
      <c r="AR888" s="44" t="n"/>
      <c r="AS888" s="45" t="n"/>
      <c r="AT888" s="45" t="n"/>
      <c r="AU888" s="45" t="n"/>
    </row>
    <row r="889">
      <c r="B889" s="39" t="n"/>
      <c r="C889" s="39" t="n"/>
      <c r="D889" s="40" t="n"/>
      <c r="E889" s="39" t="n"/>
      <c r="F889" s="39" t="n"/>
      <c r="G889" s="112" t="n"/>
      <c r="H889" s="42" t="n"/>
      <c r="I889" s="42" t="n"/>
      <c r="J889" s="113" t="n"/>
      <c r="K889" s="39" t="n"/>
      <c r="L889" s="39" t="n"/>
      <c r="M889" s="39" t="n"/>
      <c r="N889" s="39" t="n"/>
      <c r="O889" s="39" t="n"/>
      <c r="P889" s="39" t="n"/>
      <c r="Q889" s="39" t="n"/>
      <c r="R889" s="39" t="n"/>
      <c r="S889" s="39" t="n"/>
      <c r="T889" s="39" t="n"/>
      <c r="U889" s="39" t="n"/>
      <c r="V889" s="39" t="n"/>
      <c r="W889" s="39" t="n"/>
      <c r="X889" s="39" t="n"/>
      <c r="Y889" s="39" t="n"/>
      <c r="Z889" s="39" t="n"/>
      <c r="AA889" s="39" t="n"/>
      <c r="AB889" s="39" t="n"/>
      <c r="AC889" s="39" t="n"/>
      <c r="AD889" s="39" t="n"/>
      <c r="AE889" s="39" t="n"/>
      <c r="AF889" s="39" t="n"/>
      <c r="AG889" s="39" t="n"/>
      <c r="AH889" s="39" t="n"/>
      <c r="AI889" s="39" t="n"/>
      <c r="AJ889" s="39" t="n"/>
      <c r="AK889" s="39" t="n"/>
      <c r="AL889" s="39" t="n"/>
      <c r="AM889" s="44" t="n"/>
      <c r="AN889" s="44" t="n"/>
      <c r="AO889" s="44" t="n"/>
      <c r="AP889" s="44" t="n"/>
      <c r="AQ889" s="44" t="n"/>
      <c r="AR889" s="44" t="n"/>
      <c r="AS889" s="45" t="n"/>
      <c r="AT889" s="45" t="n"/>
      <c r="AU889" s="45" t="n"/>
    </row>
    <row r="890">
      <c r="B890" s="39" t="n"/>
      <c r="C890" s="39" t="n"/>
      <c r="D890" s="40" t="n"/>
      <c r="E890" s="39" t="n"/>
      <c r="F890" s="39" t="n"/>
      <c r="G890" s="112" t="n"/>
      <c r="H890" s="42" t="n"/>
      <c r="I890" s="42" t="n"/>
      <c r="J890" s="113" t="n"/>
      <c r="K890" s="39" t="n"/>
      <c r="L890" s="39" t="n"/>
      <c r="M890" s="39" t="n"/>
      <c r="N890" s="39" t="n"/>
      <c r="O890" s="39" t="n"/>
      <c r="P890" s="39" t="n"/>
      <c r="Q890" s="39" t="n"/>
      <c r="R890" s="39" t="n"/>
      <c r="S890" s="39" t="n"/>
      <c r="T890" s="39" t="n"/>
      <c r="U890" s="39" t="n"/>
      <c r="V890" s="39" t="n"/>
      <c r="W890" s="39" t="n"/>
      <c r="X890" s="39" t="n"/>
      <c r="Y890" s="39" t="n"/>
      <c r="Z890" s="39" t="n"/>
      <c r="AA890" s="39" t="n"/>
      <c r="AB890" s="39" t="n"/>
      <c r="AC890" s="39" t="n"/>
      <c r="AD890" s="39" t="n"/>
      <c r="AE890" s="39" t="n"/>
      <c r="AF890" s="39" t="n"/>
      <c r="AG890" s="39" t="n"/>
      <c r="AH890" s="39" t="n"/>
      <c r="AI890" s="39" t="n"/>
      <c r="AJ890" s="39" t="n"/>
      <c r="AK890" s="39" t="n"/>
      <c r="AL890" s="39" t="n"/>
      <c r="AM890" s="44" t="n"/>
      <c r="AN890" s="44" t="n"/>
      <c r="AO890" s="44" t="n"/>
      <c r="AP890" s="44" t="n"/>
      <c r="AQ890" s="44" t="n"/>
      <c r="AR890" s="44" t="n"/>
      <c r="AS890" s="45" t="n"/>
      <c r="AT890" s="45" t="n"/>
      <c r="AU890" s="45" t="n"/>
    </row>
    <row r="891">
      <c r="B891" s="39" t="n"/>
      <c r="C891" s="39" t="n"/>
      <c r="D891" s="40" t="n"/>
      <c r="E891" s="39" t="n"/>
      <c r="F891" s="39" t="n"/>
      <c r="G891" s="112" t="n"/>
      <c r="H891" s="42" t="n"/>
      <c r="I891" s="42" t="n"/>
      <c r="J891" s="113" t="n"/>
      <c r="K891" s="39" t="n"/>
      <c r="L891" s="39" t="n"/>
      <c r="M891" s="39" t="n"/>
      <c r="N891" s="39" t="n"/>
      <c r="O891" s="39" t="n"/>
      <c r="P891" s="39" t="n"/>
      <c r="Q891" s="39" t="n"/>
      <c r="R891" s="39" t="n"/>
      <c r="S891" s="39" t="n"/>
      <c r="T891" s="39" t="n"/>
      <c r="U891" s="39" t="n"/>
      <c r="V891" s="39" t="n"/>
      <c r="W891" s="39" t="n"/>
      <c r="X891" s="39" t="n"/>
      <c r="Y891" s="39" t="n"/>
      <c r="Z891" s="39" t="n"/>
      <c r="AA891" s="39" t="n"/>
      <c r="AB891" s="39" t="n"/>
      <c r="AC891" s="39" t="n"/>
      <c r="AD891" s="39" t="n"/>
      <c r="AE891" s="39" t="n"/>
      <c r="AF891" s="39" t="n"/>
      <c r="AG891" s="39" t="n"/>
      <c r="AH891" s="39" t="n"/>
      <c r="AI891" s="39" t="n"/>
      <c r="AJ891" s="39" t="n"/>
      <c r="AK891" s="39" t="n"/>
      <c r="AL891" s="39" t="n"/>
      <c r="AM891" s="44" t="n"/>
      <c r="AN891" s="44" t="n"/>
      <c r="AO891" s="44" t="n"/>
      <c r="AP891" s="44" t="n"/>
      <c r="AQ891" s="44" t="n"/>
      <c r="AR891" s="44" t="n"/>
      <c r="AS891" s="45" t="n"/>
      <c r="AT891" s="45" t="n"/>
      <c r="AU891" s="45" t="n"/>
    </row>
    <row r="892">
      <c r="B892" s="39" t="n"/>
      <c r="C892" s="39" t="n"/>
      <c r="D892" s="40" t="n"/>
      <c r="E892" s="39" t="n"/>
      <c r="F892" s="39" t="n"/>
      <c r="G892" s="112" t="n"/>
      <c r="H892" s="42" t="n"/>
      <c r="I892" s="42" t="n"/>
      <c r="J892" s="113" t="n"/>
      <c r="K892" s="39" t="n"/>
      <c r="L892" s="39" t="n"/>
      <c r="M892" s="39" t="n"/>
      <c r="N892" s="39" t="n"/>
      <c r="O892" s="39" t="n"/>
      <c r="P892" s="39" t="n"/>
      <c r="Q892" s="39" t="n"/>
      <c r="R892" s="39" t="n"/>
      <c r="S892" s="39" t="n"/>
      <c r="T892" s="39" t="n"/>
      <c r="U892" s="39" t="n"/>
      <c r="V892" s="39" t="n"/>
      <c r="W892" s="39" t="n"/>
      <c r="X892" s="39" t="n"/>
      <c r="Y892" s="39" t="n"/>
      <c r="Z892" s="39" t="n"/>
      <c r="AA892" s="39" t="n"/>
      <c r="AB892" s="39" t="n"/>
      <c r="AC892" s="39" t="n"/>
      <c r="AD892" s="39" t="n"/>
      <c r="AE892" s="39" t="n"/>
      <c r="AF892" s="39" t="n"/>
      <c r="AG892" s="39" t="n"/>
      <c r="AH892" s="39" t="n"/>
      <c r="AI892" s="39" t="n"/>
      <c r="AJ892" s="39" t="n"/>
      <c r="AK892" s="39" t="n"/>
      <c r="AL892" s="39" t="n"/>
      <c r="AM892" s="44" t="n"/>
      <c r="AN892" s="44" t="n"/>
      <c r="AO892" s="44" t="n"/>
      <c r="AP892" s="44" t="n"/>
      <c r="AQ892" s="44" t="n"/>
      <c r="AR892" s="44" t="n"/>
      <c r="AS892" s="45" t="n"/>
      <c r="AT892" s="45" t="n"/>
      <c r="AU892" s="45" t="n"/>
    </row>
    <row r="893">
      <c r="B893" s="39" t="n"/>
      <c r="C893" s="39" t="n"/>
      <c r="D893" s="40" t="n"/>
      <c r="E893" s="39" t="n"/>
      <c r="F893" s="39" t="n"/>
      <c r="G893" s="112" t="n"/>
      <c r="H893" s="42" t="n"/>
      <c r="I893" s="42" t="n"/>
      <c r="J893" s="113" t="n"/>
      <c r="K893" s="39" t="n"/>
      <c r="L893" s="39" t="n"/>
      <c r="M893" s="39" t="n"/>
      <c r="N893" s="39" t="n"/>
      <c r="O893" s="39" t="n"/>
      <c r="P893" s="39" t="n"/>
      <c r="Q893" s="39" t="n"/>
      <c r="R893" s="39" t="n"/>
      <c r="S893" s="39" t="n"/>
      <c r="T893" s="39" t="n"/>
      <c r="U893" s="39" t="n"/>
      <c r="V893" s="39" t="n"/>
      <c r="W893" s="39" t="n"/>
      <c r="X893" s="39" t="n"/>
      <c r="Y893" s="39" t="n"/>
      <c r="Z893" s="39" t="n"/>
      <c r="AA893" s="39" t="n"/>
      <c r="AB893" s="39" t="n"/>
      <c r="AC893" s="39" t="n"/>
      <c r="AD893" s="39" t="n"/>
      <c r="AE893" s="39" t="n"/>
      <c r="AF893" s="39" t="n"/>
      <c r="AG893" s="39" t="n"/>
      <c r="AH893" s="39" t="n"/>
      <c r="AI893" s="39" t="n"/>
      <c r="AJ893" s="39" t="n"/>
      <c r="AK893" s="39" t="n"/>
      <c r="AL893" s="39" t="n"/>
      <c r="AM893" s="44" t="n"/>
      <c r="AN893" s="44" t="n"/>
      <c r="AO893" s="44" t="n"/>
      <c r="AP893" s="44" t="n"/>
      <c r="AQ893" s="44" t="n"/>
      <c r="AR893" s="44" t="n"/>
      <c r="AS893" s="45" t="n"/>
      <c r="AT893" s="45" t="n"/>
      <c r="AU893" s="45" t="n"/>
    </row>
    <row r="894">
      <c r="B894" s="39" t="n"/>
      <c r="C894" s="39" t="n"/>
      <c r="D894" s="40" t="n"/>
      <c r="E894" s="39" t="n"/>
      <c r="F894" s="39" t="n"/>
      <c r="G894" s="112" t="n"/>
      <c r="H894" s="42" t="n"/>
      <c r="I894" s="42" t="n"/>
      <c r="J894" s="113" t="n"/>
      <c r="K894" s="39" t="n"/>
      <c r="L894" s="39" t="n"/>
      <c r="M894" s="39" t="n"/>
      <c r="N894" s="39" t="n"/>
      <c r="O894" s="39" t="n"/>
      <c r="P894" s="39" t="n"/>
      <c r="Q894" s="39" t="n"/>
      <c r="R894" s="39" t="n"/>
      <c r="S894" s="39" t="n"/>
      <c r="T894" s="39" t="n"/>
      <c r="U894" s="39" t="n"/>
      <c r="V894" s="39" t="n"/>
      <c r="W894" s="39" t="n"/>
      <c r="X894" s="39" t="n"/>
      <c r="Y894" s="39" t="n"/>
      <c r="Z894" s="39" t="n"/>
      <c r="AA894" s="39" t="n"/>
      <c r="AB894" s="39" t="n"/>
      <c r="AC894" s="39" t="n"/>
      <c r="AD894" s="39" t="n"/>
      <c r="AE894" s="39" t="n"/>
      <c r="AF894" s="39" t="n"/>
      <c r="AG894" s="39" t="n"/>
      <c r="AH894" s="39" t="n"/>
      <c r="AI894" s="39" t="n"/>
      <c r="AJ894" s="39" t="n"/>
      <c r="AK894" s="39" t="n"/>
      <c r="AL894" s="39" t="n"/>
      <c r="AM894" s="44" t="n"/>
      <c r="AN894" s="44" t="n"/>
      <c r="AO894" s="44" t="n"/>
      <c r="AP894" s="44" t="n"/>
      <c r="AQ894" s="44" t="n"/>
      <c r="AR894" s="44" t="n"/>
      <c r="AS894" s="45" t="n"/>
      <c r="AT894" s="45" t="n"/>
      <c r="AU894" s="45" t="n"/>
    </row>
    <row r="895">
      <c r="B895" s="39" t="n"/>
      <c r="C895" s="39" t="n"/>
      <c r="D895" s="40" t="n"/>
      <c r="E895" s="39" t="n"/>
      <c r="F895" s="39" t="n"/>
      <c r="G895" s="112" t="n"/>
      <c r="H895" s="42" t="n"/>
      <c r="I895" s="42" t="n"/>
      <c r="J895" s="113" t="n"/>
      <c r="K895" s="39" t="n"/>
      <c r="L895" s="39" t="n"/>
      <c r="M895" s="39" t="n"/>
      <c r="N895" s="39" t="n"/>
      <c r="O895" s="39" t="n"/>
      <c r="P895" s="39" t="n"/>
      <c r="Q895" s="39" t="n"/>
      <c r="R895" s="39" t="n"/>
      <c r="S895" s="39" t="n"/>
      <c r="T895" s="39" t="n"/>
      <c r="U895" s="39" t="n"/>
      <c r="V895" s="39" t="n"/>
      <c r="W895" s="39" t="n"/>
      <c r="X895" s="39" t="n"/>
      <c r="Y895" s="39" t="n"/>
      <c r="Z895" s="39" t="n"/>
      <c r="AA895" s="39" t="n"/>
      <c r="AB895" s="39" t="n"/>
      <c r="AC895" s="39" t="n"/>
      <c r="AD895" s="39" t="n"/>
      <c r="AE895" s="39" t="n"/>
      <c r="AF895" s="39" t="n"/>
      <c r="AG895" s="39" t="n"/>
      <c r="AH895" s="39" t="n"/>
      <c r="AI895" s="39" t="n"/>
      <c r="AJ895" s="39" t="n"/>
      <c r="AK895" s="39" t="n"/>
      <c r="AL895" s="39" t="n"/>
      <c r="AM895" s="44" t="n"/>
      <c r="AN895" s="44" t="n"/>
      <c r="AO895" s="44" t="n"/>
      <c r="AP895" s="44" t="n"/>
      <c r="AQ895" s="44" t="n"/>
      <c r="AR895" s="44" t="n"/>
      <c r="AS895" s="45" t="n"/>
      <c r="AT895" s="45" t="n"/>
      <c r="AU895" s="45" t="n"/>
    </row>
    <row r="896">
      <c r="B896" s="39" t="n"/>
      <c r="C896" s="39" t="n"/>
      <c r="D896" s="40" t="n"/>
      <c r="E896" s="39" t="n"/>
      <c r="F896" s="39" t="n"/>
      <c r="G896" s="112" t="n"/>
      <c r="H896" s="42" t="n"/>
      <c r="I896" s="42" t="n"/>
      <c r="J896" s="113" t="n"/>
      <c r="K896" s="39" t="n"/>
      <c r="L896" s="39" t="n"/>
      <c r="M896" s="39" t="n"/>
      <c r="N896" s="39" t="n"/>
      <c r="O896" s="39" t="n"/>
      <c r="P896" s="39" t="n"/>
      <c r="Q896" s="39" t="n"/>
      <c r="R896" s="39" t="n"/>
      <c r="S896" s="39" t="n"/>
      <c r="T896" s="39" t="n"/>
      <c r="U896" s="39" t="n"/>
      <c r="V896" s="39" t="n"/>
      <c r="W896" s="39" t="n"/>
      <c r="X896" s="39" t="n"/>
      <c r="Y896" s="39" t="n"/>
      <c r="Z896" s="39" t="n"/>
      <c r="AA896" s="39" t="n"/>
      <c r="AB896" s="39" t="n"/>
      <c r="AC896" s="39" t="n"/>
      <c r="AD896" s="39" t="n"/>
      <c r="AE896" s="39" t="n"/>
      <c r="AF896" s="39" t="n"/>
      <c r="AG896" s="39" t="n"/>
      <c r="AH896" s="39" t="n"/>
      <c r="AI896" s="39" t="n"/>
      <c r="AJ896" s="39" t="n"/>
      <c r="AK896" s="39" t="n"/>
      <c r="AL896" s="39" t="n"/>
      <c r="AM896" s="44" t="n"/>
      <c r="AN896" s="44" t="n"/>
      <c r="AO896" s="44" t="n"/>
      <c r="AP896" s="44" t="n"/>
      <c r="AQ896" s="44" t="n"/>
      <c r="AR896" s="44" t="n"/>
      <c r="AS896" s="45" t="n"/>
      <c r="AT896" s="45" t="n"/>
      <c r="AU896" s="45" t="n"/>
    </row>
    <row r="897">
      <c r="B897" s="39" t="n"/>
      <c r="C897" s="39" t="n"/>
      <c r="D897" s="40" t="n"/>
      <c r="E897" s="39" t="n"/>
      <c r="F897" s="39" t="n"/>
      <c r="G897" s="112" t="n"/>
      <c r="H897" s="42" t="n"/>
      <c r="I897" s="42" t="n"/>
      <c r="J897" s="113" t="n"/>
      <c r="K897" s="39" t="n"/>
      <c r="L897" s="39" t="n"/>
      <c r="M897" s="39" t="n"/>
      <c r="N897" s="39" t="n"/>
      <c r="O897" s="39" t="n"/>
      <c r="P897" s="39" t="n"/>
      <c r="Q897" s="39" t="n"/>
      <c r="R897" s="39" t="n"/>
      <c r="S897" s="39" t="n"/>
      <c r="T897" s="39" t="n"/>
      <c r="U897" s="39" t="n"/>
      <c r="V897" s="39" t="n"/>
      <c r="W897" s="39" t="n"/>
      <c r="X897" s="39" t="n"/>
      <c r="Y897" s="39" t="n"/>
      <c r="Z897" s="39" t="n"/>
      <c r="AA897" s="39" t="n"/>
      <c r="AB897" s="39" t="n"/>
      <c r="AC897" s="39" t="n"/>
      <c r="AD897" s="39" t="n"/>
      <c r="AE897" s="39" t="n"/>
      <c r="AF897" s="39" t="n"/>
      <c r="AG897" s="39" t="n"/>
      <c r="AH897" s="39" t="n"/>
      <c r="AI897" s="39" t="n"/>
      <c r="AJ897" s="39" t="n"/>
      <c r="AK897" s="39" t="n"/>
      <c r="AL897" s="39" t="n"/>
      <c r="AM897" s="44" t="n"/>
      <c r="AN897" s="44" t="n"/>
      <c r="AO897" s="44" t="n"/>
      <c r="AP897" s="44" t="n"/>
      <c r="AQ897" s="44" t="n"/>
      <c r="AR897" s="44" t="n"/>
      <c r="AS897" s="45" t="n"/>
      <c r="AT897" s="45" t="n"/>
      <c r="AU897" s="45" t="n"/>
    </row>
    <row r="898">
      <c r="B898" s="39" t="n"/>
      <c r="C898" s="39" t="n"/>
      <c r="D898" s="40" t="n"/>
      <c r="E898" s="39" t="n"/>
      <c r="F898" s="39" t="n"/>
      <c r="G898" s="112" t="n"/>
      <c r="H898" s="42" t="n"/>
      <c r="I898" s="42" t="n"/>
      <c r="J898" s="113" t="n"/>
      <c r="K898" s="39" t="n"/>
      <c r="L898" s="39" t="n"/>
      <c r="M898" s="39" t="n"/>
      <c r="N898" s="39" t="n"/>
      <c r="O898" s="39" t="n"/>
      <c r="P898" s="39" t="n"/>
      <c r="Q898" s="39" t="n"/>
      <c r="R898" s="39" t="n"/>
      <c r="S898" s="39" t="n"/>
      <c r="T898" s="39" t="n"/>
      <c r="U898" s="39" t="n"/>
      <c r="V898" s="39" t="n"/>
      <c r="W898" s="39" t="n"/>
      <c r="X898" s="39" t="n"/>
      <c r="Y898" s="39" t="n"/>
      <c r="Z898" s="39" t="n"/>
      <c r="AA898" s="39" t="n"/>
      <c r="AB898" s="39" t="n"/>
      <c r="AC898" s="39" t="n"/>
      <c r="AD898" s="39" t="n"/>
      <c r="AE898" s="39" t="n"/>
      <c r="AF898" s="39" t="n"/>
      <c r="AG898" s="39" t="n"/>
      <c r="AH898" s="39" t="n"/>
      <c r="AI898" s="39" t="n"/>
      <c r="AJ898" s="39" t="n"/>
      <c r="AK898" s="39" t="n"/>
      <c r="AL898" s="39" t="n"/>
      <c r="AM898" s="44" t="n"/>
      <c r="AN898" s="44" t="n"/>
      <c r="AO898" s="44" t="n"/>
      <c r="AP898" s="44" t="n"/>
      <c r="AQ898" s="44" t="n"/>
      <c r="AR898" s="44" t="n"/>
      <c r="AS898" s="45" t="n"/>
      <c r="AT898" s="45" t="n"/>
      <c r="AU898" s="45" t="n"/>
    </row>
    <row r="899">
      <c r="B899" s="39" t="n"/>
      <c r="C899" s="39" t="n"/>
      <c r="D899" s="40" t="n"/>
      <c r="E899" s="39" t="n"/>
      <c r="F899" s="39" t="n"/>
      <c r="G899" s="112" t="n"/>
      <c r="H899" s="42" t="n"/>
      <c r="I899" s="42" t="n"/>
      <c r="J899" s="113" t="n"/>
      <c r="K899" s="39" t="n"/>
      <c r="L899" s="39" t="n"/>
      <c r="M899" s="39" t="n"/>
      <c r="N899" s="39" t="n"/>
      <c r="O899" s="39" t="n"/>
      <c r="P899" s="39" t="n"/>
      <c r="Q899" s="39" t="n"/>
      <c r="R899" s="39" t="n"/>
      <c r="S899" s="39" t="n"/>
      <c r="T899" s="39" t="n"/>
      <c r="U899" s="39" t="n"/>
      <c r="V899" s="39" t="n"/>
      <c r="W899" s="39" t="n"/>
      <c r="X899" s="39" t="n"/>
      <c r="Y899" s="39" t="n"/>
      <c r="Z899" s="39" t="n"/>
      <c r="AA899" s="39" t="n"/>
      <c r="AB899" s="39" t="n"/>
      <c r="AC899" s="39" t="n"/>
      <c r="AD899" s="39" t="n"/>
      <c r="AE899" s="39" t="n"/>
      <c r="AF899" s="39" t="n"/>
      <c r="AG899" s="39" t="n"/>
      <c r="AH899" s="39" t="n"/>
      <c r="AI899" s="39" t="n"/>
      <c r="AJ899" s="39" t="n"/>
      <c r="AK899" s="39" t="n"/>
      <c r="AL899" s="39" t="n"/>
      <c r="AM899" s="44" t="n"/>
      <c r="AN899" s="44" t="n"/>
      <c r="AO899" s="44" t="n"/>
      <c r="AP899" s="44" t="n"/>
      <c r="AQ899" s="44" t="n"/>
      <c r="AR899" s="44" t="n"/>
      <c r="AS899" s="45" t="n"/>
      <c r="AT899" s="45" t="n"/>
      <c r="AU899" s="45" t="n"/>
    </row>
    <row r="900">
      <c r="B900" s="39" t="n"/>
      <c r="C900" s="39" t="n"/>
      <c r="D900" s="40" t="n"/>
      <c r="E900" s="39" t="n"/>
      <c r="F900" s="39" t="n"/>
      <c r="G900" s="112" t="n"/>
      <c r="H900" s="42" t="n"/>
      <c r="I900" s="42" t="n"/>
      <c r="J900" s="113" t="n"/>
      <c r="K900" s="39" t="n"/>
      <c r="L900" s="39" t="n"/>
      <c r="M900" s="39" t="n"/>
      <c r="N900" s="39" t="n"/>
      <c r="O900" s="39" t="n"/>
      <c r="P900" s="39" t="n"/>
      <c r="Q900" s="39" t="n"/>
      <c r="R900" s="39" t="n"/>
      <c r="S900" s="39" t="n"/>
      <c r="T900" s="39" t="n"/>
      <c r="U900" s="39" t="n"/>
      <c r="V900" s="39" t="n"/>
      <c r="W900" s="39" t="n"/>
      <c r="X900" s="39" t="n"/>
      <c r="Y900" s="39" t="n"/>
      <c r="Z900" s="39" t="n"/>
      <c r="AA900" s="39" t="n"/>
      <c r="AB900" s="39" t="n"/>
      <c r="AC900" s="39" t="n"/>
      <c r="AD900" s="39" t="n"/>
      <c r="AE900" s="39" t="n"/>
      <c r="AF900" s="39" t="n"/>
      <c r="AG900" s="39" t="n"/>
      <c r="AH900" s="39" t="n"/>
      <c r="AI900" s="39" t="n"/>
      <c r="AJ900" s="39" t="n"/>
      <c r="AK900" s="39" t="n"/>
      <c r="AL900" s="39" t="n"/>
      <c r="AM900" s="44" t="n"/>
      <c r="AN900" s="44" t="n"/>
      <c r="AO900" s="44" t="n"/>
      <c r="AP900" s="44" t="n"/>
      <c r="AQ900" s="44" t="n"/>
      <c r="AR900" s="44" t="n"/>
      <c r="AS900" s="45" t="n"/>
      <c r="AT900" s="45" t="n"/>
      <c r="AU900" s="45" t="n"/>
    </row>
    <row r="901">
      <c r="B901" s="39" t="n"/>
      <c r="C901" s="39" t="n"/>
      <c r="D901" s="40" t="n"/>
      <c r="E901" s="39" t="n"/>
      <c r="F901" s="39" t="n"/>
      <c r="G901" s="112" t="n"/>
      <c r="H901" s="42" t="n"/>
      <c r="I901" s="42" t="n"/>
      <c r="J901" s="113" t="n"/>
      <c r="K901" s="39" t="n"/>
      <c r="L901" s="39" t="n"/>
      <c r="M901" s="39" t="n"/>
      <c r="N901" s="39" t="n"/>
      <c r="O901" s="39" t="n"/>
      <c r="P901" s="39" t="n"/>
      <c r="Q901" s="39" t="n"/>
      <c r="R901" s="39" t="n"/>
      <c r="S901" s="39" t="n"/>
      <c r="T901" s="39" t="n"/>
      <c r="U901" s="39" t="n"/>
      <c r="V901" s="39" t="n"/>
      <c r="W901" s="39" t="n"/>
      <c r="X901" s="39" t="n"/>
      <c r="Y901" s="39" t="n"/>
      <c r="Z901" s="39" t="n"/>
      <c r="AA901" s="39" t="n"/>
      <c r="AB901" s="39" t="n"/>
      <c r="AC901" s="39" t="n"/>
      <c r="AD901" s="39" t="n"/>
      <c r="AE901" s="39" t="n"/>
      <c r="AF901" s="39" t="n"/>
      <c r="AG901" s="39" t="n"/>
      <c r="AH901" s="39" t="n"/>
      <c r="AI901" s="39" t="n"/>
      <c r="AJ901" s="39" t="n"/>
      <c r="AK901" s="39" t="n"/>
      <c r="AL901" s="39" t="n"/>
      <c r="AM901" s="44" t="n"/>
      <c r="AN901" s="44" t="n"/>
      <c r="AO901" s="44" t="n"/>
      <c r="AP901" s="44" t="n"/>
      <c r="AQ901" s="44" t="n"/>
      <c r="AR901" s="44" t="n"/>
      <c r="AS901" s="45" t="n"/>
      <c r="AT901" s="45" t="n"/>
      <c r="AU901" s="45" t="n"/>
    </row>
    <row r="902">
      <c r="B902" s="39" t="n"/>
      <c r="C902" s="39" t="n"/>
      <c r="D902" s="40" t="n"/>
      <c r="E902" s="39" t="n"/>
      <c r="F902" s="39" t="n"/>
      <c r="G902" s="112" t="n"/>
      <c r="H902" s="42" t="n"/>
      <c r="I902" s="42" t="n"/>
      <c r="J902" s="113" t="n"/>
      <c r="K902" s="39" t="n"/>
      <c r="L902" s="39" t="n"/>
      <c r="M902" s="39" t="n"/>
      <c r="N902" s="39" t="n"/>
      <c r="O902" s="39" t="n"/>
      <c r="P902" s="39" t="n"/>
      <c r="Q902" s="39" t="n"/>
      <c r="R902" s="39" t="n"/>
      <c r="S902" s="39" t="n"/>
      <c r="T902" s="39" t="n"/>
      <c r="U902" s="39" t="n"/>
      <c r="V902" s="39" t="n"/>
      <c r="W902" s="39" t="n"/>
      <c r="X902" s="39" t="n"/>
      <c r="Y902" s="39" t="n"/>
      <c r="Z902" s="39" t="n"/>
      <c r="AA902" s="39" t="n"/>
      <c r="AB902" s="39" t="n"/>
      <c r="AC902" s="39" t="n"/>
      <c r="AD902" s="39" t="n"/>
      <c r="AE902" s="39" t="n"/>
      <c r="AF902" s="39" t="n"/>
      <c r="AG902" s="39" t="n"/>
      <c r="AH902" s="39" t="n"/>
      <c r="AI902" s="39" t="n"/>
      <c r="AJ902" s="39" t="n"/>
      <c r="AK902" s="39" t="n"/>
      <c r="AL902" s="39" t="n"/>
      <c r="AM902" s="44" t="n"/>
      <c r="AN902" s="44" t="n"/>
      <c r="AO902" s="44" t="n"/>
      <c r="AP902" s="44" t="n"/>
      <c r="AQ902" s="44" t="n"/>
      <c r="AR902" s="44" t="n"/>
      <c r="AS902" s="45" t="n"/>
      <c r="AT902" s="45" t="n"/>
      <c r="AU902" s="45" t="n"/>
    </row>
    <row r="903">
      <c r="B903" s="39" t="n"/>
      <c r="C903" s="39" t="n"/>
      <c r="D903" s="40" t="n"/>
      <c r="E903" s="39" t="n"/>
      <c r="F903" s="39" t="n"/>
      <c r="G903" s="112" t="n"/>
      <c r="H903" s="42" t="n"/>
      <c r="I903" s="42" t="n"/>
      <c r="J903" s="113" t="n"/>
      <c r="K903" s="39" t="n"/>
      <c r="L903" s="39" t="n"/>
      <c r="M903" s="39" t="n"/>
      <c r="N903" s="39" t="n"/>
      <c r="O903" s="39" t="n"/>
      <c r="P903" s="39" t="n"/>
      <c r="Q903" s="39" t="n"/>
      <c r="R903" s="39" t="n"/>
      <c r="S903" s="39" t="n"/>
      <c r="T903" s="39" t="n"/>
      <c r="U903" s="39" t="n"/>
      <c r="V903" s="39" t="n"/>
      <c r="W903" s="39" t="n"/>
      <c r="X903" s="39" t="n"/>
      <c r="Y903" s="39" t="n"/>
      <c r="Z903" s="39" t="n"/>
      <c r="AA903" s="39" t="n"/>
      <c r="AB903" s="39" t="n"/>
      <c r="AC903" s="39" t="n"/>
      <c r="AD903" s="39" t="n"/>
      <c r="AE903" s="39" t="n"/>
      <c r="AF903" s="39" t="n"/>
      <c r="AG903" s="39" t="n"/>
      <c r="AH903" s="39" t="n"/>
      <c r="AI903" s="39" t="n"/>
      <c r="AJ903" s="39" t="n"/>
      <c r="AK903" s="39" t="n"/>
      <c r="AL903" s="39" t="n"/>
      <c r="AM903" s="44" t="n"/>
      <c r="AN903" s="44" t="n"/>
      <c r="AO903" s="44" t="n"/>
      <c r="AP903" s="44" t="n"/>
      <c r="AQ903" s="44" t="n"/>
      <c r="AR903" s="44" t="n"/>
      <c r="AS903" s="45" t="n"/>
      <c r="AT903" s="45" t="n"/>
      <c r="AU903" s="45" t="n"/>
    </row>
    <row r="904">
      <c r="B904" s="39" t="n"/>
      <c r="C904" s="39" t="n"/>
      <c r="D904" s="40" t="n"/>
      <c r="E904" s="39" t="n"/>
      <c r="F904" s="39" t="n"/>
      <c r="G904" s="112" t="n"/>
      <c r="H904" s="42" t="n"/>
      <c r="I904" s="42" t="n"/>
      <c r="J904" s="113" t="n"/>
      <c r="K904" s="39" t="n"/>
      <c r="L904" s="39" t="n"/>
      <c r="M904" s="39" t="n"/>
      <c r="N904" s="39" t="n"/>
      <c r="O904" s="39" t="n"/>
      <c r="P904" s="39" t="n"/>
      <c r="Q904" s="39" t="n"/>
      <c r="R904" s="39" t="n"/>
      <c r="S904" s="39" t="n"/>
      <c r="T904" s="39" t="n"/>
      <c r="U904" s="39" t="n"/>
      <c r="V904" s="39" t="n"/>
      <c r="W904" s="39" t="n"/>
      <c r="X904" s="39" t="n"/>
      <c r="Y904" s="39" t="n"/>
      <c r="Z904" s="39" t="n"/>
      <c r="AA904" s="39" t="n"/>
      <c r="AB904" s="39" t="n"/>
      <c r="AC904" s="39" t="n"/>
      <c r="AD904" s="39" t="n"/>
      <c r="AE904" s="39" t="n"/>
      <c r="AF904" s="39" t="n"/>
      <c r="AG904" s="39" t="n"/>
      <c r="AH904" s="39" t="n"/>
      <c r="AI904" s="39" t="n"/>
      <c r="AJ904" s="39" t="n"/>
      <c r="AK904" s="39" t="n"/>
      <c r="AL904" s="39" t="n"/>
      <c r="AM904" s="44" t="n"/>
      <c r="AN904" s="44" t="n"/>
      <c r="AO904" s="44" t="n"/>
      <c r="AP904" s="44" t="n"/>
      <c r="AQ904" s="44" t="n"/>
      <c r="AR904" s="44" t="n"/>
      <c r="AS904" s="45" t="n"/>
      <c r="AT904" s="45" t="n"/>
      <c r="AU904" s="45" t="n"/>
    </row>
    <row r="905">
      <c r="B905" s="39" t="n"/>
      <c r="C905" s="39" t="n"/>
      <c r="D905" s="40" t="n"/>
      <c r="E905" s="39" t="n"/>
      <c r="F905" s="39" t="n"/>
      <c r="G905" s="112" t="n"/>
      <c r="H905" s="42" t="n"/>
      <c r="I905" s="42" t="n"/>
      <c r="J905" s="113" t="n"/>
      <c r="K905" s="39" t="n"/>
      <c r="L905" s="39" t="n"/>
      <c r="M905" s="39" t="n"/>
      <c r="N905" s="39" t="n"/>
      <c r="O905" s="39" t="n"/>
      <c r="P905" s="39" t="n"/>
      <c r="Q905" s="39" t="n"/>
      <c r="R905" s="39" t="n"/>
      <c r="S905" s="39" t="n"/>
      <c r="T905" s="39" t="n"/>
      <c r="U905" s="39" t="n"/>
      <c r="V905" s="39" t="n"/>
      <c r="W905" s="39" t="n"/>
      <c r="X905" s="39" t="n"/>
      <c r="Y905" s="39" t="n"/>
      <c r="Z905" s="39" t="n"/>
      <c r="AA905" s="39" t="n"/>
      <c r="AB905" s="39" t="n"/>
      <c r="AC905" s="39" t="n"/>
      <c r="AD905" s="39" t="n"/>
      <c r="AE905" s="39" t="n"/>
      <c r="AF905" s="39" t="n"/>
      <c r="AG905" s="39" t="n"/>
      <c r="AH905" s="39" t="n"/>
      <c r="AI905" s="39" t="n"/>
      <c r="AJ905" s="39" t="n"/>
      <c r="AK905" s="39" t="n"/>
      <c r="AL905" s="39" t="n"/>
      <c r="AM905" s="44" t="n"/>
      <c r="AN905" s="44" t="n"/>
      <c r="AO905" s="44" t="n"/>
      <c r="AP905" s="44" t="n"/>
      <c r="AQ905" s="44" t="n"/>
      <c r="AR905" s="44" t="n"/>
      <c r="AS905" s="45" t="n"/>
      <c r="AT905" s="45" t="n"/>
      <c r="AU905" s="45" t="n"/>
    </row>
    <row r="906">
      <c r="B906" s="39" t="n"/>
      <c r="C906" s="39" t="n"/>
      <c r="D906" s="40" t="n"/>
      <c r="E906" s="39" t="n"/>
      <c r="F906" s="39" t="n"/>
      <c r="G906" s="112" t="n"/>
      <c r="H906" s="42" t="n"/>
      <c r="I906" s="42" t="n"/>
      <c r="J906" s="113" t="n"/>
      <c r="K906" s="39" t="n"/>
      <c r="L906" s="39" t="n"/>
      <c r="M906" s="39" t="n"/>
      <c r="N906" s="39" t="n"/>
      <c r="O906" s="39" t="n"/>
      <c r="P906" s="39" t="n"/>
      <c r="Q906" s="39" t="n"/>
      <c r="R906" s="39" t="n"/>
      <c r="S906" s="39" t="n"/>
      <c r="T906" s="39" t="n"/>
      <c r="U906" s="39" t="n"/>
      <c r="V906" s="39" t="n"/>
      <c r="W906" s="39" t="n"/>
      <c r="X906" s="39" t="n"/>
      <c r="Y906" s="39" t="n"/>
      <c r="Z906" s="39" t="n"/>
      <c r="AA906" s="39" t="n"/>
      <c r="AB906" s="39" t="n"/>
      <c r="AC906" s="39" t="n"/>
      <c r="AD906" s="39" t="n"/>
      <c r="AE906" s="39" t="n"/>
      <c r="AF906" s="39" t="n"/>
      <c r="AG906" s="39" t="n"/>
      <c r="AH906" s="39" t="n"/>
      <c r="AI906" s="39" t="n"/>
      <c r="AJ906" s="39" t="n"/>
      <c r="AK906" s="39" t="n"/>
      <c r="AL906" s="39" t="n"/>
      <c r="AM906" s="44" t="n"/>
      <c r="AN906" s="44" t="n"/>
      <c r="AO906" s="44" t="n"/>
      <c r="AP906" s="44" t="n"/>
      <c r="AQ906" s="44" t="n"/>
      <c r="AR906" s="44" t="n"/>
      <c r="AS906" s="45" t="n"/>
      <c r="AT906" s="45" t="n"/>
      <c r="AU906" s="45" t="n"/>
    </row>
    <row r="907">
      <c r="B907" s="39" t="n"/>
      <c r="C907" s="39" t="n"/>
      <c r="D907" s="40" t="n"/>
      <c r="E907" s="39" t="n"/>
      <c r="F907" s="39" t="n"/>
      <c r="G907" s="112" t="n"/>
      <c r="H907" s="42" t="n"/>
      <c r="I907" s="42" t="n"/>
      <c r="J907" s="113" t="n"/>
      <c r="K907" s="39" t="n"/>
      <c r="L907" s="39" t="n"/>
      <c r="M907" s="39" t="n"/>
      <c r="N907" s="39" t="n"/>
      <c r="O907" s="39" t="n"/>
      <c r="P907" s="39" t="n"/>
      <c r="Q907" s="39" t="n"/>
      <c r="R907" s="39" t="n"/>
      <c r="S907" s="39" t="n"/>
      <c r="T907" s="39" t="n"/>
      <c r="U907" s="39" t="n"/>
      <c r="V907" s="39" t="n"/>
      <c r="W907" s="39" t="n"/>
      <c r="X907" s="39" t="n"/>
      <c r="Y907" s="39" t="n"/>
      <c r="Z907" s="39" t="n"/>
      <c r="AA907" s="39" t="n"/>
      <c r="AB907" s="39" t="n"/>
      <c r="AC907" s="39" t="n"/>
      <c r="AD907" s="39" t="n"/>
      <c r="AE907" s="39" t="n"/>
      <c r="AF907" s="39" t="n"/>
      <c r="AG907" s="39" t="n"/>
      <c r="AH907" s="39" t="n"/>
      <c r="AI907" s="39" t="n"/>
      <c r="AJ907" s="39" t="n"/>
      <c r="AK907" s="39" t="n"/>
      <c r="AL907" s="39" t="n"/>
      <c r="AM907" s="44" t="n"/>
      <c r="AN907" s="44" t="n"/>
      <c r="AO907" s="44" t="n"/>
      <c r="AP907" s="44" t="n"/>
      <c r="AQ907" s="44" t="n"/>
      <c r="AR907" s="44" t="n"/>
      <c r="AS907" s="45" t="n"/>
      <c r="AT907" s="45" t="n"/>
      <c r="AU907" s="45" t="n"/>
    </row>
    <row r="908">
      <c r="B908" s="39" t="n"/>
      <c r="C908" s="39" t="n"/>
      <c r="D908" s="40" t="n"/>
      <c r="E908" s="39" t="n"/>
      <c r="F908" s="39" t="n"/>
      <c r="G908" s="112" t="n"/>
      <c r="H908" s="42" t="n"/>
      <c r="I908" s="42" t="n"/>
      <c r="J908" s="113" t="n"/>
      <c r="K908" s="39" t="n"/>
      <c r="L908" s="39" t="n"/>
      <c r="M908" s="39" t="n"/>
      <c r="N908" s="39" t="n"/>
      <c r="O908" s="39" t="n"/>
      <c r="P908" s="39" t="n"/>
      <c r="Q908" s="39" t="n"/>
      <c r="R908" s="39" t="n"/>
      <c r="S908" s="39" t="n"/>
      <c r="T908" s="39" t="n"/>
      <c r="U908" s="39" t="n"/>
      <c r="V908" s="39" t="n"/>
      <c r="W908" s="39" t="n"/>
      <c r="X908" s="39" t="n"/>
      <c r="Y908" s="39" t="n"/>
      <c r="Z908" s="39" t="n"/>
      <c r="AA908" s="39" t="n"/>
      <c r="AB908" s="39" t="n"/>
      <c r="AC908" s="39" t="n"/>
      <c r="AD908" s="39" t="n"/>
      <c r="AE908" s="39" t="n"/>
      <c r="AF908" s="39" t="n"/>
      <c r="AG908" s="39" t="n"/>
      <c r="AH908" s="39" t="n"/>
      <c r="AI908" s="39" t="n"/>
      <c r="AJ908" s="39" t="n"/>
      <c r="AK908" s="39" t="n"/>
      <c r="AL908" s="39" t="n"/>
      <c r="AM908" s="44" t="n"/>
      <c r="AN908" s="44" t="n"/>
      <c r="AO908" s="44" t="n"/>
      <c r="AP908" s="44" t="n"/>
      <c r="AQ908" s="44" t="n"/>
      <c r="AR908" s="44" t="n"/>
      <c r="AS908" s="45" t="n"/>
      <c r="AT908" s="45" t="n"/>
      <c r="AU908" s="45" t="n"/>
    </row>
    <row r="909">
      <c r="B909" s="39" t="n"/>
      <c r="C909" s="39" t="n"/>
      <c r="D909" s="40" t="n"/>
      <c r="E909" s="39" t="n"/>
      <c r="F909" s="39" t="n"/>
      <c r="G909" s="112" t="n"/>
      <c r="H909" s="42" t="n"/>
      <c r="I909" s="42" t="n"/>
      <c r="J909" s="113" t="n"/>
      <c r="K909" s="39" t="n"/>
      <c r="L909" s="39" t="n"/>
      <c r="M909" s="39" t="n"/>
      <c r="N909" s="39" t="n"/>
      <c r="O909" s="39" t="n"/>
      <c r="P909" s="39" t="n"/>
      <c r="Q909" s="39" t="n"/>
      <c r="R909" s="39" t="n"/>
      <c r="S909" s="39" t="n"/>
      <c r="T909" s="39" t="n"/>
      <c r="U909" s="39" t="n"/>
      <c r="V909" s="39" t="n"/>
      <c r="W909" s="39" t="n"/>
      <c r="X909" s="39" t="n"/>
      <c r="Y909" s="39" t="n"/>
      <c r="Z909" s="39" t="n"/>
      <c r="AA909" s="39" t="n"/>
      <c r="AB909" s="39" t="n"/>
      <c r="AC909" s="39" t="n"/>
      <c r="AD909" s="39" t="n"/>
      <c r="AE909" s="39" t="n"/>
      <c r="AF909" s="39" t="n"/>
      <c r="AG909" s="39" t="n"/>
      <c r="AH909" s="39" t="n"/>
      <c r="AI909" s="39" t="n"/>
      <c r="AJ909" s="39" t="n"/>
      <c r="AK909" s="39" t="n"/>
      <c r="AL909" s="39" t="n"/>
      <c r="AM909" s="44" t="n"/>
      <c r="AN909" s="44" t="n"/>
      <c r="AO909" s="44" t="n"/>
      <c r="AP909" s="44" t="n"/>
      <c r="AQ909" s="44" t="n"/>
      <c r="AR909" s="44" t="n"/>
      <c r="AS909" s="45" t="n"/>
      <c r="AT909" s="45" t="n"/>
      <c r="AU909" s="45" t="n"/>
    </row>
    <row r="910">
      <c r="B910" s="39" t="n"/>
      <c r="C910" s="39" t="n"/>
      <c r="D910" s="40" t="n"/>
      <c r="E910" s="39" t="n"/>
      <c r="F910" s="39" t="n"/>
      <c r="G910" s="112" t="n"/>
      <c r="H910" s="42" t="n"/>
      <c r="I910" s="42" t="n"/>
      <c r="J910" s="113" t="n"/>
      <c r="K910" s="39" t="n"/>
      <c r="L910" s="39" t="n"/>
      <c r="M910" s="39" t="n"/>
      <c r="N910" s="39" t="n"/>
      <c r="O910" s="39" t="n"/>
      <c r="P910" s="39" t="n"/>
      <c r="Q910" s="39" t="n"/>
      <c r="R910" s="39" t="n"/>
      <c r="S910" s="39" t="n"/>
      <c r="T910" s="39" t="n"/>
      <c r="U910" s="39" t="n"/>
      <c r="V910" s="39" t="n"/>
      <c r="W910" s="39" t="n"/>
      <c r="X910" s="39" t="n"/>
      <c r="Y910" s="39" t="n"/>
      <c r="Z910" s="39" t="n"/>
      <c r="AA910" s="39" t="n"/>
      <c r="AB910" s="39" t="n"/>
      <c r="AC910" s="39" t="n"/>
      <c r="AD910" s="39" t="n"/>
      <c r="AE910" s="39" t="n"/>
      <c r="AF910" s="39" t="n"/>
      <c r="AG910" s="39" t="n"/>
      <c r="AH910" s="39" t="n"/>
      <c r="AI910" s="39" t="n"/>
      <c r="AJ910" s="39" t="n"/>
      <c r="AK910" s="39" t="n"/>
      <c r="AL910" s="39" t="n"/>
      <c r="AM910" s="44" t="n"/>
      <c r="AN910" s="44" t="n"/>
      <c r="AO910" s="44" t="n"/>
      <c r="AP910" s="44" t="n"/>
      <c r="AQ910" s="44" t="n"/>
      <c r="AR910" s="44" t="n"/>
      <c r="AS910" s="45" t="n"/>
      <c r="AT910" s="45" t="n"/>
      <c r="AU910" s="45" t="n"/>
    </row>
    <row r="911">
      <c r="B911" s="39" t="n"/>
      <c r="C911" s="39" t="n"/>
      <c r="D911" s="40" t="n"/>
      <c r="E911" s="39" t="n"/>
      <c r="F911" s="39" t="n"/>
      <c r="G911" s="112" t="n"/>
      <c r="H911" s="42" t="n"/>
      <c r="I911" s="42" t="n"/>
      <c r="J911" s="113" t="n"/>
      <c r="K911" s="39" t="n"/>
      <c r="L911" s="39" t="n"/>
      <c r="M911" s="39" t="n"/>
      <c r="N911" s="39" t="n"/>
      <c r="O911" s="39" t="n"/>
      <c r="P911" s="39" t="n"/>
      <c r="Q911" s="39" t="n"/>
      <c r="R911" s="39" t="n"/>
      <c r="S911" s="39" t="n"/>
      <c r="T911" s="39" t="n"/>
      <c r="U911" s="39" t="n"/>
      <c r="V911" s="39" t="n"/>
      <c r="W911" s="39" t="n"/>
      <c r="X911" s="39" t="n"/>
      <c r="Y911" s="39" t="n"/>
      <c r="Z911" s="39" t="n"/>
      <c r="AA911" s="39" t="n"/>
      <c r="AB911" s="39" t="n"/>
      <c r="AC911" s="39" t="n"/>
      <c r="AD911" s="39" t="n"/>
      <c r="AE911" s="39" t="n"/>
      <c r="AF911" s="39" t="n"/>
      <c r="AG911" s="39" t="n"/>
      <c r="AH911" s="39" t="n"/>
      <c r="AI911" s="39" t="n"/>
      <c r="AJ911" s="39" t="n"/>
      <c r="AK911" s="39" t="n"/>
      <c r="AL911" s="39" t="n"/>
      <c r="AM911" s="44" t="n"/>
      <c r="AN911" s="44" t="n"/>
      <c r="AO911" s="44" t="n"/>
      <c r="AP911" s="44" t="n"/>
      <c r="AQ911" s="44" t="n"/>
      <c r="AR911" s="44" t="n"/>
      <c r="AS911" s="45" t="n"/>
      <c r="AT911" s="45" t="n"/>
      <c r="AU911" s="45" t="n"/>
    </row>
    <row r="912">
      <c r="B912" s="39" t="n"/>
      <c r="C912" s="39" t="n"/>
      <c r="D912" s="40" t="n"/>
      <c r="E912" s="39" t="n"/>
      <c r="F912" s="39" t="n"/>
      <c r="G912" s="112" t="n"/>
      <c r="H912" s="42" t="n"/>
      <c r="I912" s="42" t="n"/>
      <c r="J912" s="113" t="n"/>
      <c r="K912" s="39" t="n"/>
      <c r="L912" s="39" t="n"/>
      <c r="M912" s="39" t="n"/>
      <c r="N912" s="39" t="n"/>
      <c r="O912" s="39" t="n"/>
      <c r="P912" s="39" t="n"/>
      <c r="Q912" s="39" t="n"/>
      <c r="R912" s="39" t="n"/>
      <c r="S912" s="39" t="n"/>
      <c r="T912" s="39" t="n"/>
      <c r="U912" s="39" t="n"/>
      <c r="V912" s="39" t="n"/>
      <c r="W912" s="39" t="n"/>
      <c r="X912" s="39" t="n"/>
      <c r="Y912" s="39" t="n"/>
      <c r="Z912" s="39" t="n"/>
      <c r="AA912" s="39" t="n"/>
      <c r="AB912" s="39" t="n"/>
      <c r="AC912" s="39" t="n"/>
      <c r="AD912" s="39" t="n"/>
      <c r="AE912" s="39" t="n"/>
      <c r="AF912" s="39" t="n"/>
      <c r="AG912" s="39" t="n"/>
      <c r="AH912" s="39" t="n"/>
      <c r="AI912" s="39" t="n"/>
      <c r="AJ912" s="39" t="n"/>
      <c r="AK912" s="39" t="n"/>
      <c r="AL912" s="39" t="n"/>
      <c r="AM912" s="44" t="n"/>
      <c r="AN912" s="44" t="n"/>
      <c r="AO912" s="44" t="n"/>
      <c r="AP912" s="44" t="n"/>
      <c r="AQ912" s="44" t="n"/>
      <c r="AR912" s="44" t="n"/>
      <c r="AS912" s="45" t="n"/>
      <c r="AT912" s="45" t="n"/>
      <c r="AU912" s="45" t="n"/>
    </row>
    <row r="913">
      <c r="B913" s="39" t="n"/>
      <c r="C913" s="39" t="n"/>
      <c r="D913" s="40" t="n"/>
      <c r="E913" s="39" t="n"/>
      <c r="F913" s="39" t="n"/>
      <c r="G913" s="112" t="n"/>
      <c r="H913" s="42" t="n"/>
      <c r="I913" s="42" t="n"/>
      <c r="J913" s="113" t="n"/>
      <c r="K913" s="39" t="n"/>
      <c r="L913" s="39" t="n"/>
      <c r="M913" s="39" t="n"/>
      <c r="N913" s="39" t="n"/>
      <c r="O913" s="39" t="n"/>
      <c r="P913" s="39" t="n"/>
      <c r="Q913" s="39" t="n"/>
      <c r="R913" s="39" t="n"/>
      <c r="S913" s="39" t="n"/>
      <c r="T913" s="39" t="n"/>
      <c r="U913" s="39" t="n"/>
      <c r="V913" s="39" t="n"/>
      <c r="W913" s="39" t="n"/>
      <c r="X913" s="39" t="n"/>
      <c r="Y913" s="39" t="n"/>
      <c r="Z913" s="39" t="n"/>
      <c r="AA913" s="39" t="n"/>
      <c r="AB913" s="39" t="n"/>
      <c r="AC913" s="39" t="n"/>
      <c r="AD913" s="39" t="n"/>
      <c r="AE913" s="39" t="n"/>
      <c r="AF913" s="39" t="n"/>
      <c r="AG913" s="39" t="n"/>
      <c r="AH913" s="39" t="n"/>
      <c r="AI913" s="39" t="n"/>
      <c r="AJ913" s="39" t="n"/>
      <c r="AK913" s="39" t="n"/>
      <c r="AL913" s="39" t="n"/>
      <c r="AM913" s="44" t="n"/>
      <c r="AN913" s="44" t="n"/>
      <c r="AO913" s="44" t="n"/>
      <c r="AP913" s="44" t="n"/>
      <c r="AQ913" s="44" t="n"/>
      <c r="AR913" s="44" t="n"/>
      <c r="AS913" s="45" t="n"/>
      <c r="AT913" s="45" t="n"/>
      <c r="AU913" s="45" t="n"/>
    </row>
    <row r="914">
      <c r="B914" s="39" t="n"/>
      <c r="C914" s="39" t="n"/>
      <c r="D914" s="40" t="n"/>
      <c r="E914" s="39" t="n"/>
      <c r="F914" s="39" t="n"/>
      <c r="G914" s="112" t="n"/>
      <c r="H914" s="42" t="n"/>
      <c r="I914" s="42" t="n"/>
      <c r="J914" s="113" t="n"/>
      <c r="K914" s="39" t="n"/>
      <c r="L914" s="39" t="n"/>
      <c r="M914" s="39" t="n"/>
      <c r="N914" s="39" t="n"/>
      <c r="O914" s="39" t="n"/>
      <c r="P914" s="39" t="n"/>
      <c r="Q914" s="39" t="n"/>
      <c r="R914" s="39" t="n"/>
      <c r="S914" s="39" t="n"/>
      <c r="T914" s="39" t="n"/>
      <c r="U914" s="39" t="n"/>
      <c r="V914" s="39" t="n"/>
      <c r="W914" s="39" t="n"/>
      <c r="X914" s="39" t="n"/>
      <c r="Y914" s="39" t="n"/>
      <c r="Z914" s="39" t="n"/>
      <c r="AA914" s="39" t="n"/>
      <c r="AB914" s="39" t="n"/>
      <c r="AC914" s="39" t="n"/>
      <c r="AD914" s="39" t="n"/>
      <c r="AE914" s="39" t="n"/>
      <c r="AF914" s="39" t="n"/>
      <c r="AG914" s="39" t="n"/>
      <c r="AH914" s="39" t="n"/>
      <c r="AI914" s="39" t="n"/>
      <c r="AJ914" s="39" t="n"/>
      <c r="AK914" s="39" t="n"/>
      <c r="AL914" s="39" t="n"/>
      <c r="AM914" s="44" t="n"/>
      <c r="AN914" s="44" t="n"/>
      <c r="AO914" s="44" t="n"/>
      <c r="AP914" s="44" t="n"/>
      <c r="AQ914" s="44" t="n"/>
      <c r="AR914" s="44" t="n"/>
      <c r="AS914" s="45" t="n"/>
      <c r="AT914" s="45" t="n"/>
      <c r="AU914" s="45" t="n"/>
    </row>
    <row r="915">
      <c r="B915" s="39" t="n"/>
      <c r="C915" s="39" t="n"/>
      <c r="D915" s="40" t="n"/>
      <c r="E915" s="39" t="n"/>
      <c r="F915" s="39" t="n"/>
      <c r="G915" s="112" t="n"/>
      <c r="H915" s="42" t="n"/>
      <c r="I915" s="42" t="n"/>
      <c r="J915" s="113" t="n"/>
      <c r="K915" s="39" t="n"/>
      <c r="L915" s="39" t="n"/>
      <c r="M915" s="39" t="n"/>
      <c r="N915" s="39" t="n"/>
      <c r="O915" s="39" t="n"/>
      <c r="P915" s="39" t="n"/>
      <c r="Q915" s="39" t="n"/>
      <c r="R915" s="39" t="n"/>
      <c r="S915" s="39" t="n"/>
      <c r="T915" s="39" t="n"/>
      <c r="U915" s="39" t="n"/>
      <c r="V915" s="39" t="n"/>
      <c r="W915" s="39" t="n"/>
      <c r="X915" s="39" t="n"/>
      <c r="Y915" s="39" t="n"/>
      <c r="Z915" s="39" t="n"/>
      <c r="AA915" s="39" t="n"/>
      <c r="AB915" s="39" t="n"/>
      <c r="AC915" s="39" t="n"/>
      <c r="AD915" s="39" t="n"/>
      <c r="AE915" s="39" t="n"/>
      <c r="AF915" s="39" t="n"/>
      <c r="AG915" s="39" t="n"/>
      <c r="AH915" s="39" t="n"/>
      <c r="AI915" s="39" t="n"/>
      <c r="AJ915" s="39" t="n"/>
      <c r="AK915" s="39" t="n"/>
      <c r="AL915" s="39" t="n"/>
      <c r="AM915" s="44" t="n"/>
      <c r="AN915" s="44" t="n"/>
      <c r="AO915" s="44" t="n"/>
      <c r="AP915" s="44" t="n"/>
      <c r="AQ915" s="44" t="n"/>
      <c r="AR915" s="44" t="n"/>
      <c r="AS915" s="45" t="n"/>
      <c r="AT915" s="45" t="n"/>
      <c r="AU915" s="45" t="n"/>
    </row>
    <row r="916">
      <c r="B916" s="39" t="n"/>
      <c r="C916" s="39" t="n"/>
      <c r="D916" s="40" t="n"/>
      <c r="E916" s="39" t="n"/>
      <c r="F916" s="39" t="n"/>
      <c r="G916" s="112" t="n"/>
      <c r="H916" s="42" t="n"/>
      <c r="I916" s="42" t="n"/>
      <c r="J916" s="113" t="n"/>
      <c r="K916" s="39" t="n"/>
      <c r="L916" s="39" t="n"/>
      <c r="M916" s="39" t="n"/>
      <c r="N916" s="39" t="n"/>
      <c r="O916" s="39" t="n"/>
      <c r="P916" s="39" t="n"/>
      <c r="Q916" s="39" t="n"/>
      <c r="R916" s="39" t="n"/>
      <c r="S916" s="39" t="n"/>
      <c r="T916" s="39" t="n"/>
      <c r="U916" s="39" t="n"/>
      <c r="V916" s="39" t="n"/>
      <c r="W916" s="39" t="n"/>
      <c r="X916" s="39" t="n"/>
      <c r="Y916" s="39" t="n"/>
      <c r="Z916" s="39" t="n"/>
      <c r="AA916" s="39" t="n"/>
      <c r="AB916" s="39" t="n"/>
      <c r="AC916" s="39" t="n"/>
      <c r="AD916" s="39" t="n"/>
      <c r="AE916" s="39" t="n"/>
      <c r="AF916" s="39" t="n"/>
      <c r="AG916" s="39" t="n"/>
      <c r="AH916" s="39" t="n"/>
      <c r="AI916" s="39" t="n"/>
      <c r="AJ916" s="39" t="n"/>
      <c r="AK916" s="39" t="n"/>
      <c r="AL916" s="39" t="n"/>
      <c r="AM916" s="44" t="n"/>
      <c r="AN916" s="44" t="n"/>
      <c r="AO916" s="44" t="n"/>
      <c r="AP916" s="44" t="n"/>
      <c r="AQ916" s="44" t="n"/>
      <c r="AR916" s="44" t="n"/>
      <c r="AS916" s="45" t="n"/>
      <c r="AT916" s="45" t="n"/>
      <c r="AU916" s="45" t="n"/>
    </row>
    <row r="917">
      <c r="B917" s="39" t="n"/>
      <c r="C917" s="39" t="n"/>
      <c r="D917" s="40" t="n"/>
      <c r="E917" s="39" t="n"/>
      <c r="F917" s="39" t="n"/>
      <c r="G917" s="112" t="n"/>
      <c r="H917" s="42" t="n"/>
      <c r="I917" s="42" t="n"/>
      <c r="J917" s="113" t="n"/>
      <c r="K917" s="39" t="n"/>
      <c r="L917" s="39" t="n"/>
      <c r="M917" s="39" t="n"/>
      <c r="N917" s="39" t="n"/>
      <c r="O917" s="39" t="n"/>
      <c r="P917" s="39" t="n"/>
      <c r="Q917" s="39" t="n"/>
      <c r="R917" s="39" t="n"/>
      <c r="S917" s="39" t="n"/>
      <c r="T917" s="39" t="n"/>
      <c r="U917" s="39" t="n"/>
      <c r="V917" s="39" t="n"/>
      <c r="W917" s="39" t="n"/>
      <c r="X917" s="39" t="n"/>
      <c r="Y917" s="39" t="n"/>
      <c r="Z917" s="39" t="n"/>
      <c r="AA917" s="39" t="n"/>
      <c r="AB917" s="39" t="n"/>
      <c r="AC917" s="39" t="n"/>
      <c r="AD917" s="39" t="n"/>
      <c r="AE917" s="39" t="n"/>
      <c r="AF917" s="39" t="n"/>
      <c r="AG917" s="39" t="n"/>
      <c r="AH917" s="39" t="n"/>
      <c r="AI917" s="39" t="n"/>
      <c r="AJ917" s="39" t="n"/>
      <c r="AK917" s="39" t="n"/>
      <c r="AL917" s="39" t="n"/>
      <c r="AM917" s="44" t="n"/>
      <c r="AN917" s="44" t="n"/>
      <c r="AO917" s="44" t="n"/>
      <c r="AP917" s="44" t="n"/>
      <c r="AQ917" s="44" t="n"/>
      <c r="AR917" s="44" t="n"/>
      <c r="AS917" s="45" t="n"/>
      <c r="AT917" s="45" t="n"/>
      <c r="AU917" s="45" t="n"/>
    </row>
    <row r="918">
      <c r="B918" s="39" t="n"/>
      <c r="C918" s="39" t="n"/>
      <c r="D918" s="40" t="n"/>
      <c r="E918" s="39" t="n"/>
      <c r="F918" s="39" t="n"/>
      <c r="G918" s="112" t="n"/>
      <c r="H918" s="42" t="n"/>
      <c r="I918" s="42" t="n"/>
      <c r="J918" s="113" t="n"/>
      <c r="K918" s="39" t="n"/>
      <c r="L918" s="39" t="n"/>
      <c r="M918" s="39" t="n"/>
      <c r="N918" s="39" t="n"/>
      <c r="O918" s="39" t="n"/>
      <c r="P918" s="39" t="n"/>
      <c r="Q918" s="39" t="n"/>
      <c r="R918" s="39" t="n"/>
      <c r="S918" s="39" t="n"/>
      <c r="T918" s="39" t="n"/>
      <c r="U918" s="39" t="n"/>
      <c r="V918" s="39" t="n"/>
      <c r="W918" s="39" t="n"/>
      <c r="X918" s="39" t="n"/>
      <c r="Y918" s="39" t="n"/>
      <c r="Z918" s="39" t="n"/>
      <c r="AA918" s="39" t="n"/>
      <c r="AB918" s="39" t="n"/>
      <c r="AC918" s="39" t="n"/>
      <c r="AD918" s="39" t="n"/>
      <c r="AE918" s="39" t="n"/>
      <c r="AF918" s="39" t="n"/>
      <c r="AG918" s="39" t="n"/>
      <c r="AH918" s="39" t="n"/>
      <c r="AI918" s="39" t="n"/>
      <c r="AJ918" s="39" t="n"/>
      <c r="AK918" s="39" t="n"/>
      <c r="AL918" s="39" t="n"/>
      <c r="AM918" s="44" t="n"/>
      <c r="AN918" s="44" t="n"/>
      <c r="AO918" s="44" t="n"/>
      <c r="AP918" s="44" t="n"/>
      <c r="AQ918" s="44" t="n"/>
      <c r="AR918" s="44" t="n"/>
      <c r="AS918" s="45" t="n"/>
      <c r="AT918" s="45" t="n"/>
      <c r="AU918" s="45" t="n"/>
    </row>
    <row r="919">
      <c r="B919" s="39" t="n"/>
      <c r="C919" s="39" t="n"/>
      <c r="D919" s="40" t="n"/>
      <c r="E919" s="39" t="n"/>
      <c r="F919" s="39" t="n"/>
      <c r="G919" s="112" t="n"/>
      <c r="H919" s="42" t="n"/>
      <c r="I919" s="42" t="n"/>
      <c r="J919" s="113" t="n"/>
      <c r="K919" s="39" t="n"/>
      <c r="L919" s="39" t="n"/>
      <c r="M919" s="39" t="n"/>
      <c r="N919" s="39" t="n"/>
      <c r="O919" s="39" t="n"/>
      <c r="P919" s="39" t="n"/>
      <c r="Q919" s="39" t="n"/>
      <c r="R919" s="39" t="n"/>
      <c r="S919" s="39" t="n"/>
      <c r="T919" s="39" t="n"/>
      <c r="U919" s="39" t="n"/>
      <c r="V919" s="39" t="n"/>
      <c r="W919" s="39" t="n"/>
      <c r="X919" s="39" t="n"/>
      <c r="Y919" s="39" t="n"/>
      <c r="Z919" s="39" t="n"/>
      <c r="AA919" s="39" t="n"/>
      <c r="AB919" s="39" t="n"/>
      <c r="AC919" s="39" t="n"/>
      <c r="AD919" s="39" t="n"/>
      <c r="AE919" s="39" t="n"/>
      <c r="AF919" s="39" t="n"/>
      <c r="AG919" s="39" t="n"/>
      <c r="AH919" s="39" t="n"/>
      <c r="AI919" s="39" t="n"/>
      <c r="AJ919" s="39" t="n"/>
      <c r="AK919" s="39" t="n"/>
      <c r="AL919" s="39" t="n"/>
      <c r="AM919" s="44" t="n"/>
      <c r="AN919" s="44" t="n"/>
      <c r="AO919" s="44" t="n"/>
      <c r="AP919" s="44" t="n"/>
      <c r="AQ919" s="44" t="n"/>
      <c r="AR919" s="44" t="n"/>
      <c r="AS919" s="45" t="n"/>
      <c r="AT919" s="45" t="n"/>
      <c r="AU919" s="45" t="n"/>
    </row>
    <row r="920">
      <c r="B920" s="39" t="n"/>
      <c r="C920" s="39" t="n"/>
      <c r="D920" s="40" t="n"/>
      <c r="E920" s="39" t="n"/>
      <c r="F920" s="39" t="n"/>
      <c r="G920" s="112" t="n"/>
      <c r="H920" s="42" t="n"/>
      <c r="I920" s="42" t="n"/>
      <c r="J920" s="113" t="n"/>
      <c r="K920" s="39" t="n"/>
      <c r="L920" s="39" t="n"/>
      <c r="M920" s="39" t="n"/>
      <c r="N920" s="39" t="n"/>
      <c r="O920" s="39" t="n"/>
      <c r="P920" s="39" t="n"/>
      <c r="Q920" s="39" t="n"/>
      <c r="R920" s="39" t="n"/>
      <c r="S920" s="39" t="n"/>
      <c r="T920" s="39" t="n"/>
      <c r="U920" s="39" t="n"/>
      <c r="V920" s="39" t="n"/>
      <c r="W920" s="39" t="n"/>
      <c r="X920" s="39" t="n"/>
      <c r="Y920" s="39" t="n"/>
      <c r="Z920" s="39" t="n"/>
      <c r="AA920" s="39" t="n"/>
      <c r="AB920" s="39" t="n"/>
      <c r="AC920" s="39" t="n"/>
      <c r="AD920" s="39" t="n"/>
      <c r="AE920" s="39" t="n"/>
      <c r="AF920" s="39" t="n"/>
      <c r="AG920" s="39" t="n"/>
      <c r="AH920" s="39" t="n"/>
      <c r="AI920" s="39" t="n"/>
      <c r="AJ920" s="39" t="n"/>
      <c r="AK920" s="39" t="n"/>
      <c r="AL920" s="39" t="n"/>
      <c r="AM920" s="44" t="n"/>
      <c r="AN920" s="44" t="n"/>
      <c r="AO920" s="44" t="n"/>
      <c r="AP920" s="44" t="n"/>
      <c r="AQ920" s="44" t="n"/>
      <c r="AR920" s="44" t="n"/>
      <c r="AS920" s="45" t="n"/>
      <c r="AT920" s="45" t="n"/>
      <c r="AU920" s="45" t="n"/>
    </row>
    <row r="921">
      <c r="B921" s="39" t="n"/>
      <c r="C921" s="39" t="n"/>
      <c r="D921" s="40" t="n"/>
      <c r="E921" s="39" t="n"/>
      <c r="F921" s="39" t="n"/>
      <c r="G921" s="112" t="n"/>
      <c r="H921" s="42" t="n"/>
      <c r="I921" s="42" t="n"/>
      <c r="J921" s="113" t="n"/>
      <c r="K921" s="39" t="n"/>
      <c r="L921" s="39" t="n"/>
      <c r="M921" s="39" t="n"/>
      <c r="N921" s="39" t="n"/>
      <c r="O921" s="39" t="n"/>
      <c r="P921" s="39" t="n"/>
      <c r="Q921" s="39" t="n"/>
      <c r="R921" s="39" t="n"/>
      <c r="S921" s="39" t="n"/>
      <c r="T921" s="39" t="n"/>
      <c r="U921" s="39" t="n"/>
      <c r="V921" s="39" t="n"/>
      <c r="W921" s="39" t="n"/>
      <c r="X921" s="39" t="n"/>
      <c r="Y921" s="39" t="n"/>
      <c r="Z921" s="39" t="n"/>
      <c r="AA921" s="39" t="n"/>
      <c r="AB921" s="39" t="n"/>
      <c r="AC921" s="39" t="n"/>
      <c r="AD921" s="39" t="n"/>
      <c r="AE921" s="39" t="n"/>
      <c r="AF921" s="39" t="n"/>
      <c r="AG921" s="39" t="n"/>
      <c r="AH921" s="39" t="n"/>
      <c r="AI921" s="39" t="n"/>
      <c r="AJ921" s="39" t="n"/>
      <c r="AK921" s="39" t="n"/>
      <c r="AL921" s="39" t="n"/>
      <c r="AM921" s="44" t="n"/>
      <c r="AN921" s="44" t="n"/>
      <c r="AO921" s="44" t="n"/>
      <c r="AP921" s="44" t="n"/>
      <c r="AQ921" s="44" t="n"/>
      <c r="AR921" s="44" t="n"/>
      <c r="AS921" s="45" t="n"/>
      <c r="AT921" s="45" t="n"/>
      <c r="AU921" s="45" t="n"/>
    </row>
    <row r="922">
      <c r="B922" s="39" t="n"/>
      <c r="C922" s="39" t="n"/>
      <c r="D922" s="40" t="n"/>
      <c r="E922" s="39" t="n"/>
      <c r="F922" s="39" t="n"/>
      <c r="G922" s="112" t="n"/>
      <c r="H922" s="42" t="n"/>
      <c r="I922" s="42" t="n"/>
      <c r="J922" s="113" t="n"/>
      <c r="K922" s="39" t="n"/>
      <c r="L922" s="39" t="n"/>
      <c r="M922" s="39" t="n"/>
      <c r="N922" s="39" t="n"/>
      <c r="O922" s="39" t="n"/>
      <c r="P922" s="39" t="n"/>
      <c r="Q922" s="39" t="n"/>
      <c r="R922" s="39" t="n"/>
      <c r="S922" s="39" t="n"/>
      <c r="T922" s="39" t="n"/>
      <c r="U922" s="39" t="n"/>
      <c r="V922" s="39" t="n"/>
      <c r="W922" s="39" t="n"/>
      <c r="X922" s="39" t="n"/>
      <c r="Y922" s="39" t="n"/>
      <c r="Z922" s="39" t="n"/>
      <c r="AA922" s="39" t="n"/>
      <c r="AB922" s="39" t="n"/>
      <c r="AC922" s="39" t="n"/>
      <c r="AD922" s="39" t="n"/>
      <c r="AE922" s="39" t="n"/>
      <c r="AF922" s="39" t="n"/>
      <c r="AG922" s="39" t="n"/>
      <c r="AH922" s="39" t="n"/>
      <c r="AI922" s="39" t="n"/>
      <c r="AJ922" s="39" t="n"/>
      <c r="AK922" s="39" t="n"/>
      <c r="AL922" s="39" t="n"/>
      <c r="AM922" s="44" t="n"/>
      <c r="AN922" s="44" t="n"/>
      <c r="AO922" s="44" t="n"/>
      <c r="AP922" s="44" t="n"/>
      <c r="AQ922" s="44" t="n"/>
      <c r="AR922" s="44" t="n"/>
      <c r="AS922" s="45" t="n"/>
      <c r="AT922" s="45" t="n"/>
      <c r="AU922" s="45" t="n"/>
    </row>
    <row r="923">
      <c r="B923" s="39" t="n"/>
      <c r="C923" s="39" t="n"/>
      <c r="D923" s="40" t="n"/>
      <c r="E923" s="39" t="n"/>
      <c r="F923" s="39" t="n"/>
      <c r="G923" s="112" t="n"/>
      <c r="H923" s="42" t="n"/>
      <c r="I923" s="42" t="n"/>
      <c r="J923" s="113" t="n"/>
      <c r="K923" s="39" t="n"/>
      <c r="L923" s="39" t="n"/>
      <c r="M923" s="39" t="n"/>
      <c r="N923" s="39" t="n"/>
      <c r="O923" s="39" t="n"/>
      <c r="P923" s="39" t="n"/>
      <c r="Q923" s="39" t="n"/>
      <c r="R923" s="39" t="n"/>
      <c r="S923" s="39" t="n"/>
      <c r="T923" s="39" t="n"/>
      <c r="U923" s="39" t="n"/>
      <c r="V923" s="39" t="n"/>
      <c r="W923" s="39" t="n"/>
      <c r="X923" s="39" t="n"/>
      <c r="Y923" s="39" t="n"/>
      <c r="Z923" s="39" t="n"/>
      <c r="AA923" s="39" t="n"/>
      <c r="AB923" s="39" t="n"/>
      <c r="AC923" s="39" t="n"/>
      <c r="AD923" s="39" t="n"/>
      <c r="AE923" s="39" t="n"/>
      <c r="AF923" s="39" t="n"/>
      <c r="AG923" s="39" t="n"/>
      <c r="AH923" s="39" t="n"/>
      <c r="AI923" s="39" t="n"/>
      <c r="AJ923" s="39" t="n"/>
      <c r="AK923" s="39" t="n"/>
      <c r="AL923" s="39" t="n"/>
      <c r="AM923" s="44" t="n"/>
      <c r="AN923" s="44" t="n"/>
      <c r="AO923" s="44" t="n"/>
      <c r="AP923" s="44" t="n"/>
      <c r="AQ923" s="44" t="n"/>
      <c r="AR923" s="44" t="n"/>
      <c r="AS923" s="45" t="n"/>
      <c r="AT923" s="45" t="n"/>
      <c r="AU923" s="45" t="n"/>
    </row>
    <row r="924">
      <c r="B924" s="39" t="n"/>
      <c r="C924" s="39" t="n"/>
      <c r="D924" s="40" t="n"/>
      <c r="E924" s="39" t="n"/>
      <c r="F924" s="39" t="n"/>
      <c r="G924" s="112" t="n"/>
      <c r="H924" s="42" t="n"/>
      <c r="I924" s="42" t="n"/>
      <c r="J924" s="113" t="n"/>
      <c r="K924" s="39" t="n"/>
      <c r="L924" s="39" t="n"/>
      <c r="M924" s="39" t="n"/>
      <c r="N924" s="39" t="n"/>
      <c r="O924" s="39" t="n"/>
      <c r="P924" s="39" t="n"/>
      <c r="Q924" s="39" t="n"/>
      <c r="R924" s="39" t="n"/>
      <c r="S924" s="39" t="n"/>
      <c r="T924" s="39" t="n"/>
      <c r="U924" s="39" t="n"/>
      <c r="V924" s="39" t="n"/>
      <c r="W924" s="39" t="n"/>
      <c r="X924" s="39" t="n"/>
      <c r="Y924" s="39" t="n"/>
      <c r="Z924" s="39" t="n"/>
      <c r="AA924" s="39" t="n"/>
      <c r="AB924" s="39" t="n"/>
      <c r="AC924" s="39" t="n"/>
      <c r="AD924" s="39" t="n"/>
      <c r="AE924" s="39" t="n"/>
      <c r="AF924" s="39" t="n"/>
      <c r="AG924" s="39" t="n"/>
      <c r="AH924" s="39" t="n"/>
      <c r="AI924" s="39" t="n"/>
      <c r="AJ924" s="39" t="n"/>
      <c r="AK924" s="39" t="n"/>
      <c r="AL924" s="39" t="n"/>
      <c r="AM924" s="44" t="n"/>
      <c r="AN924" s="44" t="n"/>
      <c r="AO924" s="44" t="n"/>
      <c r="AP924" s="44" t="n"/>
      <c r="AQ924" s="44" t="n"/>
      <c r="AR924" s="44" t="n"/>
      <c r="AS924" s="45" t="n"/>
      <c r="AT924" s="45" t="n"/>
      <c r="AU924" s="45" t="n"/>
    </row>
    <row r="925">
      <c r="B925" s="39" t="n"/>
      <c r="C925" s="39" t="n"/>
      <c r="D925" s="40" t="n"/>
      <c r="E925" s="39" t="n"/>
      <c r="F925" s="39" t="n"/>
      <c r="G925" s="112" t="n"/>
      <c r="H925" s="42" t="n"/>
      <c r="I925" s="42" t="n"/>
      <c r="J925" s="113" t="n"/>
      <c r="K925" s="39" t="n"/>
      <c r="L925" s="39" t="n"/>
      <c r="M925" s="39" t="n"/>
      <c r="N925" s="39" t="n"/>
      <c r="O925" s="39" t="n"/>
      <c r="P925" s="39" t="n"/>
      <c r="Q925" s="39" t="n"/>
      <c r="R925" s="39" t="n"/>
      <c r="S925" s="39" t="n"/>
      <c r="T925" s="39" t="n"/>
      <c r="U925" s="39" t="n"/>
      <c r="V925" s="39" t="n"/>
      <c r="W925" s="39" t="n"/>
      <c r="X925" s="39" t="n"/>
      <c r="Y925" s="39" t="n"/>
      <c r="Z925" s="39" t="n"/>
      <c r="AA925" s="39" t="n"/>
      <c r="AB925" s="39" t="n"/>
      <c r="AC925" s="39" t="n"/>
      <c r="AD925" s="39" t="n"/>
      <c r="AE925" s="39" t="n"/>
      <c r="AF925" s="39" t="n"/>
      <c r="AG925" s="39" t="n"/>
      <c r="AH925" s="39" t="n"/>
      <c r="AI925" s="39" t="n"/>
      <c r="AJ925" s="39" t="n"/>
      <c r="AK925" s="39" t="n"/>
      <c r="AL925" s="39" t="n"/>
      <c r="AM925" s="44" t="n"/>
      <c r="AN925" s="44" t="n"/>
      <c r="AO925" s="44" t="n"/>
      <c r="AP925" s="44" t="n"/>
      <c r="AQ925" s="44" t="n"/>
      <c r="AR925" s="44" t="n"/>
      <c r="AS925" s="45" t="n"/>
      <c r="AT925" s="45" t="n"/>
      <c r="AU925" s="45" t="n"/>
    </row>
    <row r="926">
      <c r="B926" s="39" t="n"/>
      <c r="C926" s="39" t="n"/>
      <c r="D926" s="40" t="n"/>
      <c r="E926" s="39" t="n"/>
      <c r="F926" s="39" t="n"/>
      <c r="G926" s="112" t="n"/>
      <c r="H926" s="42" t="n"/>
      <c r="I926" s="42" t="n"/>
      <c r="J926" s="113" t="n"/>
      <c r="K926" s="39" t="n"/>
      <c r="L926" s="39" t="n"/>
      <c r="M926" s="39" t="n"/>
      <c r="N926" s="39" t="n"/>
      <c r="O926" s="39" t="n"/>
      <c r="P926" s="39" t="n"/>
      <c r="Q926" s="39" t="n"/>
      <c r="R926" s="39" t="n"/>
      <c r="S926" s="39" t="n"/>
      <c r="T926" s="39" t="n"/>
      <c r="U926" s="39" t="n"/>
      <c r="V926" s="39" t="n"/>
      <c r="W926" s="39" t="n"/>
      <c r="X926" s="39" t="n"/>
      <c r="Y926" s="39" t="n"/>
      <c r="Z926" s="39" t="n"/>
      <c r="AA926" s="39" t="n"/>
      <c r="AB926" s="39" t="n"/>
      <c r="AC926" s="39" t="n"/>
      <c r="AD926" s="39" t="n"/>
      <c r="AE926" s="39" t="n"/>
      <c r="AF926" s="39" t="n"/>
      <c r="AG926" s="39" t="n"/>
      <c r="AH926" s="39" t="n"/>
      <c r="AI926" s="39" t="n"/>
      <c r="AJ926" s="39" t="n"/>
      <c r="AK926" s="39" t="n"/>
      <c r="AL926" s="39" t="n"/>
      <c r="AM926" s="44" t="n"/>
      <c r="AN926" s="44" t="n"/>
      <c r="AO926" s="44" t="n"/>
      <c r="AP926" s="44" t="n"/>
      <c r="AQ926" s="44" t="n"/>
      <c r="AR926" s="44" t="n"/>
      <c r="AS926" s="45" t="n"/>
      <c r="AT926" s="45" t="n"/>
      <c r="AU926" s="45" t="n"/>
    </row>
    <row r="927">
      <c r="B927" s="39" t="n"/>
      <c r="C927" s="39" t="n"/>
      <c r="D927" s="40" t="n"/>
      <c r="E927" s="39" t="n"/>
      <c r="F927" s="39" t="n"/>
      <c r="G927" s="112" t="n"/>
      <c r="H927" s="42" t="n"/>
      <c r="I927" s="42" t="n"/>
      <c r="J927" s="113" t="n"/>
      <c r="K927" s="39" t="n"/>
      <c r="L927" s="39" t="n"/>
      <c r="M927" s="39" t="n"/>
      <c r="N927" s="39" t="n"/>
      <c r="O927" s="39" t="n"/>
      <c r="P927" s="39" t="n"/>
      <c r="Q927" s="39" t="n"/>
      <c r="R927" s="39" t="n"/>
      <c r="S927" s="39" t="n"/>
      <c r="T927" s="39" t="n"/>
      <c r="U927" s="39" t="n"/>
      <c r="V927" s="39" t="n"/>
      <c r="W927" s="39" t="n"/>
      <c r="X927" s="39" t="n"/>
      <c r="Y927" s="39" t="n"/>
      <c r="Z927" s="39" t="n"/>
      <c r="AA927" s="39" t="n"/>
      <c r="AB927" s="39" t="n"/>
      <c r="AC927" s="39" t="n"/>
      <c r="AD927" s="39" t="n"/>
      <c r="AE927" s="39" t="n"/>
      <c r="AF927" s="39" t="n"/>
      <c r="AG927" s="39" t="n"/>
      <c r="AH927" s="39" t="n"/>
      <c r="AI927" s="39" t="n"/>
      <c r="AJ927" s="39" t="n"/>
      <c r="AK927" s="39" t="n"/>
      <c r="AL927" s="39" t="n"/>
      <c r="AM927" s="44" t="n"/>
      <c r="AN927" s="44" t="n"/>
      <c r="AO927" s="44" t="n"/>
      <c r="AP927" s="44" t="n"/>
      <c r="AQ927" s="44" t="n"/>
      <c r="AR927" s="44" t="n"/>
      <c r="AS927" s="45" t="n"/>
      <c r="AT927" s="45" t="n"/>
      <c r="AU927" s="45" t="n"/>
    </row>
    <row r="928">
      <c r="B928" s="39" t="n"/>
      <c r="C928" s="39" t="n"/>
      <c r="D928" s="40" t="n"/>
      <c r="E928" s="39" t="n"/>
      <c r="F928" s="39" t="n"/>
      <c r="G928" s="112" t="n"/>
      <c r="H928" s="42" t="n"/>
      <c r="I928" s="42" t="n"/>
      <c r="J928" s="113" t="n"/>
      <c r="K928" s="39" t="n"/>
      <c r="L928" s="39" t="n"/>
      <c r="M928" s="39" t="n"/>
      <c r="N928" s="39" t="n"/>
      <c r="O928" s="39" t="n"/>
      <c r="P928" s="39" t="n"/>
      <c r="Q928" s="39" t="n"/>
      <c r="R928" s="39" t="n"/>
      <c r="S928" s="39" t="n"/>
      <c r="T928" s="39" t="n"/>
      <c r="U928" s="39" t="n"/>
      <c r="V928" s="39" t="n"/>
      <c r="W928" s="39" t="n"/>
      <c r="X928" s="39" t="n"/>
      <c r="Y928" s="39" t="n"/>
      <c r="Z928" s="39" t="n"/>
      <c r="AA928" s="39" t="n"/>
      <c r="AB928" s="39" t="n"/>
      <c r="AC928" s="39" t="n"/>
      <c r="AD928" s="39" t="n"/>
      <c r="AE928" s="39" t="n"/>
      <c r="AF928" s="39" t="n"/>
      <c r="AG928" s="39" t="n"/>
      <c r="AH928" s="39" t="n"/>
      <c r="AI928" s="39" t="n"/>
      <c r="AJ928" s="39" t="n"/>
      <c r="AK928" s="39" t="n"/>
      <c r="AL928" s="39" t="n"/>
      <c r="AM928" s="44" t="n"/>
      <c r="AN928" s="44" t="n"/>
      <c r="AO928" s="44" t="n"/>
      <c r="AP928" s="44" t="n"/>
      <c r="AQ928" s="44" t="n"/>
      <c r="AR928" s="44" t="n"/>
      <c r="AS928" s="45" t="n"/>
      <c r="AT928" s="45" t="n"/>
      <c r="AU928" s="45" t="n"/>
    </row>
    <row r="929">
      <c r="B929" s="39" t="n"/>
      <c r="C929" s="39" t="n"/>
      <c r="D929" s="40" t="n"/>
      <c r="E929" s="39" t="n"/>
      <c r="F929" s="39" t="n"/>
      <c r="G929" s="112" t="n"/>
      <c r="H929" s="42" t="n"/>
      <c r="I929" s="42" t="n"/>
      <c r="J929" s="113" t="n"/>
      <c r="K929" s="39" t="n"/>
      <c r="L929" s="39" t="n"/>
      <c r="M929" s="39" t="n"/>
      <c r="N929" s="39" t="n"/>
      <c r="O929" s="39" t="n"/>
      <c r="P929" s="39" t="n"/>
      <c r="Q929" s="39" t="n"/>
      <c r="R929" s="39" t="n"/>
      <c r="S929" s="39" t="n"/>
      <c r="T929" s="39" t="n"/>
      <c r="U929" s="39" t="n"/>
      <c r="V929" s="39" t="n"/>
      <c r="W929" s="39" t="n"/>
      <c r="X929" s="39" t="n"/>
      <c r="Y929" s="39" t="n"/>
      <c r="Z929" s="39" t="n"/>
      <c r="AA929" s="39" t="n"/>
      <c r="AB929" s="39" t="n"/>
      <c r="AC929" s="39" t="n"/>
      <c r="AD929" s="39" t="n"/>
      <c r="AE929" s="39" t="n"/>
      <c r="AF929" s="39" t="n"/>
      <c r="AG929" s="39" t="n"/>
      <c r="AH929" s="39" t="n"/>
      <c r="AI929" s="39" t="n"/>
      <c r="AJ929" s="39" t="n"/>
      <c r="AK929" s="39" t="n"/>
      <c r="AL929" s="39" t="n"/>
      <c r="AM929" s="44" t="n"/>
      <c r="AN929" s="44" t="n"/>
      <c r="AO929" s="44" t="n"/>
      <c r="AP929" s="44" t="n"/>
      <c r="AQ929" s="44" t="n"/>
      <c r="AR929" s="44" t="n"/>
      <c r="AS929" s="45" t="n"/>
      <c r="AT929" s="45" t="n"/>
      <c r="AU929" s="45" t="n"/>
    </row>
    <row r="930">
      <c r="B930" s="39" t="n"/>
      <c r="C930" s="39" t="n"/>
      <c r="D930" s="40" t="n"/>
      <c r="E930" s="39" t="n"/>
      <c r="F930" s="39" t="n"/>
      <c r="G930" s="112" t="n"/>
      <c r="H930" s="42" t="n"/>
      <c r="I930" s="42" t="n"/>
      <c r="J930" s="113" t="n"/>
      <c r="K930" s="39" t="n"/>
      <c r="L930" s="39" t="n"/>
      <c r="M930" s="39" t="n"/>
      <c r="N930" s="39" t="n"/>
      <c r="O930" s="39" t="n"/>
      <c r="P930" s="39" t="n"/>
      <c r="Q930" s="39" t="n"/>
      <c r="R930" s="39" t="n"/>
      <c r="S930" s="39" t="n"/>
      <c r="T930" s="39" t="n"/>
      <c r="U930" s="39" t="n"/>
      <c r="V930" s="39" t="n"/>
      <c r="W930" s="39" t="n"/>
      <c r="X930" s="39" t="n"/>
      <c r="Y930" s="39" t="n"/>
      <c r="Z930" s="39" t="n"/>
      <c r="AA930" s="39" t="n"/>
      <c r="AB930" s="39" t="n"/>
      <c r="AC930" s="39" t="n"/>
      <c r="AD930" s="39" t="n"/>
      <c r="AE930" s="39" t="n"/>
      <c r="AF930" s="39" t="n"/>
      <c r="AG930" s="39" t="n"/>
      <c r="AH930" s="39" t="n"/>
      <c r="AI930" s="39" t="n"/>
      <c r="AJ930" s="39" t="n"/>
      <c r="AK930" s="39" t="n"/>
      <c r="AL930" s="39" t="n"/>
      <c r="AM930" s="44" t="n"/>
      <c r="AN930" s="44" t="n"/>
      <c r="AO930" s="44" t="n"/>
      <c r="AP930" s="44" t="n"/>
      <c r="AQ930" s="44" t="n"/>
      <c r="AR930" s="44" t="n"/>
      <c r="AS930" s="45" t="n"/>
      <c r="AT930" s="45" t="n"/>
      <c r="AU930" s="45" t="n"/>
    </row>
    <row r="931">
      <c r="B931" s="39" t="n"/>
      <c r="C931" s="39" t="n"/>
      <c r="D931" s="40" t="n"/>
      <c r="E931" s="39" t="n"/>
      <c r="F931" s="39" t="n"/>
      <c r="G931" s="112" t="n"/>
      <c r="H931" s="42" t="n"/>
      <c r="I931" s="42" t="n"/>
      <c r="J931" s="113" t="n"/>
      <c r="K931" s="39" t="n"/>
      <c r="L931" s="39" t="n"/>
      <c r="M931" s="39" t="n"/>
      <c r="N931" s="39" t="n"/>
      <c r="O931" s="39" t="n"/>
      <c r="P931" s="39" t="n"/>
      <c r="Q931" s="39" t="n"/>
      <c r="R931" s="39" t="n"/>
      <c r="S931" s="39" t="n"/>
      <c r="T931" s="39" t="n"/>
      <c r="U931" s="39" t="n"/>
      <c r="V931" s="39" t="n"/>
      <c r="W931" s="39" t="n"/>
      <c r="X931" s="39" t="n"/>
      <c r="Y931" s="39" t="n"/>
      <c r="Z931" s="39" t="n"/>
      <c r="AA931" s="39" t="n"/>
      <c r="AB931" s="39" t="n"/>
      <c r="AC931" s="39" t="n"/>
      <c r="AD931" s="39" t="n"/>
      <c r="AE931" s="39" t="n"/>
      <c r="AF931" s="39" t="n"/>
      <c r="AG931" s="39" t="n"/>
      <c r="AH931" s="39" t="n"/>
      <c r="AI931" s="39" t="n"/>
      <c r="AJ931" s="39" t="n"/>
      <c r="AK931" s="39" t="n"/>
      <c r="AL931" s="39" t="n"/>
      <c r="AM931" s="44" t="n"/>
      <c r="AN931" s="44" t="n"/>
      <c r="AO931" s="44" t="n"/>
      <c r="AP931" s="44" t="n"/>
      <c r="AQ931" s="44" t="n"/>
      <c r="AR931" s="44" t="n"/>
      <c r="AS931" s="45" t="n"/>
      <c r="AT931" s="45" t="n"/>
      <c r="AU931" s="45" t="n"/>
    </row>
    <row r="932">
      <c r="B932" s="39" t="n"/>
      <c r="C932" s="39" t="n"/>
      <c r="D932" s="40" t="n"/>
      <c r="E932" s="39" t="n"/>
      <c r="F932" s="39" t="n"/>
      <c r="G932" s="112" t="n"/>
      <c r="H932" s="42" t="n"/>
      <c r="I932" s="42" t="n"/>
      <c r="J932" s="113" t="n"/>
      <c r="K932" s="39" t="n"/>
      <c r="L932" s="39" t="n"/>
      <c r="M932" s="39" t="n"/>
      <c r="N932" s="39" t="n"/>
      <c r="O932" s="39" t="n"/>
      <c r="P932" s="39" t="n"/>
      <c r="Q932" s="39" t="n"/>
      <c r="R932" s="39" t="n"/>
      <c r="S932" s="39" t="n"/>
      <c r="T932" s="39" t="n"/>
      <c r="U932" s="39" t="n"/>
      <c r="V932" s="39" t="n"/>
      <c r="W932" s="39" t="n"/>
      <c r="X932" s="39" t="n"/>
      <c r="Y932" s="39" t="n"/>
      <c r="Z932" s="39" t="n"/>
      <c r="AA932" s="39" t="n"/>
      <c r="AB932" s="39" t="n"/>
      <c r="AC932" s="39" t="n"/>
      <c r="AD932" s="39" t="n"/>
      <c r="AE932" s="39" t="n"/>
      <c r="AF932" s="39" t="n"/>
      <c r="AG932" s="39" t="n"/>
      <c r="AH932" s="39" t="n"/>
      <c r="AI932" s="39" t="n"/>
      <c r="AJ932" s="39" t="n"/>
      <c r="AK932" s="39" t="n"/>
      <c r="AL932" s="39" t="n"/>
      <c r="AM932" s="44" t="n"/>
      <c r="AN932" s="44" t="n"/>
      <c r="AO932" s="44" t="n"/>
      <c r="AP932" s="44" t="n"/>
      <c r="AQ932" s="44" t="n"/>
      <c r="AR932" s="44" t="n"/>
      <c r="AS932" s="45" t="n"/>
      <c r="AT932" s="45" t="n"/>
      <c r="AU932" s="45" t="n"/>
    </row>
    <row r="933">
      <c r="B933" s="39" t="n"/>
      <c r="C933" s="39" t="n"/>
      <c r="D933" s="40" t="n"/>
      <c r="E933" s="39" t="n"/>
      <c r="F933" s="39" t="n"/>
      <c r="G933" s="112" t="n"/>
      <c r="H933" s="42" t="n"/>
      <c r="I933" s="42" t="n"/>
      <c r="J933" s="113" t="n"/>
      <c r="K933" s="39" t="n"/>
      <c r="L933" s="39" t="n"/>
      <c r="M933" s="39" t="n"/>
      <c r="N933" s="39" t="n"/>
      <c r="O933" s="39" t="n"/>
      <c r="P933" s="39" t="n"/>
      <c r="Q933" s="39" t="n"/>
      <c r="R933" s="39" t="n"/>
      <c r="S933" s="39" t="n"/>
      <c r="T933" s="39" t="n"/>
      <c r="U933" s="39" t="n"/>
      <c r="V933" s="39" t="n"/>
      <c r="W933" s="39" t="n"/>
      <c r="X933" s="39" t="n"/>
      <c r="Y933" s="39" t="n"/>
      <c r="Z933" s="39" t="n"/>
      <c r="AA933" s="39" t="n"/>
      <c r="AB933" s="39" t="n"/>
      <c r="AC933" s="39" t="n"/>
      <c r="AD933" s="39" t="n"/>
      <c r="AE933" s="39" t="n"/>
      <c r="AF933" s="39" t="n"/>
      <c r="AG933" s="39" t="n"/>
      <c r="AH933" s="39" t="n"/>
      <c r="AI933" s="39" t="n"/>
      <c r="AJ933" s="39" t="n"/>
      <c r="AK933" s="39" t="n"/>
      <c r="AL933" s="39" t="n"/>
      <c r="AM933" s="44" t="n"/>
      <c r="AN933" s="44" t="n"/>
      <c r="AO933" s="44" t="n"/>
      <c r="AP933" s="44" t="n"/>
      <c r="AQ933" s="44" t="n"/>
      <c r="AR933" s="44" t="n"/>
      <c r="AS933" s="45" t="n"/>
      <c r="AT933" s="45" t="n"/>
      <c r="AU933" s="45" t="n"/>
    </row>
    <row r="934">
      <c r="B934" s="39" t="n"/>
      <c r="C934" s="39" t="n"/>
      <c r="D934" s="40" t="n"/>
      <c r="E934" s="39" t="n"/>
      <c r="F934" s="39" t="n"/>
      <c r="G934" s="112" t="n"/>
      <c r="H934" s="42" t="n"/>
      <c r="I934" s="42" t="n"/>
      <c r="J934" s="113" t="n"/>
      <c r="K934" s="39" t="n"/>
      <c r="L934" s="39" t="n"/>
      <c r="M934" s="39" t="n"/>
      <c r="N934" s="39" t="n"/>
      <c r="O934" s="39" t="n"/>
      <c r="P934" s="39" t="n"/>
      <c r="Q934" s="39" t="n"/>
      <c r="R934" s="39" t="n"/>
      <c r="S934" s="39" t="n"/>
      <c r="T934" s="39" t="n"/>
      <c r="U934" s="39" t="n"/>
      <c r="V934" s="39" t="n"/>
      <c r="W934" s="39" t="n"/>
      <c r="X934" s="39" t="n"/>
      <c r="Y934" s="39" t="n"/>
      <c r="Z934" s="39" t="n"/>
      <c r="AA934" s="39" t="n"/>
      <c r="AB934" s="39" t="n"/>
      <c r="AC934" s="39" t="n"/>
      <c r="AD934" s="39" t="n"/>
      <c r="AE934" s="39" t="n"/>
      <c r="AF934" s="39" t="n"/>
      <c r="AG934" s="39" t="n"/>
      <c r="AH934" s="39" t="n"/>
      <c r="AI934" s="39" t="n"/>
      <c r="AJ934" s="39" t="n"/>
      <c r="AK934" s="39" t="n"/>
      <c r="AL934" s="39" t="n"/>
      <c r="AM934" s="44" t="n"/>
      <c r="AN934" s="44" t="n"/>
      <c r="AO934" s="44" t="n"/>
      <c r="AP934" s="44" t="n"/>
      <c r="AQ934" s="44" t="n"/>
      <c r="AR934" s="44" t="n"/>
      <c r="AS934" s="45" t="n"/>
      <c r="AT934" s="45" t="n"/>
      <c r="AU934" s="45" t="n"/>
    </row>
    <row r="935">
      <c r="B935" s="39" t="n"/>
      <c r="C935" s="39" t="n"/>
      <c r="D935" s="40" t="n"/>
      <c r="E935" s="39" t="n"/>
      <c r="F935" s="39" t="n"/>
      <c r="G935" s="112" t="n"/>
      <c r="H935" s="42" t="n"/>
      <c r="I935" s="42" t="n"/>
      <c r="J935" s="113" t="n"/>
      <c r="K935" s="39" t="n"/>
      <c r="L935" s="39" t="n"/>
      <c r="M935" s="39" t="n"/>
      <c r="N935" s="39" t="n"/>
      <c r="O935" s="39" t="n"/>
      <c r="P935" s="39" t="n"/>
      <c r="Q935" s="39" t="n"/>
      <c r="R935" s="39" t="n"/>
      <c r="S935" s="39" t="n"/>
      <c r="T935" s="39" t="n"/>
      <c r="U935" s="39" t="n"/>
      <c r="V935" s="39" t="n"/>
      <c r="W935" s="39" t="n"/>
      <c r="X935" s="39" t="n"/>
      <c r="Y935" s="39" t="n"/>
      <c r="Z935" s="39" t="n"/>
      <c r="AA935" s="39" t="n"/>
      <c r="AB935" s="39" t="n"/>
      <c r="AC935" s="39" t="n"/>
      <c r="AD935" s="39" t="n"/>
      <c r="AE935" s="39" t="n"/>
      <c r="AF935" s="39" t="n"/>
      <c r="AG935" s="39" t="n"/>
      <c r="AH935" s="39" t="n"/>
      <c r="AI935" s="39" t="n"/>
      <c r="AJ935" s="39" t="n"/>
      <c r="AK935" s="39" t="n"/>
      <c r="AL935" s="39" t="n"/>
      <c r="AM935" s="44" t="n"/>
      <c r="AN935" s="44" t="n"/>
      <c r="AO935" s="44" t="n"/>
      <c r="AP935" s="44" t="n"/>
      <c r="AQ935" s="44" t="n"/>
      <c r="AR935" s="44" t="n"/>
      <c r="AS935" s="45" t="n"/>
      <c r="AT935" s="45" t="n"/>
      <c r="AU935" s="45" t="n"/>
    </row>
    <row r="936">
      <c r="B936" s="39" t="n"/>
      <c r="C936" s="39" t="n"/>
      <c r="D936" s="40" t="n"/>
      <c r="E936" s="39" t="n"/>
      <c r="F936" s="39" t="n"/>
      <c r="G936" s="112" t="n"/>
      <c r="H936" s="42" t="n"/>
      <c r="I936" s="42" t="n"/>
      <c r="J936" s="113" t="n"/>
      <c r="K936" s="39" t="n"/>
      <c r="L936" s="39" t="n"/>
      <c r="M936" s="39" t="n"/>
      <c r="N936" s="39" t="n"/>
      <c r="O936" s="39" t="n"/>
      <c r="P936" s="39" t="n"/>
      <c r="Q936" s="39" t="n"/>
      <c r="R936" s="39" t="n"/>
      <c r="S936" s="39" t="n"/>
      <c r="T936" s="39" t="n"/>
      <c r="U936" s="39" t="n"/>
      <c r="V936" s="39" t="n"/>
      <c r="W936" s="39" t="n"/>
      <c r="X936" s="39" t="n"/>
      <c r="Y936" s="39" t="n"/>
      <c r="Z936" s="39" t="n"/>
      <c r="AA936" s="39" t="n"/>
      <c r="AB936" s="39" t="n"/>
      <c r="AC936" s="39" t="n"/>
      <c r="AD936" s="39" t="n"/>
      <c r="AE936" s="39" t="n"/>
      <c r="AF936" s="39" t="n"/>
      <c r="AG936" s="39" t="n"/>
      <c r="AH936" s="39" t="n"/>
      <c r="AI936" s="39" t="n"/>
      <c r="AJ936" s="39" t="n"/>
      <c r="AK936" s="39" t="n"/>
      <c r="AL936" s="39" t="n"/>
      <c r="AM936" s="44" t="n"/>
      <c r="AN936" s="44" t="n"/>
      <c r="AO936" s="44" t="n"/>
      <c r="AP936" s="44" t="n"/>
      <c r="AQ936" s="44" t="n"/>
      <c r="AR936" s="44" t="n"/>
      <c r="AS936" s="45" t="n"/>
      <c r="AT936" s="45" t="n"/>
      <c r="AU936" s="45" t="n"/>
    </row>
    <row r="937">
      <c r="B937" s="39" t="n"/>
      <c r="C937" s="39" t="n"/>
      <c r="D937" s="40" t="n"/>
      <c r="E937" s="39" t="n"/>
      <c r="F937" s="39" t="n"/>
      <c r="G937" s="112" t="n"/>
      <c r="H937" s="42" t="n"/>
      <c r="I937" s="42" t="n"/>
      <c r="J937" s="113" t="n"/>
      <c r="K937" s="39" t="n"/>
      <c r="L937" s="39" t="n"/>
      <c r="M937" s="39" t="n"/>
      <c r="N937" s="39" t="n"/>
      <c r="O937" s="39" t="n"/>
      <c r="P937" s="39" t="n"/>
      <c r="Q937" s="39" t="n"/>
      <c r="R937" s="39" t="n"/>
      <c r="S937" s="39" t="n"/>
      <c r="T937" s="39" t="n"/>
      <c r="U937" s="39" t="n"/>
      <c r="V937" s="39" t="n"/>
      <c r="W937" s="39" t="n"/>
      <c r="X937" s="39" t="n"/>
      <c r="Y937" s="39" t="n"/>
      <c r="Z937" s="39" t="n"/>
      <c r="AA937" s="39" t="n"/>
      <c r="AB937" s="39" t="n"/>
      <c r="AC937" s="39" t="n"/>
      <c r="AD937" s="39" t="n"/>
      <c r="AE937" s="39" t="n"/>
      <c r="AF937" s="39" t="n"/>
      <c r="AG937" s="39" t="n"/>
      <c r="AH937" s="39" t="n"/>
      <c r="AI937" s="39" t="n"/>
      <c r="AJ937" s="39" t="n"/>
      <c r="AK937" s="39" t="n"/>
      <c r="AL937" s="39" t="n"/>
      <c r="AM937" s="44" t="n"/>
      <c r="AN937" s="44" t="n"/>
      <c r="AO937" s="44" t="n"/>
      <c r="AP937" s="44" t="n"/>
      <c r="AQ937" s="44" t="n"/>
      <c r="AR937" s="44" t="n"/>
      <c r="AS937" s="45" t="n"/>
      <c r="AT937" s="45" t="n"/>
      <c r="AU937" s="45" t="n"/>
    </row>
    <row r="938">
      <c r="B938" s="39" t="n"/>
      <c r="C938" s="39" t="n"/>
      <c r="D938" s="40" t="n"/>
      <c r="E938" s="39" t="n"/>
      <c r="F938" s="39" t="n"/>
      <c r="G938" s="112" t="n"/>
      <c r="H938" s="42" t="n"/>
      <c r="I938" s="42" t="n"/>
      <c r="J938" s="113" t="n"/>
      <c r="K938" s="39" t="n"/>
      <c r="L938" s="39" t="n"/>
      <c r="M938" s="39" t="n"/>
      <c r="N938" s="39" t="n"/>
      <c r="O938" s="39" t="n"/>
      <c r="P938" s="39" t="n"/>
      <c r="Q938" s="39" t="n"/>
      <c r="R938" s="39" t="n"/>
      <c r="S938" s="39" t="n"/>
      <c r="T938" s="39" t="n"/>
      <c r="U938" s="39" t="n"/>
      <c r="V938" s="39" t="n"/>
      <c r="W938" s="39" t="n"/>
      <c r="X938" s="39" t="n"/>
      <c r="Y938" s="39" t="n"/>
      <c r="Z938" s="39" t="n"/>
      <c r="AA938" s="39" t="n"/>
      <c r="AB938" s="39" t="n"/>
      <c r="AC938" s="39" t="n"/>
      <c r="AD938" s="39" t="n"/>
      <c r="AE938" s="39" t="n"/>
      <c r="AF938" s="39" t="n"/>
      <c r="AG938" s="39" t="n"/>
      <c r="AH938" s="39" t="n"/>
      <c r="AI938" s="39" t="n"/>
      <c r="AJ938" s="39" t="n"/>
      <c r="AK938" s="39" t="n"/>
      <c r="AL938" s="39" t="n"/>
      <c r="AM938" s="44" t="n"/>
      <c r="AN938" s="44" t="n"/>
      <c r="AO938" s="44" t="n"/>
      <c r="AP938" s="44" t="n"/>
      <c r="AQ938" s="44" t="n"/>
      <c r="AR938" s="44" t="n"/>
      <c r="AS938" s="45" t="n"/>
      <c r="AT938" s="45" t="n"/>
      <c r="AU938" s="45" t="n"/>
    </row>
    <row r="939">
      <c r="B939" s="39" t="n"/>
      <c r="C939" s="39" t="n"/>
      <c r="D939" s="40" t="n"/>
      <c r="E939" s="39" t="n"/>
      <c r="F939" s="39" t="n"/>
      <c r="G939" s="112" t="n"/>
      <c r="H939" s="42" t="n"/>
      <c r="I939" s="42" t="n"/>
      <c r="J939" s="113" t="n"/>
      <c r="K939" s="39" t="n"/>
      <c r="L939" s="39" t="n"/>
      <c r="M939" s="39" t="n"/>
      <c r="N939" s="39" t="n"/>
      <c r="O939" s="39" t="n"/>
      <c r="P939" s="39" t="n"/>
      <c r="Q939" s="39" t="n"/>
      <c r="R939" s="39" t="n"/>
      <c r="S939" s="39" t="n"/>
      <c r="T939" s="39" t="n"/>
      <c r="U939" s="39" t="n"/>
      <c r="V939" s="39" t="n"/>
      <c r="W939" s="39" t="n"/>
      <c r="X939" s="39" t="n"/>
      <c r="Y939" s="39" t="n"/>
      <c r="Z939" s="39" t="n"/>
      <c r="AA939" s="39" t="n"/>
      <c r="AB939" s="39" t="n"/>
      <c r="AC939" s="39" t="n"/>
      <c r="AD939" s="39" t="n"/>
      <c r="AE939" s="39" t="n"/>
      <c r="AF939" s="39" t="n"/>
      <c r="AG939" s="39" t="n"/>
      <c r="AH939" s="39" t="n"/>
      <c r="AI939" s="39" t="n"/>
      <c r="AJ939" s="39" t="n"/>
      <c r="AK939" s="39" t="n"/>
      <c r="AL939" s="39" t="n"/>
      <c r="AM939" s="44" t="n"/>
      <c r="AN939" s="44" t="n"/>
      <c r="AO939" s="44" t="n"/>
      <c r="AP939" s="44" t="n"/>
      <c r="AQ939" s="44" t="n"/>
      <c r="AR939" s="44" t="n"/>
      <c r="AS939" s="45" t="n"/>
      <c r="AT939" s="45" t="n"/>
      <c r="AU939" s="45" t="n"/>
    </row>
    <row r="940">
      <c r="B940" s="39" t="n"/>
      <c r="C940" s="39" t="n"/>
      <c r="D940" s="40" t="n"/>
      <c r="E940" s="39" t="n"/>
      <c r="F940" s="39" t="n"/>
      <c r="G940" s="112" t="n"/>
      <c r="H940" s="42" t="n"/>
      <c r="I940" s="42" t="n"/>
      <c r="J940" s="113" t="n"/>
      <c r="K940" s="39" t="n"/>
      <c r="L940" s="39" t="n"/>
      <c r="M940" s="39" t="n"/>
      <c r="N940" s="39" t="n"/>
      <c r="O940" s="39" t="n"/>
      <c r="P940" s="39" t="n"/>
      <c r="Q940" s="39" t="n"/>
      <c r="R940" s="39" t="n"/>
      <c r="S940" s="39" t="n"/>
      <c r="T940" s="39" t="n"/>
      <c r="U940" s="39" t="n"/>
      <c r="V940" s="39" t="n"/>
      <c r="W940" s="39" t="n"/>
      <c r="X940" s="39" t="n"/>
      <c r="Y940" s="39" t="n"/>
      <c r="Z940" s="39" t="n"/>
      <c r="AA940" s="39" t="n"/>
      <c r="AB940" s="39" t="n"/>
      <c r="AC940" s="39" t="n"/>
      <c r="AD940" s="39" t="n"/>
      <c r="AE940" s="39" t="n"/>
      <c r="AF940" s="39" t="n"/>
      <c r="AG940" s="39" t="n"/>
      <c r="AH940" s="39" t="n"/>
      <c r="AI940" s="39" t="n"/>
      <c r="AJ940" s="39" t="n"/>
      <c r="AK940" s="39" t="n"/>
      <c r="AL940" s="39" t="n"/>
      <c r="AM940" s="44" t="n"/>
      <c r="AN940" s="44" t="n"/>
      <c r="AO940" s="44" t="n"/>
      <c r="AP940" s="44" t="n"/>
      <c r="AQ940" s="44" t="n"/>
      <c r="AR940" s="44" t="n"/>
      <c r="AS940" s="45" t="n"/>
      <c r="AT940" s="45" t="n"/>
      <c r="AU940" s="45" t="n"/>
    </row>
    <row r="941">
      <c r="B941" s="39" t="n"/>
      <c r="C941" s="39" t="n"/>
      <c r="D941" s="40" t="n"/>
      <c r="E941" s="39" t="n"/>
      <c r="F941" s="39" t="n"/>
      <c r="G941" s="112" t="n"/>
      <c r="H941" s="42" t="n"/>
      <c r="I941" s="42" t="n"/>
      <c r="J941" s="113" t="n"/>
      <c r="K941" s="39" t="n"/>
      <c r="L941" s="39" t="n"/>
      <c r="M941" s="39" t="n"/>
      <c r="N941" s="39" t="n"/>
      <c r="O941" s="39" t="n"/>
      <c r="P941" s="39" t="n"/>
      <c r="Q941" s="39" t="n"/>
      <c r="R941" s="39" t="n"/>
      <c r="S941" s="39" t="n"/>
      <c r="T941" s="39" t="n"/>
      <c r="U941" s="39" t="n"/>
      <c r="V941" s="39" t="n"/>
      <c r="W941" s="39" t="n"/>
      <c r="X941" s="39" t="n"/>
      <c r="Y941" s="39" t="n"/>
      <c r="Z941" s="39" t="n"/>
      <c r="AA941" s="39" t="n"/>
      <c r="AB941" s="39" t="n"/>
      <c r="AC941" s="39" t="n"/>
      <c r="AD941" s="39" t="n"/>
      <c r="AE941" s="39" t="n"/>
      <c r="AF941" s="39" t="n"/>
      <c r="AG941" s="39" t="n"/>
      <c r="AH941" s="39" t="n"/>
      <c r="AI941" s="39" t="n"/>
      <c r="AJ941" s="39" t="n"/>
      <c r="AK941" s="39" t="n"/>
      <c r="AL941" s="39" t="n"/>
      <c r="AM941" s="44" t="n"/>
      <c r="AN941" s="44" t="n"/>
      <c r="AO941" s="44" t="n"/>
      <c r="AP941" s="44" t="n"/>
      <c r="AQ941" s="44" t="n"/>
      <c r="AR941" s="44" t="n"/>
      <c r="AS941" s="45" t="n"/>
      <c r="AT941" s="45" t="n"/>
      <c r="AU941" s="45" t="n"/>
    </row>
    <row r="942">
      <c r="B942" s="39" t="n"/>
      <c r="C942" s="39" t="n"/>
      <c r="D942" s="40" t="n"/>
      <c r="E942" s="39" t="n"/>
      <c r="F942" s="39" t="n"/>
      <c r="G942" s="112" t="n"/>
      <c r="H942" s="42" t="n"/>
      <c r="I942" s="42" t="n"/>
      <c r="J942" s="113" t="n"/>
      <c r="K942" s="39" t="n"/>
      <c r="L942" s="39" t="n"/>
      <c r="M942" s="39" t="n"/>
      <c r="N942" s="39" t="n"/>
      <c r="O942" s="39" t="n"/>
      <c r="P942" s="39" t="n"/>
      <c r="Q942" s="39" t="n"/>
      <c r="R942" s="39" t="n"/>
      <c r="S942" s="39" t="n"/>
      <c r="T942" s="39" t="n"/>
      <c r="U942" s="39" t="n"/>
      <c r="V942" s="39" t="n"/>
      <c r="W942" s="39" t="n"/>
      <c r="X942" s="39" t="n"/>
      <c r="Y942" s="39" t="n"/>
      <c r="Z942" s="39" t="n"/>
      <c r="AA942" s="39" t="n"/>
      <c r="AB942" s="39" t="n"/>
      <c r="AC942" s="39" t="n"/>
      <c r="AD942" s="39" t="n"/>
      <c r="AE942" s="39" t="n"/>
      <c r="AF942" s="39" t="n"/>
      <c r="AG942" s="39" t="n"/>
      <c r="AH942" s="39" t="n"/>
      <c r="AI942" s="39" t="n"/>
      <c r="AJ942" s="39" t="n"/>
      <c r="AK942" s="39" t="n"/>
      <c r="AL942" s="39" t="n"/>
      <c r="AM942" s="44" t="n"/>
      <c r="AN942" s="44" t="n"/>
      <c r="AO942" s="44" t="n"/>
      <c r="AP942" s="44" t="n"/>
      <c r="AQ942" s="44" t="n"/>
      <c r="AR942" s="44" t="n"/>
      <c r="AS942" s="45" t="n"/>
      <c r="AT942" s="45" t="n"/>
      <c r="AU942" s="45" t="n"/>
    </row>
    <row r="943">
      <c r="B943" s="39" t="n"/>
      <c r="C943" s="39" t="n"/>
      <c r="D943" s="40" t="n"/>
      <c r="E943" s="39" t="n"/>
      <c r="F943" s="39" t="n"/>
      <c r="G943" s="112" t="n"/>
      <c r="H943" s="42" t="n"/>
      <c r="I943" s="42" t="n"/>
      <c r="J943" s="113" t="n"/>
      <c r="K943" s="39" t="n"/>
      <c r="L943" s="39" t="n"/>
      <c r="M943" s="39" t="n"/>
      <c r="N943" s="39" t="n"/>
      <c r="O943" s="39" t="n"/>
      <c r="P943" s="39" t="n"/>
      <c r="Q943" s="39" t="n"/>
      <c r="R943" s="39" t="n"/>
      <c r="S943" s="39" t="n"/>
      <c r="T943" s="39" t="n"/>
      <c r="U943" s="39" t="n"/>
      <c r="V943" s="39" t="n"/>
      <c r="W943" s="39" t="n"/>
      <c r="X943" s="39" t="n"/>
      <c r="Y943" s="39" t="n"/>
      <c r="Z943" s="39" t="n"/>
      <c r="AA943" s="39" t="n"/>
      <c r="AB943" s="39" t="n"/>
      <c r="AC943" s="39" t="n"/>
      <c r="AD943" s="39" t="n"/>
      <c r="AE943" s="39" t="n"/>
      <c r="AF943" s="39" t="n"/>
      <c r="AG943" s="39" t="n"/>
      <c r="AH943" s="39" t="n"/>
      <c r="AI943" s="39" t="n"/>
      <c r="AJ943" s="39" t="n"/>
      <c r="AK943" s="39" t="n"/>
      <c r="AL943" s="39" t="n"/>
      <c r="AM943" s="44" t="n"/>
      <c r="AN943" s="44" t="n"/>
      <c r="AO943" s="44" t="n"/>
      <c r="AP943" s="44" t="n"/>
      <c r="AQ943" s="44" t="n"/>
      <c r="AR943" s="44" t="n"/>
      <c r="AS943" s="45" t="n"/>
      <c r="AT943" s="45" t="n"/>
      <c r="AU943" s="45" t="n"/>
    </row>
    <row r="944">
      <c r="B944" s="39" t="n"/>
      <c r="C944" s="39" t="n"/>
      <c r="D944" s="40" t="n"/>
      <c r="E944" s="39" t="n"/>
      <c r="F944" s="39" t="n"/>
      <c r="G944" s="112" t="n"/>
      <c r="H944" s="42" t="n"/>
      <c r="I944" s="42" t="n"/>
      <c r="J944" s="113" t="n"/>
      <c r="K944" s="39" t="n"/>
      <c r="L944" s="39" t="n"/>
      <c r="M944" s="39" t="n"/>
      <c r="N944" s="39" t="n"/>
      <c r="O944" s="39" t="n"/>
      <c r="P944" s="39" t="n"/>
      <c r="Q944" s="39" t="n"/>
      <c r="R944" s="39" t="n"/>
      <c r="S944" s="39" t="n"/>
      <c r="T944" s="39" t="n"/>
      <c r="U944" s="39" t="n"/>
      <c r="V944" s="39" t="n"/>
      <c r="W944" s="39" t="n"/>
      <c r="X944" s="39" t="n"/>
      <c r="Y944" s="39" t="n"/>
      <c r="Z944" s="39" t="n"/>
      <c r="AA944" s="39" t="n"/>
      <c r="AB944" s="39" t="n"/>
      <c r="AC944" s="39" t="n"/>
      <c r="AD944" s="39" t="n"/>
      <c r="AE944" s="39" t="n"/>
      <c r="AF944" s="39" t="n"/>
      <c r="AG944" s="39" t="n"/>
      <c r="AH944" s="39" t="n"/>
      <c r="AI944" s="39" t="n"/>
      <c r="AJ944" s="39" t="n"/>
      <c r="AK944" s="39" t="n"/>
      <c r="AL944" s="39" t="n"/>
      <c r="AM944" s="44" t="n"/>
      <c r="AN944" s="44" t="n"/>
      <c r="AO944" s="44" t="n"/>
      <c r="AP944" s="44" t="n"/>
      <c r="AQ944" s="44" t="n"/>
      <c r="AR944" s="44" t="n"/>
      <c r="AS944" s="45" t="n"/>
      <c r="AT944" s="45" t="n"/>
      <c r="AU944" s="45" t="n"/>
    </row>
    <row r="945">
      <c r="B945" s="39" t="n"/>
      <c r="C945" s="39" t="n"/>
      <c r="D945" s="40" t="n"/>
      <c r="E945" s="39" t="n"/>
      <c r="F945" s="39" t="n"/>
      <c r="G945" s="112" t="n"/>
      <c r="H945" s="42" t="n"/>
      <c r="I945" s="42" t="n"/>
      <c r="J945" s="113" t="n"/>
      <c r="K945" s="39" t="n"/>
      <c r="L945" s="39" t="n"/>
      <c r="M945" s="39" t="n"/>
      <c r="N945" s="39" t="n"/>
      <c r="O945" s="39" t="n"/>
      <c r="P945" s="39" t="n"/>
      <c r="Q945" s="39" t="n"/>
      <c r="R945" s="39" t="n"/>
      <c r="S945" s="39" t="n"/>
      <c r="T945" s="39" t="n"/>
      <c r="U945" s="39" t="n"/>
      <c r="V945" s="39" t="n"/>
      <c r="W945" s="39" t="n"/>
      <c r="X945" s="39" t="n"/>
      <c r="Y945" s="39" t="n"/>
      <c r="Z945" s="39" t="n"/>
      <c r="AA945" s="39" t="n"/>
      <c r="AB945" s="39" t="n"/>
      <c r="AC945" s="39" t="n"/>
      <c r="AD945" s="39" t="n"/>
      <c r="AE945" s="39" t="n"/>
      <c r="AF945" s="39" t="n"/>
      <c r="AG945" s="39" t="n"/>
      <c r="AH945" s="39" t="n"/>
      <c r="AI945" s="39" t="n"/>
      <c r="AJ945" s="39" t="n"/>
      <c r="AK945" s="39" t="n"/>
      <c r="AL945" s="39" t="n"/>
      <c r="AM945" s="44" t="n"/>
      <c r="AN945" s="44" t="n"/>
      <c r="AO945" s="44" t="n"/>
      <c r="AP945" s="44" t="n"/>
      <c r="AQ945" s="44" t="n"/>
      <c r="AR945" s="44" t="n"/>
      <c r="AS945" s="45" t="n"/>
      <c r="AT945" s="45" t="n"/>
      <c r="AU945" s="45" t="n"/>
    </row>
    <row r="946">
      <c r="B946" s="39" t="n"/>
      <c r="C946" s="39" t="n"/>
      <c r="D946" s="40" t="n"/>
      <c r="E946" s="39" t="n"/>
      <c r="F946" s="39" t="n"/>
      <c r="G946" s="112" t="n"/>
      <c r="H946" s="42" t="n"/>
      <c r="I946" s="42" t="n"/>
      <c r="J946" s="113" t="n"/>
      <c r="K946" s="39" t="n"/>
      <c r="L946" s="39" t="n"/>
      <c r="M946" s="39" t="n"/>
      <c r="N946" s="39" t="n"/>
      <c r="O946" s="39" t="n"/>
      <c r="P946" s="39" t="n"/>
      <c r="Q946" s="39" t="n"/>
      <c r="R946" s="39" t="n"/>
      <c r="S946" s="39" t="n"/>
      <c r="T946" s="39" t="n"/>
      <c r="U946" s="39" t="n"/>
      <c r="V946" s="39" t="n"/>
      <c r="W946" s="39" t="n"/>
      <c r="X946" s="39" t="n"/>
      <c r="Y946" s="39" t="n"/>
      <c r="Z946" s="39" t="n"/>
      <c r="AA946" s="39" t="n"/>
      <c r="AB946" s="39" t="n"/>
      <c r="AC946" s="39" t="n"/>
      <c r="AD946" s="39" t="n"/>
      <c r="AE946" s="39" t="n"/>
      <c r="AF946" s="39" t="n"/>
      <c r="AG946" s="39" t="n"/>
      <c r="AH946" s="39" t="n"/>
      <c r="AI946" s="39" t="n"/>
      <c r="AJ946" s="39" t="n"/>
      <c r="AK946" s="39" t="n"/>
      <c r="AL946" s="39" t="n"/>
      <c r="AM946" s="44" t="n"/>
      <c r="AN946" s="44" t="n"/>
      <c r="AO946" s="44" t="n"/>
      <c r="AP946" s="44" t="n"/>
      <c r="AQ946" s="44" t="n"/>
      <c r="AR946" s="44" t="n"/>
      <c r="AS946" s="45" t="n"/>
      <c r="AT946" s="45" t="n"/>
      <c r="AU946" s="45" t="n"/>
    </row>
    <row r="947">
      <c r="B947" s="39" t="n"/>
      <c r="C947" s="39" t="n"/>
      <c r="D947" s="40" t="n"/>
      <c r="E947" s="39" t="n"/>
      <c r="F947" s="39" t="n"/>
      <c r="G947" s="112" t="n"/>
      <c r="H947" s="42" t="n"/>
      <c r="I947" s="42" t="n"/>
      <c r="J947" s="113" t="n"/>
      <c r="K947" s="39" t="n"/>
      <c r="L947" s="39" t="n"/>
      <c r="M947" s="39" t="n"/>
      <c r="N947" s="39" t="n"/>
      <c r="O947" s="39" t="n"/>
      <c r="P947" s="39" t="n"/>
      <c r="Q947" s="39" t="n"/>
      <c r="R947" s="39" t="n"/>
      <c r="S947" s="39" t="n"/>
      <c r="T947" s="39" t="n"/>
      <c r="U947" s="39" t="n"/>
      <c r="V947" s="39" t="n"/>
      <c r="W947" s="39" t="n"/>
      <c r="X947" s="39" t="n"/>
      <c r="Y947" s="39" t="n"/>
      <c r="Z947" s="39" t="n"/>
      <c r="AA947" s="39" t="n"/>
      <c r="AB947" s="39" t="n"/>
      <c r="AC947" s="39" t="n"/>
      <c r="AD947" s="39" t="n"/>
      <c r="AE947" s="39" t="n"/>
      <c r="AF947" s="39" t="n"/>
      <c r="AG947" s="39" t="n"/>
      <c r="AH947" s="39" t="n"/>
      <c r="AI947" s="39" t="n"/>
      <c r="AJ947" s="39" t="n"/>
      <c r="AK947" s="39" t="n"/>
      <c r="AL947" s="39" t="n"/>
      <c r="AM947" s="44" t="n"/>
      <c r="AN947" s="44" t="n"/>
      <c r="AO947" s="44" t="n"/>
      <c r="AP947" s="44" t="n"/>
      <c r="AQ947" s="44" t="n"/>
      <c r="AR947" s="44" t="n"/>
      <c r="AS947" s="45" t="n"/>
      <c r="AT947" s="45" t="n"/>
      <c r="AU947" s="45" t="n"/>
    </row>
    <row r="948">
      <c r="B948" s="39" t="n"/>
      <c r="C948" s="39" t="n"/>
      <c r="D948" s="40" t="n"/>
      <c r="E948" s="39" t="n"/>
      <c r="F948" s="39" t="n"/>
      <c r="G948" s="112" t="n"/>
      <c r="H948" s="42" t="n"/>
      <c r="I948" s="42" t="n"/>
      <c r="J948" s="113" t="n"/>
      <c r="K948" s="39" t="n"/>
      <c r="L948" s="39" t="n"/>
      <c r="M948" s="39" t="n"/>
      <c r="N948" s="39" t="n"/>
      <c r="O948" s="39" t="n"/>
      <c r="P948" s="39" t="n"/>
      <c r="Q948" s="39" t="n"/>
      <c r="R948" s="39" t="n"/>
      <c r="S948" s="39" t="n"/>
      <c r="T948" s="39" t="n"/>
      <c r="U948" s="39" t="n"/>
      <c r="V948" s="39" t="n"/>
      <c r="W948" s="39" t="n"/>
      <c r="X948" s="39" t="n"/>
      <c r="Y948" s="39" t="n"/>
      <c r="Z948" s="39" t="n"/>
      <c r="AA948" s="39" t="n"/>
      <c r="AB948" s="39" t="n"/>
      <c r="AC948" s="39" t="n"/>
      <c r="AD948" s="39" t="n"/>
      <c r="AE948" s="39" t="n"/>
      <c r="AF948" s="39" t="n"/>
      <c r="AG948" s="39" t="n"/>
      <c r="AH948" s="39" t="n"/>
      <c r="AI948" s="39" t="n"/>
      <c r="AJ948" s="39" t="n"/>
      <c r="AK948" s="39" t="n"/>
      <c r="AL948" s="39" t="n"/>
      <c r="AM948" s="44" t="n"/>
      <c r="AN948" s="44" t="n"/>
      <c r="AO948" s="44" t="n"/>
      <c r="AP948" s="44" t="n"/>
      <c r="AQ948" s="44" t="n"/>
      <c r="AR948" s="44" t="n"/>
      <c r="AS948" s="45" t="n"/>
      <c r="AT948" s="45" t="n"/>
      <c r="AU948" s="45" t="n"/>
    </row>
    <row r="949">
      <c r="B949" s="39" t="n"/>
      <c r="C949" s="39" t="n"/>
      <c r="D949" s="40" t="n"/>
      <c r="E949" s="39" t="n"/>
      <c r="F949" s="39" t="n"/>
      <c r="G949" s="112" t="n"/>
      <c r="H949" s="42" t="n"/>
      <c r="I949" s="42" t="n"/>
      <c r="J949" s="113" t="n"/>
      <c r="K949" s="39" t="n"/>
      <c r="L949" s="39" t="n"/>
      <c r="M949" s="39" t="n"/>
      <c r="N949" s="39" t="n"/>
      <c r="O949" s="39" t="n"/>
      <c r="P949" s="39" t="n"/>
      <c r="Q949" s="39" t="n"/>
      <c r="R949" s="39" t="n"/>
      <c r="S949" s="39" t="n"/>
      <c r="T949" s="39" t="n"/>
      <c r="U949" s="39" t="n"/>
      <c r="V949" s="39" t="n"/>
      <c r="W949" s="39" t="n"/>
      <c r="X949" s="39" t="n"/>
      <c r="Y949" s="39" t="n"/>
      <c r="Z949" s="39" t="n"/>
      <c r="AA949" s="39" t="n"/>
      <c r="AB949" s="39" t="n"/>
      <c r="AC949" s="39" t="n"/>
      <c r="AD949" s="39" t="n"/>
      <c r="AE949" s="39" t="n"/>
      <c r="AF949" s="39" t="n"/>
      <c r="AG949" s="39" t="n"/>
      <c r="AH949" s="39" t="n"/>
      <c r="AI949" s="39" t="n"/>
      <c r="AJ949" s="39" t="n"/>
      <c r="AK949" s="39" t="n"/>
      <c r="AL949" s="39" t="n"/>
      <c r="AM949" s="44" t="n"/>
      <c r="AN949" s="44" t="n"/>
      <c r="AO949" s="44" t="n"/>
      <c r="AP949" s="44" t="n"/>
      <c r="AQ949" s="44" t="n"/>
      <c r="AR949" s="44" t="n"/>
      <c r="AS949" s="45" t="n"/>
      <c r="AT949" s="45" t="n"/>
      <c r="AU949" s="45" t="n"/>
    </row>
    <row r="950">
      <c r="B950" s="39" t="n"/>
      <c r="C950" s="39" t="n"/>
      <c r="D950" s="40" t="n"/>
      <c r="E950" s="39" t="n"/>
      <c r="F950" s="39" t="n"/>
      <c r="G950" s="112" t="n"/>
      <c r="H950" s="42" t="n"/>
      <c r="I950" s="42" t="n"/>
      <c r="J950" s="113" t="n"/>
      <c r="K950" s="39" t="n"/>
      <c r="L950" s="39" t="n"/>
      <c r="M950" s="39" t="n"/>
      <c r="N950" s="39" t="n"/>
      <c r="O950" s="39" t="n"/>
      <c r="P950" s="39" t="n"/>
      <c r="Q950" s="39" t="n"/>
      <c r="R950" s="39" t="n"/>
      <c r="S950" s="39" t="n"/>
      <c r="T950" s="39" t="n"/>
      <c r="U950" s="39" t="n"/>
      <c r="V950" s="39" t="n"/>
      <c r="W950" s="39" t="n"/>
      <c r="X950" s="39" t="n"/>
      <c r="Y950" s="39" t="n"/>
      <c r="Z950" s="39" t="n"/>
      <c r="AA950" s="39" t="n"/>
      <c r="AB950" s="39" t="n"/>
      <c r="AC950" s="39" t="n"/>
      <c r="AD950" s="39" t="n"/>
      <c r="AE950" s="39" t="n"/>
      <c r="AF950" s="39" t="n"/>
      <c r="AG950" s="39" t="n"/>
      <c r="AH950" s="39" t="n"/>
      <c r="AI950" s="39" t="n"/>
      <c r="AJ950" s="39" t="n"/>
      <c r="AK950" s="39" t="n"/>
      <c r="AL950" s="39" t="n"/>
      <c r="AM950" s="44" t="n"/>
      <c r="AN950" s="44" t="n"/>
      <c r="AO950" s="44" t="n"/>
      <c r="AP950" s="44" t="n"/>
      <c r="AQ950" s="44" t="n"/>
      <c r="AR950" s="44" t="n"/>
      <c r="AS950" s="45" t="n"/>
      <c r="AT950" s="45" t="n"/>
      <c r="AU950" s="45" t="n"/>
    </row>
    <row r="951">
      <c r="B951" s="39" t="n"/>
      <c r="C951" s="39" t="n"/>
      <c r="D951" s="40" t="n"/>
      <c r="E951" s="39" t="n"/>
      <c r="F951" s="39" t="n"/>
      <c r="G951" s="112" t="n"/>
      <c r="H951" s="42" t="n"/>
      <c r="I951" s="42" t="n"/>
      <c r="J951" s="113" t="n"/>
      <c r="K951" s="39" t="n"/>
      <c r="L951" s="39" t="n"/>
      <c r="M951" s="39" t="n"/>
      <c r="N951" s="39" t="n"/>
      <c r="O951" s="39" t="n"/>
      <c r="P951" s="39" t="n"/>
      <c r="Q951" s="39" t="n"/>
      <c r="R951" s="39" t="n"/>
      <c r="S951" s="39" t="n"/>
      <c r="T951" s="39" t="n"/>
      <c r="U951" s="39" t="n"/>
      <c r="V951" s="39" t="n"/>
      <c r="W951" s="39" t="n"/>
      <c r="X951" s="39" t="n"/>
      <c r="Y951" s="39" t="n"/>
      <c r="Z951" s="39" t="n"/>
      <c r="AA951" s="39" t="n"/>
      <c r="AB951" s="39" t="n"/>
      <c r="AC951" s="39" t="n"/>
      <c r="AD951" s="39" t="n"/>
      <c r="AE951" s="39" t="n"/>
      <c r="AF951" s="39" t="n"/>
      <c r="AG951" s="39" t="n"/>
      <c r="AH951" s="39" t="n"/>
      <c r="AI951" s="39" t="n"/>
      <c r="AJ951" s="39" t="n"/>
      <c r="AK951" s="39" t="n"/>
      <c r="AL951" s="39" t="n"/>
      <c r="AM951" s="44" t="n"/>
      <c r="AN951" s="44" t="n"/>
      <c r="AO951" s="44" t="n"/>
      <c r="AP951" s="44" t="n"/>
      <c r="AQ951" s="44" t="n"/>
      <c r="AR951" s="44" t="n"/>
      <c r="AS951" s="45" t="n"/>
      <c r="AT951" s="45" t="n"/>
      <c r="AU951" s="45" t="n"/>
    </row>
    <row r="952">
      <c r="B952" s="39" t="n"/>
      <c r="C952" s="39" t="n"/>
      <c r="D952" s="40" t="n"/>
      <c r="E952" s="39" t="n"/>
      <c r="F952" s="39" t="n"/>
      <c r="G952" s="112" t="n"/>
      <c r="H952" s="42" t="n"/>
      <c r="I952" s="42" t="n"/>
      <c r="J952" s="113" t="n"/>
      <c r="K952" s="39" t="n"/>
      <c r="L952" s="39" t="n"/>
      <c r="M952" s="39" t="n"/>
      <c r="N952" s="39" t="n"/>
      <c r="O952" s="39" t="n"/>
      <c r="P952" s="39" t="n"/>
      <c r="Q952" s="39" t="n"/>
      <c r="R952" s="39" t="n"/>
      <c r="S952" s="39" t="n"/>
      <c r="T952" s="39" t="n"/>
      <c r="U952" s="39" t="n"/>
      <c r="V952" s="39" t="n"/>
      <c r="W952" s="39" t="n"/>
      <c r="X952" s="39" t="n"/>
      <c r="Y952" s="39" t="n"/>
      <c r="Z952" s="39" t="n"/>
      <c r="AA952" s="39" t="n"/>
      <c r="AB952" s="39" t="n"/>
      <c r="AC952" s="39" t="n"/>
      <c r="AD952" s="39" t="n"/>
      <c r="AE952" s="39" t="n"/>
      <c r="AF952" s="39" t="n"/>
      <c r="AG952" s="39" t="n"/>
      <c r="AH952" s="39" t="n"/>
      <c r="AI952" s="39" t="n"/>
      <c r="AJ952" s="39" t="n"/>
      <c r="AK952" s="39" t="n"/>
      <c r="AL952" s="39" t="n"/>
      <c r="AM952" s="44" t="n"/>
      <c r="AN952" s="44" t="n"/>
      <c r="AO952" s="44" t="n"/>
      <c r="AP952" s="44" t="n"/>
      <c r="AQ952" s="44" t="n"/>
      <c r="AR952" s="44" t="n"/>
      <c r="AS952" s="45" t="n"/>
      <c r="AT952" s="45" t="n"/>
      <c r="AU952" s="45" t="n"/>
    </row>
    <row r="953">
      <c r="B953" s="39" t="n"/>
      <c r="C953" s="39" t="n"/>
      <c r="D953" s="40" t="n"/>
      <c r="E953" s="39" t="n"/>
      <c r="F953" s="39" t="n"/>
      <c r="G953" s="112" t="n"/>
      <c r="H953" s="42" t="n"/>
      <c r="I953" s="42" t="n"/>
      <c r="J953" s="113" t="n"/>
      <c r="K953" s="39" t="n"/>
      <c r="L953" s="39" t="n"/>
      <c r="M953" s="39" t="n"/>
      <c r="N953" s="39" t="n"/>
      <c r="O953" s="39" t="n"/>
      <c r="P953" s="39" t="n"/>
      <c r="Q953" s="39" t="n"/>
      <c r="R953" s="39" t="n"/>
      <c r="S953" s="39" t="n"/>
      <c r="T953" s="39" t="n"/>
      <c r="U953" s="39" t="n"/>
      <c r="V953" s="39" t="n"/>
      <c r="W953" s="39" t="n"/>
      <c r="X953" s="39" t="n"/>
      <c r="Y953" s="39" t="n"/>
      <c r="Z953" s="39" t="n"/>
      <c r="AA953" s="39" t="n"/>
      <c r="AB953" s="39" t="n"/>
      <c r="AC953" s="39" t="n"/>
      <c r="AD953" s="39" t="n"/>
      <c r="AE953" s="39" t="n"/>
      <c r="AF953" s="39" t="n"/>
      <c r="AG953" s="39" t="n"/>
      <c r="AH953" s="39" t="n"/>
      <c r="AI953" s="39" t="n"/>
      <c r="AJ953" s="39" t="n"/>
      <c r="AK953" s="39" t="n"/>
      <c r="AL953" s="39" t="n"/>
      <c r="AM953" s="44" t="n"/>
      <c r="AN953" s="44" t="n"/>
      <c r="AO953" s="44" t="n"/>
      <c r="AP953" s="44" t="n"/>
      <c r="AQ953" s="44" t="n"/>
      <c r="AR953" s="44" t="n"/>
      <c r="AS953" s="45" t="n"/>
      <c r="AT953" s="45" t="n"/>
      <c r="AU953" s="45" t="n"/>
    </row>
    <row r="954">
      <c r="B954" s="39" t="n"/>
      <c r="C954" s="39" t="n"/>
      <c r="D954" s="40" t="n"/>
      <c r="E954" s="39" t="n"/>
      <c r="F954" s="39" t="n"/>
      <c r="G954" s="112" t="n"/>
      <c r="H954" s="42" t="n"/>
      <c r="I954" s="42" t="n"/>
      <c r="J954" s="113" t="n"/>
      <c r="K954" s="39" t="n"/>
      <c r="L954" s="39" t="n"/>
      <c r="M954" s="39" t="n"/>
      <c r="N954" s="39" t="n"/>
      <c r="O954" s="39" t="n"/>
      <c r="P954" s="39" t="n"/>
      <c r="Q954" s="39" t="n"/>
      <c r="R954" s="39" t="n"/>
      <c r="S954" s="39" t="n"/>
      <c r="T954" s="39" t="n"/>
      <c r="U954" s="39" t="n"/>
      <c r="V954" s="39" t="n"/>
      <c r="W954" s="39" t="n"/>
      <c r="X954" s="39" t="n"/>
      <c r="Y954" s="39" t="n"/>
      <c r="Z954" s="39" t="n"/>
      <c r="AA954" s="39" t="n"/>
      <c r="AB954" s="39" t="n"/>
      <c r="AC954" s="39" t="n"/>
      <c r="AD954" s="39" t="n"/>
      <c r="AE954" s="39" t="n"/>
      <c r="AF954" s="39" t="n"/>
      <c r="AG954" s="39" t="n"/>
      <c r="AH954" s="39" t="n"/>
      <c r="AI954" s="39" t="n"/>
      <c r="AJ954" s="39" t="n"/>
      <c r="AK954" s="39" t="n"/>
      <c r="AL954" s="39" t="n"/>
      <c r="AM954" s="44" t="n"/>
      <c r="AN954" s="44" t="n"/>
      <c r="AO954" s="44" t="n"/>
      <c r="AP954" s="44" t="n"/>
      <c r="AQ954" s="44" t="n"/>
      <c r="AR954" s="44" t="n"/>
      <c r="AS954" s="45" t="n"/>
      <c r="AT954" s="45" t="n"/>
      <c r="AU954" s="45" t="n"/>
    </row>
    <row r="955">
      <c r="B955" s="39" t="n"/>
      <c r="C955" s="39" t="n"/>
      <c r="D955" s="40" t="n"/>
      <c r="E955" s="39" t="n"/>
      <c r="F955" s="39" t="n"/>
      <c r="G955" s="112" t="n"/>
      <c r="H955" s="42" t="n"/>
      <c r="I955" s="42" t="n"/>
      <c r="J955" s="113" t="n"/>
      <c r="K955" s="39" t="n"/>
      <c r="L955" s="39" t="n"/>
      <c r="M955" s="39" t="n"/>
      <c r="N955" s="39" t="n"/>
      <c r="O955" s="39" t="n"/>
      <c r="P955" s="39" t="n"/>
      <c r="Q955" s="39" t="n"/>
      <c r="R955" s="39" t="n"/>
      <c r="S955" s="39" t="n"/>
      <c r="T955" s="39" t="n"/>
      <c r="U955" s="39" t="n"/>
      <c r="V955" s="39" t="n"/>
      <c r="W955" s="39" t="n"/>
      <c r="X955" s="39" t="n"/>
      <c r="Y955" s="39" t="n"/>
      <c r="Z955" s="39" t="n"/>
      <c r="AA955" s="39" t="n"/>
      <c r="AB955" s="39" t="n"/>
      <c r="AC955" s="39" t="n"/>
      <c r="AD955" s="39" t="n"/>
      <c r="AE955" s="39" t="n"/>
      <c r="AF955" s="39" t="n"/>
      <c r="AG955" s="39" t="n"/>
      <c r="AH955" s="39" t="n"/>
      <c r="AI955" s="39" t="n"/>
      <c r="AJ955" s="39" t="n"/>
      <c r="AK955" s="39" t="n"/>
      <c r="AL955" s="39" t="n"/>
      <c r="AM955" s="44" t="n"/>
      <c r="AN955" s="44" t="n"/>
      <c r="AO955" s="44" t="n"/>
      <c r="AP955" s="44" t="n"/>
      <c r="AQ955" s="44" t="n"/>
      <c r="AR955" s="44" t="n"/>
      <c r="AS955" s="45" t="n"/>
      <c r="AT955" s="45" t="n"/>
      <c r="AU955" s="45" t="n"/>
    </row>
    <row r="956">
      <c r="B956" s="39" t="n"/>
      <c r="C956" s="39" t="n"/>
      <c r="D956" s="40" t="n"/>
      <c r="E956" s="39" t="n"/>
      <c r="F956" s="39" t="n"/>
      <c r="G956" s="112" t="n"/>
      <c r="H956" s="42" t="n"/>
      <c r="I956" s="42" t="n"/>
      <c r="J956" s="113" t="n"/>
      <c r="K956" s="39" t="n"/>
      <c r="L956" s="39" t="n"/>
      <c r="M956" s="39" t="n"/>
      <c r="N956" s="39" t="n"/>
      <c r="O956" s="39" t="n"/>
      <c r="P956" s="39" t="n"/>
      <c r="Q956" s="39" t="n"/>
      <c r="R956" s="39" t="n"/>
      <c r="S956" s="39" t="n"/>
      <c r="T956" s="39" t="n"/>
      <c r="U956" s="39" t="n"/>
      <c r="V956" s="39" t="n"/>
      <c r="W956" s="39" t="n"/>
      <c r="X956" s="39" t="n"/>
      <c r="Y956" s="39" t="n"/>
      <c r="Z956" s="39" t="n"/>
      <c r="AA956" s="39" t="n"/>
      <c r="AB956" s="39" t="n"/>
      <c r="AC956" s="39" t="n"/>
      <c r="AD956" s="39" t="n"/>
      <c r="AE956" s="39" t="n"/>
      <c r="AF956" s="39" t="n"/>
      <c r="AG956" s="39" t="n"/>
      <c r="AH956" s="39" t="n"/>
      <c r="AI956" s="39" t="n"/>
      <c r="AJ956" s="39" t="n"/>
      <c r="AK956" s="39" t="n"/>
      <c r="AL956" s="39" t="n"/>
      <c r="AM956" s="44" t="n"/>
      <c r="AN956" s="44" t="n"/>
      <c r="AO956" s="44" t="n"/>
      <c r="AP956" s="44" t="n"/>
      <c r="AQ956" s="44" t="n"/>
      <c r="AR956" s="44" t="n"/>
      <c r="AS956" s="45" t="n"/>
      <c r="AT956" s="45" t="n"/>
      <c r="AU956" s="45" t="n"/>
    </row>
    <row r="957">
      <c r="B957" s="39" t="n"/>
      <c r="C957" s="39" t="n"/>
      <c r="D957" s="40" t="n"/>
      <c r="E957" s="39" t="n"/>
      <c r="F957" s="39" t="n"/>
      <c r="G957" s="112" t="n"/>
      <c r="H957" s="42" t="n"/>
      <c r="I957" s="42" t="n"/>
      <c r="J957" s="113" t="n"/>
      <c r="K957" s="39" t="n"/>
      <c r="L957" s="39" t="n"/>
      <c r="M957" s="39" t="n"/>
      <c r="N957" s="39" t="n"/>
      <c r="O957" s="39" t="n"/>
      <c r="P957" s="39" t="n"/>
      <c r="Q957" s="39" t="n"/>
      <c r="R957" s="39" t="n"/>
      <c r="S957" s="39" t="n"/>
      <c r="T957" s="39" t="n"/>
      <c r="U957" s="39" t="n"/>
      <c r="V957" s="39" t="n"/>
      <c r="W957" s="39" t="n"/>
      <c r="X957" s="39" t="n"/>
      <c r="Y957" s="39" t="n"/>
      <c r="Z957" s="39" t="n"/>
      <c r="AA957" s="39" t="n"/>
      <c r="AB957" s="39" t="n"/>
      <c r="AC957" s="39" t="n"/>
      <c r="AD957" s="39" t="n"/>
      <c r="AE957" s="39" t="n"/>
      <c r="AF957" s="39" t="n"/>
      <c r="AG957" s="39" t="n"/>
      <c r="AH957" s="39" t="n"/>
      <c r="AI957" s="39" t="n"/>
      <c r="AJ957" s="39" t="n"/>
      <c r="AK957" s="39" t="n"/>
      <c r="AL957" s="39" t="n"/>
      <c r="AM957" s="44" t="n"/>
      <c r="AN957" s="44" t="n"/>
      <c r="AO957" s="44" t="n"/>
      <c r="AP957" s="44" t="n"/>
      <c r="AQ957" s="44" t="n"/>
      <c r="AR957" s="44" t="n"/>
      <c r="AS957" s="45" t="n"/>
      <c r="AT957" s="45" t="n"/>
      <c r="AU957" s="45" t="n"/>
    </row>
    <row r="958">
      <c r="B958" s="39" t="n"/>
      <c r="C958" s="39" t="n"/>
      <c r="D958" s="40" t="n"/>
      <c r="E958" s="39" t="n"/>
      <c r="F958" s="39" t="n"/>
      <c r="G958" s="112" t="n"/>
      <c r="H958" s="42" t="n"/>
      <c r="I958" s="42" t="n"/>
      <c r="J958" s="113" t="n"/>
      <c r="K958" s="39" t="n"/>
      <c r="L958" s="39" t="n"/>
      <c r="M958" s="39" t="n"/>
      <c r="N958" s="39" t="n"/>
      <c r="O958" s="39" t="n"/>
      <c r="P958" s="39" t="n"/>
      <c r="Q958" s="39" t="n"/>
      <c r="R958" s="39" t="n"/>
      <c r="S958" s="39" t="n"/>
      <c r="T958" s="39" t="n"/>
      <c r="U958" s="39" t="n"/>
      <c r="V958" s="39" t="n"/>
      <c r="W958" s="39" t="n"/>
      <c r="X958" s="39" t="n"/>
      <c r="Y958" s="39" t="n"/>
      <c r="Z958" s="39" t="n"/>
      <c r="AA958" s="39" t="n"/>
      <c r="AB958" s="39" t="n"/>
      <c r="AC958" s="39" t="n"/>
      <c r="AD958" s="39" t="n"/>
      <c r="AE958" s="39" t="n"/>
      <c r="AF958" s="39" t="n"/>
      <c r="AG958" s="39" t="n"/>
      <c r="AH958" s="39" t="n"/>
      <c r="AI958" s="39" t="n"/>
      <c r="AJ958" s="39" t="n"/>
      <c r="AK958" s="39" t="n"/>
      <c r="AL958" s="39" t="n"/>
      <c r="AM958" s="44" t="n"/>
      <c r="AN958" s="44" t="n"/>
      <c r="AO958" s="44" t="n"/>
      <c r="AP958" s="44" t="n"/>
      <c r="AQ958" s="44" t="n"/>
      <c r="AR958" s="44" t="n"/>
      <c r="AS958" s="45" t="n"/>
      <c r="AT958" s="45" t="n"/>
      <c r="AU958" s="45" t="n"/>
    </row>
    <row r="959">
      <c r="B959" s="39" t="n"/>
      <c r="C959" s="39" t="n"/>
      <c r="D959" s="40" t="n"/>
      <c r="E959" s="39" t="n"/>
      <c r="F959" s="39" t="n"/>
      <c r="G959" s="112" t="n"/>
      <c r="H959" s="42" t="n"/>
      <c r="I959" s="42" t="n"/>
      <c r="J959" s="113" t="n"/>
      <c r="K959" s="39" t="n"/>
      <c r="L959" s="39" t="n"/>
      <c r="M959" s="39" t="n"/>
      <c r="N959" s="39" t="n"/>
      <c r="O959" s="39" t="n"/>
      <c r="P959" s="39" t="n"/>
      <c r="Q959" s="39" t="n"/>
      <c r="R959" s="39" t="n"/>
      <c r="S959" s="39" t="n"/>
      <c r="T959" s="39" t="n"/>
      <c r="U959" s="39" t="n"/>
      <c r="V959" s="39" t="n"/>
      <c r="W959" s="39" t="n"/>
      <c r="X959" s="39" t="n"/>
      <c r="Y959" s="39" t="n"/>
      <c r="Z959" s="39" t="n"/>
      <c r="AA959" s="39" t="n"/>
      <c r="AB959" s="39" t="n"/>
      <c r="AC959" s="39" t="n"/>
      <c r="AD959" s="39" t="n"/>
      <c r="AE959" s="39" t="n"/>
      <c r="AF959" s="39" t="n"/>
      <c r="AG959" s="39" t="n"/>
      <c r="AH959" s="39" t="n"/>
      <c r="AI959" s="39" t="n"/>
      <c r="AJ959" s="39" t="n"/>
      <c r="AK959" s="39" t="n"/>
      <c r="AL959" s="39" t="n"/>
      <c r="AM959" s="44" t="n"/>
      <c r="AN959" s="44" t="n"/>
      <c r="AO959" s="44" t="n"/>
      <c r="AP959" s="44" t="n"/>
      <c r="AQ959" s="44" t="n"/>
      <c r="AR959" s="44" t="n"/>
      <c r="AS959" s="45" t="n"/>
      <c r="AT959" s="45" t="n"/>
      <c r="AU959" s="45" t="n"/>
    </row>
    <row r="960">
      <c r="B960" s="39" t="n"/>
      <c r="C960" s="39" t="n"/>
      <c r="D960" s="40" t="n"/>
      <c r="E960" s="39" t="n"/>
      <c r="F960" s="39" t="n"/>
      <c r="G960" s="112" t="n"/>
      <c r="H960" s="42" t="n"/>
      <c r="I960" s="42" t="n"/>
      <c r="J960" s="113" t="n"/>
      <c r="K960" s="39" t="n"/>
      <c r="L960" s="39" t="n"/>
      <c r="M960" s="39" t="n"/>
      <c r="N960" s="39" t="n"/>
      <c r="O960" s="39" t="n"/>
      <c r="P960" s="39" t="n"/>
      <c r="Q960" s="39" t="n"/>
      <c r="R960" s="39" t="n"/>
      <c r="S960" s="39" t="n"/>
      <c r="T960" s="39" t="n"/>
      <c r="U960" s="39" t="n"/>
      <c r="V960" s="39" t="n"/>
      <c r="W960" s="39" t="n"/>
      <c r="X960" s="39" t="n"/>
      <c r="Y960" s="39" t="n"/>
      <c r="Z960" s="39" t="n"/>
      <c r="AA960" s="39" t="n"/>
      <c r="AB960" s="39" t="n"/>
      <c r="AC960" s="39" t="n"/>
      <c r="AD960" s="39" t="n"/>
      <c r="AE960" s="39" t="n"/>
      <c r="AF960" s="39" t="n"/>
      <c r="AG960" s="39" t="n"/>
      <c r="AH960" s="39" t="n"/>
      <c r="AI960" s="39" t="n"/>
      <c r="AJ960" s="39" t="n"/>
      <c r="AK960" s="39" t="n"/>
      <c r="AL960" s="39" t="n"/>
      <c r="AM960" s="44" t="n"/>
      <c r="AN960" s="44" t="n"/>
      <c r="AO960" s="44" t="n"/>
      <c r="AP960" s="44" t="n"/>
      <c r="AQ960" s="44" t="n"/>
      <c r="AR960" s="44" t="n"/>
      <c r="AS960" s="45" t="n"/>
      <c r="AT960" s="45" t="n"/>
      <c r="AU960" s="45" t="n"/>
    </row>
    <row r="961">
      <c r="B961" s="39" t="n"/>
      <c r="C961" s="39" t="n"/>
      <c r="D961" s="40" t="n"/>
      <c r="E961" s="39" t="n"/>
      <c r="F961" s="39" t="n"/>
      <c r="G961" s="112" t="n"/>
      <c r="H961" s="42" t="n"/>
      <c r="I961" s="42" t="n"/>
      <c r="J961" s="113" t="n"/>
      <c r="K961" s="39" t="n"/>
      <c r="L961" s="39" t="n"/>
      <c r="M961" s="39" t="n"/>
      <c r="N961" s="39" t="n"/>
      <c r="O961" s="39" t="n"/>
      <c r="P961" s="39" t="n"/>
      <c r="Q961" s="39" t="n"/>
      <c r="R961" s="39" t="n"/>
      <c r="S961" s="39" t="n"/>
      <c r="T961" s="39" t="n"/>
      <c r="U961" s="39" t="n"/>
      <c r="V961" s="39" t="n"/>
      <c r="W961" s="39" t="n"/>
      <c r="X961" s="39" t="n"/>
      <c r="Y961" s="39" t="n"/>
      <c r="Z961" s="39" t="n"/>
      <c r="AA961" s="39" t="n"/>
      <c r="AB961" s="39" t="n"/>
      <c r="AC961" s="39" t="n"/>
      <c r="AD961" s="39" t="n"/>
      <c r="AE961" s="39" t="n"/>
      <c r="AF961" s="39" t="n"/>
      <c r="AG961" s="39" t="n"/>
      <c r="AH961" s="39" t="n"/>
      <c r="AI961" s="39" t="n"/>
      <c r="AJ961" s="39" t="n"/>
      <c r="AK961" s="39" t="n"/>
      <c r="AL961" s="39" t="n"/>
      <c r="AM961" s="44" t="n"/>
      <c r="AN961" s="44" t="n"/>
      <c r="AO961" s="44" t="n"/>
      <c r="AP961" s="44" t="n"/>
      <c r="AQ961" s="44" t="n"/>
      <c r="AR961" s="44" t="n"/>
      <c r="AS961" s="45" t="n"/>
      <c r="AT961" s="45" t="n"/>
      <c r="AU961" s="45" t="n"/>
    </row>
    <row r="962">
      <c r="B962" s="39" t="n"/>
      <c r="C962" s="39" t="n"/>
      <c r="D962" s="40" t="n"/>
      <c r="E962" s="39" t="n"/>
      <c r="F962" s="39" t="n"/>
      <c r="G962" s="112" t="n"/>
      <c r="H962" s="42" t="n"/>
      <c r="I962" s="42" t="n"/>
      <c r="J962" s="113" t="n"/>
      <c r="K962" s="39" t="n"/>
      <c r="L962" s="39" t="n"/>
      <c r="M962" s="39" t="n"/>
      <c r="N962" s="39" t="n"/>
      <c r="O962" s="39" t="n"/>
      <c r="P962" s="39" t="n"/>
      <c r="Q962" s="39" t="n"/>
      <c r="R962" s="39" t="n"/>
      <c r="S962" s="39" t="n"/>
      <c r="T962" s="39" t="n"/>
      <c r="U962" s="39" t="n"/>
      <c r="V962" s="39" t="n"/>
      <c r="W962" s="39" t="n"/>
      <c r="X962" s="39" t="n"/>
      <c r="Y962" s="39" t="n"/>
      <c r="Z962" s="39" t="n"/>
      <c r="AA962" s="39" t="n"/>
      <c r="AB962" s="39" t="n"/>
      <c r="AC962" s="39" t="n"/>
      <c r="AD962" s="39" t="n"/>
      <c r="AE962" s="39" t="n"/>
      <c r="AF962" s="39" t="n"/>
      <c r="AG962" s="39" t="n"/>
      <c r="AH962" s="39" t="n"/>
      <c r="AI962" s="39" t="n"/>
      <c r="AJ962" s="39" t="n"/>
      <c r="AK962" s="39" t="n"/>
      <c r="AL962" s="39" t="n"/>
      <c r="AM962" s="44" t="n"/>
      <c r="AN962" s="44" t="n"/>
      <c r="AO962" s="44" t="n"/>
      <c r="AP962" s="44" t="n"/>
      <c r="AQ962" s="44" t="n"/>
      <c r="AR962" s="44" t="n"/>
      <c r="AS962" s="45" t="n"/>
      <c r="AT962" s="45" t="n"/>
      <c r="AU962" s="45" t="n"/>
    </row>
    <row r="963">
      <c r="B963" s="39" t="n"/>
      <c r="C963" s="39" t="n"/>
      <c r="D963" s="40" t="n"/>
      <c r="E963" s="39" t="n"/>
      <c r="F963" s="39" t="n"/>
      <c r="G963" s="112" t="n"/>
      <c r="H963" s="42" t="n"/>
      <c r="I963" s="42" t="n"/>
      <c r="J963" s="113" t="n"/>
      <c r="K963" s="39" t="n"/>
      <c r="L963" s="39" t="n"/>
      <c r="M963" s="39" t="n"/>
      <c r="N963" s="39" t="n"/>
      <c r="O963" s="39" t="n"/>
      <c r="P963" s="39" t="n"/>
      <c r="Q963" s="39" t="n"/>
      <c r="R963" s="39" t="n"/>
      <c r="S963" s="39" t="n"/>
      <c r="T963" s="39" t="n"/>
      <c r="U963" s="39" t="n"/>
      <c r="V963" s="39" t="n"/>
      <c r="W963" s="39" t="n"/>
      <c r="X963" s="39" t="n"/>
      <c r="Y963" s="39" t="n"/>
      <c r="Z963" s="39" t="n"/>
      <c r="AA963" s="39" t="n"/>
      <c r="AB963" s="39" t="n"/>
      <c r="AC963" s="39" t="n"/>
      <c r="AD963" s="39" t="n"/>
      <c r="AE963" s="39" t="n"/>
      <c r="AF963" s="39" t="n"/>
      <c r="AG963" s="39" t="n"/>
      <c r="AH963" s="39" t="n"/>
      <c r="AI963" s="39" t="n"/>
      <c r="AJ963" s="39" t="n"/>
      <c r="AK963" s="39" t="n"/>
      <c r="AL963" s="39" t="n"/>
      <c r="AM963" s="44" t="n"/>
      <c r="AN963" s="44" t="n"/>
      <c r="AO963" s="44" t="n"/>
      <c r="AP963" s="44" t="n"/>
      <c r="AQ963" s="44" t="n"/>
      <c r="AR963" s="44" t="n"/>
      <c r="AS963" s="45" t="n"/>
      <c r="AT963" s="45" t="n"/>
      <c r="AU963" s="45" t="n"/>
    </row>
    <row r="964">
      <c r="B964" s="39" t="n"/>
      <c r="C964" s="39" t="n"/>
      <c r="D964" s="40" t="n"/>
      <c r="E964" s="39" t="n"/>
      <c r="F964" s="39" t="n"/>
      <c r="G964" s="112" t="n"/>
      <c r="H964" s="42" t="n"/>
      <c r="I964" s="42" t="n"/>
      <c r="J964" s="113" t="n"/>
      <c r="K964" s="39" t="n"/>
      <c r="L964" s="39" t="n"/>
      <c r="M964" s="39" t="n"/>
      <c r="N964" s="39" t="n"/>
      <c r="O964" s="39" t="n"/>
      <c r="P964" s="39" t="n"/>
      <c r="Q964" s="39" t="n"/>
      <c r="R964" s="39" t="n"/>
      <c r="S964" s="39" t="n"/>
      <c r="T964" s="39" t="n"/>
      <c r="U964" s="39" t="n"/>
      <c r="V964" s="39" t="n"/>
      <c r="W964" s="39" t="n"/>
      <c r="X964" s="39" t="n"/>
      <c r="Y964" s="39" t="n"/>
      <c r="Z964" s="39" t="n"/>
      <c r="AA964" s="39" t="n"/>
      <c r="AB964" s="39" t="n"/>
      <c r="AC964" s="39" t="n"/>
      <c r="AD964" s="39" t="n"/>
      <c r="AE964" s="39" t="n"/>
      <c r="AF964" s="39" t="n"/>
      <c r="AG964" s="39" t="n"/>
      <c r="AH964" s="39" t="n"/>
      <c r="AI964" s="39" t="n"/>
      <c r="AJ964" s="39" t="n"/>
      <c r="AK964" s="39" t="n"/>
      <c r="AL964" s="39" t="n"/>
      <c r="AM964" s="44" t="n"/>
      <c r="AN964" s="44" t="n"/>
      <c r="AO964" s="44" t="n"/>
      <c r="AP964" s="44" t="n"/>
      <c r="AQ964" s="44" t="n"/>
      <c r="AR964" s="44" t="n"/>
      <c r="AS964" s="45" t="n"/>
      <c r="AT964" s="45" t="n"/>
      <c r="AU964" s="45" t="n"/>
    </row>
    <row r="965">
      <c r="B965" s="39" t="n"/>
      <c r="C965" s="39" t="n"/>
      <c r="D965" s="40" t="n"/>
      <c r="E965" s="39" t="n"/>
      <c r="F965" s="39" t="n"/>
      <c r="G965" s="112" t="n"/>
      <c r="H965" s="42" t="n"/>
      <c r="I965" s="42" t="n"/>
      <c r="J965" s="113" t="n"/>
      <c r="K965" s="39" t="n"/>
      <c r="L965" s="39" t="n"/>
      <c r="M965" s="39" t="n"/>
      <c r="N965" s="39" t="n"/>
      <c r="O965" s="39" t="n"/>
      <c r="P965" s="39" t="n"/>
      <c r="Q965" s="39" t="n"/>
      <c r="R965" s="39" t="n"/>
      <c r="S965" s="39" t="n"/>
      <c r="T965" s="39" t="n"/>
      <c r="U965" s="39" t="n"/>
      <c r="V965" s="39" t="n"/>
      <c r="W965" s="39" t="n"/>
      <c r="X965" s="39" t="n"/>
      <c r="Y965" s="39" t="n"/>
      <c r="Z965" s="39" t="n"/>
      <c r="AA965" s="39" t="n"/>
      <c r="AB965" s="39" t="n"/>
      <c r="AC965" s="39" t="n"/>
      <c r="AD965" s="39" t="n"/>
      <c r="AE965" s="39" t="n"/>
      <c r="AF965" s="39" t="n"/>
      <c r="AG965" s="39" t="n"/>
      <c r="AH965" s="39" t="n"/>
      <c r="AI965" s="39" t="n"/>
      <c r="AJ965" s="39" t="n"/>
      <c r="AK965" s="39" t="n"/>
      <c r="AL965" s="39" t="n"/>
      <c r="AM965" s="44" t="n"/>
      <c r="AN965" s="44" t="n"/>
      <c r="AO965" s="44" t="n"/>
      <c r="AP965" s="44" t="n"/>
      <c r="AQ965" s="44" t="n"/>
      <c r="AR965" s="44" t="n"/>
      <c r="AS965" s="45" t="n"/>
      <c r="AT965" s="45" t="n"/>
      <c r="AU965" s="45" t="n"/>
    </row>
    <row r="966">
      <c r="B966" s="39" t="n"/>
      <c r="C966" s="39" t="n"/>
      <c r="D966" s="40" t="n"/>
      <c r="E966" s="39" t="n"/>
      <c r="F966" s="39" t="n"/>
      <c r="G966" s="112" t="n"/>
      <c r="H966" s="42" t="n"/>
      <c r="I966" s="42" t="n"/>
      <c r="J966" s="113" t="n"/>
      <c r="K966" s="39" t="n"/>
      <c r="L966" s="39" t="n"/>
      <c r="M966" s="39" t="n"/>
      <c r="N966" s="39" t="n"/>
      <c r="O966" s="39" t="n"/>
      <c r="P966" s="39" t="n"/>
      <c r="Q966" s="39" t="n"/>
      <c r="R966" s="39" t="n"/>
      <c r="S966" s="39" t="n"/>
      <c r="T966" s="39" t="n"/>
      <c r="U966" s="39" t="n"/>
      <c r="V966" s="39" t="n"/>
      <c r="W966" s="39" t="n"/>
      <c r="X966" s="39" t="n"/>
      <c r="Y966" s="39" t="n"/>
      <c r="Z966" s="39" t="n"/>
      <c r="AA966" s="39" t="n"/>
      <c r="AB966" s="39" t="n"/>
      <c r="AC966" s="39" t="n"/>
      <c r="AD966" s="39" t="n"/>
      <c r="AE966" s="39" t="n"/>
      <c r="AF966" s="39" t="n"/>
      <c r="AG966" s="39" t="n"/>
      <c r="AH966" s="39" t="n"/>
      <c r="AI966" s="39" t="n"/>
      <c r="AJ966" s="39" t="n"/>
      <c r="AK966" s="39" t="n"/>
      <c r="AL966" s="39" t="n"/>
      <c r="AM966" s="44" t="n"/>
      <c r="AN966" s="44" t="n"/>
      <c r="AO966" s="44" t="n"/>
      <c r="AP966" s="44" t="n"/>
      <c r="AQ966" s="44" t="n"/>
      <c r="AR966" s="44" t="n"/>
      <c r="AS966" s="45" t="n"/>
      <c r="AT966" s="45" t="n"/>
      <c r="AU966" s="45" t="n"/>
    </row>
    <row r="967">
      <c r="B967" s="39" t="n"/>
      <c r="C967" s="39" t="n"/>
      <c r="D967" s="40" t="n"/>
      <c r="E967" s="39" t="n"/>
      <c r="F967" s="39" t="n"/>
      <c r="G967" s="112" t="n"/>
      <c r="H967" s="42" t="n"/>
      <c r="I967" s="42" t="n"/>
      <c r="J967" s="113" t="n"/>
      <c r="K967" s="39" t="n"/>
      <c r="L967" s="39" t="n"/>
      <c r="M967" s="39" t="n"/>
      <c r="N967" s="39" t="n"/>
      <c r="O967" s="39" t="n"/>
      <c r="P967" s="39" t="n"/>
      <c r="Q967" s="39" t="n"/>
      <c r="R967" s="39" t="n"/>
      <c r="S967" s="39" t="n"/>
      <c r="T967" s="39" t="n"/>
      <c r="U967" s="39" t="n"/>
      <c r="V967" s="39" t="n"/>
      <c r="W967" s="39" t="n"/>
      <c r="X967" s="39" t="n"/>
      <c r="Y967" s="39" t="n"/>
      <c r="Z967" s="39" t="n"/>
      <c r="AA967" s="39" t="n"/>
      <c r="AB967" s="39" t="n"/>
      <c r="AC967" s="39" t="n"/>
      <c r="AD967" s="39" t="n"/>
      <c r="AE967" s="39" t="n"/>
      <c r="AF967" s="39" t="n"/>
      <c r="AG967" s="39" t="n"/>
      <c r="AH967" s="39" t="n"/>
      <c r="AI967" s="39" t="n"/>
      <c r="AJ967" s="39" t="n"/>
      <c r="AK967" s="39" t="n"/>
      <c r="AL967" s="39" t="n"/>
      <c r="AM967" s="44" t="n"/>
      <c r="AN967" s="44" t="n"/>
      <c r="AO967" s="44" t="n"/>
      <c r="AP967" s="44" t="n"/>
      <c r="AQ967" s="44" t="n"/>
      <c r="AR967" s="44" t="n"/>
      <c r="AS967" s="45" t="n"/>
      <c r="AT967" s="45" t="n"/>
      <c r="AU967" s="45" t="n"/>
    </row>
    <row r="968">
      <c r="B968" s="39" t="n"/>
      <c r="C968" s="39" t="n"/>
      <c r="D968" s="40" t="n"/>
      <c r="E968" s="39" t="n"/>
      <c r="F968" s="39" t="n"/>
      <c r="G968" s="112" t="n"/>
      <c r="H968" s="42" t="n"/>
      <c r="I968" s="42" t="n"/>
      <c r="J968" s="113" t="n"/>
      <c r="K968" s="39" t="n"/>
      <c r="L968" s="39" t="n"/>
      <c r="M968" s="39" t="n"/>
      <c r="N968" s="39" t="n"/>
      <c r="O968" s="39" t="n"/>
      <c r="P968" s="39" t="n"/>
      <c r="Q968" s="39" t="n"/>
      <c r="R968" s="39" t="n"/>
      <c r="S968" s="39" t="n"/>
      <c r="T968" s="39" t="n"/>
      <c r="U968" s="39" t="n"/>
      <c r="V968" s="39" t="n"/>
      <c r="W968" s="39" t="n"/>
      <c r="X968" s="39" t="n"/>
      <c r="Y968" s="39" t="n"/>
      <c r="Z968" s="39" t="n"/>
      <c r="AA968" s="39" t="n"/>
      <c r="AB968" s="39" t="n"/>
      <c r="AC968" s="39" t="n"/>
      <c r="AD968" s="39" t="n"/>
      <c r="AE968" s="39" t="n"/>
      <c r="AF968" s="39" t="n"/>
      <c r="AG968" s="39" t="n"/>
      <c r="AH968" s="39" t="n"/>
      <c r="AI968" s="39" t="n"/>
      <c r="AJ968" s="39" t="n"/>
      <c r="AK968" s="39" t="n"/>
      <c r="AL968" s="39" t="n"/>
      <c r="AM968" s="44" t="n"/>
      <c r="AN968" s="44" t="n"/>
      <c r="AO968" s="44" t="n"/>
      <c r="AP968" s="44" t="n"/>
      <c r="AQ968" s="44" t="n"/>
      <c r="AR968" s="44" t="n"/>
      <c r="AS968" s="45" t="n"/>
      <c r="AT968" s="45" t="n"/>
      <c r="AU968" s="45" t="n"/>
    </row>
    <row r="969">
      <c r="B969" s="39" t="n"/>
      <c r="C969" s="39" t="n"/>
      <c r="D969" s="40" t="n"/>
      <c r="E969" s="39" t="n"/>
      <c r="F969" s="39" t="n"/>
      <c r="G969" s="112" t="n"/>
      <c r="H969" s="42" t="n"/>
      <c r="I969" s="42" t="n"/>
      <c r="J969" s="113" t="n"/>
      <c r="K969" s="39" t="n"/>
      <c r="L969" s="39" t="n"/>
      <c r="M969" s="39" t="n"/>
      <c r="N969" s="39" t="n"/>
      <c r="O969" s="39" t="n"/>
      <c r="P969" s="39" t="n"/>
      <c r="Q969" s="39" t="n"/>
      <c r="R969" s="39" t="n"/>
      <c r="S969" s="39" t="n"/>
      <c r="T969" s="39" t="n"/>
      <c r="U969" s="39" t="n"/>
      <c r="V969" s="39" t="n"/>
      <c r="W969" s="39" t="n"/>
      <c r="X969" s="39" t="n"/>
      <c r="Y969" s="39" t="n"/>
      <c r="Z969" s="39" t="n"/>
      <c r="AA969" s="39" t="n"/>
      <c r="AB969" s="39" t="n"/>
      <c r="AC969" s="39" t="n"/>
      <c r="AD969" s="39" t="n"/>
      <c r="AE969" s="39" t="n"/>
      <c r="AF969" s="39" t="n"/>
      <c r="AG969" s="39" t="n"/>
      <c r="AH969" s="39" t="n"/>
      <c r="AI969" s="39" t="n"/>
      <c r="AJ969" s="39" t="n"/>
      <c r="AK969" s="39" t="n"/>
      <c r="AL969" s="39" t="n"/>
      <c r="AM969" s="44" t="n"/>
      <c r="AN969" s="44" t="n"/>
      <c r="AO969" s="44" t="n"/>
      <c r="AP969" s="44" t="n"/>
      <c r="AQ969" s="44" t="n"/>
      <c r="AR969" s="44" t="n"/>
      <c r="AS969" s="45" t="n"/>
      <c r="AT969" s="45" t="n"/>
      <c r="AU969" s="45" t="n"/>
    </row>
    <row r="970">
      <c r="B970" s="39" t="n"/>
      <c r="C970" s="39" t="n"/>
      <c r="D970" s="40" t="n"/>
      <c r="E970" s="39" t="n"/>
      <c r="F970" s="39" t="n"/>
      <c r="G970" s="112" t="n"/>
      <c r="H970" s="42" t="n"/>
      <c r="I970" s="42" t="n"/>
      <c r="J970" s="113" t="n"/>
      <c r="K970" s="39" t="n"/>
      <c r="L970" s="39" t="n"/>
      <c r="M970" s="39" t="n"/>
      <c r="N970" s="39" t="n"/>
      <c r="O970" s="39" t="n"/>
      <c r="P970" s="39" t="n"/>
      <c r="Q970" s="39" t="n"/>
      <c r="R970" s="39" t="n"/>
      <c r="S970" s="39" t="n"/>
      <c r="T970" s="39" t="n"/>
      <c r="U970" s="39" t="n"/>
      <c r="V970" s="39" t="n"/>
      <c r="W970" s="39" t="n"/>
      <c r="X970" s="39" t="n"/>
      <c r="Y970" s="39" t="n"/>
      <c r="Z970" s="39" t="n"/>
      <c r="AA970" s="39" t="n"/>
      <c r="AB970" s="39" t="n"/>
      <c r="AC970" s="39" t="n"/>
      <c r="AD970" s="39" t="n"/>
      <c r="AE970" s="39" t="n"/>
      <c r="AF970" s="39" t="n"/>
      <c r="AG970" s="39" t="n"/>
      <c r="AH970" s="39" t="n"/>
      <c r="AI970" s="39" t="n"/>
      <c r="AJ970" s="39" t="n"/>
      <c r="AK970" s="39" t="n"/>
      <c r="AL970" s="39" t="n"/>
      <c r="AM970" s="44" t="n"/>
      <c r="AN970" s="44" t="n"/>
      <c r="AO970" s="44" t="n"/>
      <c r="AP970" s="44" t="n"/>
      <c r="AQ970" s="44" t="n"/>
      <c r="AR970" s="44" t="n"/>
      <c r="AS970" s="45" t="n"/>
      <c r="AT970" s="45" t="n"/>
      <c r="AU970" s="45" t="n"/>
    </row>
    <row r="971">
      <c r="B971" s="39" t="n"/>
      <c r="C971" s="39" t="n"/>
      <c r="D971" s="40" t="n"/>
      <c r="E971" s="39" t="n"/>
      <c r="F971" s="39" t="n"/>
      <c r="G971" s="112" t="n"/>
      <c r="H971" s="42" t="n"/>
      <c r="I971" s="42" t="n"/>
      <c r="J971" s="113" t="n"/>
      <c r="K971" s="39" t="n"/>
      <c r="L971" s="39" t="n"/>
      <c r="M971" s="39" t="n"/>
      <c r="N971" s="39" t="n"/>
      <c r="O971" s="39" t="n"/>
      <c r="P971" s="39" t="n"/>
      <c r="Q971" s="39" t="n"/>
      <c r="R971" s="39" t="n"/>
      <c r="S971" s="39" t="n"/>
      <c r="T971" s="39" t="n"/>
      <c r="U971" s="39" t="n"/>
      <c r="V971" s="39" t="n"/>
      <c r="W971" s="39" t="n"/>
      <c r="X971" s="39" t="n"/>
      <c r="Y971" s="39" t="n"/>
      <c r="Z971" s="39" t="n"/>
      <c r="AA971" s="39" t="n"/>
      <c r="AB971" s="39" t="n"/>
      <c r="AC971" s="39" t="n"/>
      <c r="AD971" s="39" t="n"/>
      <c r="AE971" s="39" t="n"/>
      <c r="AF971" s="39" t="n"/>
      <c r="AG971" s="39" t="n"/>
      <c r="AH971" s="39" t="n"/>
      <c r="AI971" s="39" t="n"/>
      <c r="AJ971" s="39" t="n"/>
      <c r="AK971" s="39" t="n"/>
      <c r="AL971" s="39" t="n"/>
      <c r="AM971" s="44" t="n"/>
      <c r="AN971" s="44" t="n"/>
      <c r="AO971" s="44" t="n"/>
      <c r="AP971" s="44" t="n"/>
      <c r="AQ971" s="44" t="n"/>
      <c r="AR971" s="44" t="n"/>
      <c r="AS971" s="45" t="n"/>
      <c r="AT971" s="45" t="n"/>
      <c r="AU971" s="45" t="n"/>
    </row>
    <row r="972">
      <c r="B972" s="39" t="n"/>
      <c r="C972" s="39" t="n"/>
      <c r="D972" s="40" t="n"/>
      <c r="E972" s="39" t="n"/>
      <c r="F972" s="39" t="n"/>
      <c r="G972" s="112" t="n"/>
      <c r="H972" s="42" t="n"/>
      <c r="I972" s="42" t="n"/>
      <c r="J972" s="113" t="n"/>
      <c r="K972" s="39" t="n"/>
      <c r="L972" s="39" t="n"/>
      <c r="M972" s="39" t="n"/>
      <c r="N972" s="39" t="n"/>
      <c r="O972" s="39" t="n"/>
      <c r="P972" s="39" t="n"/>
      <c r="Q972" s="39" t="n"/>
      <c r="R972" s="39" t="n"/>
      <c r="S972" s="39" t="n"/>
      <c r="T972" s="39" t="n"/>
      <c r="U972" s="39" t="n"/>
      <c r="V972" s="39" t="n"/>
      <c r="W972" s="39" t="n"/>
      <c r="X972" s="39" t="n"/>
      <c r="Y972" s="39" t="n"/>
      <c r="Z972" s="39" t="n"/>
      <c r="AA972" s="39" t="n"/>
      <c r="AB972" s="39" t="n"/>
      <c r="AC972" s="39" t="n"/>
      <c r="AD972" s="39" t="n"/>
      <c r="AE972" s="39" t="n"/>
      <c r="AF972" s="39" t="n"/>
      <c r="AG972" s="39" t="n"/>
      <c r="AH972" s="39" t="n"/>
      <c r="AI972" s="39" t="n"/>
      <c r="AJ972" s="39" t="n"/>
      <c r="AK972" s="39" t="n"/>
      <c r="AL972" s="39" t="n"/>
      <c r="AM972" s="44" t="n"/>
      <c r="AN972" s="44" t="n"/>
      <c r="AO972" s="44" t="n"/>
      <c r="AP972" s="44" t="n"/>
      <c r="AQ972" s="44" t="n"/>
      <c r="AR972" s="44" t="n"/>
      <c r="AS972" s="45" t="n"/>
      <c r="AT972" s="45" t="n"/>
      <c r="AU972" s="45" t="n"/>
    </row>
    <row r="973">
      <c r="B973" s="39" t="n"/>
      <c r="C973" s="39" t="n"/>
      <c r="D973" s="40" t="n"/>
      <c r="E973" s="39" t="n"/>
      <c r="F973" s="39" t="n"/>
      <c r="G973" s="112" t="n"/>
      <c r="H973" s="42" t="n"/>
      <c r="I973" s="42" t="n"/>
      <c r="J973" s="113" t="n"/>
      <c r="K973" s="39" t="n"/>
      <c r="L973" s="39" t="n"/>
      <c r="M973" s="39" t="n"/>
      <c r="N973" s="39" t="n"/>
      <c r="O973" s="39" t="n"/>
      <c r="P973" s="39" t="n"/>
      <c r="Q973" s="39" t="n"/>
      <c r="R973" s="39" t="n"/>
      <c r="S973" s="39" t="n"/>
      <c r="T973" s="39" t="n"/>
      <c r="U973" s="39" t="n"/>
      <c r="V973" s="39" t="n"/>
      <c r="W973" s="39" t="n"/>
      <c r="X973" s="39" t="n"/>
      <c r="Y973" s="39" t="n"/>
      <c r="Z973" s="39" t="n"/>
      <c r="AA973" s="39" t="n"/>
      <c r="AB973" s="39" t="n"/>
      <c r="AC973" s="39" t="n"/>
      <c r="AD973" s="39" t="n"/>
      <c r="AE973" s="39" t="n"/>
      <c r="AF973" s="39" t="n"/>
      <c r="AG973" s="39" t="n"/>
      <c r="AH973" s="39" t="n"/>
      <c r="AI973" s="39" t="n"/>
      <c r="AJ973" s="39" t="n"/>
      <c r="AK973" s="39" t="n"/>
      <c r="AL973" s="39" t="n"/>
      <c r="AM973" s="44" t="n"/>
      <c r="AN973" s="44" t="n"/>
      <c r="AO973" s="44" t="n"/>
      <c r="AP973" s="44" t="n"/>
      <c r="AQ973" s="44" t="n"/>
      <c r="AR973" s="44" t="n"/>
      <c r="AS973" s="45" t="n"/>
      <c r="AT973" s="45" t="n"/>
      <c r="AU973" s="45" t="n"/>
    </row>
    <row r="974">
      <c r="B974" s="39" t="n"/>
      <c r="C974" s="39" t="n"/>
      <c r="D974" s="40" t="n"/>
      <c r="E974" s="39" t="n"/>
      <c r="F974" s="39" t="n"/>
      <c r="G974" s="112" t="n"/>
      <c r="H974" s="42" t="n"/>
      <c r="I974" s="42" t="n"/>
      <c r="J974" s="113" t="n"/>
      <c r="K974" s="39" t="n"/>
      <c r="L974" s="39" t="n"/>
      <c r="M974" s="39" t="n"/>
      <c r="N974" s="39" t="n"/>
      <c r="O974" s="39" t="n"/>
      <c r="P974" s="39" t="n"/>
      <c r="Q974" s="39" t="n"/>
      <c r="R974" s="39" t="n"/>
      <c r="S974" s="39" t="n"/>
      <c r="T974" s="39" t="n"/>
      <c r="U974" s="39" t="n"/>
      <c r="V974" s="39" t="n"/>
      <c r="W974" s="39" t="n"/>
      <c r="X974" s="39" t="n"/>
      <c r="Y974" s="39" t="n"/>
      <c r="Z974" s="39" t="n"/>
      <c r="AA974" s="39" t="n"/>
      <c r="AB974" s="39" t="n"/>
      <c r="AC974" s="39" t="n"/>
      <c r="AD974" s="39" t="n"/>
      <c r="AE974" s="39" t="n"/>
      <c r="AF974" s="39" t="n"/>
      <c r="AG974" s="39" t="n"/>
      <c r="AH974" s="39" t="n"/>
      <c r="AI974" s="39" t="n"/>
      <c r="AJ974" s="39" t="n"/>
      <c r="AK974" s="39" t="n"/>
      <c r="AL974" s="39" t="n"/>
      <c r="AM974" s="44" t="n"/>
      <c r="AN974" s="44" t="n"/>
      <c r="AO974" s="44" t="n"/>
      <c r="AP974" s="44" t="n"/>
      <c r="AQ974" s="44" t="n"/>
      <c r="AR974" s="44" t="n"/>
      <c r="AS974" s="45" t="n"/>
      <c r="AT974" s="45" t="n"/>
      <c r="AU974" s="45" t="n"/>
    </row>
    <row r="975">
      <c r="B975" s="39" t="n"/>
      <c r="C975" s="39" t="n"/>
      <c r="D975" s="40" t="n"/>
      <c r="E975" s="39" t="n"/>
      <c r="F975" s="39" t="n"/>
      <c r="G975" s="112" t="n"/>
      <c r="H975" s="42" t="n"/>
      <c r="I975" s="42" t="n"/>
      <c r="J975" s="113" t="n"/>
      <c r="K975" s="39" t="n"/>
      <c r="L975" s="39" t="n"/>
      <c r="M975" s="39" t="n"/>
      <c r="N975" s="39" t="n"/>
      <c r="O975" s="39" t="n"/>
      <c r="P975" s="39" t="n"/>
      <c r="Q975" s="39" t="n"/>
      <c r="R975" s="39" t="n"/>
      <c r="S975" s="39" t="n"/>
      <c r="T975" s="39" t="n"/>
      <c r="U975" s="39" t="n"/>
      <c r="V975" s="39" t="n"/>
      <c r="W975" s="39" t="n"/>
      <c r="X975" s="39" t="n"/>
      <c r="Y975" s="39" t="n"/>
      <c r="Z975" s="39" t="n"/>
      <c r="AA975" s="39" t="n"/>
      <c r="AB975" s="39" t="n"/>
      <c r="AC975" s="39" t="n"/>
      <c r="AD975" s="39" t="n"/>
      <c r="AE975" s="39" t="n"/>
      <c r="AF975" s="39" t="n"/>
      <c r="AG975" s="39" t="n"/>
      <c r="AH975" s="39" t="n"/>
      <c r="AI975" s="39" t="n"/>
      <c r="AJ975" s="39" t="n"/>
      <c r="AK975" s="39" t="n"/>
      <c r="AL975" s="39" t="n"/>
      <c r="AM975" s="44" t="n"/>
      <c r="AN975" s="44" t="n"/>
      <c r="AO975" s="44" t="n"/>
      <c r="AP975" s="44" t="n"/>
      <c r="AQ975" s="44" t="n"/>
      <c r="AR975" s="44" t="n"/>
      <c r="AS975" s="45" t="n"/>
      <c r="AT975" s="45" t="n"/>
      <c r="AU975" s="45" t="n"/>
    </row>
    <row r="976">
      <c r="B976" s="39" t="n"/>
      <c r="C976" s="39" t="n"/>
      <c r="D976" s="40" t="n"/>
      <c r="E976" s="39" t="n"/>
      <c r="F976" s="39" t="n"/>
      <c r="G976" s="112" t="n"/>
      <c r="H976" s="42" t="n"/>
      <c r="I976" s="42" t="n"/>
      <c r="J976" s="113" t="n"/>
      <c r="K976" s="39" t="n"/>
      <c r="L976" s="39" t="n"/>
      <c r="M976" s="39" t="n"/>
      <c r="N976" s="39" t="n"/>
      <c r="O976" s="39" t="n"/>
      <c r="P976" s="39" t="n"/>
      <c r="Q976" s="39" t="n"/>
      <c r="R976" s="39" t="n"/>
      <c r="S976" s="39" t="n"/>
      <c r="T976" s="39" t="n"/>
      <c r="U976" s="39" t="n"/>
      <c r="V976" s="39" t="n"/>
      <c r="W976" s="39" t="n"/>
      <c r="X976" s="39" t="n"/>
      <c r="Y976" s="39" t="n"/>
      <c r="Z976" s="39" t="n"/>
      <c r="AA976" s="39" t="n"/>
      <c r="AB976" s="39" t="n"/>
      <c r="AC976" s="39" t="n"/>
      <c r="AD976" s="39" t="n"/>
      <c r="AE976" s="39" t="n"/>
      <c r="AF976" s="39" t="n"/>
      <c r="AG976" s="39" t="n"/>
      <c r="AH976" s="39" t="n"/>
      <c r="AI976" s="39" t="n"/>
      <c r="AJ976" s="39" t="n"/>
      <c r="AK976" s="39" t="n"/>
      <c r="AL976" s="39" t="n"/>
      <c r="AM976" s="44" t="n"/>
      <c r="AN976" s="44" t="n"/>
      <c r="AO976" s="44" t="n"/>
      <c r="AP976" s="44" t="n"/>
      <c r="AQ976" s="44" t="n"/>
      <c r="AR976" s="44" t="n"/>
      <c r="AS976" s="45" t="n"/>
      <c r="AT976" s="45" t="n"/>
      <c r="AU976" s="45" t="n"/>
    </row>
    <row r="977">
      <c r="B977" s="39" t="n"/>
      <c r="C977" s="39" t="n"/>
      <c r="D977" s="40" t="n"/>
      <c r="E977" s="39" t="n"/>
      <c r="F977" s="39" t="n"/>
      <c r="G977" s="112" t="n"/>
      <c r="H977" s="42" t="n"/>
      <c r="I977" s="42" t="n"/>
      <c r="J977" s="113" t="n"/>
      <c r="K977" s="39" t="n"/>
      <c r="L977" s="39" t="n"/>
      <c r="M977" s="39" t="n"/>
      <c r="N977" s="39" t="n"/>
      <c r="O977" s="39" t="n"/>
      <c r="P977" s="39" t="n"/>
      <c r="Q977" s="39" t="n"/>
      <c r="R977" s="39" t="n"/>
      <c r="S977" s="39" t="n"/>
      <c r="T977" s="39" t="n"/>
      <c r="U977" s="39" t="n"/>
      <c r="V977" s="39" t="n"/>
      <c r="W977" s="39" t="n"/>
      <c r="X977" s="39" t="n"/>
      <c r="Y977" s="39" t="n"/>
      <c r="Z977" s="39" t="n"/>
      <c r="AA977" s="39" t="n"/>
      <c r="AB977" s="39" t="n"/>
      <c r="AC977" s="39" t="n"/>
      <c r="AD977" s="39" t="n"/>
      <c r="AE977" s="39" t="n"/>
      <c r="AF977" s="39" t="n"/>
      <c r="AG977" s="39" t="n"/>
      <c r="AH977" s="39" t="n"/>
      <c r="AI977" s="39" t="n"/>
      <c r="AJ977" s="39" t="n"/>
      <c r="AK977" s="39" t="n"/>
      <c r="AL977" s="39" t="n"/>
      <c r="AM977" s="44" t="n"/>
      <c r="AN977" s="44" t="n"/>
      <c r="AO977" s="44" t="n"/>
      <c r="AP977" s="44" t="n"/>
      <c r="AQ977" s="44" t="n"/>
      <c r="AR977" s="44" t="n"/>
      <c r="AS977" s="45" t="n"/>
      <c r="AT977" s="45" t="n"/>
      <c r="AU977" s="45" t="n"/>
    </row>
    <row r="978">
      <c r="B978" s="39" t="n"/>
      <c r="C978" s="39" t="n"/>
      <c r="D978" s="40" t="n"/>
      <c r="E978" s="39" t="n"/>
      <c r="F978" s="39" t="n"/>
      <c r="G978" s="112" t="n"/>
      <c r="H978" s="42" t="n"/>
      <c r="I978" s="42" t="n"/>
      <c r="J978" s="113" t="n"/>
      <c r="K978" s="39" t="n"/>
      <c r="L978" s="39" t="n"/>
      <c r="M978" s="39" t="n"/>
      <c r="N978" s="39" t="n"/>
      <c r="O978" s="39" t="n"/>
      <c r="P978" s="39" t="n"/>
      <c r="Q978" s="39" t="n"/>
      <c r="R978" s="39" t="n"/>
      <c r="S978" s="39" t="n"/>
      <c r="T978" s="39" t="n"/>
      <c r="U978" s="39" t="n"/>
      <c r="V978" s="39" t="n"/>
      <c r="W978" s="39" t="n"/>
      <c r="X978" s="39" t="n"/>
      <c r="Y978" s="39" t="n"/>
      <c r="Z978" s="39" t="n"/>
      <c r="AA978" s="39" t="n"/>
      <c r="AB978" s="39" t="n"/>
      <c r="AC978" s="39" t="n"/>
      <c r="AD978" s="39" t="n"/>
      <c r="AE978" s="39" t="n"/>
      <c r="AF978" s="39" t="n"/>
      <c r="AG978" s="39" t="n"/>
      <c r="AH978" s="39" t="n"/>
      <c r="AI978" s="39" t="n"/>
      <c r="AJ978" s="39" t="n"/>
      <c r="AK978" s="39" t="n"/>
      <c r="AL978" s="39" t="n"/>
      <c r="AM978" s="44" t="n"/>
      <c r="AN978" s="44" t="n"/>
      <c r="AO978" s="44" t="n"/>
      <c r="AP978" s="44" t="n"/>
      <c r="AQ978" s="44" t="n"/>
      <c r="AR978" s="44" t="n"/>
      <c r="AS978" s="45" t="n"/>
      <c r="AT978" s="45" t="n"/>
      <c r="AU978" s="45" t="n"/>
    </row>
    <row r="979">
      <c r="B979" s="39" t="n"/>
      <c r="C979" s="39" t="n"/>
      <c r="D979" s="40" t="n"/>
      <c r="E979" s="39" t="n"/>
      <c r="F979" s="39" t="n"/>
      <c r="G979" s="112" t="n"/>
      <c r="H979" s="42" t="n"/>
      <c r="I979" s="42" t="n"/>
      <c r="J979" s="113" t="n"/>
      <c r="K979" s="39" t="n"/>
      <c r="L979" s="39" t="n"/>
      <c r="M979" s="39" t="n"/>
      <c r="N979" s="39" t="n"/>
      <c r="O979" s="39" t="n"/>
      <c r="P979" s="39" t="n"/>
      <c r="Q979" s="39" t="n"/>
      <c r="R979" s="39" t="n"/>
      <c r="S979" s="39" t="n"/>
      <c r="T979" s="39" t="n"/>
      <c r="U979" s="39" t="n"/>
      <c r="V979" s="39" t="n"/>
      <c r="W979" s="39" t="n"/>
      <c r="X979" s="39" t="n"/>
      <c r="Y979" s="39" t="n"/>
      <c r="Z979" s="39" t="n"/>
      <c r="AA979" s="39" t="n"/>
      <c r="AB979" s="39" t="n"/>
      <c r="AC979" s="39" t="n"/>
      <c r="AD979" s="39" t="n"/>
      <c r="AE979" s="39" t="n"/>
      <c r="AF979" s="39" t="n"/>
      <c r="AG979" s="39" t="n"/>
      <c r="AH979" s="39" t="n"/>
      <c r="AI979" s="39" t="n"/>
      <c r="AJ979" s="39" t="n"/>
      <c r="AK979" s="39" t="n"/>
      <c r="AL979" s="39" t="n"/>
      <c r="AM979" s="44" t="n"/>
      <c r="AN979" s="44" t="n"/>
      <c r="AO979" s="44" t="n"/>
      <c r="AP979" s="44" t="n"/>
      <c r="AQ979" s="44" t="n"/>
      <c r="AR979" s="44" t="n"/>
      <c r="AS979" s="45" t="n"/>
      <c r="AT979" s="45" t="n"/>
      <c r="AU979" s="45" t="n"/>
    </row>
    <row r="980">
      <c r="B980" s="39" t="n"/>
      <c r="C980" s="39" t="n"/>
      <c r="D980" s="40" t="n"/>
      <c r="E980" s="39" t="n"/>
      <c r="F980" s="39" t="n"/>
      <c r="G980" s="112" t="n"/>
      <c r="H980" s="42" t="n"/>
      <c r="I980" s="42" t="n"/>
      <c r="J980" s="113" t="n"/>
      <c r="K980" s="39" t="n"/>
      <c r="L980" s="39" t="n"/>
      <c r="M980" s="39" t="n"/>
      <c r="N980" s="39" t="n"/>
      <c r="O980" s="39" t="n"/>
      <c r="P980" s="39" t="n"/>
      <c r="Q980" s="39" t="n"/>
      <c r="R980" s="39" t="n"/>
      <c r="S980" s="39" t="n"/>
      <c r="T980" s="39" t="n"/>
      <c r="U980" s="39" t="n"/>
      <c r="V980" s="39" t="n"/>
      <c r="W980" s="39" t="n"/>
      <c r="X980" s="39" t="n"/>
      <c r="Y980" s="39" t="n"/>
      <c r="Z980" s="39" t="n"/>
      <c r="AA980" s="39" t="n"/>
      <c r="AB980" s="39" t="n"/>
      <c r="AC980" s="39" t="n"/>
      <c r="AD980" s="39" t="n"/>
      <c r="AE980" s="39" t="n"/>
      <c r="AF980" s="39" t="n"/>
      <c r="AG980" s="39" t="n"/>
      <c r="AH980" s="39" t="n"/>
      <c r="AI980" s="39" t="n"/>
      <c r="AJ980" s="39" t="n"/>
      <c r="AK980" s="39" t="n"/>
      <c r="AL980" s="39" t="n"/>
      <c r="AM980" s="44" t="n"/>
      <c r="AN980" s="44" t="n"/>
      <c r="AO980" s="44" t="n"/>
      <c r="AP980" s="44" t="n"/>
      <c r="AQ980" s="44" t="n"/>
      <c r="AR980" s="44" t="n"/>
      <c r="AS980" s="45" t="n"/>
      <c r="AT980" s="45" t="n"/>
      <c r="AU980" s="45" t="n"/>
    </row>
    <row r="981">
      <c r="B981" s="39" t="n"/>
      <c r="C981" s="39" t="n"/>
      <c r="D981" s="40" t="n"/>
      <c r="E981" s="39" t="n"/>
      <c r="F981" s="39" t="n"/>
      <c r="G981" s="112" t="n"/>
      <c r="H981" s="42" t="n"/>
      <c r="I981" s="42" t="n"/>
      <c r="J981" s="113" t="n"/>
      <c r="K981" s="39" t="n"/>
      <c r="L981" s="39" t="n"/>
      <c r="M981" s="39" t="n"/>
      <c r="N981" s="39" t="n"/>
      <c r="O981" s="39" t="n"/>
      <c r="P981" s="39" t="n"/>
      <c r="Q981" s="39" t="n"/>
      <c r="R981" s="39" t="n"/>
      <c r="S981" s="39" t="n"/>
      <c r="T981" s="39" t="n"/>
      <c r="U981" s="39" t="n"/>
      <c r="V981" s="39" t="n"/>
      <c r="W981" s="39" t="n"/>
      <c r="X981" s="39" t="n"/>
      <c r="Y981" s="39" t="n"/>
      <c r="Z981" s="39" t="n"/>
      <c r="AA981" s="39" t="n"/>
      <c r="AB981" s="39" t="n"/>
      <c r="AC981" s="39" t="n"/>
      <c r="AD981" s="39" t="n"/>
      <c r="AE981" s="39" t="n"/>
      <c r="AF981" s="39" t="n"/>
      <c r="AG981" s="39" t="n"/>
      <c r="AH981" s="39" t="n"/>
      <c r="AI981" s="39" t="n"/>
      <c r="AJ981" s="39" t="n"/>
      <c r="AK981" s="39" t="n"/>
      <c r="AL981" s="39" t="n"/>
      <c r="AM981" s="44" t="n"/>
      <c r="AN981" s="44" t="n"/>
      <c r="AO981" s="44" t="n"/>
      <c r="AP981" s="44" t="n"/>
      <c r="AQ981" s="44" t="n"/>
      <c r="AR981" s="44" t="n"/>
      <c r="AS981" s="45" t="n"/>
      <c r="AT981" s="45" t="n"/>
      <c r="AU981" s="45" t="n"/>
    </row>
    <row r="982">
      <c r="B982" s="39" t="n"/>
      <c r="C982" s="39" t="n"/>
      <c r="D982" s="40" t="n"/>
      <c r="E982" s="39" t="n"/>
      <c r="F982" s="39" t="n"/>
      <c r="G982" s="112" t="n"/>
      <c r="H982" s="42" t="n"/>
      <c r="I982" s="42" t="n"/>
      <c r="J982" s="113" t="n"/>
      <c r="K982" s="39" t="n"/>
      <c r="L982" s="39" t="n"/>
      <c r="M982" s="39" t="n"/>
      <c r="N982" s="39" t="n"/>
      <c r="O982" s="39" t="n"/>
      <c r="P982" s="39" t="n"/>
      <c r="Q982" s="39" t="n"/>
      <c r="R982" s="39" t="n"/>
      <c r="S982" s="39" t="n"/>
      <c r="T982" s="39" t="n"/>
      <c r="U982" s="39" t="n"/>
      <c r="V982" s="39" t="n"/>
      <c r="W982" s="39" t="n"/>
      <c r="X982" s="39" t="n"/>
      <c r="Y982" s="39" t="n"/>
      <c r="Z982" s="39" t="n"/>
      <c r="AA982" s="39" t="n"/>
      <c r="AB982" s="39" t="n"/>
      <c r="AC982" s="39" t="n"/>
      <c r="AD982" s="39" t="n"/>
      <c r="AE982" s="39" t="n"/>
      <c r="AF982" s="39" t="n"/>
      <c r="AG982" s="39" t="n"/>
      <c r="AH982" s="39" t="n"/>
      <c r="AI982" s="39" t="n"/>
      <c r="AJ982" s="39" t="n"/>
      <c r="AK982" s="39" t="n"/>
      <c r="AL982" s="39" t="n"/>
      <c r="AM982" s="44" t="n"/>
      <c r="AN982" s="44" t="n"/>
      <c r="AO982" s="44" t="n"/>
      <c r="AP982" s="44" t="n"/>
      <c r="AQ982" s="44" t="n"/>
      <c r="AR982" s="44" t="n"/>
      <c r="AS982" s="45" t="n"/>
      <c r="AT982" s="45" t="n"/>
      <c r="AU982" s="45" t="n"/>
    </row>
    <row r="983">
      <c r="B983" s="39" t="n"/>
      <c r="C983" s="39" t="n"/>
      <c r="D983" s="40" t="n"/>
      <c r="E983" s="39" t="n"/>
      <c r="F983" s="39" t="n"/>
      <c r="G983" s="112" t="n"/>
      <c r="H983" s="42" t="n"/>
      <c r="I983" s="42" t="n"/>
      <c r="J983" s="113" t="n"/>
      <c r="K983" s="39" t="n"/>
      <c r="L983" s="39" t="n"/>
      <c r="M983" s="39" t="n"/>
      <c r="N983" s="39" t="n"/>
      <c r="O983" s="39" t="n"/>
      <c r="P983" s="39" t="n"/>
      <c r="Q983" s="39" t="n"/>
      <c r="R983" s="39" t="n"/>
      <c r="S983" s="39" t="n"/>
      <c r="T983" s="39" t="n"/>
      <c r="U983" s="39" t="n"/>
      <c r="V983" s="39" t="n"/>
      <c r="W983" s="39" t="n"/>
      <c r="X983" s="39" t="n"/>
      <c r="Y983" s="39" t="n"/>
      <c r="Z983" s="39" t="n"/>
      <c r="AA983" s="39" t="n"/>
      <c r="AB983" s="39" t="n"/>
      <c r="AC983" s="39" t="n"/>
      <c r="AD983" s="39" t="n"/>
      <c r="AE983" s="39" t="n"/>
      <c r="AF983" s="39" t="n"/>
      <c r="AG983" s="39" t="n"/>
      <c r="AH983" s="39" t="n"/>
      <c r="AI983" s="39" t="n"/>
      <c r="AJ983" s="39" t="n"/>
      <c r="AK983" s="39" t="n"/>
      <c r="AL983" s="39" t="n"/>
      <c r="AM983" s="44" t="n"/>
      <c r="AN983" s="44" t="n"/>
      <c r="AO983" s="44" t="n"/>
      <c r="AP983" s="44" t="n"/>
      <c r="AQ983" s="44" t="n"/>
      <c r="AR983" s="44" t="n"/>
      <c r="AS983" s="45" t="n"/>
      <c r="AT983" s="45" t="n"/>
      <c r="AU983" s="45" t="n"/>
    </row>
    <row r="984">
      <c r="B984" s="39" t="n"/>
      <c r="C984" s="39" t="n"/>
      <c r="D984" s="40" t="n"/>
      <c r="E984" s="39" t="n"/>
      <c r="F984" s="39" t="n"/>
      <c r="G984" s="112" t="n"/>
      <c r="H984" s="42" t="n"/>
      <c r="I984" s="42" t="n"/>
      <c r="J984" s="113" t="n"/>
      <c r="K984" s="39" t="n"/>
      <c r="L984" s="39" t="n"/>
      <c r="M984" s="39" t="n"/>
      <c r="N984" s="39" t="n"/>
      <c r="O984" s="39" t="n"/>
      <c r="P984" s="39" t="n"/>
      <c r="Q984" s="39" t="n"/>
      <c r="R984" s="39" t="n"/>
      <c r="S984" s="39" t="n"/>
      <c r="T984" s="39" t="n"/>
      <c r="U984" s="39" t="n"/>
      <c r="V984" s="39" t="n"/>
      <c r="W984" s="39" t="n"/>
      <c r="X984" s="39" t="n"/>
      <c r="Y984" s="39" t="n"/>
      <c r="Z984" s="39" t="n"/>
      <c r="AA984" s="39" t="n"/>
      <c r="AB984" s="39" t="n"/>
      <c r="AC984" s="39" t="n"/>
      <c r="AD984" s="39" t="n"/>
      <c r="AE984" s="39" t="n"/>
      <c r="AF984" s="39" t="n"/>
      <c r="AG984" s="39" t="n"/>
      <c r="AH984" s="39" t="n"/>
      <c r="AI984" s="39" t="n"/>
      <c r="AJ984" s="39" t="n"/>
      <c r="AK984" s="39" t="n"/>
      <c r="AL984" s="39" t="n"/>
      <c r="AM984" s="44" t="n"/>
      <c r="AN984" s="44" t="n"/>
      <c r="AO984" s="44" t="n"/>
      <c r="AP984" s="44" t="n"/>
      <c r="AQ984" s="44" t="n"/>
      <c r="AR984" s="44" t="n"/>
      <c r="AS984" s="45" t="n"/>
      <c r="AT984" s="45" t="n"/>
      <c r="AU984" s="45" t="n"/>
    </row>
    <row r="985">
      <c r="B985" s="39" t="n"/>
      <c r="C985" s="39" t="n"/>
      <c r="D985" s="40" t="n"/>
      <c r="E985" s="39" t="n"/>
      <c r="F985" s="39" t="n"/>
      <c r="G985" s="112" t="n"/>
      <c r="H985" s="42" t="n"/>
      <c r="I985" s="42" t="n"/>
      <c r="J985" s="113" t="n"/>
      <c r="K985" s="39" t="n"/>
      <c r="L985" s="39" t="n"/>
      <c r="M985" s="39" t="n"/>
      <c r="N985" s="39" t="n"/>
      <c r="O985" s="39" t="n"/>
      <c r="P985" s="39" t="n"/>
      <c r="Q985" s="39" t="n"/>
      <c r="R985" s="39" t="n"/>
      <c r="S985" s="39" t="n"/>
      <c r="T985" s="39" t="n"/>
      <c r="U985" s="39" t="n"/>
      <c r="V985" s="39" t="n"/>
      <c r="W985" s="39" t="n"/>
      <c r="X985" s="39" t="n"/>
      <c r="Y985" s="39" t="n"/>
      <c r="Z985" s="39" t="n"/>
      <c r="AA985" s="39" t="n"/>
      <c r="AB985" s="39" t="n"/>
      <c r="AC985" s="39" t="n"/>
      <c r="AD985" s="39" t="n"/>
      <c r="AE985" s="39" t="n"/>
      <c r="AF985" s="39" t="n"/>
      <c r="AG985" s="39" t="n"/>
      <c r="AH985" s="39" t="n"/>
      <c r="AI985" s="39" t="n"/>
      <c r="AJ985" s="39" t="n"/>
      <c r="AK985" s="39" t="n"/>
      <c r="AL985" s="39" t="n"/>
      <c r="AM985" s="44" t="n"/>
      <c r="AN985" s="44" t="n"/>
      <c r="AO985" s="44" t="n"/>
      <c r="AP985" s="44" t="n"/>
      <c r="AQ985" s="44" t="n"/>
      <c r="AR985" s="44" t="n"/>
      <c r="AS985" s="45" t="n"/>
      <c r="AT985" s="45" t="n"/>
      <c r="AU985" s="45" t="n"/>
    </row>
    <row r="986">
      <c r="B986" s="39" t="n"/>
      <c r="C986" s="39" t="n"/>
      <c r="D986" s="40" t="n"/>
      <c r="E986" s="39" t="n"/>
      <c r="F986" s="39" t="n"/>
      <c r="G986" s="112" t="n"/>
      <c r="H986" s="42" t="n"/>
      <c r="I986" s="42" t="n"/>
      <c r="J986" s="113" t="n"/>
      <c r="K986" s="39" t="n"/>
      <c r="L986" s="39" t="n"/>
      <c r="M986" s="39" t="n"/>
      <c r="N986" s="39" t="n"/>
      <c r="O986" s="39" t="n"/>
      <c r="P986" s="39" t="n"/>
      <c r="Q986" s="39" t="n"/>
      <c r="R986" s="39" t="n"/>
      <c r="S986" s="39" t="n"/>
      <c r="T986" s="39" t="n"/>
      <c r="U986" s="39" t="n"/>
      <c r="V986" s="39" t="n"/>
      <c r="W986" s="39" t="n"/>
      <c r="X986" s="39" t="n"/>
      <c r="Y986" s="39" t="n"/>
      <c r="Z986" s="39" t="n"/>
      <c r="AA986" s="39" t="n"/>
      <c r="AB986" s="39" t="n"/>
      <c r="AC986" s="39" t="n"/>
      <c r="AD986" s="39" t="n"/>
      <c r="AE986" s="39" t="n"/>
      <c r="AF986" s="39" t="n"/>
      <c r="AG986" s="39" t="n"/>
      <c r="AH986" s="39" t="n"/>
      <c r="AI986" s="39" t="n"/>
      <c r="AJ986" s="39" t="n"/>
      <c r="AK986" s="39" t="n"/>
      <c r="AL986" s="39" t="n"/>
      <c r="AM986" s="44" t="n"/>
      <c r="AN986" s="44" t="n"/>
      <c r="AO986" s="44" t="n"/>
      <c r="AP986" s="44" t="n"/>
      <c r="AQ986" s="44" t="n"/>
      <c r="AR986" s="44" t="n"/>
      <c r="AS986" s="45" t="n"/>
      <c r="AT986" s="45" t="n"/>
      <c r="AU986" s="45" t="n"/>
    </row>
    <row r="987">
      <c r="B987" s="39" t="n"/>
      <c r="C987" s="39" t="n"/>
      <c r="D987" s="40" t="n"/>
      <c r="E987" s="39" t="n"/>
      <c r="F987" s="39" t="n"/>
      <c r="G987" s="112" t="n"/>
      <c r="H987" s="42" t="n"/>
      <c r="I987" s="42" t="n"/>
      <c r="J987" s="113" t="n"/>
      <c r="K987" s="39" t="n"/>
      <c r="L987" s="39" t="n"/>
      <c r="M987" s="39" t="n"/>
      <c r="N987" s="39" t="n"/>
      <c r="O987" s="39" t="n"/>
      <c r="P987" s="39" t="n"/>
      <c r="Q987" s="39" t="n"/>
      <c r="R987" s="39" t="n"/>
      <c r="S987" s="39" t="n"/>
      <c r="T987" s="39" t="n"/>
      <c r="U987" s="39" t="n"/>
      <c r="V987" s="39" t="n"/>
      <c r="W987" s="39" t="n"/>
      <c r="X987" s="39" t="n"/>
      <c r="Y987" s="39" t="n"/>
      <c r="Z987" s="39" t="n"/>
      <c r="AA987" s="39" t="n"/>
      <c r="AB987" s="39" t="n"/>
      <c r="AC987" s="39" t="n"/>
      <c r="AD987" s="39" t="n"/>
      <c r="AE987" s="39" t="n"/>
      <c r="AF987" s="39" t="n"/>
      <c r="AG987" s="39" t="n"/>
      <c r="AH987" s="39" t="n"/>
      <c r="AI987" s="39" t="n"/>
      <c r="AJ987" s="39" t="n"/>
      <c r="AK987" s="39" t="n"/>
      <c r="AL987" s="39" t="n"/>
      <c r="AM987" s="44" t="n"/>
      <c r="AN987" s="44" t="n"/>
      <c r="AO987" s="44" t="n"/>
      <c r="AP987" s="44" t="n"/>
      <c r="AQ987" s="44" t="n"/>
      <c r="AR987" s="44" t="n"/>
      <c r="AS987" s="45" t="n"/>
      <c r="AT987" s="45" t="n"/>
      <c r="AU987" s="45" t="n"/>
    </row>
    <row r="988">
      <c r="B988" s="39" t="n"/>
      <c r="C988" s="39" t="n"/>
      <c r="D988" s="40" t="n"/>
      <c r="E988" s="39" t="n"/>
      <c r="F988" s="39" t="n"/>
      <c r="G988" s="112" t="n"/>
      <c r="H988" s="42" t="n"/>
      <c r="I988" s="42" t="n"/>
      <c r="J988" s="113" t="n"/>
      <c r="K988" s="39" t="n"/>
      <c r="L988" s="39" t="n"/>
      <c r="M988" s="39" t="n"/>
      <c r="N988" s="39" t="n"/>
      <c r="O988" s="39" t="n"/>
      <c r="P988" s="39" t="n"/>
      <c r="Q988" s="39" t="n"/>
      <c r="R988" s="39" t="n"/>
      <c r="S988" s="39" t="n"/>
      <c r="T988" s="39" t="n"/>
      <c r="U988" s="39" t="n"/>
      <c r="V988" s="39" t="n"/>
      <c r="W988" s="39" t="n"/>
      <c r="X988" s="39" t="n"/>
      <c r="Y988" s="39" t="n"/>
      <c r="Z988" s="39" t="n"/>
      <c r="AA988" s="39" t="n"/>
      <c r="AB988" s="39" t="n"/>
      <c r="AC988" s="39" t="n"/>
      <c r="AD988" s="39" t="n"/>
      <c r="AE988" s="39" t="n"/>
      <c r="AF988" s="39" t="n"/>
      <c r="AG988" s="39" t="n"/>
      <c r="AH988" s="39" t="n"/>
      <c r="AI988" s="39" t="n"/>
      <c r="AJ988" s="39" t="n"/>
      <c r="AK988" s="39" t="n"/>
      <c r="AL988" s="39" t="n"/>
      <c r="AM988" s="44" t="n"/>
      <c r="AN988" s="44" t="n"/>
      <c r="AO988" s="44" t="n"/>
      <c r="AP988" s="44" t="n"/>
      <c r="AQ988" s="44" t="n"/>
      <c r="AR988" s="44" t="n"/>
      <c r="AS988" s="45" t="n"/>
      <c r="AT988" s="45" t="n"/>
      <c r="AU988" s="45" t="n"/>
    </row>
    <row r="989">
      <c r="B989" s="39" t="n"/>
      <c r="C989" s="39" t="n"/>
      <c r="D989" s="40" t="n"/>
      <c r="E989" s="39" t="n"/>
      <c r="F989" s="39" t="n"/>
      <c r="G989" s="112" t="n"/>
      <c r="H989" s="42" t="n"/>
      <c r="I989" s="42" t="n"/>
      <c r="J989" s="113" t="n"/>
      <c r="K989" s="39" t="n"/>
      <c r="L989" s="39" t="n"/>
      <c r="M989" s="39" t="n"/>
      <c r="N989" s="39" t="n"/>
      <c r="O989" s="39" t="n"/>
      <c r="P989" s="39" t="n"/>
      <c r="Q989" s="39" t="n"/>
      <c r="R989" s="39" t="n"/>
      <c r="S989" s="39" t="n"/>
      <c r="T989" s="39" t="n"/>
      <c r="U989" s="39" t="n"/>
      <c r="V989" s="39" t="n"/>
      <c r="W989" s="39" t="n"/>
      <c r="X989" s="39" t="n"/>
      <c r="Y989" s="39" t="n"/>
      <c r="Z989" s="39" t="n"/>
      <c r="AA989" s="39" t="n"/>
      <c r="AB989" s="39" t="n"/>
      <c r="AC989" s="39" t="n"/>
      <c r="AD989" s="39" t="n"/>
      <c r="AE989" s="39" t="n"/>
      <c r="AF989" s="39" t="n"/>
      <c r="AG989" s="39" t="n"/>
      <c r="AH989" s="39" t="n"/>
      <c r="AI989" s="39" t="n"/>
      <c r="AJ989" s="39" t="n"/>
      <c r="AK989" s="39" t="n"/>
      <c r="AL989" s="39" t="n"/>
      <c r="AM989" s="44" t="n"/>
      <c r="AN989" s="44" t="n"/>
      <c r="AO989" s="44" t="n"/>
      <c r="AP989" s="44" t="n"/>
      <c r="AQ989" s="44" t="n"/>
      <c r="AR989" s="44" t="n"/>
      <c r="AS989" s="45" t="n"/>
      <c r="AT989" s="45" t="n"/>
      <c r="AU989" s="45" t="n"/>
    </row>
    <row r="990">
      <c r="B990" s="39" t="n"/>
      <c r="C990" s="39" t="n"/>
      <c r="D990" s="40" t="n"/>
      <c r="E990" s="39" t="n"/>
      <c r="F990" s="39" t="n"/>
      <c r="G990" s="112" t="n"/>
      <c r="H990" s="42" t="n"/>
      <c r="I990" s="42" t="n"/>
      <c r="J990" s="113" t="n"/>
      <c r="K990" s="39" t="n"/>
      <c r="L990" s="39" t="n"/>
      <c r="M990" s="39" t="n"/>
      <c r="N990" s="39" t="n"/>
      <c r="O990" s="39" t="n"/>
      <c r="P990" s="39" t="n"/>
      <c r="Q990" s="39" t="n"/>
      <c r="R990" s="39" t="n"/>
      <c r="S990" s="39" t="n"/>
      <c r="T990" s="39" t="n"/>
      <c r="U990" s="39" t="n"/>
      <c r="V990" s="39" t="n"/>
      <c r="W990" s="39" t="n"/>
      <c r="X990" s="39" t="n"/>
      <c r="Y990" s="39" t="n"/>
      <c r="Z990" s="39" t="n"/>
      <c r="AA990" s="39" t="n"/>
      <c r="AB990" s="39" t="n"/>
      <c r="AC990" s="39" t="n"/>
      <c r="AD990" s="39" t="n"/>
      <c r="AE990" s="39" t="n"/>
      <c r="AF990" s="39" t="n"/>
      <c r="AG990" s="39" t="n"/>
      <c r="AH990" s="39" t="n"/>
      <c r="AI990" s="39" t="n"/>
      <c r="AJ990" s="39" t="n"/>
      <c r="AK990" s="39" t="n"/>
      <c r="AL990" s="39" t="n"/>
      <c r="AM990" s="44" t="n"/>
      <c r="AN990" s="44" t="n"/>
      <c r="AO990" s="44" t="n"/>
      <c r="AP990" s="44" t="n"/>
      <c r="AQ990" s="44" t="n"/>
      <c r="AR990" s="44" t="n"/>
      <c r="AS990" s="45" t="n"/>
      <c r="AT990" s="45" t="n"/>
      <c r="AU990" s="45" t="n"/>
    </row>
    <row r="991">
      <c r="B991" s="39" t="n"/>
      <c r="C991" s="39" t="n"/>
      <c r="D991" s="40" t="n"/>
      <c r="E991" s="39" t="n"/>
      <c r="F991" s="39" t="n"/>
      <c r="G991" s="112" t="n"/>
      <c r="H991" s="42" t="n"/>
      <c r="I991" s="42" t="n"/>
      <c r="J991" s="113" t="n"/>
      <c r="K991" s="39" t="n"/>
      <c r="L991" s="39" t="n"/>
      <c r="M991" s="39" t="n"/>
      <c r="N991" s="39" t="n"/>
      <c r="O991" s="39" t="n"/>
      <c r="P991" s="39" t="n"/>
      <c r="Q991" s="39" t="n"/>
      <c r="R991" s="39" t="n"/>
      <c r="S991" s="39" t="n"/>
      <c r="T991" s="39" t="n"/>
      <c r="U991" s="39" t="n"/>
      <c r="V991" s="39" t="n"/>
      <c r="W991" s="39" t="n"/>
      <c r="X991" s="39" t="n"/>
      <c r="Y991" s="39" t="n"/>
      <c r="Z991" s="39" t="n"/>
      <c r="AA991" s="39" t="n"/>
      <c r="AB991" s="39" t="n"/>
      <c r="AC991" s="39" t="n"/>
      <c r="AD991" s="39" t="n"/>
      <c r="AE991" s="39" t="n"/>
      <c r="AF991" s="39" t="n"/>
      <c r="AG991" s="39" t="n"/>
      <c r="AH991" s="39" t="n"/>
      <c r="AI991" s="39" t="n"/>
      <c r="AJ991" s="39" t="n"/>
      <c r="AK991" s="39" t="n"/>
      <c r="AL991" s="39" t="n"/>
      <c r="AM991" s="44" t="n"/>
      <c r="AN991" s="44" t="n"/>
      <c r="AO991" s="44" t="n"/>
      <c r="AP991" s="44" t="n"/>
      <c r="AQ991" s="44" t="n"/>
      <c r="AR991" s="44" t="n"/>
      <c r="AS991" s="45" t="n"/>
      <c r="AT991" s="45" t="n"/>
      <c r="AU991" s="45" t="n"/>
    </row>
    <row r="992">
      <c r="B992" s="39" t="n"/>
      <c r="C992" s="39" t="n"/>
      <c r="D992" s="40" t="n"/>
      <c r="E992" s="39" t="n"/>
      <c r="F992" s="39" t="n"/>
      <c r="G992" s="112" t="n"/>
      <c r="H992" s="42" t="n"/>
      <c r="I992" s="42" t="n"/>
      <c r="J992" s="113" t="n"/>
      <c r="K992" s="39" t="n"/>
      <c r="L992" s="39" t="n"/>
      <c r="M992" s="39" t="n"/>
      <c r="N992" s="39" t="n"/>
      <c r="O992" s="39" t="n"/>
      <c r="P992" s="39" t="n"/>
      <c r="Q992" s="39" t="n"/>
      <c r="R992" s="39" t="n"/>
      <c r="S992" s="39" t="n"/>
      <c r="T992" s="39" t="n"/>
      <c r="U992" s="39" t="n"/>
      <c r="V992" s="39" t="n"/>
      <c r="W992" s="39" t="n"/>
      <c r="X992" s="39" t="n"/>
      <c r="Y992" s="39" t="n"/>
      <c r="Z992" s="39" t="n"/>
      <c r="AA992" s="39" t="n"/>
      <c r="AB992" s="39" t="n"/>
      <c r="AC992" s="39" t="n"/>
      <c r="AD992" s="39" t="n"/>
      <c r="AE992" s="39" t="n"/>
      <c r="AF992" s="39" t="n"/>
      <c r="AG992" s="39" t="n"/>
      <c r="AH992" s="39" t="n"/>
      <c r="AI992" s="39" t="n"/>
      <c r="AJ992" s="39" t="n"/>
      <c r="AK992" s="39" t="n"/>
      <c r="AL992" s="39" t="n"/>
      <c r="AM992" s="44" t="n"/>
      <c r="AN992" s="44" t="n"/>
      <c r="AO992" s="44" t="n"/>
      <c r="AP992" s="44" t="n"/>
      <c r="AQ992" s="44" t="n"/>
      <c r="AR992" s="44" t="n"/>
      <c r="AS992" s="45" t="n"/>
      <c r="AT992" s="45" t="n"/>
      <c r="AU992" s="45" t="n"/>
    </row>
    <row r="993">
      <c r="B993" s="39" t="n"/>
      <c r="C993" s="39" t="n"/>
      <c r="D993" s="40" t="n"/>
      <c r="E993" s="39" t="n"/>
      <c r="F993" s="39" t="n"/>
      <c r="G993" s="112" t="n"/>
      <c r="H993" s="42" t="n"/>
      <c r="I993" s="42" t="n"/>
      <c r="J993" s="113" t="n"/>
      <c r="K993" s="39" t="n"/>
      <c r="L993" s="39" t="n"/>
      <c r="M993" s="39" t="n"/>
      <c r="N993" s="39" t="n"/>
      <c r="O993" s="39" t="n"/>
      <c r="P993" s="39" t="n"/>
      <c r="Q993" s="39" t="n"/>
      <c r="R993" s="39" t="n"/>
      <c r="S993" s="39" t="n"/>
      <c r="T993" s="39" t="n"/>
      <c r="U993" s="39" t="n"/>
      <c r="V993" s="39" t="n"/>
      <c r="W993" s="39" t="n"/>
      <c r="X993" s="39" t="n"/>
      <c r="Y993" s="39" t="n"/>
      <c r="Z993" s="39" t="n"/>
      <c r="AA993" s="39" t="n"/>
      <c r="AB993" s="39" t="n"/>
      <c r="AC993" s="39" t="n"/>
      <c r="AD993" s="39" t="n"/>
      <c r="AE993" s="39" t="n"/>
      <c r="AF993" s="39" t="n"/>
      <c r="AG993" s="39" t="n"/>
      <c r="AH993" s="39" t="n"/>
      <c r="AI993" s="39" t="n"/>
      <c r="AJ993" s="39" t="n"/>
      <c r="AK993" s="39" t="n"/>
      <c r="AL993" s="39" t="n"/>
      <c r="AM993" s="44" t="n"/>
      <c r="AN993" s="44" t="n"/>
      <c r="AO993" s="44" t="n"/>
      <c r="AP993" s="44" t="n"/>
      <c r="AQ993" s="44" t="n"/>
      <c r="AR993" s="44" t="n"/>
      <c r="AS993" s="45" t="n"/>
      <c r="AT993" s="45" t="n"/>
      <c r="AU993" s="45" t="n"/>
    </row>
    <row r="994">
      <c r="B994" s="39" t="n"/>
      <c r="C994" s="39" t="n"/>
      <c r="D994" s="40" t="n"/>
      <c r="E994" s="39" t="n"/>
      <c r="F994" s="39" t="n"/>
      <c r="G994" s="112" t="n"/>
      <c r="H994" s="42" t="n"/>
      <c r="I994" s="42" t="n"/>
      <c r="J994" s="113" t="n"/>
      <c r="K994" s="39" t="n"/>
      <c r="L994" s="39" t="n"/>
      <c r="M994" s="39" t="n"/>
      <c r="N994" s="39" t="n"/>
      <c r="O994" s="39" t="n"/>
      <c r="P994" s="39" t="n"/>
      <c r="Q994" s="39" t="n"/>
      <c r="R994" s="39" t="n"/>
      <c r="S994" s="39" t="n"/>
      <c r="T994" s="39" t="n"/>
      <c r="U994" s="39" t="n"/>
      <c r="V994" s="39" t="n"/>
      <c r="W994" s="39" t="n"/>
      <c r="X994" s="39" t="n"/>
      <c r="Y994" s="39" t="n"/>
      <c r="Z994" s="39" t="n"/>
      <c r="AA994" s="39" t="n"/>
      <c r="AB994" s="39" t="n"/>
      <c r="AC994" s="39" t="n"/>
      <c r="AD994" s="39" t="n"/>
      <c r="AE994" s="39" t="n"/>
      <c r="AF994" s="39" t="n"/>
      <c r="AG994" s="39" t="n"/>
      <c r="AH994" s="39" t="n"/>
      <c r="AI994" s="39" t="n"/>
      <c r="AJ994" s="39" t="n"/>
      <c r="AK994" s="39" t="n"/>
      <c r="AL994" s="39" t="n"/>
      <c r="AM994" s="44" t="n"/>
      <c r="AN994" s="44" t="n"/>
      <c r="AO994" s="44" t="n"/>
      <c r="AP994" s="44" t="n"/>
      <c r="AQ994" s="44" t="n"/>
      <c r="AR994" s="44" t="n"/>
      <c r="AS994" s="45" t="n"/>
      <c r="AT994" s="45" t="n"/>
      <c r="AU994" s="45" t="n"/>
    </row>
    <row r="995">
      <c r="B995" s="39" t="n"/>
      <c r="C995" s="39" t="n"/>
      <c r="D995" s="40" t="n"/>
      <c r="E995" s="39" t="n"/>
      <c r="F995" s="39" t="n"/>
      <c r="G995" s="112" t="n"/>
      <c r="H995" s="42" t="n"/>
      <c r="I995" s="42" t="n"/>
      <c r="J995" s="113" t="n"/>
      <c r="K995" s="39" t="n"/>
      <c r="L995" s="39" t="n"/>
      <c r="M995" s="39" t="n"/>
      <c r="N995" s="39" t="n"/>
      <c r="O995" s="39" t="n"/>
      <c r="P995" s="39" t="n"/>
      <c r="Q995" s="39" t="n"/>
      <c r="R995" s="39" t="n"/>
      <c r="S995" s="39" t="n"/>
      <c r="T995" s="39" t="n"/>
      <c r="U995" s="39" t="n"/>
      <c r="V995" s="39" t="n"/>
      <c r="W995" s="39" t="n"/>
      <c r="X995" s="39" t="n"/>
      <c r="Y995" s="39" t="n"/>
      <c r="Z995" s="39" t="n"/>
      <c r="AA995" s="39" t="n"/>
      <c r="AB995" s="39" t="n"/>
      <c r="AC995" s="39" t="n"/>
      <c r="AD995" s="39" t="n"/>
      <c r="AE995" s="39" t="n"/>
      <c r="AF995" s="39" t="n"/>
      <c r="AG995" s="39" t="n"/>
      <c r="AH995" s="39" t="n"/>
      <c r="AI995" s="39" t="n"/>
      <c r="AJ995" s="39" t="n"/>
      <c r="AK995" s="39" t="n"/>
      <c r="AL995" s="39" t="n"/>
      <c r="AM995" s="44" t="n"/>
      <c r="AN995" s="44" t="n"/>
      <c r="AO995" s="44" t="n"/>
      <c r="AP995" s="44" t="n"/>
      <c r="AQ995" s="44" t="n"/>
      <c r="AR995" s="44" t="n"/>
      <c r="AS995" s="45" t="n"/>
      <c r="AT995" s="45" t="n"/>
      <c r="AU995" s="45" t="n"/>
    </row>
    <row r="996">
      <c r="B996" s="39" t="n"/>
      <c r="C996" s="39" t="n"/>
      <c r="D996" s="40" t="n"/>
      <c r="E996" s="39" t="n"/>
      <c r="F996" s="39" t="n"/>
      <c r="G996" s="112" t="n"/>
      <c r="H996" s="42" t="n"/>
      <c r="I996" s="42" t="n"/>
      <c r="J996" s="113" t="n"/>
      <c r="K996" s="39" t="n"/>
      <c r="L996" s="39" t="n"/>
      <c r="M996" s="39" t="n"/>
      <c r="N996" s="39" t="n"/>
      <c r="O996" s="39" t="n"/>
      <c r="P996" s="39" t="n"/>
      <c r="Q996" s="39" t="n"/>
      <c r="R996" s="39" t="n"/>
      <c r="S996" s="39" t="n"/>
      <c r="T996" s="39" t="n"/>
      <c r="U996" s="39" t="n"/>
      <c r="V996" s="39" t="n"/>
      <c r="W996" s="39" t="n"/>
      <c r="X996" s="39" t="n"/>
      <c r="Y996" s="39" t="n"/>
      <c r="Z996" s="39" t="n"/>
      <c r="AA996" s="39" t="n"/>
      <c r="AB996" s="39" t="n"/>
      <c r="AC996" s="39" t="n"/>
      <c r="AD996" s="39" t="n"/>
      <c r="AE996" s="39" t="n"/>
      <c r="AF996" s="39" t="n"/>
      <c r="AG996" s="39" t="n"/>
      <c r="AH996" s="39" t="n"/>
      <c r="AI996" s="39" t="n"/>
      <c r="AJ996" s="39" t="n"/>
      <c r="AK996" s="39" t="n"/>
      <c r="AL996" s="39" t="n"/>
      <c r="AM996" s="44" t="n"/>
      <c r="AN996" s="44" t="n"/>
      <c r="AO996" s="44" t="n"/>
      <c r="AP996" s="44" t="n"/>
      <c r="AQ996" s="44" t="n"/>
      <c r="AR996" s="44" t="n"/>
      <c r="AS996" s="45" t="n"/>
      <c r="AT996" s="45" t="n"/>
      <c r="AU996" s="45" t="n"/>
    </row>
    <row r="997">
      <c r="B997" s="39" t="n"/>
      <c r="C997" s="39" t="n"/>
      <c r="D997" s="40" t="n"/>
      <c r="E997" s="39" t="n"/>
      <c r="F997" s="39" t="n"/>
      <c r="G997" s="112" t="n"/>
      <c r="H997" s="42" t="n"/>
      <c r="I997" s="42" t="n"/>
      <c r="J997" s="113" t="n"/>
      <c r="K997" s="39" t="n"/>
      <c r="L997" s="39" t="n"/>
      <c r="M997" s="39" t="n"/>
      <c r="N997" s="39" t="n"/>
      <c r="O997" s="39" t="n"/>
      <c r="P997" s="39" t="n"/>
      <c r="Q997" s="39" t="n"/>
      <c r="R997" s="39" t="n"/>
      <c r="S997" s="39" t="n"/>
      <c r="T997" s="39" t="n"/>
      <c r="U997" s="39" t="n"/>
      <c r="V997" s="39" t="n"/>
      <c r="W997" s="39" t="n"/>
      <c r="X997" s="39" t="n"/>
      <c r="Y997" s="39" t="n"/>
      <c r="Z997" s="39" t="n"/>
      <c r="AA997" s="39" t="n"/>
      <c r="AB997" s="39" t="n"/>
      <c r="AC997" s="39" t="n"/>
      <c r="AD997" s="39" t="n"/>
      <c r="AE997" s="39" t="n"/>
      <c r="AF997" s="39" t="n"/>
      <c r="AG997" s="39" t="n"/>
      <c r="AH997" s="39" t="n"/>
      <c r="AI997" s="39" t="n"/>
      <c r="AJ997" s="39" t="n"/>
      <c r="AK997" s="39" t="n"/>
      <c r="AL997" s="39" t="n"/>
      <c r="AM997" s="44" t="n"/>
      <c r="AN997" s="44" t="n"/>
      <c r="AO997" s="44" t="n"/>
      <c r="AP997" s="44" t="n"/>
      <c r="AQ997" s="44" t="n"/>
      <c r="AR997" s="44" t="n"/>
      <c r="AS997" s="45" t="n"/>
      <c r="AT997" s="45" t="n"/>
      <c r="AU997" s="45" t="n"/>
    </row>
    <row r="998">
      <c r="B998" s="39" t="n"/>
      <c r="C998" s="39" t="n"/>
      <c r="D998" s="40" t="n"/>
      <c r="E998" s="39" t="n"/>
      <c r="F998" s="39" t="n"/>
      <c r="G998" s="112" t="n"/>
      <c r="H998" s="42" t="n"/>
      <c r="I998" s="42" t="n"/>
      <c r="J998" s="113" t="n"/>
      <c r="K998" s="39" t="n"/>
      <c r="L998" s="39" t="n"/>
      <c r="M998" s="39" t="n"/>
      <c r="N998" s="39" t="n"/>
      <c r="O998" s="39" t="n"/>
      <c r="P998" s="39" t="n"/>
      <c r="Q998" s="39" t="n"/>
      <c r="R998" s="39" t="n"/>
      <c r="S998" s="39" t="n"/>
      <c r="T998" s="39" t="n"/>
      <c r="U998" s="39" t="n"/>
      <c r="V998" s="39" t="n"/>
      <c r="W998" s="39" t="n"/>
      <c r="X998" s="39" t="n"/>
      <c r="Y998" s="39" t="n"/>
      <c r="Z998" s="39" t="n"/>
      <c r="AA998" s="39" t="n"/>
      <c r="AB998" s="39" t="n"/>
      <c r="AC998" s="39" t="n"/>
      <c r="AD998" s="39" t="n"/>
      <c r="AE998" s="39" t="n"/>
      <c r="AF998" s="39" t="n"/>
      <c r="AG998" s="39" t="n"/>
      <c r="AH998" s="39" t="n"/>
      <c r="AI998" s="39" t="n"/>
      <c r="AJ998" s="39" t="n"/>
      <c r="AK998" s="39" t="n"/>
      <c r="AL998" s="39" t="n"/>
      <c r="AM998" s="44" t="n"/>
      <c r="AN998" s="44" t="n"/>
      <c r="AO998" s="44" t="n"/>
      <c r="AP998" s="44" t="n"/>
      <c r="AQ998" s="44" t="n"/>
      <c r="AR998" s="44" t="n"/>
      <c r="AS998" s="45" t="n"/>
      <c r="AT998" s="45" t="n"/>
      <c r="AU998" s="45" t="n"/>
    </row>
    <row r="999">
      <c r="B999" s="39" t="n"/>
      <c r="C999" s="39" t="n"/>
      <c r="D999" s="40" t="n"/>
      <c r="E999" s="39" t="n"/>
      <c r="F999" s="39" t="n"/>
      <c r="G999" s="112" t="n"/>
      <c r="H999" s="42" t="n"/>
      <c r="I999" s="42" t="n"/>
      <c r="J999" s="113" t="n"/>
      <c r="K999" s="39" t="n"/>
      <c r="L999" s="39" t="n"/>
      <c r="M999" s="39" t="n"/>
      <c r="N999" s="39" t="n"/>
      <c r="O999" s="39" t="n"/>
      <c r="P999" s="39" t="n"/>
      <c r="Q999" s="39" t="n"/>
      <c r="R999" s="39" t="n"/>
      <c r="S999" s="39" t="n"/>
      <c r="T999" s="39" t="n"/>
      <c r="U999" s="39" t="n"/>
      <c r="V999" s="39" t="n"/>
      <c r="W999" s="39" t="n"/>
      <c r="X999" s="39" t="n"/>
      <c r="Y999" s="39" t="n"/>
      <c r="Z999" s="39" t="n"/>
      <c r="AA999" s="39" t="n"/>
      <c r="AB999" s="39" t="n"/>
      <c r="AC999" s="39" t="n"/>
      <c r="AD999" s="39" t="n"/>
      <c r="AE999" s="39" t="n"/>
      <c r="AF999" s="39" t="n"/>
      <c r="AG999" s="39" t="n"/>
      <c r="AH999" s="39" t="n"/>
      <c r="AI999" s="39" t="n"/>
      <c r="AJ999" s="39" t="n"/>
      <c r="AK999" s="39" t="n"/>
      <c r="AL999" s="39" t="n"/>
      <c r="AM999" s="44" t="n"/>
      <c r="AN999" s="44" t="n"/>
      <c r="AO999" s="44" t="n"/>
      <c r="AP999" s="44" t="n"/>
      <c r="AQ999" s="44" t="n"/>
      <c r="AR999" s="44" t="n"/>
      <c r="AS999" s="45" t="n"/>
      <c r="AT999" s="45" t="n"/>
      <c r="AU999" s="45" t="n"/>
    </row>
    <row r="1000">
      <c r="B1000" s="39" t="n"/>
      <c r="C1000" s="39" t="n"/>
      <c r="D1000" s="40" t="n"/>
      <c r="E1000" s="39" t="n"/>
      <c r="F1000" s="39" t="n"/>
      <c r="G1000" s="112" t="n"/>
      <c r="H1000" s="42" t="n"/>
      <c r="I1000" s="42" t="n"/>
      <c r="J1000" s="113" t="n"/>
      <c r="K1000" s="39" t="n"/>
      <c r="L1000" s="39" t="n"/>
      <c r="M1000" s="39" t="n"/>
      <c r="N1000" s="39" t="n"/>
      <c r="O1000" s="39" t="n"/>
      <c r="P1000" s="39" t="n"/>
      <c r="Q1000" s="39" t="n"/>
      <c r="R1000" s="39" t="n"/>
      <c r="S1000" s="39" t="n"/>
      <c r="T1000" s="39" t="n"/>
      <c r="U1000" s="39" t="n"/>
      <c r="V1000" s="39" t="n"/>
      <c r="W1000" s="39" t="n"/>
      <c r="X1000" s="39" t="n"/>
      <c r="Y1000" s="39" t="n"/>
      <c r="Z1000" s="39" t="n"/>
      <c r="AA1000" s="39" t="n"/>
      <c r="AB1000" s="39" t="n"/>
      <c r="AC1000" s="39" t="n"/>
      <c r="AD1000" s="39" t="n"/>
      <c r="AE1000" s="39" t="n"/>
      <c r="AF1000" s="39" t="n"/>
      <c r="AG1000" s="39" t="n"/>
      <c r="AH1000" s="39" t="n"/>
      <c r="AI1000" s="39" t="n"/>
      <c r="AJ1000" s="39" t="n"/>
      <c r="AK1000" s="39" t="n"/>
      <c r="AL1000" s="39" t="n"/>
      <c r="AM1000" s="44" t="n"/>
      <c r="AN1000" s="44" t="n"/>
      <c r="AO1000" s="44" t="n"/>
      <c r="AP1000" s="44" t="n"/>
      <c r="AQ1000" s="44" t="n"/>
      <c r="AR1000" s="44" t="n"/>
      <c r="AS1000" s="45" t="n"/>
      <c r="AT1000" s="45" t="n"/>
      <c r="AU1000" s="45" t="n"/>
    </row>
  </sheetData>
  <autoFilter ref="A5:BG455"/>
  <mergeCells count="10">
    <mergeCell ref="AF4:AG4"/>
    <mergeCell ref="AH4:AL4"/>
    <mergeCell ref="M4:S4"/>
    <mergeCell ref="AS4:BB4"/>
    <mergeCell ref="B4:G4"/>
    <mergeCell ref="AM4:AR4"/>
    <mergeCell ref="T4:Y4"/>
    <mergeCell ref="H4:I4"/>
    <mergeCell ref="K4:L4"/>
    <mergeCell ref="Z4:AE4"/>
  </mergeCells>
  <conditionalFormatting sqref="A6:A2000">
    <cfRule type="cellIs" priority="2" operator="equal" dxfId="192">
      <formula>"PENDENTE"</formula>
    </cfRule>
  </conditionalFormatting>
  <conditionalFormatting sqref="A6:BG2000">
    <cfRule type="expression" priority="1" dxfId="191">
      <formula>$A6="FATURADA"</formula>
    </cfRule>
    <cfRule type="expression" priority="4" dxfId="190">
      <formula>$BC6="AJUSTE"</formula>
    </cfRule>
  </conditionalFormatting>
  <conditionalFormatting sqref="H6:AL211 H212:W212 H213:AL465 Z212:AL212">
    <cfRule type="cellIs" priority="114" operator="greaterThan" dxfId="80">
      <formula>0</formula>
    </cfRule>
  </conditionalFormatting>
  <conditionalFormatting sqref="K256 K422:Q465 AA422:AE465">
    <cfRule type="cellIs" priority="60" operator="greaterThan" dxfId="80">
      <formula>0</formula>
    </cfRule>
    <cfRule type="cellIs" priority="61" operator="greaterThan" dxfId="80">
      <formula>27.5</formula>
    </cfRule>
  </conditionalFormatting>
  <conditionalFormatting sqref="K274">
    <cfRule type="cellIs" priority="50" operator="greaterThan" dxfId="80">
      <formula>0</formula>
    </cfRule>
    <cfRule type="cellIs" priority="51" operator="greaterThan" dxfId="80">
      <formula>27.5</formula>
    </cfRule>
  </conditionalFormatting>
  <conditionalFormatting sqref="K8:Q9 S8:W9 AA8:AE9 AG8:AK9">
    <cfRule type="cellIs" priority="112" operator="greaterThan" dxfId="80">
      <formula>0</formula>
    </cfRule>
    <cfRule type="cellIs" priority="113" operator="greaterThan" dxfId="80">
      <formula>27.5</formula>
    </cfRule>
  </conditionalFormatting>
  <conditionalFormatting sqref="K14:Q16 K250:Q254 K318:K319 K406:Q414 S14:W16 S250:W254 S406:Y414 AA14:AE16 AA250:AE254 AA406:AE414 AG14:AK16 AG250:AK254 AG406:AL414">
    <cfRule type="cellIs" priority="27" operator="greaterThan" dxfId="80">
      <formula>0</formula>
    </cfRule>
    <cfRule type="cellIs" priority="28" operator="greaterThan" dxfId="80">
      <formula>27.5</formula>
    </cfRule>
  </conditionalFormatting>
  <conditionalFormatting sqref="K23:Q23 S23:W23 AA23:AE23 AG23:AK23">
    <cfRule type="cellIs" priority="110" operator="greaterThan" dxfId="80">
      <formula>0</formula>
    </cfRule>
    <cfRule type="cellIs" priority="111" operator="greaterThan" dxfId="80">
      <formula>27.5</formula>
    </cfRule>
  </conditionalFormatting>
  <conditionalFormatting sqref="K25:Q33 S25:W33 AA25:AE33">
    <cfRule type="cellIs" priority="108" operator="greaterThan" dxfId="80">
      <formula>0</formula>
    </cfRule>
    <cfRule type="cellIs" priority="109" operator="greaterThan" dxfId="80">
      <formula>27.5</formula>
    </cfRule>
  </conditionalFormatting>
  <conditionalFormatting sqref="K42:Q44 S42:W44 AA42:AE44">
    <cfRule type="cellIs" priority="104" operator="greaterThan" dxfId="80">
      <formula>0</formula>
    </cfRule>
    <cfRule type="cellIs" priority="105" operator="greaterThan" dxfId="80">
      <formula>27.5</formula>
    </cfRule>
  </conditionalFormatting>
  <conditionalFormatting sqref="K55:Q59 S55:W59 AG55:AK59">
    <cfRule type="cellIs" priority="100" operator="greaterThan" dxfId="80">
      <formula>0</formula>
    </cfRule>
    <cfRule type="cellIs" priority="101" operator="greaterThan" dxfId="80">
      <formula>27.5</formula>
    </cfRule>
  </conditionalFormatting>
  <conditionalFormatting sqref="K64:Q69 S64:W69 AA64:AE69 AG64:AK69">
    <cfRule type="cellIs" priority="17" operator="greaterThan" dxfId="80">
      <formula>0</formula>
    </cfRule>
    <cfRule type="cellIs" priority="18" operator="greaterThan" dxfId="80">
      <formula>27.5</formula>
    </cfRule>
  </conditionalFormatting>
  <conditionalFormatting sqref="K75:Q81 S75:W81 AA75:AE81 AG75:AK81">
    <cfRule type="cellIs" priority="15" operator="greaterThan" dxfId="80">
      <formula>0</formula>
    </cfRule>
    <cfRule type="cellIs" priority="16" operator="greaterThan" dxfId="80">
      <formula>27.5</formula>
    </cfRule>
  </conditionalFormatting>
  <conditionalFormatting sqref="K88:Q91 S88:W91 AA88:AE91 AG88:AK91">
    <cfRule type="cellIs" priority="13" operator="greaterThan" dxfId="80">
      <formula>0</formula>
    </cfRule>
    <cfRule type="cellIs" priority="14" operator="greaterThan" dxfId="80">
      <formula>27.5</formula>
    </cfRule>
  </conditionalFormatting>
  <conditionalFormatting sqref="K98:Q108 S98:W108 AA98:AE108">
    <cfRule type="cellIs" priority="94" operator="greaterThan" dxfId="80">
      <formula>0</formula>
    </cfRule>
    <cfRule type="cellIs" priority="95" operator="greaterThan" dxfId="80">
      <formula>27.5</formula>
    </cfRule>
  </conditionalFormatting>
  <conditionalFormatting sqref="K124:Q130 S124:W130 AA124:AE130 AG124:AK130">
    <cfRule type="cellIs" priority="90" operator="greaterThan" dxfId="80">
      <formula>0</formula>
    </cfRule>
    <cfRule type="cellIs" priority="91" operator="greaterThan" dxfId="80">
      <formula>27.5</formula>
    </cfRule>
  </conditionalFormatting>
  <conditionalFormatting sqref="K132:Q134 S133:W134 AA132:AE134 AG133:AK134">
    <cfRule type="cellIs" priority="86" operator="greaterThan" dxfId="80">
      <formula>0</formula>
    </cfRule>
    <cfRule type="cellIs" priority="87" operator="greaterThan" dxfId="80">
      <formula>27.5</formula>
    </cfRule>
  </conditionalFormatting>
  <conditionalFormatting sqref="K139:Q140 S140:W140 AA139:AE140">
    <cfRule type="cellIs" priority="82" operator="greaterThan" dxfId="80">
      <formula>0</formula>
    </cfRule>
    <cfRule type="cellIs" priority="83" operator="greaterThan" dxfId="80">
      <formula>27.5</formula>
    </cfRule>
  </conditionalFormatting>
  <conditionalFormatting sqref="K151:Q151 S151:W151 AA151:AE151 AG151:AK151">
    <cfRule type="cellIs" priority="78" operator="greaterThan" dxfId="80">
      <formula>0</formula>
    </cfRule>
    <cfRule type="cellIs" priority="79" operator="greaterThan" dxfId="80">
      <formula>27.5</formula>
    </cfRule>
  </conditionalFormatting>
  <conditionalFormatting sqref="K155:Q157 S155:W157 AA155:AE157">
    <cfRule type="cellIs" priority="76" operator="greaterThan" dxfId="80">
      <formula>0</formula>
    </cfRule>
    <cfRule type="cellIs" priority="77" operator="greaterThan" dxfId="80">
      <formula>27.5</formula>
    </cfRule>
  </conditionalFormatting>
  <conditionalFormatting sqref="K169:Q170 S169:W170 AA169:AE170">
    <cfRule type="cellIs" priority="72" operator="greaterThan" dxfId="80">
      <formula>0</formula>
    </cfRule>
    <cfRule type="cellIs" priority="73" operator="greaterThan" dxfId="80">
      <formula>27.5</formula>
    </cfRule>
  </conditionalFormatting>
  <conditionalFormatting sqref="K174:Q186 S174:W186 AA174:AE186">
    <cfRule type="cellIs" priority="7" operator="greaterThan" dxfId="80">
      <formula>0</formula>
    </cfRule>
    <cfRule type="cellIs" priority="8" operator="greaterThan" dxfId="80">
      <formula>27.5</formula>
    </cfRule>
  </conditionalFormatting>
  <conditionalFormatting sqref="K189:Q189 S189:W189 AA189:AE189 AG189:AK189">
    <cfRule type="cellIs" priority="68" operator="greaterThan" dxfId="80">
      <formula>0</formula>
    </cfRule>
    <cfRule type="cellIs" priority="69" operator="greaterThan" dxfId="80">
      <formula>27.5</formula>
    </cfRule>
  </conditionalFormatting>
  <conditionalFormatting sqref="K197:Q204 S197:W204 AA197:AE204">
    <cfRule type="cellIs" priority="66" operator="greaterThan" dxfId="80">
      <formula>0</formula>
    </cfRule>
    <cfRule type="cellIs" priority="67" operator="greaterThan" dxfId="80">
      <formula>27.5</formula>
    </cfRule>
  </conditionalFormatting>
  <conditionalFormatting sqref="K239:Q242 S239:W242 AA239:AE242 AG239:AK242">
    <cfRule type="cellIs" priority="62" operator="greaterThan" dxfId="80">
      <formula>0</formula>
    </cfRule>
    <cfRule type="cellIs" priority="63" operator="greaterThan" dxfId="80">
      <formula>27.5</formula>
    </cfRule>
  </conditionalFormatting>
  <conditionalFormatting sqref="K268:Q272 S268:W272 AA268:AE272 AG268:AK272">
    <cfRule type="cellIs" priority="52" operator="greaterThan" dxfId="80">
      <formula>0</formula>
    </cfRule>
    <cfRule type="cellIs" priority="53" operator="greaterThan" dxfId="80">
      <formula>27.5</formula>
    </cfRule>
  </conditionalFormatting>
  <conditionalFormatting sqref="K285:Q286 S285:W286 AA285:AE286 AG285:AK286">
    <cfRule type="cellIs" priority="42" operator="greaterThan" dxfId="80">
      <formula>0</formula>
    </cfRule>
    <cfRule type="cellIs" priority="43" operator="greaterThan" dxfId="80">
      <formula>27.5</formula>
    </cfRule>
  </conditionalFormatting>
  <conditionalFormatting sqref="K268:AL290">
    <cfRule type="cellIs" priority="41" operator="greaterThan" dxfId="80">
      <formula>0</formula>
    </cfRule>
  </conditionalFormatting>
  <conditionalFormatting sqref="M256">
    <cfRule type="cellIs" priority="58" operator="greaterThan" dxfId="80">
      <formula>0</formula>
    </cfRule>
    <cfRule type="cellIs" priority="59" operator="greaterThan" dxfId="80">
      <formula>27.5</formula>
    </cfRule>
  </conditionalFormatting>
  <conditionalFormatting sqref="M318">
    <cfRule type="cellIs" priority="34" operator="greaterThan" dxfId="80">
      <formula>0</formula>
    </cfRule>
  </conditionalFormatting>
  <conditionalFormatting sqref="M318:N318 S423:W465 AG423:AK465">
    <cfRule type="cellIs" priority="33" operator="greaterThan" dxfId="80">
      <formula>27.5</formula>
    </cfRule>
  </conditionalFormatting>
  <conditionalFormatting sqref="N318:N319">
    <cfRule type="cellIs" priority="26" operator="greaterThan" dxfId="80">
      <formula>0</formula>
    </cfRule>
  </conditionalFormatting>
  <conditionalFormatting sqref="P318">
    <cfRule type="cellIs" priority="31" operator="greaterThan" dxfId="80">
      <formula>0</formula>
    </cfRule>
    <cfRule type="cellIs" priority="32" operator="greaterThan" dxfId="80">
      <formula>27.5</formula>
    </cfRule>
  </conditionalFormatting>
  <conditionalFormatting sqref="S132:Y132 AG132:AL132">
    <cfRule type="cellIs" priority="88" operator="greaterThan" dxfId="80">
      <formula>0</formula>
    </cfRule>
    <cfRule type="cellIs" priority="89" operator="greaterThan" dxfId="80">
      <formula>27.5</formula>
    </cfRule>
  </conditionalFormatting>
  <conditionalFormatting sqref="S139:Y139 AG139:AL139">
    <cfRule type="cellIs" priority="84" operator="greaterThan" dxfId="80">
      <formula>0</formula>
    </cfRule>
    <cfRule type="cellIs" priority="85" operator="greaterThan" dxfId="80">
      <formula>27.5</formula>
    </cfRule>
  </conditionalFormatting>
  <conditionalFormatting sqref="S422:Y422 AG422:AL422">
    <cfRule type="cellIs" priority="19" operator="greaterThan" dxfId="80">
      <formula>0</formula>
    </cfRule>
    <cfRule type="cellIs" priority="20" operator="greaterThan" dxfId="80">
      <formula>27.5</formula>
    </cfRule>
  </conditionalFormatting>
  <conditionalFormatting sqref="T274">
    <cfRule type="cellIs" priority="46" operator="greaterThan" dxfId="80">
      <formula>0</formula>
    </cfRule>
    <cfRule type="cellIs" priority="47" operator="greaterThan" dxfId="80">
      <formula>27.5</formula>
    </cfRule>
  </conditionalFormatting>
  <conditionalFormatting sqref="U123">
    <cfRule type="cellIs" priority="11" operator="greaterThan" dxfId="80">
      <formula>0</formula>
    </cfRule>
    <cfRule type="cellIs" priority="12" operator="greaterThan" dxfId="80">
      <formula>27.5</formula>
    </cfRule>
  </conditionalFormatting>
  <conditionalFormatting sqref="U319">
    <cfRule type="cellIs" priority="24" operator="greaterThan" dxfId="80">
      <formula>0</formula>
    </cfRule>
    <cfRule type="cellIs" priority="25" operator="greaterThan" dxfId="80">
      <formula>27.5</formula>
    </cfRule>
  </conditionalFormatting>
  <conditionalFormatting sqref="X305:Y305">
    <cfRule type="cellIs" priority="37" operator="greaterThan" dxfId="80">
      <formula>0</formula>
    </cfRule>
    <cfRule type="cellIs" priority="38" operator="greaterThan" dxfId="80">
      <formula>27.5</formula>
    </cfRule>
  </conditionalFormatting>
  <conditionalFormatting sqref="Z77">
    <cfRule type="cellIs" priority="96" operator="greaterThan" dxfId="80">
      <formula>0</formula>
    </cfRule>
    <cfRule type="cellIs" priority="97" operator="greaterThan" dxfId="80">
      <formula>27.5</formula>
    </cfRule>
  </conditionalFormatting>
  <conditionalFormatting sqref="AA256">
    <cfRule type="cellIs" priority="56" operator="greaterThan" dxfId="80">
      <formula>0</formula>
    </cfRule>
    <cfRule type="cellIs" priority="57" operator="greaterThan" dxfId="80">
      <formula>27.5</formula>
    </cfRule>
  </conditionalFormatting>
  <conditionalFormatting sqref="AA274">
    <cfRule type="cellIs" priority="48" operator="greaterThan" dxfId="80">
      <formula>0</formula>
    </cfRule>
    <cfRule type="cellIs" priority="49" operator="greaterThan" dxfId="80">
      <formula>27.5</formula>
    </cfRule>
  </conditionalFormatting>
  <conditionalFormatting sqref="AA318:AA319">
    <cfRule type="cellIs" priority="22" operator="greaterThan" dxfId="80">
      <formula>0</formula>
    </cfRule>
    <cfRule type="cellIs" priority="23" operator="greaterThan" dxfId="80">
      <formula>27.5</formula>
    </cfRule>
  </conditionalFormatting>
  <conditionalFormatting sqref="AA55:AE59">
    <cfRule type="cellIs" priority="98" operator="greaterThan" dxfId="80">
      <formula>0</formula>
    </cfRule>
    <cfRule type="cellIs" priority="99" operator="greaterThan" dxfId="80">
      <formula>27.5</formula>
    </cfRule>
  </conditionalFormatting>
  <conditionalFormatting sqref="AG25:AK33">
    <cfRule type="cellIs" priority="106" operator="greaterThan" dxfId="80">
      <formula>0</formula>
    </cfRule>
    <cfRule type="cellIs" priority="107" operator="greaterThan" dxfId="80">
      <formula>27.5</formula>
    </cfRule>
  </conditionalFormatting>
  <conditionalFormatting sqref="AG42:AK44">
    <cfRule type="cellIs" priority="102" operator="greaterThan" dxfId="80">
      <formula>0</formula>
    </cfRule>
    <cfRule type="cellIs" priority="103" operator="greaterThan" dxfId="80">
      <formula>27.5</formula>
    </cfRule>
  </conditionalFormatting>
  <conditionalFormatting sqref="AG98:AK108">
    <cfRule type="cellIs" priority="92" operator="greaterThan" dxfId="80">
      <formula>0</formula>
    </cfRule>
    <cfRule type="cellIs" priority="93" operator="greaterThan" dxfId="80">
      <formula>27.5</formula>
    </cfRule>
  </conditionalFormatting>
  <conditionalFormatting sqref="AG140:AK140">
    <cfRule type="cellIs" priority="80" operator="greaterThan" dxfId="80">
      <formula>0</formula>
    </cfRule>
    <cfRule type="cellIs" priority="81" operator="greaterThan" dxfId="80">
      <formula>27.5</formula>
    </cfRule>
  </conditionalFormatting>
  <conditionalFormatting sqref="AG155:AK157">
    <cfRule type="cellIs" priority="74" operator="greaterThan" dxfId="80">
      <formula>0</formula>
    </cfRule>
    <cfRule type="cellIs" priority="75" operator="greaterThan" dxfId="80">
      <formula>27.5</formula>
    </cfRule>
  </conditionalFormatting>
  <conditionalFormatting sqref="AG169:AK170">
    <cfRule type="cellIs" priority="70" operator="greaterThan" dxfId="80">
      <formula>0</formula>
    </cfRule>
    <cfRule type="cellIs" priority="71" operator="greaterThan" dxfId="80">
      <formula>27.5</formula>
    </cfRule>
  </conditionalFormatting>
  <conditionalFormatting sqref="AG174:AK186">
    <cfRule type="cellIs" priority="5" operator="greaterThan" dxfId="80">
      <formula>0</formula>
    </cfRule>
    <cfRule type="cellIs" priority="6" operator="greaterThan" dxfId="80">
      <formula>27.5</formula>
    </cfRule>
  </conditionalFormatting>
  <conditionalFormatting sqref="AG197:AK204">
    <cfRule type="cellIs" priority="64" operator="greaterThan" dxfId="80">
      <formula>0</formula>
    </cfRule>
    <cfRule type="cellIs" priority="65" operator="greaterThan" dxfId="80">
      <formula>27.5</formula>
    </cfRule>
  </conditionalFormatting>
  <conditionalFormatting sqref="AG294:AK315">
    <cfRule type="cellIs" priority="35" operator="greaterThan" dxfId="80">
      <formula>0</formula>
    </cfRule>
    <cfRule type="cellIs" priority="36" operator="greaterThan" dxfId="80">
      <formula>27.5</formula>
    </cfRule>
  </conditionalFormatting>
  <conditionalFormatting sqref="K291:Q315 K348:Q348 S291:Y295 S296:W315 S348:W348 Z348:AE348 AA291:AE315 AG291:AL293 AG348:AK348">
    <cfRule type="cellIs" priority="39" operator="greaterThan" dxfId="80">
      <formula>0</formula>
    </cfRule>
    <cfRule type="cellIs" priority="40" operator="greaterThan" dxfId="80">
      <formula>27.5</formula>
    </cfRule>
  </conditionalFormatting>
  <conditionalFormatting sqref="AH123">
    <cfRule type="cellIs" priority="9" operator="greaterThan" dxfId="80">
      <formula>0</formula>
    </cfRule>
    <cfRule type="cellIs" priority="10" operator="greaterThan" dxfId="80">
      <formula>27.5</formula>
    </cfRule>
  </conditionalFormatting>
  <conditionalFormatting sqref="AH274">
    <cfRule type="cellIs" priority="44" operator="greaterThan" dxfId="80">
      <formula>0</formula>
    </cfRule>
    <cfRule type="cellIs" priority="45" operator="greaterThan" dxfId="80">
      <formula>27.5</formula>
    </cfRule>
  </conditionalFormatting>
  <conditionalFormatting sqref="AH319">
    <cfRule type="cellIs" priority="21" operator="greaterThan" dxfId="80">
      <formula>0</formula>
    </cfRule>
  </conditionalFormatting>
  <conditionalFormatting sqref="AJ256">
    <cfRule type="cellIs" priority="54" operator="greaterThan" dxfId="80">
      <formula>0</formula>
    </cfRule>
    <cfRule type="cellIs" priority="55" operator="greaterThan" dxfId="80">
      <formula>27.5</formula>
    </cfRule>
  </conditionalFormatting>
  <conditionalFormatting sqref="AJ318">
    <cfRule type="cellIs" priority="29" operator="greaterThan" dxfId="80">
      <formula>0</formula>
    </cfRule>
    <cfRule type="cellIs" priority="30" operator="greaterThan" dxfId="80">
      <formula>27.5</formula>
    </cfRule>
  </conditionalFormatting>
  <dataValidations count="2">
    <dataValidation sqref="A6:A2000" showDropDown="0" showInputMessage="0" showErrorMessage="1" allowBlank="1" error="Escolha FATURADA ou PENDENTE." type="list" operator="equal">
      <formula1>"FATURADA,PENDENTE"</formula1>
      <formula2>0</formula2>
    </dataValidation>
    <dataValidation sqref="K3:BB3" showDropDown="0" showInputMessage="0" showErrorMessage="0" allowBlank="1" type="list">
      <formula1>PRODUTOS!$C$2:$C$200</formula1>
    </dataValidation>
  </dataValidations>
  <pageMargins left="0.511805555555556" right="0.511805555555556" top="0.7875" bottom="0.7875" header="0.511811023622047" footer="0.511811023622047"/>
  <pageSetup orientation="landscape" paperSize="9" scale="18" fitToHeight="0" horizontalDpi="300" verticalDpi="300"/>
  <rowBreaks count="1" manualBreakCount="1">
    <brk id="318" min="0" max="16383" man="1"/>
  </rowBreaks>
  <drawing r:id="rIdDrw1"/>
  <legacyDrawing xmlns:r="http://schemas.openxmlformats.org/officeDocument/2006/relationships"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E39"/>
  <sheetViews>
    <sheetView view="pageBreakPreview" zoomScaleNormal="100" workbookViewId="0">
      <selection activeCell="J13" sqref="J13"/>
    </sheetView>
  </sheetViews>
  <sheetFormatPr baseColWidth="8" defaultColWidth="8.7109375" defaultRowHeight="15"/>
  <cols>
    <col width="15.42578125" customWidth="1" min="1" max="1"/>
    <col width="3.7109375" customWidth="1" min="2" max="2"/>
    <col width="49" customWidth="1" min="3" max="3"/>
    <col width="15.42578125" customWidth="1" min="4" max="4"/>
    <col width="17.5703125" customWidth="1" min="5" max="5"/>
    <col width="4.7109375" customWidth="1" min="6" max="6"/>
  </cols>
  <sheetData>
    <row r="1">
      <c r="A1" t="inlineStr">
        <is>
          <t>Categoria</t>
        </is>
      </c>
      <c r="B1" t="inlineStr">
        <is>
          <t>UN</t>
        </is>
      </c>
      <c r="C1" t="inlineStr">
        <is>
          <t>Descrição</t>
        </is>
      </c>
      <c r="D1" t="inlineStr">
        <is>
          <t>Capacidade / KG</t>
        </is>
      </c>
      <c r="E1" t="inlineStr">
        <is>
          <t>Valor Unitário (R$)</t>
        </is>
      </c>
    </row>
    <row r="2">
      <c r="A2" t="inlineStr">
        <is>
          <t>Extintores</t>
        </is>
      </c>
      <c r="B2" t="n">
        <v>1</v>
      </c>
      <c r="C2" t="inlineStr">
        <is>
          <t>RECARGA EXTINTOR AP 10 LTS</t>
        </is>
      </c>
      <c r="D2" t="inlineStr">
        <is>
          <t>10 L</t>
        </is>
      </c>
      <c r="E2" s="114" t="n">
        <v>50</v>
      </c>
    </row>
    <row r="3">
      <c r="A3" t="inlineStr">
        <is>
          <t>Extintores</t>
        </is>
      </c>
      <c r="B3" t="n">
        <v>1</v>
      </c>
      <c r="C3" t="inlineStr">
        <is>
          <t>RECARGA EXTINTOR PQS BC 4KG</t>
        </is>
      </c>
      <c r="D3" t="inlineStr">
        <is>
          <t>4 kg</t>
        </is>
      </c>
      <c r="E3" s="114" t="n">
        <v>50</v>
      </c>
    </row>
    <row r="4">
      <c r="A4" t="inlineStr">
        <is>
          <t>Extintores</t>
        </is>
      </c>
      <c r="B4" t="n">
        <v>1</v>
      </c>
      <c r="C4" t="inlineStr">
        <is>
          <t>RECARGA EXTINTOR PQS BC 6 KG</t>
        </is>
      </c>
      <c r="D4" t="inlineStr">
        <is>
          <t>6 kg</t>
        </is>
      </c>
      <c r="E4" s="114" t="n">
        <v>60</v>
      </c>
    </row>
    <row r="5">
      <c r="A5" t="inlineStr">
        <is>
          <t>Extintores</t>
        </is>
      </c>
      <c r="B5" t="n">
        <v>1</v>
      </c>
      <c r="C5" t="inlineStr">
        <is>
          <t>RECARGA EXTINTOR PQS BC 8 KG</t>
        </is>
      </c>
      <c r="D5" t="inlineStr">
        <is>
          <t>8 kg</t>
        </is>
      </c>
      <c r="E5" s="114" t="n">
        <v>70</v>
      </c>
    </row>
    <row r="6">
      <c r="A6" t="inlineStr">
        <is>
          <t>Extintores</t>
        </is>
      </c>
      <c r="B6" t="n">
        <v>1</v>
      </c>
      <c r="C6" t="inlineStr">
        <is>
          <t>RECARGA EXTINTOR PQS BC 12 KG</t>
        </is>
      </c>
      <c r="D6" t="inlineStr">
        <is>
          <t>12 kg</t>
        </is>
      </c>
      <c r="E6" s="114" t="n">
        <v>80</v>
      </c>
    </row>
    <row r="7">
      <c r="A7" t="inlineStr">
        <is>
          <t>Extintores</t>
        </is>
      </c>
      <c r="B7" t="n">
        <v>1</v>
      </c>
      <c r="C7" t="inlineStr">
        <is>
          <t>RECARGA EXTINTOR PQS BC 20 KG</t>
        </is>
      </c>
      <c r="D7" t="inlineStr">
        <is>
          <t>20 kg</t>
        </is>
      </c>
      <c r="E7" s="114" t="n">
        <v>120</v>
      </c>
    </row>
    <row r="8">
      <c r="A8" t="inlineStr">
        <is>
          <t>Extintores</t>
        </is>
      </c>
      <c r="B8" t="n">
        <v>1</v>
      </c>
      <c r="C8" t="inlineStr">
        <is>
          <t>RECARGA EXTINTOR PQS BC 50 KG</t>
        </is>
      </c>
      <c r="D8" t="inlineStr">
        <is>
          <t>50 kg</t>
        </is>
      </c>
      <c r="E8" s="114" t="n">
        <v>345</v>
      </c>
    </row>
    <row r="9">
      <c r="A9" t="inlineStr">
        <is>
          <t>Extintores</t>
        </is>
      </c>
      <c r="B9" t="n">
        <v>1</v>
      </c>
      <c r="C9" t="inlineStr">
        <is>
          <t>RECARGA EXTINTOR PQS ABC 4KG</t>
        </is>
      </c>
      <c r="D9" t="inlineStr">
        <is>
          <t>4 kg</t>
        </is>
      </c>
      <c r="E9" s="114" t="n">
        <v>65</v>
      </c>
    </row>
    <row r="10">
      <c r="A10" t="inlineStr">
        <is>
          <t>Extintores</t>
        </is>
      </c>
      <c r="B10" t="n">
        <v>1</v>
      </c>
      <c r="C10" t="inlineStr">
        <is>
          <t>RECARGA EXTINTOR PQS ABC 6 KG</t>
        </is>
      </c>
      <c r="D10" t="inlineStr">
        <is>
          <t>6 kg</t>
        </is>
      </c>
      <c r="E10" s="114" t="n">
        <v>83</v>
      </c>
    </row>
    <row r="11">
      <c r="A11" t="inlineStr">
        <is>
          <t>Extintores</t>
        </is>
      </c>
      <c r="B11" t="n">
        <v>1</v>
      </c>
      <c r="C11" t="inlineStr">
        <is>
          <t>RECARGA EXTINTOR PQS ABC 8 KG</t>
        </is>
      </c>
      <c r="D11" t="inlineStr">
        <is>
          <t>8 kg</t>
        </is>
      </c>
      <c r="E11" s="114" t="n">
        <v>125</v>
      </c>
    </row>
    <row r="12">
      <c r="A12" t="inlineStr">
        <is>
          <t>Extintores</t>
        </is>
      </c>
      <c r="B12" t="n">
        <v>1</v>
      </c>
      <c r="C12" t="inlineStr">
        <is>
          <t>RECARGA EXTINTOR PQS ABC 12 KG</t>
        </is>
      </c>
      <c r="D12" t="inlineStr">
        <is>
          <t>12 kg</t>
        </is>
      </c>
      <c r="E12" s="114" t="n">
        <v>160</v>
      </c>
    </row>
    <row r="13">
      <c r="A13" t="inlineStr">
        <is>
          <t>Extintores</t>
        </is>
      </c>
      <c r="B13" t="n">
        <v>1</v>
      </c>
      <c r="C13" t="inlineStr">
        <is>
          <t>RECARGA EXTINTOR CO2 4 KG</t>
        </is>
      </c>
      <c r="D13" t="inlineStr">
        <is>
          <t>4 kg</t>
        </is>
      </c>
      <c r="E13" s="114" t="n">
        <v>140</v>
      </c>
    </row>
    <row r="14">
      <c r="A14" t="inlineStr">
        <is>
          <t>Extintores</t>
        </is>
      </c>
      <c r="B14" t="n">
        <v>1</v>
      </c>
      <c r="C14" t="inlineStr">
        <is>
          <t>RECARGA EXTINTOR CO2 6 KG</t>
        </is>
      </c>
      <c r="D14" t="inlineStr">
        <is>
          <t>6 kg</t>
        </is>
      </c>
      <c r="E14" s="114" t="n">
        <v>160</v>
      </c>
    </row>
    <row r="15">
      <c r="A15" t="inlineStr">
        <is>
          <t>Extintores</t>
        </is>
      </c>
      <c r="B15" t="n">
        <v>1</v>
      </c>
      <c r="C15" t="inlineStr">
        <is>
          <t>RECARGA EXTINTOR CO2 10 KG</t>
        </is>
      </c>
      <c r="D15" t="inlineStr">
        <is>
          <t>10 kg</t>
        </is>
      </c>
      <c r="E15" s="114" t="n">
        <v>260</v>
      </c>
    </row>
    <row r="16">
      <c r="A16" t="inlineStr">
        <is>
          <t>Extintores</t>
        </is>
      </c>
      <c r="B16" t="n">
        <v>1</v>
      </c>
      <c r="C16" t="inlineStr">
        <is>
          <t>RECARGA EXTINTOR CO2 25 KG</t>
        </is>
      </c>
      <c r="D16" t="inlineStr">
        <is>
          <t>25 kg</t>
        </is>
      </c>
      <c r="E16" s="114" t="n">
        <v>600</v>
      </c>
    </row>
    <row r="17">
      <c r="A17" t="inlineStr">
        <is>
          <t>Extintores</t>
        </is>
      </c>
      <c r="B17" t="n">
        <v>1</v>
      </c>
      <c r="C17" t="inlineStr">
        <is>
          <t>RECARGA EXTINTOR ESPUMA 9 LTS</t>
        </is>
      </c>
      <c r="D17" t="inlineStr">
        <is>
          <t>9 L</t>
        </is>
      </c>
      <c r="E17" s="114" t="n">
        <v>135</v>
      </c>
    </row>
    <row r="18">
      <c r="A18" t="inlineStr">
        <is>
          <t>Extintores</t>
        </is>
      </c>
      <c r="B18" t="n">
        <v>1</v>
      </c>
      <c r="C18" t="inlineStr">
        <is>
          <t>RECARGA EXTINTOR ESPUMA 50 LTS</t>
        </is>
      </c>
      <c r="D18" t="inlineStr">
        <is>
          <t>50 L</t>
        </is>
      </c>
      <c r="E18" s="114" t="n">
        <v>500</v>
      </c>
    </row>
    <row r="19">
      <c r="A19" t="inlineStr">
        <is>
          <t>Extintores</t>
        </is>
      </c>
      <c r="B19" t="n">
        <v>1</v>
      </c>
      <c r="C19" t="inlineStr">
        <is>
          <t>PINTURA EXTINTOR PORTÁTIL</t>
        </is>
      </c>
      <c r="D19" t="inlineStr">
        <is>
          <t>-</t>
        </is>
      </c>
      <c r="E19" s="114" t="n">
        <v>20</v>
      </c>
    </row>
    <row r="20">
      <c r="A20" t="inlineStr">
        <is>
          <t>Extintores</t>
        </is>
      </c>
      <c r="B20" t="n">
        <v>1</v>
      </c>
      <c r="C20" t="inlineStr">
        <is>
          <t>PINTURA EXTINTOR CARRETA</t>
        </is>
      </c>
      <c r="D20" t="inlineStr">
        <is>
          <t>-</t>
        </is>
      </c>
      <c r="E20" s="114" t="n">
        <v>50</v>
      </c>
    </row>
    <row r="21">
      <c r="A21" t="inlineStr">
        <is>
          <t>Mangueiras</t>
        </is>
      </c>
      <c r="B21" t="n">
        <v>1</v>
      </c>
      <c r="C21" t="inlineStr">
        <is>
          <t>TESTE HIDROSTÁTICO MANGUEIRA DE INCÊNDIO 1 1/2</t>
        </is>
      </c>
      <c r="D21" t="inlineStr">
        <is>
          <t>-</t>
        </is>
      </c>
      <c r="E21" s="114" t="n">
        <v>50</v>
      </c>
    </row>
    <row r="22">
      <c r="A22" t="inlineStr">
        <is>
          <t>Mangueiras</t>
        </is>
      </c>
      <c r="B22" t="n">
        <v>1</v>
      </c>
      <c r="C22" t="inlineStr">
        <is>
          <t>TESTE HIDROSTÁTICO MANGUEIRA DE INCÊNDIO 2 1/2</t>
        </is>
      </c>
      <c r="D22" t="inlineStr">
        <is>
          <t>-</t>
        </is>
      </c>
      <c r="E22" s="114" t="n">
        <v>60</v>
      </c>
    </row>
    <row r="23">
      <c r="A23" t="inlineStr">
        <is>
          <t>Peças e Serviços</t>
        </is>
      </c>
      <c r="B23" t="n">
        <v>1</v>
      </c>
      <c r="C23" t="inlineStr">
        <is>
          <t>MANOMETRO EXTINTOR</t>
        </is>
      </c>
      <c r="D23" t="inlineStr">
        <is>
          <t>-</t>
        </is>
      </c>
      <c r="E23" s="114" t="n">
        <v>10</v>
      </c>
    </row>
    <row r="24">
      <c r="A24" t="inlineStr">
        <is>
          <t>Peças e Serviços</t>
        </is>
      </c>
      <c r="B24" t="n">
        <v>1</v>
      </c>
      <c r="C24" t="inlineStr">
        <is>
          <t>VÁLVULA EXTINTOR M-30 AP/PQS</t>
        </is>
      </c>
      <c r="D24" t="inlineStr">
        <is>
          <t>-</t>
        </is>
      </c>
      <c r="E24" s="114" t="n">
        <v>45</v>
      </c>
    </row>
    <row r="25">
      <c r="A25" t="inlineStr">
        <is>
          <t>Peças e Serviços</t>
        </is>
      </c>
      <c r="B25" t="n">
        <v>1</v>
      </c>
      <c r="C25" t="inlineStr">
        <is>
          <t>VÁLVULA EXTINTOR CO2</t>
        </is>
      </c>
      <c r="D25" t="inlineStr">
        <is>
          <t>-</t>
        </is>
      </c>
      <c r="E25" s="114" t="n">
        <v>95</v>
      </c>
    </row>
    <row r="26">
      <c r="A26" t="inlineStr">
        <is>
          <t>Peças e Serviços</t>
        </is>
      </c>
      <c r="B26" t="n">
        <v>1</v>
      </c>
      <c r="C26" t="inlineStr">
        <is>
          <t>MANGUEIRA EXTINTOR AP/PQS</t>
        </is>
      </c>
      <c r="D26" t="inlineStr">
        <is>
          <t>-</t>
        </is>
      </c>
      <c r="E26" s="114" t="n">
        <v>25</v>
      </c>
    </row>
    <row r="27">
      <c r="A27" t="inlineStr">
        <is>
          <t>Peças e Serviços</t>
        </is>
      </c>
      <c r="B27" t="n">
        <v>1</v>
      </c>
      <c r="C27" t="inlineStr">
        <is>
          <t>MANGUEIRA EXTINTOR CO2</t>
        </is>
      </c>
      <c r="D27" t="inlineStr">
        <is>
          <t>-</t>
        </is>
      </c>
      <c r="E27" s="114" t="n">
        <v>85</v>
      </c>
    </row>
    <row r="28">
      <c r="A28" t="inlineStr">
        <is>
          <t>Peças e Serviços</t>
        </is>
      </c>
      <c r="B28" t="n">
        <v>1</v>
      </c>
      <c r="C28" t="inlineStr">
        <is>
          <t>DIFUSOR EXTINTOR CO2</t>
        </is>
      </c>
      <c r="D28" t="inlineStr">
        <is>
          <t>-</t>
        </is>
      </c>
      <c r="E28" s="114" t="n">
        <v>20</v>
      </c>
    </row>
    <row r="29">
      <c r="A29" t="inlineStr">
        <is>
          <t>Peças e Serviços</t>
        </is>
      </c>
      <c r="B29" t="n">
        <v>1</v>
      </c>
      <c r="C29" t="inlineStr">
        <is>
          <t>PUNHO EXTINTOR CO2</t>
        </is>
      </c>
      <c r="D29" t="inlineStr">
        <is>
          <t>-</t>
        </is>
      </c>
      <c r="E29" s="114" t="n">
        <v>8</v>
      </c>
    </row>
    <row r="30">
      <c r="A30" t="inlineStr">
        <is>
          <t>Peças e Serviços</t>
        </is>
      </c>
      <c r="B30" t="n">
        <v>1</v>
      </c>
      <c r="C30" t="inlineStr">
        <is>
          <t>TRAVA EXTINTOR</t>
        </is>
      </c>
      <c r="D30" t="inlineStr">
        <is>
          <t>-</t>
        </is>
      </c>
      <c r="E30" s="114" t="n">
        <v>5</v>
      </c>
    </row>
    <row r="31">
      <c r="A31" t="inlineStr">
        <is>
          <t>Peças e Serviços</t>
        </is>
      </c>
      <c r="B31" t="n">
        <v>1</v>
      </c>
      <c r="C31" t="inlineStr">
        <is>
          <t>TESTE HIDROSTÁTICO EXTINTOR PORTÁTIL</t>
        </is>
      </c>
      <c r="D31" t="inlineStr">
        <is>
          <t>-</t>
        </is>
      </c>
      <c r="E31" s="114" t="n">
        <v>25</v>
      </c>
    </row>
    <row r="32">
      <c r="A32" t="inlineStr">
        <is>
          <t>Peças e Serviços</t>
        </is>
      </c>
      <c r="B32" t="n">
        <v>1</v>
      </c>
      <c r="C32" t="inlineStr">
        <is>
          <t>TESTE HIDROSTÁTICO EXTINTOR CARRETA</t>
        </is>
      </c>
      <c r="D32" t="inlineStr">
        <is>
          <t>-</t>
        </is>
      </c>
      <c r="E32" s="114" t="n">
        <v>60</v>
      </c>
    </row>
    <row r="33">
      <c r="A33" t="inlineStr">
        <is>
          <t>Peças e Serviços</t>
        </is>
      </c>
      <c r="B33" t="n">
        <v>1</v>
      </c>
      <c r="C33" t="inlineStr">
        <is>
          <t>SERVIÇO DE EMPATAÇÃO DE MANGUEIRA</t>
        </is>
      </c>
      <c r="D33" t="inlineStr">
        <is>
          <t>-</t>
        </is>
      </c>
      <c r="E33" s="114" t="n">
        <v>150</v>
      </c>
    </row>
    <row r="34">
      <c r="A34" t="inlineStr">
        <is>
          <t>Peças e Serviços</t>
        </is>
      </c>
      <c r="B34" t="n">
        <v>1</v>
      </c>
      <c r="C34" t="inlineStr">
        <is>
          <t>MANGUEIRA INCÊNDIO 1 ½ 15 MTS TIPO 2</t>
        </is>
      </c>
      <c r="D34" t="inlineStr">
        <is>
          <t>-</t>
        </is>
      </c>
      <c r="E34" s="114" t="n">
        <v>525</v>
      </c>
    </row>
    <row r="35">
      <c r="A35" t="inlineStr">
        <is>
          <t>Peças e Serviços</t>
        </is>
      </c>
      <c r="B35" t="n">
        <v>1</v>
      </c>
      <c r="C35" t="inlineStr">
        <is>
          <t>MANGUEIRA INCÊNDIO 1 ½ 30 MTS TIPO 2</t>
        </is>
      </c>
      <c r="D35" t="inlineStr">
        <is>
          <t>-</t>
        </is>
      </c>
      <c r="E35" s="114" t="n">
        <v>795</v>
      </c>
    </row>
    <row r="36">
      <c r="A36" t="inlineStr">
        <is>
          <t>Peças e Serviços</t>
        </is>
      </c>
      <c r="B36" t="n">
        <v>1</v>
      </c>
      <c r="C36" t="inlineStr">
        <is>
          <t>MANGUEIRA INCÊNDIO 2 ½ 15 MTS TIPO 2</t>
        </is>
      </c>
      <c r="D36" t="inlineStr">
        <is>
          <t>-</t>
        </is>
      </c>
      <c r="E36" s="114" t="n">
        <v>825</v>
      </c>
    </row>
    <row r="37">
      <c r="A37" t="inlineStr">
        <is>
          <t>Peças e Serviços</t>
        </is>
      </c>
      <c r="B37" t="n">
        <v>1</v>
      </c>
      <c r="C37" t="inlineStr">
        <is>
          <t>MANGUEIRA INCÊNDIO 2 ½ 30 MTS TIPO 2</t>
        </is>
      </c>
      <c r="D37" t="inlineStr">
        <is>
          <t>-</t>
        </is>
      </c>
      <c r="E37" s="114" t="n">
        <v>1250</v>
      </c>
    </row>
    <row r="38">
      <c r="A38" t="inlineStr">
        <is>
          <t>Peças e Serviços</t>
        </is>
      </c>
      <c r="B38" t="n">
        <v>1</v>
      </c>
      <c r="C38" t="inlineStr">
        <is>
          <t>EXTINTOR DE INCÊNDIO AP 10 LTS</t>
        </is>
      </c>
      <c r="D38" t="inlineStr">
        <is>
          <t>10 L</t>
        </is>
      </c>
      <c r="E38" s="114" t="n">
        <v>285</v>
      </c>
    </row>
    <row r="39">
      <c r="A39" t="inlineStr">
        <is>
          <t>teste</t>
        </is>
      </c>
      <c r="E39" s="115" t="n"/>
    </row>
  </sheetData>
  <pageMargins left="0.7" right="0.7" top="0.75" bottom="0.75" header="0.511811023622047" footer="0.511811023622047"/>
  <pageSetup orientation="portrait" paperSize="9" scale="63" horizontalDpi="300" verticalDpi="300"/>
  <drawing r:id="rIdDrw1"/>
  <legacyDrawing xmlns:r="http://schemas.openxmlformats.org/officeDocument/2006/relationships"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 filterMode="1">
    <tabColor rgb="FFC55A11"/>
    <outlinePr summaryBelow="1" summaryRight="1"/>
    <pageSetUpPr fitToPage="1"/>
  </sheetPr>
  <dimension ref="A1:AK518"/>
  <sheetViews>
    <sheetView view="pageBreakPreview" zoomScale="70" zoomScaleNormal="100" zoomScalePageLayoutView="70" workbookViewId="0">
      <selection activeCell="AG15" sqref="AG15"/>
    </sheetView>
  </sheetViews>
  <sheetFormatPr baseColWidth="8" defaultColWidth="8.7109375" defaultRowHeight="15"/>
  <cols>
    <col width="15.5703125" customWidth="1" min="1" max="1"/>
    <col width="17.5703125" customWidth="1" min="2" max="2"/>
    <col width="15.42578125" customWidth="1" min="3" max="3"/>
    <col width="73" customWidth="1" min="4" max="4"/>
    <col width="47.42578125" customWidth="1" min="5" max="5"/>
    <col width="29.5703125" customWidth="1" min="6" max="6"/>
    <col width="4.85546875" customWidth="1" min="7" max="7"/>
    <col width="17.140625" customWidth="1" min="8" max="8"/>
    <col width="14.42578125" customWidth="1" min="9" max="9"/>
    <col width="16.42578125" customWidth="1" min="10" max="10"/>
    <col width="17.5703125" customWidth="1" min="11" max="11"/>
    <col width="21.5703125" customWidth="1" min="36" max="36"/>
    <col hidden="1" width="21.5703125" customWidth="1" min="37" max="37"/>
  </cols>
  <sheetData>
    <row r="1" ht="52.5" customHeight="1">
      <c r="A1" s="116">
        <f>TODAY()</f>
        <v/>
      </c>
      <c r="B1" s="116">
        <f>TODAY()</f>
        <v/>
      </c>
      <c r="C1" s="48" t="n"/>
      <c r="D1" s="49">
        <f>SUBTOTAL(3,D3:D521)</f>
        <v/>
      </c>
      <c r="E1" s="50" t="inlineStr">
        <is>
          <t>MAPA</t>
        </is>
      </c>
      <c r="F1" s="51" t="n"/>
      <c r="G1" s="48" t="n"/>
      <c r="H1" s="52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15.7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BASE DE ATENDIMENTO</t>
        </is>
      </c>
      <c r="G2" s="54" t="inlineStr">
        <is>
          <t>UF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30Jg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>
      <c r="A3" s="58" t="inlineStr">
        <is>
          <t>SIM</t>
        </is>
      </c>
      <c r="B3" s="59" t="inlineStr">
        <is>
          <t>NA VALIDADE</t>
        </is>
      </c>
      <c r="C3" s="60" t="inlineStr">
        <is>
          <t>AGÊNCIA</t>
        </is>
      </c>
      <c r="D3" s="61" t="inlineStr">
        <is>
          <t>AGÊNCIA ALAGOINHAS</t>
        </is>
      </c>
      <c r="E3" s="62" t="inlineStr">
        <is>
          <t>ALAGOINHAS</t>
        </is>
      </c>
      <c r="F3" s="61" t="inlineStr">
        <is>
          <t>FEIRA DE  SANTANA</t>
        </is>
      </c>
      <c r="G3" s="60" t="inlineStr">
        <is>
          <t>BA</t>
        </is>
      </c>
      <c r="H3" s="119" t="n">
        <v>45323</v>
      </c>
      <c r="I3" s="119">
        <f>H3-180</f>
        <v/>
      </c>
      <c r="J3" s="60">
        <f>SUM(L3:AE3)</f>
        <v/>
      </c>
      <c r="K3" s="60">
        <f>SUM(AF3:AJ3)</f>
        <v/>
      </c>
      <c r="L3" s="60" t="n">
        <v>2</v>
      </c>
      <c r="M3" s="60" t="n"/>
      <c r="N3" s="60" t="n"/>
      <c r="O3" s="60" t="n">
        <v>2</v>
      </c>
      <c r="P3" s="60" t="n"/>
      <c r="Q3" s="60" t="n"/>
      <c r="R3" s="60" t="n"/>
      <c r="S3" s="60" t="n"/>
      <c r="T3" s="60" t="n"/>
      <c r="U3" s="60" t="n"/>
      <c r="V3" s="60" t="n"/>
      <c r="W3" s="60" t="n"/>
      <c r="X3" s="60" t="n"/>
      <c r="Y3" s="60" t="n"/>
      <c r="Z3" s="60" t="n"/>
      <c r="AA3" s="60" t="n"/>
      <c r="AB3" s="60" t="n"/>
      <c r="AC3" s="60" t="n"/>
      <c r="AD3" s="60" t="n"/>
      <c r="AE3" s="60" t="n"/>
      <c r="AF3" s="60" t="n"/>
      <c r="AG3" s="60" t="n"/>
      <c r="AH3" s="60" t="n"/>
      <c r="AI3" s="60" t="n"/>
      <c r="AJ3" s="60" t="n"/>
      <c r="AK3" s="120">
        <f>IF(L3&gt;0,L3*90.44,0)+IF(M3&gt;0,M3*348.12,0)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 hidden="1">
      <c r="A4" s="58" t="inlineStr">
        <is>
          <t>SIM</t>
        </is>
      </c>
      <c r="B4" s="59">
        <f>IF(H4&lt;$B$1,"VENCIDO","NA VALIDADE")</f>
        <v/>
      </c>
      <c r="C4" s="60" t="inlineStr">
        <is>
          <t>AGÊNCIA</t>
        </is>
      </c>
      <c r="D4" s="61" t="inlineStr">
        <is>
          <t>AGÊNCIA BARREIRAS</t>
        </is>
      </c>
      <c r="E4" s="62" t="inlineStr">
        <is>
          <t>BARREIRAS</t>
        </is>
      </c>
      <c r="F4" s="61" t="inlineStr">
        <is>
          <t>VITÓRIA DA CONQUISTA</t>
        </is>
      </c>
      <c r="G4" s="60" t="inlineStr">
        <is>
          <t>BA</t>
        </is>
      </c>
      <c r="H4" s="119" t="n">
        <v>45566</v>
      </c>
      <c r="I4" s="119">
        <f>H4-180</f>
        <v/>
      </c>
      <c r="J4" s="60">
        <f>SUM(L4:AE4)</f>
        <v/>
      </c>
      <c r="K4" s="60">
        <f>SUM(AF4:AJ4)</f>
        <v/>
      </c>
      <c r="L4" s="60" t="n"/>
      <c r="M4" s="60" t="n"/>
      <c r="N4" s="60" t="n"/>
      <c r="O4" s="60" t="n"/>
      <c r="P4" s="60" t="n"/>
      <c r="Q4" s="60" t="n"/>
      <c r="R4" s="60" t="n"/>
      <c r="S4" s="60" t="n"/>
      <c r="T4" s="60" t="n"/>
      <c r="U4" s="60" t="n"/>
      <c r="V4" s="60" t="n">
        <v>1</v>
      </c>
      <c r="W4" s="60" t="n"/>
      <c r="X4" s="60" t="n"/>
      <c r="Y4" s="60" t="n"/>
      <c r="Z4" s="60" t="n"/>
      <c r="AA4" s="60" t="n"/>
      <c r="AB4" s="60" t="n"/>
      <c r="AC4" s="60" t="n"/>
      <c r="AD4" s="60" t="n"/>
      <c r="AE4" s="60" t="n"/>
      <c r="AF4" s="60" t="n"/>
      <c r="AG4" s="60" t="n"/>
      <c r="AH4" s="60" t="n"/>
      <c r="AI4" s="60" t="n"/>
      <c r="AJ4" s="60" t="n"/>
      <c r="AK4" s="120">
        <f>IF(L4&gt;0,L4*90.44,0)+IF(M4&gt;0,M4*348.12,0)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/>
      </c>
    </row>
    <row r="5" hidden="1">
      <c r="A5" s="58" t="n"/>
      <c r="B5" s="59">
        <f>IF(H5&lt;$B$1,"VENCIDO","NA VALIDADE")</f>
        <v/>
      </c>
      <c r="C5" s="60" t="inlineStr">
        <is>
          <t>AGÊNCIA</t>
        </is>
      </c>
      <c r="D5" s="61" t="inlineStr">
        <is>
          <t>AGÊNCIA BOM JESUS DA LAPA</t>
        </is>
      </c>
      <c r="E5" s="62" t="inlineStr">
        <is>
          <t>BOM JESUS DA LAPA</t>
        </is>
      </c>
      <c r="F5" s="61" t="inlineStr">
        <is>
          <t>VITÓRIA DA CONQUISTA</t>
        </is>
      </c>
      <c r="G5" s="60" t="inlineStr">
        <is>
          <t>BA</t>
        </is>
      </c>
      <c r="H5" s="119" t="n">
        <v>45536</v>
      </c>
      <c r="I5" s="119">
        <f>H5-180</f>
        <v/>
      </c>
      <c r="J5" s="60">
        <f>SUM(L5:AE5)</f>
        <v/>
      </c>
      <c r="K5" s="60">
        <f>SUM(AF5:AJ5)</f>
        <v/>
      </c>
      <c r="L5" s="60" t="n">
        <v>1</v>
      </c>
      <c r="M5" s="60" t="n"/>
      <c r="N5" s="60" t="n"/>
      <c r="O5" s="60" t="n"/>
      <c r="P5" s="60" t="n"/>
      <c r="Q5" s="60" t="n"/>
      <c r="R5" s="60" t="n"/>
      <c r="S5" s="60" t="n"/>
      <c r="T5" s="60" t="n"/>
      <c r="U5" s="60" t="n"/>
      <c r="V5" s="60" t="n"/>
      <c r="W5" s="60" t="n"/>
      <c r="X5" s="60" t="n"/>
      <c r="Y5" s="60" t="n"/>
      <c r="Z5" s="60" t="n"/>
      <c r="AA5" s="60" t="n">
        <v>2</v>
      </c>
      <c r="AB5" s="60" t="n"/>
      <c r="AC5" s="60" t="n"/>
      <c r="AD5" s="60" t="n"/>
      <c r="AE5" s="60" t="n"/>
      <c r="AF5" s="60" t="n"/>
      <c r="AG5" s="60" t="n"/>
      <c r="AH5" s="60" t="n"/>
      <c r="AI5" s="60" t="n"/>
      <c r="AJ5" s="60" t="n"/>
      <c r="AK5" s="120">
        <f>IF(L5&gt;0,L5*90.44,0)+IF(M5&gt;0,M5*348.12,0)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/>
      </c>
    </row>
    <row r="6" hidden="1">
      <c r="A6" s="58" t="inlineStr">
        <is>
          <t>SIM</t>
        </is>
      </c>
      <c r="B6" s="59">
        <f>IF(H6&lt;$B$1,"VENCIDO","NA VALIDADE")</f>
        <v/>
      </c>
      <c r="C6" s="60" t="inlineStr">
        <is>
          <t>AGÊNCIA</t>
        </is>
      </c>
      <c r="D6" s="61" t="inlineStr">
        <is>
          <t>AGÊNCIA BRUMADO</t>
        </is>
      </c>
      <c r="E6" s="62" t="inlineStr">
        <is>
          <t>BRUMADO</t>
        </is>
      </c>
      <c r="F6" s="61" t="inlineStr">
        <is>
          <t>VITÓRIA DA CONQUISTA</t>
        </is>
      </c>
      <c r="G6" s="60" t="inlineStr">
        <is>
          <t>BA</t>
        </is>
      </c>
      <c r="H6" s="119" t="n">
        <v>45383</v>
      </c>
      <c r="I6" s="119" t="n">
        <v>45383</v>
      </c>
      <c r="J6" s="60">
        <f>SUM(L6:AE6)</f>
        <v/>
      </c>
      <c r="K6" s="60">
        <f>SUM(AF6:AJ6)</f>
        <v/>
      </c>
      <c r="L6" s="60" t="n"/>
      <c r="M6" s="60" t="n"/>
      <c r="N6" s="60" t="n"/>
      <c r="O6" s="60" t="n"/>
      <c r="P6" s="60" t="n"/>
      <c r="Q6" s="60" t="n">
        <v>1</v>
      </c>
      <c r="R6" s="60" t="n"/>
      <c r="S6" s="60" t="n"/>
      <c r="T6" s="60" t="n"/>
      <c r="U6" s="60" t="n"/>
      <c r="V6" s="60" t="n"/>
      <c r="W6" s="60" t="n"/>
      <c r="X6" s="60" t="n"/>
      <c r="Y6" s="60" t="n"/>
      <c r="Z6" s="60" t="n"/>
      <c r="AA6" s="60" t="n">
        <v>1</v>
      </c>
      <c r="AB6" s="60" t="n"/>
      <c r="AC6" s="60" t="n"/>
      <c r="AD6" s="60" t="n"/>
      <c r="AE6" s="60" t="n"/>
      <c r="AF6" s="60" t="n"/>
      <c r="AG6" s="60" t="n"/>
      <c r="AH6" s="60" t="n"/>
      <c r="AI6" s="60" t="n"/>
      <c r="AJ6" s="60" t="n"/>
      <c r="AK6" s="120">
        <f>IF(L6&gt;0,L6*90.44,0)+IF(M6&gt;0,M6*348.12,0)+IF(N6&gt;0,N6*151.63,0)+IF(O6&gt;0,O6*197.82,0)+IF(P6&gt;0,P6*244.09,0)+IF(Q6&gt;0,Q6*315.35,0)+IF(R6&gt;0,R6*1067.3,0)+IF(T6&gt;0,T6*567.47,0)+IF(U6&gt;0,U6*151.63,0)+IF(V6&gt;0,V6*197.84,0)+IF(W6&gt;0,W6*470.51,0)+IF(X6&gt;0,X6*701.69,0)+IF(Z6&gt;0,Z6*151.63,0)+IF(AA6&gt;0,AA6*197.84)+IF(AB6&gt;0,AB6*308.4,0)+IF(AC6&gt;0,AC6*496.16,0)</f>
        <v/>
      </c>
    </row>
    <row r="7">
      <c r="A7" s="58" t="inlineStr">
        <is>
          <t>rota</t>
        </is>
      </c>
      <c r="B7" s="59">
        <f>IF(H7&lt;$B$1,"VENCIDO","NA VALIDADE")</f>
        <v/>
      </c>
      <c r="C7" s="60" t="inlineStr">
        <is>
          <t>AGÊNCIA</t>
        </is>
      </c>
      <c r="D7" s="61" t="inlineStr">
        <is>
          <t>AGÊNCIA CAMAÇARI</t>
        </is>
      </c>
      <c r="E7" s="62" t="inlineStr">
        <is>
          <t>CAMAÇARI</t>
        </is>
      </c>
      <c r="F7" s="61" t="inlineStr">
        <is>
          <t>FEIRA DE  SANTANA</t>
        </is>
      </c>
      <c r="G7" s="60" t="inlineStr">
        <is>
          <t>BA</t>
        </is>
      </c>
      <c r="H7" s="119" t="n">
        <v>45413</v>
      </c>
      <c r="I7" s="119" t="n">
        <v>45413</v>
      </c>
      <c r="J7" s="60">
        <f>SUM(L7:AE7)</f>
        <v/>
      </c>
      <c r="K7" s="60">
        <f>SUM(AF7:AJ7)</f>
        <v/>
      </c>
      <c r="L7" s="60" t="n">
        <v>2</v>
      </c>
      <c r="M7" s="60" t="n"/>
      <c r="N7" s="60" t="n"/>
      <c r="O7" s="60" t="n"/>
      <c r="P7" s="60" t="n"/>
      <c r="Q7" s="60" t="n"/>
      <c r="R7" s="60" t="n"/>
      <c r="S7" s="60" t="n"/>
      <c r="T7" s="60" t="n"/>
      <c r="U7" s="60" t="n"/>
      <c r="V7" s="60" t="n">
        <v>1</v>
      </c>
      <c r="W7" s="60" t="n"/>
      <c r="X7" s="60" t="n"/>
      <c r="Y7" s="60" t="n"/>
      <c r="Z7" s="60" t="n"/>
      <c r="AA7" s="60" t="n">
        <v>2</v>
      </c>
      <c r="AB7" s="60" t="n"/>
      <c r="AC7" s="60" t="n"/>
      <c r="AD7" s="60" t="n"/>
      <c r="AE7" s="60" t="n"/>
      <c r="AF7" s="60" t="n"/>
      <c r="AG7" s="60" t="n"/>
      <c r="AH7" s="60" t="n"/>
      <c r="AI7" s="60" t="n"/>
      <c r="AJ7" s="60" t="n"/>
      <c r="AK7" s="120">
        <f>IF(L7&gt;0,L7*90.44,0)+IF(M7&gt;0,M7*348.12,0)+IF(N7&gt;0,N7*151.63,0)+IF(O7&gt;0,O7*197.82,0)+IF(P7&gt;0,P7*244.09,0)+IF(Q7&gt;0,Q7*315.35,0)+IF(R7&gt;0,R7*1067.3,0)+IF(T7&gt;0,T7*567.47,0)+IF(U7&gt;0,U7*151.63,0)+IF(V7&gt;0,V7*197.84,0)+IF(W7&gt;0,W7*470.51,0)+IF(X7&gt;0,X7*701.69,0)+IF(Z7&gt;0,Z7*151.63,0)+IF(AA7&gt;0,AA7*197.84)+IF(AB7&gt;0,AB7*308.4,0)+IF(AC7&gt;0,AC7*496.16,0)</f>
        <v/>
      </c>
    </row>
    <row r="8">
      <c r="A8" s="58" t="inlineStr">
        <is>
          <t>08/11 a 12/11</t>
        </is>
      </c>
      <c r="B8" s="59">
        <f>IF(H8&lt;$B$1,"VENCIDO","NA VALIDADE")</f>
        <v/>
      </c>
      <c r="C8" s="60" t="inlineStr">
        <is>
          <t>AGÊNCIA</t>
        </is>
      </c>
      <c r="D8" s="61" t="inlineStr">
        <is>
          <t>AGÊNCIA CANDEIAS</t>
        </is>
      </c>
      <c r="E8" s="62" t="inlineStr">
        <is>
          <t>CANDEIAS</t>
        </is>
      </c>
      <c r="F8" s="61" t="inlineStr">
        <is>
          <t>FEIRA DE  SANTANA</t>
        </is>
      </c>
      <c r="G8" s="60" t="inlineStr">
        <is>
          <t>BA</t>
        </is>
      </c>
      <c r="H8" s="119" t="n">
        <v>45413</v>
      </c>
      <c r="I8" s="119" t="n">
        <v>45413</v>
      </c>
      <c r="J8" s="60">
        <f>SUM(L8:AE8)</f>
        <v/>
      </c>
      <c r="K8" s="60">
        <f>SUM(AF8:AJ8)</f>
        <v/>
      </c>
      <c r="L8" s="60" t="n">
        <v>2</v>
      </c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  <c r="X8" s="60" t="n"/>
      <c r="Y8" s="60" t="n"/>
      <c r="Z8" s="60" t="n"/>
      <c r="AA8" s="60" t="n">
        <v>2</v>
      </c>
      <c r="AB8" s="60" t="n"/>
      <c r="AC8" s="60" t="n"/>
      <c r="AD8" s="60" t="n"/>
      <c r="AE8" s="60" t="n"/>
      <c r="AF8" s="60" t="n"/>
      <c r="AG8" s="60" t="n"/>
      <c r="AH8" s="60" t="n"/>
      <c r="AI8" s="60" t="n"/>
      <c r="AJ8" s="60" t="n"/>
      <c r="AK8" s="120">
        <f>IF(L8&gt;0,L8*90.44,0)+IF(M8&gt;0,M8*348.12,0)+IF(N8&gt;0,N8*151.63,0)+IF(O8&gt;0,O8*197.82,0)+IF(P8&gt;0,P8*244.09,0)+IF(Q8&gt;0,Q8*315.35,0)+IF(R8&gt;0,R8*1067.3,0)+IF(T8&gt;0,T8*567.47,0)+IF(U8&gt;0,U8*151.63,0)+IF(V8&gt;0,V8*197.84,0)+IF(W8&gt;0,W8*470.51,0)+IF(X8&gt;0,X8*701.69,0)+IF(Z8&gt;0,Z8*151.63,0)+IF(AA8&gt;0,AA8*197.84)+IF(AB8&gt;0,AB8*308.4,0)+IF(AC8&gt;0,AC8*496.16,0)</f>
        <v/>
      </c>
    </row>
    <row r="9">
      <c r="A9" s="58" t="inlineStr">
        <is>
          <t>SIM</t>
        </is>
      </c>
      <c r="B9" s="59">
        <f>IF(H9&lt;$B$1,"VENCIDO","NA VALIDADE")</f>
        <v/>
      </c>
      <c r="C9" s="60" t="inlineStr">
        <is>
          <t>AGÊNCIA</t>
        </is>
      </c>
      <c r="D9" s="61" t="inlineStr">
        <is>
          <t>AGÊNCIA CAPEMI</t>
        </is>
      </c>
      <c r="E9" s="62" t="inlineStr">
        <is>
          <t>SALVADOR</t>
        </is>
      </c>
      <c r="F9" s="61" t="inlineStr">
        <is>
          <t>FEIRA DE  SANTANA</t>
        </is>
      </c>
      <c r="G9" s="60" t="inlineStr">
        <is>
          <t>BA</t>
        </is>
      </c>
      <c r="H9" s="119" t="n">
        <v>45474</v>
      </c>
      <c r="I9" s="119">
        <f>H9-180</f>
        <v/>
      </c>
      <c r="J9" s="60">
        <f>SUM(L9:AE9)</f>
        <v/>
      </c>
      <c r="K9" s="60">
        <f>SUM(AF9:AJ9)</f>
        <v/>
      </c>
      <c r="L9" s="60" t="n">
        <v>2</v>
      </c>
      <c r="M9" s="60" t="n"/>
      <c r="N9" s="60" t="n"/>
      <c r="O9" s="60" t="n">
        <v>4</v>
      </c>
      <c r="P9" s="60" t="n"/>
      <c r="Q9" s="60" t="n"/>
      <c r="R9" s="60" t="n"/>
      <c r="S9" s="60" t="n"/>
      <c r="T9" s="60" t="n"/>
      <c r="U9" s="60" t="n"/>
      <c r="V9" s="60" t="n"/>
      <c r="W9" s="60" t="n"/>
      <c r="X9" s="60" t="n"/>
      <c r="Y9" s="60" t="n"/>
      <c r="Z9" s="60" t="n"/>
      <c r="AA9" s="60" t="n"/>
      <c r="AB9" s="60" t="n"/>
      <c r="AC9" s="60" t="n"/>
      <c r="AD9" s="60" t="n"/>
      <c r="AE9" s="60" t="n"/>
      <c r="AF9" s="60" t="n"/>
      <c r="AG9" s="60" t="n"/>
      <c r="AH9" s="60" t="n"/>
      <c r="AI9" s="60" t="n"/>
      <c r="AJ9" s="60" t="n"/>
      <c r="AK9" s="120">
        <f>IF(L9&gt;0,L9*90.44,0)+IF(M9&gt;0,M9*348.12,0)+IF(N9&gt;0,N9*151.63,0)+IF(O9&gt;0,O9*197.82,0)+IF(P9&gt;0,P9*244.09,0)+IF(Q9&gt;0,Q9*315.35,0)+IF(R9&gt;0,R9*1067.3,0)+IF(T9&gt;0,T9*567.47,0)+IF(U9&gt;0,U9*151.63,0)+IF(V9&gt;0,V9*197.84,0)+IF(W9&gt;0,W9*470.51,0)+IF(X9&gt;0,X9*701.69,0)+IF(Z9&gt;0,Z9*151.63,0)+IF(AA9&gt;0,AA9*197.84)+IF(AB9&gt;0,AB9*308.4,0)+IF(AC9&gt;0,AC9*496.16,0)</f>
        <v/>
      </c>
    </row>
    <row r="10" hidden="1">
      <c r="A10" s="58" t="inlineStr">
        <is>
          <t>SIM</t>
        </is>
      </c>
      <c r="B10" s="59">
        <f>IF(H10&lt;$B$1,"VENCIDO","NA VALIDADE")</f>
        <v/>
      </c>
      <c r="C10" s="60" t="inlineStr">
        <is>
          <t>BASE OP</t>
        </is>
      </c>
      <c r="D10" s="61" t="inlineStr">
        <is>
          <t>BASE OPERACIONAL MORRO DE SÃO PAULO</t>
        </is>
      </c>
      <c r="E10" s="62" t="inlineStr">
        <is>
          <t>MORRO DE SÃO PAULO</t>
        </is>
      </c>
      <c r="F10" s="61" t="inlineStr">
        <is>
          <t>ILHÉUS</t>
        </is>
      </c>
      <c r="G10" s="60" t="inlineStr">
        <is>
          <t>BA</t>
        </is>
      </c>
      <c r="H10" s="119" t="n">
        <v>45597</v>
      </c>
      <c r="I10" s="119">
        <f>H10-180</f>
        <v/>
      </c>
      <c r="J10" s="60">
        <f>SUM(L10:AE10)</f>
        <v/>
      </c>
      <c r="K10" s="60">
        <f>SUM(AF10:AJ10)</f>
        <v/>
      </c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>
        <v>1</v>
      </c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120">
        <f>IF(L10&gt;0,L10*90.44,0)+IF(M10&gt;0,M10*348.12,0)+IF(N10&gt;0,N10*151.63,0)+IF(O10&gt;0,O10*197.82,0)+IF(P10&gt;0,P10*244.09,0)+IF(Q10&gt;0,Q10*315.35,0)+IF(R10&gt;0,R10*1067.3,0)+IF(T10&gt;0,T10*567.47,0)+IF(U10&gt;0,U10*151.63,0)+IF(V10&gt;0,V10*197.84,0)+IF(W10&gt;0,W10*470.51,0)+IF(X10&gt;0,X10*701.69,0)+IF(Z10&gt;0,Z10*151.63,0)+IF(AA10&gt;0,AA10*197.84)+IF(AB10&gt;0,AB10*308.4,0)+IF(AC10&gt;0,AC10*496.16,0)</f>
        <v/>
      </c>
    </row>
    <row r="11" hidden="1">
      <c r="A11" s="58" t="inlineStr">
        <is>
          <t>SIM</t>
        </is>
      </c>
      <c r="B11" s="59">
        <f>IF(H11&lt;$B$1,"VENCIDO","NA VALIDADE")</f>
        <v/>
      </c>
      <c r="C11" s="60" t="inlineStr">
        <is>
          <t>BASE OP</t>
        </is>
      </c>
      <c r="D11" s="61" t="inlineStr">
        <is>
          <t>BASE OPERACIONAL UNA</t>
        </is>
      </c>
      <c r="E11" s="62" t="inlineStr">
        <is>
          <t>UNA</t>
        </is>
      </c>
      <c r="F11" s="61" t="inlineStr">
        <is>
          <t>ILHÉUS</t>
        </is>
      </c>
      <c r="G11" s="60" t="inlineStr">
        <is>
          <t>BA</t>
        </is>
      </c>
      <c r="H11" s="119" t="n">
        <v>45413</v>
      </c>
      <c r="I11" s="119">
        <f>H11-180</f>
        <v/>
      </c>
      <c r="J11" s="60">
        <f>SUM(L11:AE11)</f>
        <v/>
      </c>
      <c r="K11" s="60">
        <f>SUM(AF11:AJ11)</f>
        <v/>
      </c>
      <c r="L11" s="60" t="n"/>
      <c r="M11" s="60" t="n"/>
      <c r="N11" s="60" t="n"/>
      <c r="O11" s="60" t="n"/>
      <c r="P11" s="60" t="n"/>
      <c r="Q11" s="60" t="n"/>
      <c r="R11" s="60" t="n"/>
      <c r="S11" s="60" t="n"/>
      <c r="T11" s="60" t="n"/>
      <c r="U11" s="60" t="n"/>
      <c r="V11" s="60" t="n">
        <v>1</v>
      </c>
      <c r="W11" s="60" t="n"/>
      <c r="X11" s="60" t="n"/>
      <c r="Y11" s="60" t="n"/>
      <c r="Z11" s="60" t="n"/>
      <c r="AA11" s="60" t="n"/>
      <c r="AB11" s="60" t="n"/>
      <c r="AC11" s="60" t="n"/>
      <c r="AD11" s="60" t="n"/>
      <c r="AE11" s="60" t="n"/>
      <c r="AF11" s="60" t="n"/>
      <c r="AG11" s="60" t="n"/>
      <c r="AH11" s="60" t="n"/>
      <c r="AI11" s="60" t="n"/>
      <c r="AJ11" s="60" t="n"/>
      <c r="AK11" s="120">
        <f>IF(L11&gt;0,L11*90.44,0)+IF(M11&gt;0,M11*348.12,0)+IF(N11&gt;0,N11*151.63,0)+IF(O11&gt;0,O11*197.82,0)+IF(P11&gt;0,P11*244.09,0)+IF(Q11&gt;0,Q11*315.35,0)+IF(R11&gt;0,R11*1067.3,0)+IF(T11&gt;0,T11*567.47,0)+IF(U11&gt;0,U11*151.63,0)+IF(V11&gt;0,V11*197.84,0)+IF(W11&gt;0,W11*470.51,0)+IF(X11&gt;0,X11*701.69,0)+IF(Z11&gt;0,Z11*151.63,0)+IF(AA11&gt;0,AA11*197.84)+IF(AB11&gt;0,AB11*308.4,0)+IF(AC11&gt;0,AC11*496.16,0)</f>
        <v/>
      </c>
    </row>
    <row r="12" hidden="1">
      <c r="A12" s="58" t="inlineStr">
        <is>
          <t>SIM</t>
        </is>
      </c>
      <c r="B12" s="59">
        <f>IF(H12&lt;$B$1,"VENCIDO","NA VALIDADE")</f>
        <v/>
      </c>
      <c r="C12" s="60" t="inlineStr">
        <is>
          <t>AGÊNCIA</t>
        </is>
      </c>
      <c r="D12" s="61" t="inlineStr">
        <is>
          <t>AGÊNCIA GUANAMBI</t>
        </is>
      </c>
      <c r="E12" s="62" t="inlineStr">
        <is>
          <t>GUANAMBI</t>
        </is>
      </c>
      <c r="F12" s="61" t="inlineStr">
        <is>
          <t>VITÓRIA DA CONQUISTA</t>
        </is>
      </c>
      <c r="G12" s="60" t="inlineStr">
        <is>
          <t>BA</t>
        </is>
      </c>
      <c r="H12" s="119" t="n">
        <v>45536</v>
      </c>
      <c r="I12" s="119">
        <f>H12-180</f>
        <v/>
      </c>
      <c r="J12" s="60">
        <f>SUM(L12:AE12)</f>
        <v/>
      </c>
      <c r="K12" s="60">
        <f>SUM(AF12:AJ12)</f>
        <v/>
      </c>
      <c r="L12" s="60" t="n">
        <v>1</v>
      </c>
      <c r="M12" s="60" t="n"/>
      <c r="N12" s="60" t="n"/>
      <c r="O12" s="60" t="n"/>
      <c r="P12" s="60" t="n"/>
      <c r="Q12" s="60" t="n">
        <v>1</v>
      </c>
      <c r="R12" s="60" t="n"/>
      <c r="S12" s="60" t="n"/>
      <c r="T12" s="60" t="n"/>
      <c r="U12" s="60" t="n"/>
      <c r="V12" s="60" t="n">
        <v>1</v>
      </c>
      <c r="W12" s="60" t="n"/>
      <c r="X12" s="60" t="n"/>
      <c r="Y12" s="60" t="n"/>
      <c r="Z12" s="60" t="n"/>
      <c r="AA12" s="60" t="n"/>
      <c r="AB12" s="60" t="n"/>
      <c r="AC12" s="60" t="n"/>
      <c r="AD12" s="60" t="n"/>
      <c r="AE12" s="60" t="n"/>
      <c r="AF12" s="60" t="n"/>
      <c r="AG12" s="60" t="n"/>
      <c r="AH12" s="60" t="n"/>
      <c r="AI12" s="60" t="n"/>
      <c r="AJ12" s="60" t="n"/>
      <c r="AK12" s="120">
        <f>IF(L12&gt;0,L12*90.44,0)+IF(M12&gt;0,M12*348.12,0)+IF(N12&gt;0,N12*151.63,0)+IF(O12&gt;0,O12*197.82,0)+IF(P12&gt;0,P12*244.09,0)+IF(Q12&gt;0,Q12*315.35,0)+IF(R12&gt;0,R12*1067.3,0)+IF(T12&gt;0,T12*567.47,0)+IF(U12&gt;0,U12*151.63,0)+IF(V12&gt;0,V12*197.84,0)+IF(W12&gt;0,W12*470.51,0)+IF(X12&gt;0,X12*701.69,0)+IF(Z12&gt;0,Z12*151.63,0)+IF(AA12&gt;0,AA12*197.84)+IF(AB12&gt;0,AB12*308.4,0)+IF(AC12&gt;0,AC12*496.16,0)</f>
        <v/>
      </c>
    </row>
    <row r="13" hidden="1">
      <c r="A13" s="58" t="n"/>
      <c r="B13" s="59">
        <f>IF(H13&lt;$B$1,"VENCIDO","NA VALIDADE")</f>
        <v/>
      </c>
      <c r="C13" s="60" t="inlineStr">
        <is>
          <t>AGÊNCIA</t>
        </is>
      </c>
      <c r="D13" s="61" t="inlineStr">
        <is>
          <t>AGÊNCIA JEQUIÉ</t>
        </is>
      </c>
      <c r="E13" s="62" t="inlineStr">
        <is>
          <t>JEQUIÉ</t>
        </is>
      </c>
      <c r="F13" s="61" t="inlineStr">
        <is>
          <t>VITÓRIA DA CONQUISTA</t>
        </is>
      </c>
      <c r="G13" s="60" t="inlineStr">
        <is>
          <t>BA</t>
        </is>
      </c>
      <c r="H13" s="119" t="n">
        <v>45292</v>
      </c>
      <c r="I13" s="119">
        <f>H13-180</f>
        <v/>
      </c>
      <c r="J13" s="60">
        <f>SUM(L13:AE13)</f>
        <v/>
      </c>
      <c r="K13" s="60">
        <f>SUM(AF13:AJ13)</f>
        <v/>
      </c>
      <c r="L13" s="60" t="n"/>
      <c r="M13" s="60" t="n"/>
      <c r="N13" s="60" t="n"/>
      <c r="O13" s="60" t="n"/>
      <c r="P13" s="60" t="n"/>
      <c r="Q13" s="60" t="n"/>
      <c r="R13" s="60" t="n"/>
      <c r="S13" s="60" t="n"/>
      <c r="T13" s="60" t="n"/>
      <c r="U13" s="60" t="n"/>
      <c r="V13" s="60" t="n">
        <v>3</v>
      </c>
      <c r="W13" s="60" t="n"/>
      <c r="X13" s="60" t="n"/>
      <c r="Y13" s="60" t="n"/>
      <c r="Z13" s="60" t="n"/>
      <c r="AA13" s="60" t="n"/>
      <c r="AB13" s="60" t="n"/>
      <c r="AC13" s="60" t="n"/>
      <c r="AD13" s="60" t="n"/>
      <c r="AE13" s="60" t="n"/>
      <c r="AF13" s="60" t="n"/>
      <c r="AG13" s="60" t="n"/>
      <c r="AH13" s="60" t="n"/>
      <c r="AI13" s="60" t="n"/>
      <c r="AJ13" s="60" t="n"/>
      <c r="AK13" s="120">
        <f>IF(L13&gt;0,L13*90.44,0)+IF(M13&gt;0,M13*348.12,0)+IF(N13&gt;0,N13*151.63,0)+IF(O13&gt;0,O13*197.82,0)+IF(P13&gt;0,P13*244.09,0)+IF(Q13&gt;0,Q13*315.35,0)+IF(R13&gt;0,R13*1067.3,0)+IF(T13&gt;0,T13*567.47,0)+IF(U13&gt;0,U13*151.63,0)+IF(V13&gt;0,V13*197.84,0)+IF(W13&gt;0,W13*470.51,0)+IF(X13&gt;0,X13*701.69,0)+IF(Z13&gt;0,Z13*151.63,0)+IF(AA13&gt;0,AA13*197.84)+IF(AB13&gt;0,AB13*308.4,0)+IF(AC13&gt;0,AC13*496.16,0)</f>
        <v/>
      </c>
    </row>
    <row r="14" hidden="1">
      <c r="A14" s="58" t="n"/>
      <c r="B14" s="59">
        <f>IF(H14&lt;$B$1,"VENCIDO","NA VALIDADE")</f>
        <v/>
      </c>
      <c r="C14" s="60" t="inlineStr">
        <is>
          <t>AGÊNCIA</t>
        </is>
      </c>
      <c r="D14" s="61" t="inlineStr">
        <is>
          <t>AGÊNCIA ILHEUS</t>
        </is>
      </c>
      <c r="E14" s="62" t="inlineStr">
        <is>
          <t>ILHÉUS</t>
        </is>
      </c>
      <c r="F14" s="61" t="inlineStr">
        <is>
          <t>ILHÉUS</t>
        </is>
      </c>
      <c r="G14" s="60" t="inlineStr">
        <is>
          <t>BA</t>
        </is>
      </c>
      <c r="H14" s="119" t="n">
        <v>45566</v>
      </c>
      <c r="I14" s="119">
        <f>H14-180</f>
        <v/>
      </c>
      <c r="J14" s="60">
        <f>SUM(L14:AE14)</f>
        <v/>
      </c>
      <c r="K14" s="60">
        <f>SUM(AF14:AJ14)</f>
        <v/>
      </c>
      <c r="L14" s="60" t="n"/>
      <c r="M14" s="60" t="n"/>
      <c r="N14" s="60" t="n"/>
      <c r="O14" s="60" t="n">
        <v>4</v>
      </c>
      <c r="P14" s="60" t="n"/>
      <c r="Q14" s="60" t="n"/>
      <c r="R14" s="60" t="n"/>
      <c r="S14" s="60" t="n"/>
      <c r="T14" s="60" t="n"/>
      <c r="U14" s="60" t="n"/>
      <c r="V14" s="60" t="n"/>
      <c r="W14" s="60" t="n"/>
      <c r="X14" s="60" t="n"/>
      <c r="Y14" s="60" t="n"/>
      <c r="Z14" s="60" t="n"/>
      <c r="AA14" s="60" t="n"/>
      <c r="AB14" s="60" t="n"/>
      <c r="AC14" s="60" t="n"/>
      <c r="AD14" s="60" t="n"/>
      <c r="AE14" s="60" t="n"/>
      <c r="AF14" s="60" t="n"/>
      <c r="AG14" s="60" t="n"/>
      <c r="AH14" s="60" t="n"/>
      <c r="AI14" s="60" t="n"/>
      <c r="AJ14" s="60" t="n"/>
      <c r="AK14" s="120">
        <f>IF(L14&gt;0,L14*90.44,0)+IF(M14&gt;0,M14*348.12,0)+IF(N14&gt;0,N14*151.63,0)+IF(O14&gt;0,O14*197.82,0)+IF(P14&gt;0,P14*244.09,0)+IF(Q14&gt;0,Q14*315.35,0)+IF(R14&gt;0,R14*1067.3,0)+IF(T14&gt;0,T14*567.47,0)+IF(U14&gt;0,U14*151.63,0)+IF(V14&gt;0,V14*197.84,0)+IF(W14&gt;0,W14*470.51,0)+IF(X14&gt;0,X14*701.69,0)+IF(Z14&gt;0,Z14*151.63,0)+IF(AA14&gt;0,AA14*197.84)+IF(AB14&gt;0,AB14*308.4,0)+IF(AC14&gt;0,AC14*496.16,0)</f>
        <v/>
      </c>
    </row>
    <row r="15">
      <c r="A15" s="58" t="inlineStr">
        <is>
          <t>SIM</t>
        </is>
      </c>
      <c r="B15" s="59">
        <f>IF(H15&lt;$B$1,"VENCIDO","NA VALIDADE")</f>
        <v/>
      </c>
      <c r="C15" s="65" t="inlineStr">
        <is>
          <t>AGÊNCIA</t>
        </is>
      </c>
      <c r="D15" s="61" t="inlineStr">
        <is>
          <t xml:space="preserve">AGÊNCIA  IRECÊ </t>
        </is>
      </c>
      <c r="E15" s="62" t="inlineStr">
        <is>
          <t>IRECÊ</t>
        </is>
      </c>
      <c r="F15" s="61" t="inlineStr">
        <is>
          <t>FEIRA DE  SANTANA</t>
        </is>
      </c>
      <c r="G15" s="60" t="inlineStr">
        <is>
          <t>BA</t>
        </is>
      </c>
      <c r="H15" s="119" t="n">
        <v>45323</v>
      </c>
      <c r="I15" s="119">
        <f>H15-180</f>
        <v/>
      </c>
      <c r="J15" s="60">
        <f>SUM(L15:AE15)</f>
        <v/>
      </c>
      <c r="K15" s="60">
        <f>SUM(AF15:AJ15)</f>
        <v/>
      </c>
      <c r="L15" s="60" t="n"/>
      <c r="M15" s="60" t="n"/>
      <c r="N15" s="60" t="n"/>
      <c r="O15" s="60" t="n"/>
      <c r="P15" s="60" t="n"/>
      <c r="Q15" s="60" t="n"/>
      <c r="R15" s="60" t="n"/>
      <c r="S15" s="60" t="n"/>
      <c r="T15" s="60" t="n"/>
      <c r="U15" s="60" t="n"/>
      <c r="V15" s="60" t="n">
        <v>2</v>
      </c>
      <c r="W15" s="60" t="n"/>
      <c r="X15" s="60" t="n"/>
      <c r="Y15" s="60" t="n"/>
      <c r="Z15" s="60" t="n"/>
      <c r="AA15" s="60" t="n"/>
      <c r="AB15" s="60" t="n"/>
      <c r="AC15" s="60" t="n"/>
      <c r="AD15" s="60" t="n"/>
      <c r="AE15" s="60" t="n"/>
      <c r="AF15" s="60" t="n"/>
      <c r="AG15" s="60" t="n"/>
      <c r="AH15" s="60" t="n"/>
      <c r="AI15" s="60" t="n"/>
      <c r="AJ15" s="60" t="n"/>
      <c r="AK15" s="120">
        <f>IF(L15&gt;0,L15*90.44,0)+IF(M15&gt;0,M15*348.12,0)+IF(N15&gt;0,N15*151.63,0)+IF(O15&gt;0,O15*197.82,0)+IF(P15&gt;0,P15*244.09,0)+IF(Q15&gt;0,Q15*315.35,0)+IF(R15&gt;0,R15*1067.3,0)+IF(T15&gt;0,T15*567.47,0)+IF(U15&gt;0,U15*151.63,0)+IF(V15&gt;0,V15*197.84,0)+IF(W15&gt;0,W15*470.51,0)+IF(X15&gt;0,X15*701.69,0)+IF(Z15&gt;0,Z15*151.63,0)+IF(AA15&gt;0,AA15*197.84)+IF(AB15&gt;0,AB15*308.4,0)+IF(AC15&gt;0,AC15*496.16,0)</f>
        <v/>
      </c>
    </row>
    <row r="16" hidden="1">
      <c r="A16" s="58" t="n"/>
      <c r="B16" s="59">
        <f>IF(H16&lt;$B$1,"VENCIDO","NA VALIDADE")</f>
        <v/>
      </c>
      <c r="C16" s="60" t="inlineStr">
        <is>
          <t>AGÊNCIA</t>
        </is>
      </c>
      <c r="D16" s="61" t="inlineStr">
        <is>
          <t>AGÊNCIA ITABUNA</t>
        </is>
      </c>
      <c r="E16" s="62" t="inlineStr">
        <is>
          <t>ITABUNA</t>
        </is>
      </c>
      <c r="F16" s="61" t="inlineStr">
        <is>
          <t>ILHÉUS</t>
        </is>
      </c>
      <c r="G16" s="60" t="inlineStr">
        <is>
          <t>BA</t>
        </is>
      </c>
      <c r="H16" s="119" t="n">
        <v>45413</v>
      </c>
      <c r="I16" s="119">
        <f>H16-180</f>
        <v/>
      </c>
      <c r="J16" s="60">
        <f>SUM(L16:AE16)</f>
        <v/>
      </c>
      <c r="K16" s="60">
        <f>SUM(AF16:AJ16)</f>
        <v/>
      </c>
      <c r="L16" s="60" t="n"/>
      <c r="M16" s="60" t="n"/>
      <c r="N16" s="60" t="n"/>
      <c r="O16" s="60" t="n"/>
      <c r="P16" s="60" t="n"/>
      <c r="Q16" s="60" t="n"/>
      <c r="R16" s="60" t="n"/>
      <c r="S16" s="60" t="n"/>
      <c r="T16" s="60" t="n"/>
      <c r="U16" s="60" t="n"/>
      <c r="V16" s="60" t="n"/>
      <c r="W16" s="60" t="n"/>
      <c r="X16" s="60" t="n"/>
      <c r="Y16" s="60" t="n"/>
      <c r="Z16" s="60" t="n"/>
      <c r="AA16" s="60" t="n">
        <v>3</v>
      </c>
      <c r="AB16" s="60" t="n"/>
      <c r="AC16" s="60" t="n"/>
      <c r="AD16" s="60" t="n"/>
      <c r="AE16" s="60" t="n"/>
      <c r="AF16" s="60" t="n"/>
      <c r="AG16" s="60" t="n"/>
      <c r="AH16" s="60" t="n"/>
      <c r="AI16" s="60" t="n"/>
      <c r="AJ16" s="60" t="n"/>
      <c r="AK16" s="120">
        <f>IF(L16&gt;0,L16*90.44,0)+IF(M16&gt;0,M16*348.12,0)+IF(N16&gt;0,N16*151.63,0)+IF(O16&gt;0,O16*197.82,0)+IF(P16&gt;0,P16*244.09,0)+IF(Q16&gt;0,Q16*315.35,0)+IF(R16&gt;0,R16*1067.3,0)+IF(T16&gt;0,T16*567.47,0)+IF(U16&gt;0,U16*151.63,0)+IF(V16&gt;0,V16*197.84,0)+IF(W16&gt;0,W16*470.51,0)+IF(X16&gt;0,X16*701.69,0)+IF(Z16&gt;0,Z16*151.63,0)+IF(AA16&gt;0,AA16*197.84)+IF(AB16&gt;0,AB16*308.4,0)+IF(AC16&gt;0,AC16*496.16,0)</f>
        <v/>
      </c>
    </row>
    <row r="17">
      <c r="A17" s="58" t="inlineStr">
        <is>
          <t>rota</t>
        </is>
      </c>
      <c r="B17" s="59">
        <f>IF(H17&lt;$B$1,"VENCIDO","NA VALIDADE")</f>
        <v/>
      </c>
      <c r="C17" s="60" t="inlineStr">
        <is>
          <t>AGÊNCIA</t>
        </is>
      </c>
      <c r="D17" s="61" t="inlineStr">
        <is>
          <t>AGÊNCIA ITAPOÃ</t>
        </is>
      </c>
      <c r="E17" s="62" t="inlineStr">
        <is>
          <t>SALVADOR</t>
        </is>
      </c>
      <c r="F17" s="61" t="inlineStr">
        <is>
          <t>FEIRA DE  SANTANA</t>
        </is>
      </c>
      <c r="G17" s="60" t="inlineStr">
        <is>
          <t>BA</t>
        </is>
      </c>
      <c r="H17" s="119" t="n">
        <v>45413</v>
      </c>
      <c r="I17" s="119" t="n">
        <v>45413</v>
      </c>
      <c r="J17" s="60">
        <f>SUM(L17:AE17)</f>
        <v/>
      </c>
      <c r="K17" s="60">
        <f>SUM(AF17:AJ17)</f>
        <v/>
      </c>
      <c r="L17" s="60" t="n">
        <v>2</v>
      </c>
      <c r="M17" s="60" t="n"/>
      <c r="N17" s="60" t="n"/>
      <c r="O17" s="60" t="n">
        <v>3</v>
      </c>
      <c r="P17" s="60" t="n"/>
      <c r="Q17" s="60" t="n"/>
      <c r="R17" s="60" t="n"/>
      <c r="S17" s="60" t="n"/>
      <c r="T17" s="60" t="n"/>
      <c r="U17" s="60" t="n"/>
      <c r="V17" s="60" t="n"/>
      <c r="W17" s="60" t="n"/>
      <c r="X17" s="60" t="n"/>
      <c r="Y17" s="60" t="n"/>
      <c r="Z17" s="60" t="n"/>
      <c r="AA17" s="60" t="n">
        <v>2</v>
      </c>
      <c r="AB17" s="60" t="n"/>
      <c r="AC17" s="60" t="n"/>
      <c r="AD17" s="60" t="n"/>
      <c r="AE17" s="60" t="n"/>
      <c r="AF17" s="60" t="n"/>
      <c r="AG17" s="60" t="n"/>
      <c r="AH17" s="60" t="n"/>
      <c r="AI17" s="60" t="n"/>
      <c r="AJ17" s="60" t="n"/>
      <c r="AK17" s="120">
        <f>IF(L17&gt;0,L17*90.44,0)+IF(M17&gt;0,M17*348.12,0)+IF(N17&gt;0,N17*151.63,0)+IF(O17&gt;0,O17*197.82,0)+IF(P17&gt;0,P17*244.09,0)+IF(Q17&gt;0,Q17*315.35,0)+IF(R17&gt;0,R17*1067.3,0)+IF(T17&gt;0,T17*567.47,0)+IF(U17&gt;0,U17*151.63,0)+IF(V17&gt;0,V17*197.84,0)+IF(W17&gt;0,W17*470.51,0)+IF(X17&gt;0,X17*701.69,0)+IF(Z17&gt;0,Z17*151.63,0)+IF(AA17&gt;0,AA17*197.84)+IF(AB17&gt;0,AB17*308.4,0)+IF(AC17&gt;0,AC17*496.16,0)</f>
        <v/>
      </c>
    </row>
    <row r="18" hidden="1">
      <c r="A18" s="58" t="inlineStr">
        <is>
          <t>SIM</t>
        </is>
      </c>
      <c r="B18" s="59">
        <f>IF(H18&lt;$B$1,"VENCIDO","NA VALIDADE")</f>
        <v/>
      </c>
      <c r="C18" s="60" t="inlineStr">
        <is>
          <t>AGÊNCIA</t>
        </is>
      </c>
      <c r="D18" s="61" t="inlineStr">
        <is>
          <t>AGÊNCIA LUIZ EDUARDO MAGALHÃES</t>
        </is>
      </c>
      <c r="E18" s="62" t="inlineStr">
        <is>
          <t>LUIS EDUARDO MAGALHÃES</t>
        </is>
      </c>
      <c r="F18" s="61" t="inlineStr">
        <is>
          <t>VITÓRIA DA CONQUISTA</t>
        </is>
      </c>
      <c r="G18" s="60" t="inlineStr">
        <is>
          <t>BA</t>
        </is>
      </c>
      <c r="H18" s="119" t="n">
        <v>45383</v>
      </c>
      <c r="I18" s="119">
        <f>H18-180</f>
        <v/>
      </c>
      <c r="J18" s="60">
        <f>SUM(L18:AE18)</f>
        <v/>
      </c>
      <c r="K18" s="60">
        <f>SUM(AF18:AJ18)</f>
        <v/>
      </c>
      <c r="L18" s="60" t="n"/>
      <c r="M18" s="60" t="n"/>
      <c r="N18" s="60" t="n"/>
      <c r="O18" s="60" t="n">
        <v>2</v>
      </c>
      <c r="P18" s="60" t="n"/>
      <c r="Q18" s="60" t="n"/>
      <c r="R18" s="60" t="n"/>
      <c r="S18" s="60" t="n"/>
      <c r="T18" s="60" t="n"/>
      <c r="U18" s="60" t="n"/>
      <c r="V18" s="60" t="n"/>
      <c r="W18" s="60" t="n"/>
      <c r="X18" s="60" t="n"/>
      <c r="Y18" s="60" t="n"/>
      <c r="Z18" s="60" t="n"/>
      <c r="AA18" s="60" t="n"/>
      <c r="AB18" s="60" t="n"/>
      <c r="AC18" s="60" t="n"/>
      <c r="AD18" s="60" t="n"/>
      <c r="AE18" s="60" t="n"/>
      <c r="AF18" s="60" t="n"/>
      <c r="AG18" s="60" t="n"/>
      <c r="AH18" s="60" t="n"/>
      <c r="AI18" s="60" t="n"/>
      <c r="AJ18" s="60" t="n"/>
      <c r="AK18" s="120">
        <f>IF(L18&gt;0,L18*90.44,0)+IF(M18&gt;0,M18*348.12,0)+IF(N18&gt;0,N18*151.63,0)+IF(O18&gt;0,O18*197.82,0)+IF(P18&gt;0,P18*244.09,0)+IF(Q18&gt;0,Q18*315.35,0)+IF(R18&gt;0,R18*1067.3,0)+IF(T18&gt;0,T18*567.47,0)+IF(U18&gt;0,U18*151.63,0)+IF(V18&gt;0,V18*197.84,0)+IF(W18&gt;0,W18*470.51,0)+IF(X18&gt;0,X18*701.69,0)+IF(Z18&gt;0,Z18*151.63,0)+IF(AA18&gt;0,AA18*197.84)+IF(AB18&gt;0,AB18*308.4,0)+IF(AC18&gt;0,AC18*496.16,0)</f>
        <v/>
      </c>
    </row>
    <row r="19">
      <c r="A19" s="58" t="inlineStr">
        <is>
          <t>08/11 a 12/11</t>
        </is>
      </c>
      <c r="B19" s="59">
        <f>IF(H19&lt;$B$1,"VENCIDO","NA VALIDADE")</f>
        <v/>
      </c>
      <c r="C19" s="60" t="inlineStr">
        <is>
          <t>AGÊNCIA</t>
        </is>
      </c>
      <c r="D19" s="61" t="inlineStr">
        <is>
          <t>AGÊNCIA PAULO AFONSO</t>
        </is>
      </c>
      <c r="E19" s="62" t="inlineStr">
        <is>
          <t>PAULO AFONSO</t>
        </is>
      </c>
      <c r="F19" s="61" t="inlineStr">
        <is>
          <t>FEIRA DE  SANTANA</t>
        </is>
      </c>
      <c r="G19" s="60" t="inlineStr">
        <is>
          <t>BA</t>
        </is>
      </c>
      <c r="H19" s="119" t="n">
        <v>45444</v>
      </c>
      <c r="I19" s="119">
        <f>H19-180</f>
        <v/>
      </c>
      <c r="J19" s="60">
        <f>SUM(L19:AE19)</f>
        <v/>
      </c>
      <c r="K19" s="60">
        <f>SUM(AF19:AJ19)</f>
        <v/>
      </c>
      <c r="L19" s="60" t="n"/>
      <c r="M19" s="60" t="n"/>
      <c r="N19" s="60" t="n"/>
      <c r="O19" s="60" t="n"/>
      <c r="P19" s="60" t="n"/>
      <c r="Q19" s="60" t="n"/>
      <c r="R19" s="60" t="n"/>
      <c r="S19" s="60" t="n"/>
      <c r="T19" s="60" t="n"/>
      <c r="U19" s="60" t="n"/>
      <c r="V19" s="60" t="n">
        <v>1</v>
      </c>
      <c r="W19" s="60" t="n"/>
      <c r="X19" s="60" t="n"/>
      <c r="Y19" s="60" t="n"/>
      <c r="Z19" s="60" t="n"/>
      <c r="AA19" s="60" t="n"/>
      <c r="AB19" s="60" t="n"/>
      <c r="AC19" s="60" t="n"/>
      <c r="AD19" s="60" t="n"/>
      <c r="AE19" s="60" t="n"/>
      <c r="AF19" s="60" t="n"/>
      <c r="AG19" s="60" t="n"/>
      <c r="AH19" s="60" t="n"/>
      <c r="AI19" s="60" t="n"/>
      <c r="AJ19" s="60" t="n"/>
      <c r="AK19" s="120">
        <f>IF(L19&gt;0,L19*90.44,0)+IF(M19&gt;0,M19*348.12,0)+IF(N19&gt;0,N19*151.63,0)+IF(O19&gt;0,O19*197.82,0)+IF(P19&gt;0,P19*244.09,0)+IF(Q19&gt;0,Q19*315.35,0)+IF(R19&gt;0,R19*1067.3,0)+IF(T19&gt;0,T19*567.47,0)+IF(U19&gt;0,U19*151.63,0)+IF(V19&gt;0,V19*197.84,0)+IF(W19&gt;0,W19*470.51,0)+IF(X19&gt;0,X19*701.69,0)+IF(Z19&gt;0,Z19*151.63,0)+IF(AA19&gt;0,AA19*197.84)+IF(AB19&gt;0,AB19*308.4,0)+IF(AC19&gt;0,AC19*496.16,0)</f>
        <v/>
      </c>
    </row>
    <row r="20">
      <c r="A20" s="58" t="n"/>
      <c r="B20" s="59">
        <f>IF(H20&lt;$B$1,"VENCIDO","NA VALIDADE")</f>
        <v/>
      </c>
      <c r="C20" s="60" t="inlineStr">
        <is>
          <t>AGÊNCIA</t>
        </is>
      </c>
      <c r="D20" s="61" t="inlineStr">
        <is>
          <t>AGÊNCIA PERIPERI</t>
        </is>
      </c>
      <c r="E20" s="62" t="inlineStr">
        <is>
          <t>SALVADOR</t>
        </is>
      </c>
      <c r="F20" s="61" t="inlineStr">
        <is>
          <t>FEIRA DE  SANTANA</t>
        </is>
      </c>
      <c r="G20" s="60" t="inlineStr">
        <is>
          <t>BA</t>
        </is>
      </c>
      <c r="H20" s="119" t="n">
        <v>45323</v>
      </c>
      <c r="I20" s="119" t="n">
        <v>45323</v>
      </c>
      <c r="J20" s="60">
        <f>SUM(L20:AE20)</f>
        <v/>
      </c>
      <c r="K20" s="60">
        <f>SUM(AF20:AJ20)</f>
        <v/>
      </c>
      <c r="L20" s="60" t="n">
        <v>3</v>
      </c>
      <c r="M20" s="60" t="n"/>
      <c r="N20" s="60" t="n"/>
      <c r="O20" s="60" t="n"/>
      <c r="P20" s="60" t="n"/>
      <c r="Q20" s="60" t="n"/>
      <c r="R20" s="60" t="n"/>
      <c r="S20" s="60" t="n"/>
      <c r="T20" s="60" t="n"/>
      <c r="U20" s="60" t="n"/>
      <c r="V20" s="60" t="n"/>
      <c r="W20" s="60" t="n"/>
      <c r="X20" s="60" t="n"/>
      <c r="Y20" s="60" t="n"/>
      <c r="Z20" s="60" t="n"/>
      <c r="AA20" s="60" t="n">
        <v>2</v>
      </c>
      <c r="AB20" s="60" t="n"/>
      <c r="AC20" s="60" t="n"/>
      <c r="AD20" s="60" t="n"/>
      <c r="AE20" s="60" t="n"/>
      <c r="AF20" s="60" t="n"/>
      <c r="AG20" s="60" t="n"/>
      <c r="AH20" s="60" t="n"/>
      <c r="AI20" s="60" t="n"/>
      <c r="AJ20" s="60" t="n"/>
      <c r="AK20" s="120">
        <f>IF(L20&gt;0,L20*90.44,0)+IF(M20&gt;0,M20*348.12,0)+IF(N20&gt;0,N20*151.63,0)+IF(O20&gt;0,O20*197.82,0)+IF(P20&gt;0,P20*244.09,0)+IF(Q20&gt;0,Q20*315.35,0)+IF(R20&gt;0,R20*1067.3,0)+IF(T20&gt;0,T20*567.47,0)+IF(U20&gt;0,U20*151.63,0)+IF(V20&gt;0,V20*197.84,0)+IF(W20&gt;0,W20*470.51,0)+IF(X20&gt;0,X20*701.69,0)+IF(Z20&gt;0,Z20*151.63,0)+IF(AA20&gt;0,AA20*197.84)+IF(AB20&gt;0,AB20*308.4,0)+IF(AC20&gt;0,AC20*496.16,0)</f>
        <v/>
      </c>
    </row>
    <row r="21">
      <c r="A21" s="58" t="inlineStr">
        <is>
          <t>rota</t>
        </is>
      </c>
      <c r="B21" s="59">
        <f>IF(H21&lt;$B$1,"VENCIDO","NA VALIDADE")</f>
        <v/>
      </c>
      <c r="C21" s="60" t="inlineStr">
        <is>
          <t>AGÊNCIA</t>
        </is>
      </c>
      <c r="D21" s="61" t="inlineStr">
        <is>
          <t xml:space="preserve">AGÊNCIA PRASA DA SÉ </t>
        </is>
      </c>
      <c r="E21" s="62" t="inlineStr">
        <is>
          <t>SALVADOR</t>
        </is>
      </c>
      <c r="F21" s="61" t="inlineStr">
        <is>
          <t>FEIRA DE  SANTANA</t>
        </is>
      </c>
      <c r="G21" s="60" t="inlineStr">
        <is>
          <t>BA</t>
        </is>
      </c>
      <c r="H21" s="119" t="n">
        <v>45505</v>
      </c>
      <c r="I21" s="119">
        <f>H21-180</f>
        <v/>
      </c>
      <c r="J21" s="60">
        <f>SUM(L21:AE21)</f>
        <v/>
      </c>
      <c r="K21" s="60">
        <f>SUM(AF21:AJ21)</f>
        <v/>
      </c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>
        <v>14</v>
      </c>
      <c r="W21" s="60" t="n"/>
      <c r="X21" s="60" t="n"/>
      <c r="Y21" s="60" t="n"/>
      <c r="Z21" s="60" t="n"/>
      <c r="AA21" s="60" t="n">
        <v>1</v>
      </c>
      <c r="AB21" s="60" t="n"/>
      <c r="AC21" s="60" t="n"/>
      <c r="AD21" s="60" t="n"/>
      <c r="AE21" s="60" t="n"/>
      <c r="AF21" s="60" t="n">
        <v>6</v>
      </c>
      <c r="AG21" s="60" t="n"/>
      <c r="AH21" s="60" t="n"/>
      <c r="AI21" s="60" t="n"/>
      <c r="AJ21" s="60" t="n"/>
      <c r="AK21" s="120">
        <f>IF(L21&gt;0,L21*90.44,0)+IF(M21&gt;0,M21*348.12,0)+IF(N21&gt;0,N21*151.63,0)+IF(O21&gt;0,O21*197.82,0)+IF(P21&gt;0,P21*244.09,0)+IF(Q21&gt;0,Q21*315.35,0)+IF(R21&gt;0,R21*1067.3,0)+IF(T21&gt;0,T21*567.47,0)+IF(U21&gt;0,U21*151.63,0)+IF(V21&gt;0,V21*197.84,0)+IF(W21&gt;0,W21*470.51,0)+IF(X21&gt;0,X21*701.69,0)+IF(Z21&gt;0,Z21*151.63,0)+IF(AA21&gt;0,AA21*197.84)+IF(AB21&gt;0,AB21*308.4,0)+IF(AC21&gt;0,AC21*496.16,0)</f>
        <v/>
      </c>
    </row>
    <row r="22">
      <c r="A22" s="58" t="inlineStr">
        <is>
          <t>1 DEZ VI</t>
        </is>
      </c>
      <c r="B22" s="59">
        <f>IF(H22&lt;$B$1,"VENCIDO","NA VALIDADE")</f>
        <v/>
      </c>
      <c r="C22" s="60" t="inlineStr">
        <is>
          <t>AGÊNCIA</t>
        </is>
      </c>
      <c r="D22" s="61" t="inlineStr">
        <is>
          <t>AGÊNCIA RIBEIRA DO POMBAL</t>
        </is>
      </c>
      <c r="E22" s="62" t="inlineStr">
        <is>
          <t>RIBEIRA DO POMBAL</t>
        </is>
      </c>
      <c r="F22" s="61" t="inlineStr">
        <is>
          <t>FEIRA DE  SANTANA</t>
        </is>
      </c>
      <c r="G22" s="60" t="inlineStr">
        <is>
          <t>BA</t>
        </is>
      </c>
      <c r="H22" s="119" t="n">
        <v>45444</v>
      </c>
      <c r="I22" s="119" t="n">
        <v>45444</v>
      </c>
      <c r="J22" s="60">
        <f>SUM(L22:AE22)</f>
        <v/>
      </c>
      <c r="K22" s="60">
        <f>SUM(AF22:AJ22)</f>
        <v/>
      </c>
      <c r="L22" s="60" t="n"/>
      <c r="M22" s="60" t="n"/>
      <c r="N22" s="60" t="n"/>
      <c r="O22" s="60" t="n"/>
      <c r="P22" s="60" t="n"/>
      <c r="Q22" s="60" t="n">
        <v>1</v>
      </c>
      <c r="R22" s="60" t="n"/>
      <c r="S22" s="60" t="n"/>
      <c r="T22" s="60" t="n"/>
      <c r="U22" s="60" t="n"/>
      <c r="V22" s="60" t="n"/>
      <c r="W22" s="60" t="n"/>
      <c r="X22" s="60" t="n"/>
      <c r="Y22" s="60" t="n"/>
      <c r="Z22" s="60" t="n"/>
      <c r="AA22" s="60" t="n">
        <v>1</v>
      </c>
      <c r="AB22" s="60" t="n"/>
      <c r="AC22" s="60" t="n"/>
      <c r="AD22" s="60" t="n"/>
      <c r="AE22" s="60" t="n"/>
      <c r="AF22" s="60" t="n"/>
      <c r="AG22" s="60" t="n"/>
      <c r="AH22" s="60" t="n"/>
      <c r="AI22" s="60" t="n"/>
      <c r="AJ22" s="60" t="n"/>
      <c r="AK22" s="120">
        <f>IF(L22&gt;0,L22*90.44,0)+IF(M22&gt;0,M22*348.12,0)+IF(N22&gt;0,N22*151.63,0)+IF(O22&gt;0,O22*197.82,0)+IF(P22&gt;0,P22*244.09,0)+IF(Q22&gt;0,Q22*315.35,0)+IF(R22&gt;0,R22*1067.3,0)+IF(T22&gt;0,T22*567.47,0)+IF(U22&gt;0,U22*151.63,0)+IF(V22&gt;0,V22*197.84,0)+IF(W22&gt;0,W22*470.51,0)+IF(X22&gt;0,X22*701.69,0)+IF(Z22&gt;0,Z22*151.63,0)+IF(AA22&gt;0,AA22*197.84)+IF(AB22&gt;0,AB22*308.4,0)+IF(AC22&gt;0,AC22*496.16,0)</f>
        <v/>
      </c>
    </row>
    <row r="23">
      <c r="A23" s="58" t="inlineStr">
        <is>
          <t>SIM</t>
        </is>
      </c>
      <c r="B23" s="59">
        <f>IF(H23&lt;$B$1,"VENCIDO","NA VALIDADE")</f>
        <v/>
      </c>
      <c r="C23" s="60" t="inlineStr">
        <is>
          <t>AGÊNCIA</t>
        </is>
      </c>
      <c r="D23" s="61" t="inlineStr">
        <is>
          <t>AGÊNCIA SANTO ANTÕNIO DE JESUS</t>
        </is>
      </c>
      <c r="E23" s="62" t="inlineStr">
        <is>
          <t>SANTO ANTÔNIO DE JESUS</t>
        </is>
      </c>
      <c r="F23" s="61" t="inlineStr">
        <is>
          <t>FEIRA DE  SANTANA</t>
        </is>
      </c>
      <c r="G23" s="60" t="inlineStr">
        <is>
          <t>BA</t>
        </is>
      </c>
      <c r="H23" s="119" t="n">
        <v>45474</v>
      </c>
      <c r="I23" s="119">
        <f>H23-180</f>
        <v/>
      </c>
      <c r="J23" s="60">
        <f>SUM(L23:AE23)</f>
        <v/>
      </c>
      <c r="K23" s="60">
        <f>SUM(AF23:AJ23)</f>
        <v/>
      </c>
      <c r="L23" s="60" t="n"/>
      <c r="M23" s="60" t="n"/>
      <c r="N23" s="60" t="n"/>
      <c r="O23" s="60" t="n"/>
      <c r="P23" s="60" t="n"/>
      <c r="Q23" s="60" t="n"/>
      <c r="R23" s="60" t="n"/>
      <c r="S23" s="60" t="n"/>
      <c r="T23" s="60" t="n"/>
      <c r="U23" s="60" t="n"/>
      <c r="V23" s="60" t="n">
        <v>4</v>
      </c>
      <c r="W23" s="60" t="n"/>
      <c r="X23" s="60" t="n"/>
      <c r="Y23" s="60" t="n"/>
      <c r="Z23" s="60" t="n"/>
      <c r="AA23" s="60" t="n"/>
      <c r="AB23" s="60" t="n"/>
      <c r="AC23" s="60" t="n"/>
      <c r="AD23" s="60" t="n"/>
      <c r="AE23" s="60" t="n"/>
      <c r="AF23" s="60" t="n"/>
      <c r="AG23" s="60" t="n"/>
      <c r="AH23" s="60" t="n"/>
      <c r="AI23" s="60" t="n"/>
      <c r="AJ23" s="60" t="n"/>
      <c r="AK23" s="120">
        <f>IF(L23&gt;0,L23*90.44,0)+IF(M23&gt;0,M23*348.12,0)+IF(N23&gt;0,N23*151.63,0)+IF(O23&gt;0,O23*197.82,0)+IF(P23&gt;0,P23*244.09,0)+IF(Q23&gt;0,Q23*315.35,0)+IF(R23&gt;0,R23*1067.3,0)+IF(T23&gt;0,T23*567.47,0)+IF(U23&gt;0,U23*151.63,0)+IF(V23&gt;0,V23*197.84,0)+IF(W23&gt;0,W23*470.51,0)+IF(X23&gt;0,X23*701.69,0)+IF(Z23&gt;0,Z23*151.63,0)+IF(AA23&gt;0,AA23*197.84)+IF(AB23&gt;0,AB23*308.4,0)+IF(AC23&gt;0,AC23*496.16,0)</f>
        <v/>
      </c>
    </row>
    <row r="24">
      <c r="A24" s="58" t="inlineStr">
        <is>
          <t>SIM</t>
        </is>
      </c>
      <c r="B24" s="59">
        <f>IF(H24&lt;$B$1,"VENCIDO","NA VALIDADE")</f>
        <v/>
      </c>
      <c r="C24" s="60" t="inlineStr">
        <is>
          <t>AGÊNCIA</t>
        </is>
      </c>
      <c r="D24" s="61" t="inlineStr">
        <is>
          <t>AGÊNCIA SENHOR DO BONFIM</t>
        </is>
      </c>
      <c r="E24" s="62" t="inlineStr">
        <is>
          <t>SENHOR DO BONFIM</t>
        </is>
      </c>
      <c r="F24" s="61" t="inlineStr">
        <is>
          <t>FEIRA DE  SANTANA</t>
        </is>
      </c>
      <c r="G24" s="60" t="inlineStr">
        <is>
          <t>BA</t>
        </is>
      </c>
      <c r="H24" s="119" t="n">
        <v>45292</v>
      </c>
      <c r="I24" s="119">
        <f>H24-180</f>
        <v/>
      </c>
      <c r="J24" s="60">
        <f>SUM(L24:AE24)</f>
        <v/>
      </c>
      <c r="K24" s="60">
        <f>SUM(AF24:AJ24)</f>
        <v/>
      </c>
      <c r="L24" s="60" t="n"/>
      <c r="M24" s="60" t="n"/>
      <c r="N24" s="60" t="n"/>
      <c r="O24" s="60" t="n">
        <v>2</v>
      </c>
      <c r="P24" s="60" t="n"/>
      <c r="Q24" s="60" t="n"/>
      <c r="R24" s="60" t="n"/>
      <c r="S24" s="60" t="n"/>
      <c r="T24" s="60" t="n"/>
      <c r="U24" s="60" t="n"/>
      <c r="V24" s="60" t="n"/>
      <c r="W24" s="60" t="n"/>
      <c r="X24" s="60" t="n"/>
      <c r="Y24" s="60" t="n"/>
      <c r="Z24" s="60" t="n"/>
      <c r="AA24" s="60" t="n"/>
      <c r="AB24" s="60" t="n"/>
      <c r="AC24" s="60" t="n"/>
      <c r="AD24" s="60" t="n"/>
      <c r="AE24" s="60" t="n"/>
      <c r="AF24" s="60" t="n"/>
      <c r="AG24" s="60" t="n"/>
      <c r="AH24" s="60" t="n"/>
      <c r="AI24" s="60" t="n"/>
      <c r="AJ24" s="60" t="n"/>
      <c r="AK24" s="120">
        <f>IF(L24&gt;0,L24*90.44,0)+IF(M24&gt;0,M24*348.12,0)+IF(N24&gt;0,N24*151.63,0)+IF(O24&gt;0,O24*197.82,0)+IF(P24&gt;0,P24*244.09,0)+IF(Q24&gt;0,Q24*315.35,0)+IF(R24&gt;0,R24*1067.3,0)+IF(T24&gt;0,T24*567.47,0)+IF(U24&gt;0,U24*151.63,0)+IF(V24&gt;0,V24*197.84,0)+IF(W24&gt;0,W24*470.51,0)+IF(X24&gt;0,X24*701.69,0)+IF(Z24&gt;0,Z24*151.63,0)+IF(AA24&gt;0,AA24*197.84)+IF(AB24&gt;0,AB24*308.4,0)+IF(AC24&gt;0,AC24*496.16,0)</f>
        <v/>
      </c>
    </row>
    <row r="25">
      <c r="A25" s="58" t="inlineStr">
        <is>
          <t>SIM</t>
        </is>
      </c>
      <c r="B25" s="59">
        <f>IF(H25&lt;$B$1,"VENCIDO","NA VALIDADE")</f>
        <v/>
      </c>
      <c r="C25" s="60" t="inlineStr">
        <is>
          <t>AGÊNCIA</t>
        </is>
      </c>
      <c r="D25" s="61" t="inlineStr">
        <is>
          <t>AGÊNCIA SENHOR DOS PASSOS</t>
        </is>
      </c>
      <c r="E25" s="62" t="inlineStr">
        <is>
          <t>FEIRA DE SANTANA</t>
        </is>
      </c>
      <c r="F25" s="61" t="inlineStr">
        <is>
          <t>FEIRA DE  SANTANA</t>
        </is>
      </c>
      <c r="G25" s="60" t="inlineStr">
        <is>
          <t>BA</t>
        </is>
      </c>
      <c r="H25" s="119" t="n">
        <v>45292</v>
      </c>
      <c r="I25" s="119">
        <f>H25-180</f>
        <v/>
      </c>
      <c r="J25" s="60">
        <f>SUM(L25:AE25)</f>
        <v/>
      </c>
      <c r="K25" s="60">
        <f>SUM(AF25:AJ25)</f>
        <v/>
      </c>
      <c r="L25" s="60" t="n"/>
      <c r="M25" s="60" t="n"/>
      <c r="N25" s="60" t="n"/>
      <c r="O25" s="60" t="n">
        <v>4</v>
      </c>
      <c r="P25" s="60" t="n"/>
      <c r="Q25" s="60" t="n"/>
      <c r="R25" s="60" t="n"/>
      <c r="S25" s="60" t="n"/>
      <c r="T25" s="60" t="n"/>
      <c r="U25" s="60" t="n"/>
      <c r="V25" s="60" t="n"/>
      <c r="W25" s="60" t="n"/>
      <c r="X25" s="60" t="n"/>
      <c r="Y25" s="60" t="n"/>
      <c r="Z25" s="60" t="n"/>
      <c r="AA25" s="60" t="n"/>
      <c r="AB25" s="60" t="n"/>
      <c r="AC25" s="60" t="n"/>
      <c r="AD25" s="60" t="n"/>
      <c r="AE25" s="60" t="n"/>
      <c r="AF25" s="60" t="n"/>
      <c r="AG25" s="60" t="n"/>
      <c r="AH25" s="60" t="n"/>
      <c r="AI25" s="60" t="n"/>
      <c r="AJ25" s="60" t="n"/>
      <c r="AK25" s="120">
        <f>IF(L25&gt;0,L25*90.44,0)+IF(M25&gt;0,M25*348.12,0)+IF(N25&gt;0,N25*151.63,0)+IF(O25&gt;0,O25*197.82,0)+IF(P25&gt;0,P25*244.09,0)+IF(Q25&gt;0,Q25*315.35,0)+IF(R25&gt;0,R25*1067.3,0)+IF(T25&gt;0,T25*567.47,0)+IF(U25&gt;0,U25*151.63,0)+IF(V25&gt;0,V25*197.84,0)+IF(W25&gt;0,W25*470.51,0)+IF(X25&gt;0,X25*701.69,0)+IF(Z25&gt;0,Z25*151.63,0)+IF(AA25&gt;0,AA25*197.84)+IF(AB25&gt;0,AB25*308.4,0)+IF(AC25&gt;0,AC25*496.16,0)</f>
        <v/>
      </c>
    </row>
    <row r="26">
      <c r="A26" s="58" t="inlineStr">
        <is>
          <t>SIM</t>
        </is>
      </c>
      <c r="B26" s="59">
        <f>IF(H26&lt;$B$1,"VENCIDO","NA VALIDADE")</f>
        <v/>
      </c>
      <c r="C26" s="60" t="inlineStr">
        <is>
          <t>AGÊNCIA</t>
        </is>
      </c>
      <c r="D26" s="61" t="inlineStr">
        <is>
          <t>AGÊNCIA SERRINHA</t>
        </is>
      </c>
      <c r="E26" s="62" t="inlineStr">
        <is>
          <t>SERRINHA</t>
        </is>
      </c>
      <c r="F26" s="61" t="inlineStr">
        <is>
          <t>FEIRA DE  SANTANA</t>
        </is>
      </c>
      <c r="G26" s="60" t="inlineStr">
        <is>
          <t>BA</t>
        </is>
      </c>
      <c r="H26" s="119" t="n">
        <v>45444</v>
      </c>
      <c r="I26" s="119">
        <f>H26-180</f>
        <v/>
      </c>
      <c r="J26" s="60">
        <f>SUM(L26:AE26)</f>
        <v/>
      </c>
      <c r="K26" s="60">
        <f>SUM(AF26:AJ26)</f>
        <v/>
      </c>
      <c r="L26" s="60" t="n"/>
      <c r="M26" s="60" t="n"/>
      <c r="N26" s="60" t="n"/>
      <c r="O26" s="60" t="n">
        <v>1</v>
      </c>
      <c r="P26" s="60" t="n"/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/>
      <c r="Z26" s="60" t="n"/>
      <c r="AA26" s="60" t="n"/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60" t="n"/>
      <c r="AK26" s="120">
        <f>IF(L26&gt;0,L26*90.44,0)+IF(M26&gt;0,M26*348.12,0)+IF(N26&gt;0,N26*151.63,0)+IF(O26&gt;0,O26*197.82,0)+IF(P26&gt;0,P26*244.09,0)+IF(Q26&gt;0,Q26*315.35,0)+IF(R26&gt;0,R26*1067.3,0)+IF(T26&gt;0,T26*567.47,0)+IF(U26&gt;0,U26*151.63,0)+IF(V26&gt;0,V26*197.84,0)+IF(W26&gt;0,W26*470.51,0)+IF(X26&gt;0,X26*701.69,0)+IF(Z26&gt;0,Z26*151.63,0)+IF(AA26&gt;0,AA26*197.84)+IF(AB26&gt;0,AB26*308.4,0)+IF(AC26&gt;0,AC26*496.16,0)</f>
        <v/>
      </c>
    </row>
    <row r="27">
      <c r="A27" s="58" t="n"/>
      <c r="B27" s="59">
        <f>IF(H27&lt;$B$1,"VENCIDO","NA VALIDADE")</f>
        <v/>
      </c>
      <c r="C27" s="60" t="inlineStr">
        <is>
          <t>AGÊNCIA</t>
        </is>
      </c>
      <c r="D27" s="61" t="inlineStr">
        <is>
          <t>AGÊNCIA SHOPPING SALVADOR NORTE</t>
        </is>
      </c>
      <c r="E27" s="62" t="inlineStr">
        <is>
          <t>SALVADOR</t>
        </is>
      </c>
      <c r="F27" s="61" t="inlineStr">
        <is>
          <t>FEIRA DE  SANTANA</t>
        </is>
      </c>
      <c r="G27" s="60" t="inlineStr">
        <is>
          <t>BA</t>
        </is>
      </c>
      <c r="H27" s="119" t="n">
        <v>45352</v>
      </c>
      <c r="I27" s="119">
        <f>H27-180</f>
        <v/>
      </c>
      <c r="J27" s="60">
        <f>SUM(L27:AE27)</f>
        <v/>
      </c>
      <c r="K27" s="60">
        <f>SUM(AF27:AJ27)</f>
        <v/>
      </c>
      <c r="L27" s="60" t="n"/>
      <c r="M27" s="60" t="n"/>
      <c r="N27" s="60" t="n"/>
      <c r="O27" s="60" t="n"/>
      <c r="P27" s="60" t="n"/>
      <c r="Q27" s="60" t="n"/>
      <c r="R27" s="60" t="n"/>
      <c r="S27" s="60" t="n"/>
      <c r="T27" s="60" t="n"/>
      <c r="U27" s="60" t="n"/>
      <c r="V27" s="60" t="n">
        <v>2</v>
      </c>
      <c r="W27" s="60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60" t="n"/>
      <c r="AH27" s="60" t="n"/>
      <c r="AI27" s="60" t="n"/>
      <c r="AJ27" s="60" t="n"/>
      <c r="AK27" s="120">
        <f>IF(L27&gt;0,L27*90.44,0)+IF(M27&gt;0,M27*348.12,0)+IF(N27&gt;0,N27*151.63,0)+IF(O27&gt;0,O27*197.82,0)+IF(P27&gt;0,P27*244.09,0)+IF(Q27&gt;0,Q27*315.35,0)+IF(R27&gt;0,R27*1067.3,0)+IF(T27&gt;0,T27*567.47,0)+IF(U27&gt;0,U27*151.63,0)+IF(V27&gt;0,V27*197.84,0)+IF(W27&gt;0,W27*470.51,0)+IF(X27&gt;0,X27*701.69,0)+IF(Z27&gt;0,Z27*151.63,0)+IF(AA27&gt;0,AA27*197.84)+IF(AB27&gt;0,AB27*308.4,0)+IF(AC27&gt;0,AC27*496.16,0)</f>
        <v/>
      </c>
    </row>
    <row r="28">
      <c r="A28" s="58" t="inlineStr">
        <is>
          <t>SIM</t>
        </is>
      </c>
      <c r="B28" s="59">
        <f>IF(H28&lt;$B$1,"VENCIDO","NA VALIDADE")</f>
        <v/>
      </c>
      <c r="C28" s="60" t="inlineStr">
        <is>
          <t>AGÊNCIA</t>
        </is>
      </c>
      <c r="D28" s="61" t="inlineStr">
        <is>
          <t>AGÊNCIA SIMÕES FILHO</t>
        </is>
      </c>
      <c r="E28" s="62" t="inlineStr">
        <is>
          <t>SIMÕES FILHO</t>
        </is>
      </c>
      <c r="F28" s="61" t="inlineStr">
        <is>
          <t>FEIRA DE  SANTANA</t>
        </is>
      </c>
      <c r="G28" s="60" t="inlineStr">
        <is>
          <t>BA</t>
        </is>
      </c>
      <c r="H28" s="119" t="n">
        <v>45413</v>
      </c>
      <c r="I28" s="119">
        <f>H28-180</f>
        <v/>
      </c>
      <c r="J28" s="60">
        <f>SUM(L28:AE28)</f>
        <v/>
      </c>
      <c r="K28" s="60">
        <f>SUM(AF28:AJ28)</f>
        <v/>
      </c>
      <c r="L28" s="60" t="n">
        <v>1</v>
      </c>
      <c r="M28" s="60" t="n"/>
      <c r="N28" s="60" t="n"/>
      <c r="O28" s="60" t="n"/>
      <c r="P28" s="60" t="n">
        <v>1</v>
      </c>
      <c r="Q28" s="60" t="n"/>
      <c r="R28" s="60" t="n"/>
      <c r="S28" s="60" t="n"/>
      <c r="T28" s="60" t="n"/>
      <c r="U28" s="60" t="n"/>
      <c r="V28" s="60" t="n"/>
      <c r="W28" s="60" t="n"/>
      <c r="X28" s="60" t="n"/>
      <c r="Y28" s="60" t="n"/>
      <c r="Z28" s="60" t="n"/>
      <c r="AA28" s="60" t="n"/>
      <c r="AB28" s="60" t="n"/>
      <c r="AC28" s="60" t="n"/>
      <c r="AD28" s="60" t="n"/>
      <c r="AE28" s="60" t="n"/>
      <c r="AF28" s="60" t="n"/>
      <c r="AG28" s="60" t="n"/>
      <c r="AH28" s="60" t="n"/>
      <c r="AI28" s="60" t="n"/>
      <c r="AJ28" s="60" t="n"/>
      <c r="AK28" s="120">
        <f>IF(L28&gt;0,L28*90.44,0)+IF(M28&gt;0,M28*348.12,0)+IF(N28&gt;0,N28*151.63,0)+IF(O28&gt;0,O28*197.82,0)+IF(P28&gt;0,P28*244.09,0)+IF(Q28&gt;0,Q28*315.35,0)+IF(R28&gt;0,R28*1067.3,0)+IF(T28&gt;0,T28*567.47,0)+IF(U28&gt;0,U28*151.63,0)+IF(V28&gt;0,V28*197.84,0)+IF(W28&gt;0,W28*470.51,0)+IF(X28&gt;0,X28*701.69,0)+IF(Z28&gt;0,Z28*151.63,0)+IF(AA28&gt;0,AA28*197.84)+IF(AB28&gt;0,AB28*308.4,0)+IF(AC28&gt;0,AC28*496.16,0)</f>
        <v/>
      </c>
    </row>
    <row r="29" hidden="1">
      <c r="A29" s="58" t="n"/>
      <c r="B29" s="59">
        <f>IF(H29&lt;$B$1,"VENCIDO","NA VALIDADE")</f>
        <v/>
      </c>
      <c r="C29" s="60" t="inlineStr">
        <is>
          <t>ESTAÇÃO REP</t>
        </is>
      </c>
      <c r="D29" s="61" t="inlineStr">
        <is>
          <t>ESTAÇÃO REPETIDORA VALENÇA</t>
        </is>
      </c>
      <c r="E29" s="62" t="inlineStr">
        <is>
          <t>VALENÇA</t>
        </is>
      </c>
      <c r="F29" s="61" t="inlineStr">
        <is>
          <t>ILHÉUS</t>
        </is>
      </c>
      <c r="G29" s="60" t="inlineStr">
        <is>
          <t>BA</t>
        </is>
      </c>
      <c r="H29" s="119" t="n">
        <v>45352</v>
      </c>
      <c r="I29" s="119">
        <f>H29-180</f>
        <v/>
      </c>
      <c r="J29" s="60">
        <f>SUM(L29:AE29)</f>
        <v/>
      </c>
      <c r="K29" s="60">
        <f>SUM(AF29:AJ29)</f>
        <v/>
      </c>
      <c r="L29" s="60" t="n"/>
      <c r="M29" s="60" t="n"/>
      <c r="N29" s="60" t="n"/>
      <c r="O29" s="60" t="n">
        <v>1</v>
      </c>
      <c r="P29" s="60" t="n"/>
      <c r="Q29" s="60" t="n"/>
      <c r="R29" s="60" t="n"/>
      <c r="S29" s="60" t="n"/>
      <c r="T29" s="60" t="n"/>
      <c r="U29" s="60" t="n"/>
      <c r="V29" s="60" t="n"/>
      <c r="W29" s="60" t="n"/>
      <c r="X29" s="60" t="n"/>
      <c r="Y29" s="60" t="n"/>
      <c r="Z29" s="60" t="n"/>
      <c r="AA29" s="60" t="n"/>
      <c r="AB29" s="60" t="n"/>
      <c r="AC29" s="60" t="n"/>
      <c r="AD29" s="60" t="n"/>
      <c r="AE29" s="60" t="n"/>
      <c r="AF29" s="60" t="n"/>
      <c r="AG29" s="60" t="n"/>
      <c r="AH29" s="60" t="n"/>
      <c r="AI29" s="60" t="n"/>
      <c r="AJ29" s="60" t="n"/>
      <c r="AK29" s="120">
        <f>IF(L29&gt;0,L29*90.44,0)+IF(M29&gt;0,M29*348.12,0)+IF(N29&gt;0,N29*151.63,0)+IF(O29&gt;0,O29*197.82,0)+IF(P29&gt;0,P29*244.09,0)+IF(Q29&gt;0,Q29*315.35,0)+IF(R29&gt;0,R29*1067.3,0)+IF(T29&gt;0,T29*567.47,0)+IF(U29&gt;0,U29*151.63,0)+IF(V29&gt;0,V29*197.84,0)+IF(W29&gt;0,W29*470.51,0)+IF(X29&gt;0,X29*701.69,0)+IF(Z29&gt;0,Z29*151.63,0)+IF(AA29&gt;0,AA29*197.84)+IF(AB29&gt;0,AB29*308.4,0)+IF(AC29&gt;0,AC29*496.16,0)</f>
        <v/>
      </c>
    </row>
    <row r="30" hidden="1">
      <c r="A30" s="58" t="n"/>
      <c r="B30" s="59">
        <f>IF(H30&lt;$B$1,"VENCIDO","NA VALIDADE")</f>
        <v/>
      </c>
      <c r="C30" s="60" t="inlineStr">
        <is>
          <t>AGÊNCIA</t>
        </is>
      </c>
      <c r="D30" s="61" t="inlineStr">
        <is>
          <t>AGÊNCIA II VITÓRIA DA CONQUISTA</t>
        </is>
      </c>
      <c r="E30" s="62" t="inlineStr">
        <is>
          <t>VITÓRIA DA CONQUISTA</t>
        </is>
      </c>
      <c r="F30" s="61" t="inlineStr">
        <is>
          <t>VITÓRIA DA CONQUISTA</t>
        </is>
      </c>
      <c r="G30" s="60" t="inlineStr">
        <is>
          <t>BA</t>
        </is>
      </c>
      <c r="H30" s="119" t="n">
        <v>45383</v>
      </c>
      <c r="I30" s="119" t="n">
        <v>45383</v>
      </c>
      <c r="J30" s="60">
        <f>SUM(L30:AE30)</f>
        <v/>
      </c>
      <c r="K30" s="60">
        <f>SUM(AF30:AJ30)</f>
        <v/>
      </c>
      <c r="L30" s="60" t="n">
        <v>3</v>
      </c>
      <c r="M30" s="60" t="n"/>
      <c r="N30" s="60" t="n"/>
      <c r="O30" s="60" t="n"/>
      <c r="P30" s="60" t="n"/>
      <c r="Q30" s="60" t="n">
        <v>3</v>
      </c>
      <c r="R30" s="60" t="n"/>
      <c r="S30" s="60" t="n"/>
      <c r="T30" s="60" t="n"/>
      <c r="U30" s="60" t="n"/>
      <c r="V30" s="60" t="n"/>
      <c r="W30" s="60" t="n"/>
      <c r="X30" s="60" t="n"/>
      <c r="Y30" s="60" t="n"/>
      <c r="Z30" s="60" t="n"/>
      <c r="AA30" s="60" t="n">
        <v>2</v>
      </c>
      <c r="AB30" s="60" t="n"/>
      <c r="AC30" s="60" t="n"/>
      <c r="AD30" s="60" t="n"/>
      <c r="AE30" s="60" t="n"/>
      <c r="AF30" s="60" t="n"/>
      <c r="AG30" s="60" t="n"/>
      <c r="AH30" s="60" t="n"/>
      <c r="AI30" s="60" t="n"/>
      <c r="AJ30" s="60" t="n"/>
      <c r="AK30" s="120">
        <f>IF(L30&gt;0,L30*90.44,0)+IF(M30&gt;0,M30*348.12,0)+IF(N30&gt;0,N30*151.63,0)+IF(O30&gt;0,O30*197.82,0)+IF(P30&gt;0,P30*244.09,0)+IF(Q30&gt;0,Q30*315.35,0)+IF(R30&gt;0,R30*1067.3,0)+IF(T30&gt;0,T30*567.47,0)+IF(U30&gt;0,U30*151.63,0)+IF(V30&gt;0,V30*197.84,0)+IF(W30&gt;0,W30*470.51,0)+IF(X30&gt;0,X30*701.69,0)+IF(Z30&gt;0,Z30*151.63,0)+IF(AA30&gt;0,AA30*197.84)+IF(AB30&gt;0,AB30*308.4,0)+IF(AC30&gt;0,AC30*496.16,0)</f>
        <v/>
      </c>
    </row>
    <row r="31" hidden="1">
      <c r="A31" s="58" t="inlineStr">
        <is>
          <t>SIM</t>
        </is>
      </c>
      <c r="B31" s="59">
        <f>IF(H31&lt;$B$1,"VENCIDO","NA VALIDADE")</f>
        <v/>
      </c>
      <c r="C31" s="60" t="inlineStr">
        <is>
          <t>AGÊNCIA</t>
        </is>
      </c>
      <c r="D31" s="61" t="inlineStr">
        <is>
          <t>AGÊNCIA I VITÓRIA DA CONQUISTA</t>
        </is>
      </c>
      <c r="E31" s="62" t="inlineStr">
        <is>
          <t>VITÓRIA DA CONQUISTA</t>
        </is>
      </c>
      <c r="F31" s="61" t="inlineStr">
        <is>
          <t>VITÓRIA DA CONQUISTA</t>
        </is>
      </c>
      <c r="G31" s="60" t="inlineStr">
        <is>
          <t>BA</t>
        </is>
      </c>
      <c r="H31" s="119" t="n">
        <v>45383</v>
      </c>
      <c r="I31" s="119" t="n">
        <v>45383</v>
      </c>
      <c r="J31" s="60">
        <f>SUM(L31:AE31)</f>
        <v/>
      </c>
      <c r="K31" s="60">
        <f>SUM(AF31:AJ31)</f>
        <v/>
      </c>
      <c r="L31" s="60" t="n"/>
      <c r="M31" s="60" t="n"/>
      <c r="N31" s="60" t="n"/>
      <c r="O31" s="60" t="n"/>
      <c r="P31" s="60" t="n"/>
      <c r="Q31" s="60" t="n">
        <v>1</v>
      </c>
      <c r="R31" s="60" t="n"/>
      <c r="S31" s="60" t="n"/>
      <c r="T31" s="60" t="n"/>
      <c r="U31" s="60" t="n"/>
      <c r="V31" s="60" t="n"/>
      <c r="W31" s="60" t="n"/>
      <c r="X31" s="60" t="n"/>
      <c r="Y31" s="60" t="n"/>
      <c r="Z31" s="60" t="n"/>
      <c r="AA31" s="60" t="n">
        <v>1</v>
      </c>
      <c r="AB31" s="60" t="n"/>
      <c r="AC31" s="60" t="n"/>
      <c r="AD31" s="60" t="n"/>
      <c r="AE31" s="60" t="n"/>
      <c r="AF31" s="60" t="n"/>
      <c r="AG31" s="60" t="n"/>
      <c r="AH31" s="60" t="n"/>
      <c r="AI31" s="60" t="n"/>
      <c r="AJ31" s="60" t="n"/>
      <c r="AK31" s="120">
        <f>IF(L31&gt;0,L31*90.44,0)+IF(M31&gt;0,M31*348.12,0)+IF(N31&gt;0,N31*151.63,0)+IF(O31&gt;0,O31*197.82,0)+IF(P31&gt;0,P31*244.09,0)+IF(Q31&gt;0,Q31*315.35,0)+IF(R31&gt;0,R31*1067.3,0)+IF(T31&gt;0,T31*567.47,0)+IF(U31&gt;0,U31*151.63,0)+IF(V31&gt;0,V31*197.84,0)+IF(W31&gt;0,W31*470.51,0)+IF(X31&gt;0,X31*701.69,0)+IF(Z31&gt;0,Z31*151.63,0)+IF(AA31&gt;0,AA31*197.84)+IF(AB31&gt;0,AB31*308.4,0)+IF(AC31&gt;0,AC31*496.16,0)</f>
        <v/>
      </c>
    </row>
    <row r="32" hidden="1">
      <c r="A32" s="58" t="inlineStr">
        <is>
          <t>SIM</t>
        </is>
      </c>
      <c r="B32" s="59">
        <f>IF(H32&lt;$B$1,"VENCIDO","NA VALIDADE")</f>
        <v/>
      </c>
      <c r="C32" s="60" t="inlineStr">
        <is>
          <t>BASE OP</t>
        </is>
      </c>
      <c r="D32" s="61" t="inlineStr">
        <is>
          <t>BASE OPERACIOANAL AMARGOSA</t>
        </is>
      </c>
      <c r="E32" s="62" t="inlineStr">
        <is>
          <t>AMARGOSA</t>
        </is>
      </c>
      <c r="F32" s="61" t="inlineStr">
        <is>
          <t>VITÓRIA DA CONQUISTA</t>
        </is>
      </c>
      <c r="G32" s="60" t="inlineStr">
        <is>
          <t>BA</t>
        </is>
      </c>
      <c r="H32" s="119" t="n">
        <v>45566</v>
      </c>
      <c r="I32" s="119">
        <f>H32-180</f>
        <v/>
      </c>
      <c r="J32" s="60">
        <f>SUM(L32:AE32)</f>
        <v/>
      </c>
      <c r="K32" s="60">
        <f>SUM(AF32:AJ32)</f>
        <v/>
      </c>
      <c r="L32" s="60" t="n"/>
      <c r="M32" s="60" t="n"/>
      <c r="N32" s="60" t="n"/>
      <c r="O32" s="60" t="n">
        <v>1</v>
      </c>
      <c r="P32" s="60" t="n"/>
      <c r="Q32" s="60" t="n"/>
      <c r="R32" s="60" t="n"/>
      <c r="S32" s="60" t="n"/>
      <c r="T32" s="60" t="n"/>
      <c r="U32" s="60" t="n"/>
      <c r="V32" s="60" t="n"/>
      <c r="W32" s="60" t="n"/>
      <c r="X32" s="60" t="n"/>
      <c r="Y32" s="60" t="n"/>
      <c r="Z32" s="60" t="n"/>
      <c r="AA32" s="60" t="n"/>
      <c r="AB32" s="60" t="n"/>
      <c r="AC32" s="60" t="n"/>
      <c r="AD32" s="60" t="n"/>
      <c r="AE32" s="60" t="n"/>
      <c r="AF32" s="60" t="n"/>
      <c r="AG32" s="60" t="n"/>
      <c r="AH32" s="60" t="n"/>
      <c r="AI32" s="60" t="n"/>
      <c r="AJ32" s="60" t="n"/>
      <c r="AK32" s="120">
        <f>IF(L32&gt;0,L32*90.44,0)+IF(M32&gt;0,M32*348.12,0)+IF(N32&gt;0,N32*151.63,0)+IF(O32&gt;0,O32*197.82,0)+IF(P32&gt;0,P32*244.09,0)+IF(Q32&gt;0,Q32*315.35,0)+IF(R32&gt;0,R32*1067.3,0)+IF(T32&gt;0,T32*567.47,0)+IF(U32&gt;0,U32*151.63,0)+IF(V32&gt;0,V32*197.84,0)+IF(W32&gt;0,W32*470.51,0)+IF(X32&gt;0,X32*701.69,0)+IF(Z32&gt;0,Z32*151.63,0)+IF(AA32&gt;0,AA32*197.84)+IF(AB32&gt;0,AB32*308.4,0)+IF(AC32&gt;0,AC32*496.16,0)</f>
        <v/>
      </c>
    </row>
    <row r="33" hidden="1">
      <c r="A33" s="58" t="inlineStr">
        <is>
          <t>rota</t>
        </is>
      </c>
      <c r="B33" s="59">
        <f>IF(H33&lt;$B$1,"VENCIDO","NA VALIDADE")</f>
        <v/>
      </c>
      <c r="C33" s="60" t="inlineStr">
        <is>
          <t>BASE OP</t>
        </is>
      </c>
      <c r="D33" s="61" t="inlineStr">
        <is>
          <t>BASE OPERACIONAL ABAIRA</t>
        </is>
      </c>
      <c r="E33" s="62" t="inlineStr">
        <is>
          <t>ABAÍRA</t>
        </is>
      </c>
      <c r="F33" s="61" t="inlineStr">
        <is>
          <t>VITÓRIA DA CONQUISTA</t>
        </is>
      </c>
      <c r="G33" s="60" t="inlineStr">
        <is>
          <t>BA</t>
        </is>
      </c>
      <c r="H33" s="119" t="n">
        <v>45352</v>
      </c>
      <c r="I33" s="119">
        <f>H33-180</f>
        <v/>
      </c>
      <c r="J33" s="60">
        <f>SUM(L33:AE33)</f>
        <v/>
      </c>
      <c r="K33" s="60">
        <f>SUM(AF33:AJ33)</f>
        <v/>
      </c>
      <c r="L33" s="60" t="n"/>
      <c r="M33" s="60" t="n"/>
      <c r="N33" s="60" t="n"/>
      <c r="O33" s="60" t="n"/>
      <c r="P33" s="60" t="n"/>
      <c r="Q33" s="60" t="n">
        <v>2</v>
      </c>
      <c r="R33" s="60" t="n"/>
      <c r="S33" s="60" t="n"/>
      <c r="T33" s="60" t="n"/>
      <c r="U33" s="60" t="n"/>
      <c r="V33" s="60" t="n"/>
      <c r="W33" s="60" t="n"/>
      <c r="X33" s="60" t="n"/>
      <c r="Y33" s="60" t="n"/>
      <c r="Z33" s="60" t="n"/>
      <c r="AA33" s="60" t="n"/>
      <c r="AB33" s="60" t="n"/>
      <c r="AC33" s="60" t="n"/>
      <c r="AD33" s="60" t="n"/>
      <c r="AE33" s="60" t="n"/>
      <c r="AF33" s="60" t="n"/>
      <c r="AG33" s="60" t="n"/>
      <c r="AH33" s="60" t="n"/>
      <c r="AI33" s="60" t="n"/>
      <c r="AJ33" s="60" t="n"/>
      <c r="AK33" s="120">
        <f>IF(L33&gt;0,L33*90.44,0)+IF(M33&gt;0,M33*348.12,0)+IF(N33&gt;0,N33*151.63,0)+IF(O33&gt;0,O33*197.82,0)+IF(P33&gt;0,P33*244.09,0)+IF(Q33&gt;0,Q33*315.35,0)+IF(R33&gt;0,R33*1067.3,0)+IF(T33&gt;0,T33*567.47,0)+IF(U33&gt;0,U33*151.63,0)+IF(V33&gt;0,V33*197.84,0)+IF(W33&gt;0,W33*470.51,0)+IF(X33&gt;0,X33*701.69,0)+IF(Z33&gt;0,Z33*151.63,0)+IF(AA33&gt;0,AA33*197.84)+IF(AB33&gt;0,AB33*308.4,0)+IF(AC33&gt;0,AC33*496.16,0)</f>
        <v/>
      </c>
    </row>
    <row r="34">
      <c r="A34" s="58" t="inlineStr">
        <is>
          <t>1 DEZ VI</t>
        </is>
      </c>
      <c r="B34" s="59">
        <f>IF(H34&lt;$B$1,"VENCIDO","NA VALIDADE")</f>
        <v/>
      </c>
      <c r="C34" s="60" t="inlineStr">
        <is>
          <t>BASE OP</t>
        </is>
      </c>
      <c r="D34" s="61" t="inlineStr">
        <is>
          <t>BASE OPERACIONAL ALAGOINHA</t>
        </is>
      </c>
      <c r="E34" s="62" t="inlineStr">
        <is>
          <t>ALAGOINHAS</t>
        </is>
      </c>
      <c r="F34" s="61" t="inlineStr">
        <is>
          <t>FEIRA DE  SANTANA</t>
        </is>
      </c>
      <c r="G34" s="60" t="inlineStr">
        <is>
          <t>BA</t>
        </is>
      </c>
      <c r="H34" s="119" t="n">
        <v>45323</v>
      </c>
      <c r="I34" s="119">
        <f>H34-180</f>
        <v/>
      </c>
      <c r="J34" s="60">
        <f>SUM(L34:AE34)</f>
        <v/>
      </c>
      <c r="K34" s="60">
        <f>SUM(AF34:AJ34)</f>
        <v/>
      </c>
      <c r="L34" s="60" t="n">
        <v>2</v>
      </c>
      <c r="M34" s="60" t="n"/>
      <c r="N34" s="60" t="n"/>
      <c r="O34" s="60" t="n">
        <v>2</v>
      </c>
      <c r="P34" s="60" t="n"/>
      <c r="Q34" s="60" t="n"/>
      <c r="R34" s="60" t="n"/>
      <c r="S34" s="60" t="n"/>
      <c r="T34" s="60" t="n"/>
      <c r="U34" s="60" t="n"/>
      <c r="V34" s="60" t="n"/>
      <c r="W34" s="60" t="n"/>
      <c r="X34" s="60" t="n"/>
      <c r="Y34" s="60" t="n"/>
      <c r="Z34" s="60" t="n"/>
      <c r="AA34" s="60" t="n"/>
      <c r="AB34" s="60" t="n"/>
      <c r="AC34" s="60" t="n"/>
      <c r="AD34" s="60" t="n"/>
      <c r="AE34" s="60" t="n"/>
      <c r="AF34" s="60" t="n"/>
      <c r="AG34" s="60" t="n"/>
      <c r="AH34" s="60" t="n"/>
      <c r="AI34" s="60" t="n"/>
      <c r="AJ34" s="60" t="n"/>
      <c r="AK34" s="120">
        <f>IF(L34&gt;0,L34*90.44,0)+IF(M34&gt;0,M34*348.12,0)+IF(N34&gt;0,N34*151.63,0)+IF(O34&gt;0,O34*197.82,0)+IF(P34&gt;0,P34*244.09,0)+IF(Q34&gt;0,Q34*315.35,0)+IF(R34&gt;0,R34*1067.3,0)+IF(T34&gt;0,T34*567.47,0)+IF(U34&gt;0,U34*151.63,0)+IF(V34&gt;0,V34*197.84,0)+IF(W34&gt;0,W34*470.51,0)+IF(X34&gt;0,X34*701.69,0)+IF(Z34&gt;0,Z34*151.63,0)+IF(AA34&gt;0,AA34*197.84)+IF(AB34&gt;0,AB34*308.4,0)+IF(AC34&gt;0,AC34*496.16,0)</f>
        <v/>
      </c>
    </row>
    <row r="35" hidden="1">
      <c r="A35" s="58" t="inlineStr">
        <is>
          <t>08/11 a 12/11</t>
        </is>
      </c>
      <c r="B35" s="59">
        <f>IF(H35&lt;$B$1,"VENCIDO","NA VALIDADE")</f>
        <v/>
      </c>
      <c r="C35" s="60" t="inlineStr">
        <is>
          <t>BASE OP</t>
        </is>
      </c>
      <c r="D35" s="61" t="inlineStr">
        <is>
          <t>BASE OPERACIONAL ANDARAÍ</t>
        </is>
      </c>
      <c r="E35" s="62" t="inlineStr">
        <is>
          <t>ANDARAÍ</t>
        </is>
      </c>
      <c r="F35" s="61" t="inlineStr">
        <is>
          <t>VITÓRIA DA CONQUISTA</t>
        </is>
      </c>
      <c r="G35" s="60" t="inlineStr">
        <is>
          <t>BA</t>
        </is>
      </c>
      <c r="H35" s="119" t="n">
        <v>45444</v>
      </c>
      <c r="I35" s="119">
        <f>H35-180</f>
        <v/>
      </c>
      <c r="J35" s="60">
        <f>SUM(L35:AE35)</f>
        <v/>
      </c>
      <c r="K35" s="60">
        <f>SUM(AF35:AJ35)</f>
        <v/>
      </c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>
        <v>2</v>
      </c>
      <c r="W35" s="60" t="n"/>
      <c r="X35" s="60" t="n"/>
      <c r="Y35" s="60" t="n"/>
      <c r="Z35" s="60" t="n"/>
      <c r="AA35" s="60" t="n"/>
      <c r="AB35" s="60" t="n"/>
      <c r="AC35" s="60" t="n"/>
      <c r="AD35" s="60" t="n"/>
      <c r="AE35" s="60" t="n"/>
      <c r="AF35" s="60" t="n"/>
      <c r="AG35" s="60" t="n"/>
      <c r="AH35" s="60" t="n"/>
      <c r="AI35" s="60" t="n"/>
      <c r="AJ35" s="60" t="n"/>
      <c r="AK35" s="120">
        <f>IF(L35&gt;0,L35*90.44,0)+IF(M35&gt;0,M35*348.12,0)+IF(N35&gt;0,N35*151.63,0)+IF(O35&gt;0,O35*197.82,0)+IF(P35&gt;0,P35*244.09,0)+IF(Q35&gt;0,Q35*315.35,0)+IF(R35&gt;0,R35*1067.3,0)+IF(T35&gt;0,T35*567.47,0)+IF(U35&gt;0,U35*151.63,0)+IF(V35&gt;0,V35*197.84,0)+IF(W35&gt;0,W35*470.51,0)+IF(X35&gt;0,X35*701.69,0)+IF(Z35&gt;0,Z35*151.63,0)+IF(AA35&gt;0,AA35*197.84)+IF(AB35&gt;0,AB35*308.4,0)+IF(AC35&gt;0,AC35*496.16,0)</f>
        <v/>
      </c>
    </row>
    <row r="36">
      <c r="A36" s="58" t="inlineStr">
        <is>
          <t>SIM</t>
        </is>
      </c>
      <c r="B36" s="59">
        <f>IF(H36&lt;$B$1,"VENCIDO","NA VALIDADE")</f>
        <v/>
      </c>
      <c r="C36" s="60" t="inlineStr">
        <is>
          <t>BASE OP</t>
        </is>
      </c>
      <c r="D36" s="61" t="inlineStr">
        <is>
          <t>BASE OPERACIONAL ARACI</t>
        </is>
      </c>
      <c r="E36" s="62" t="inlineStr">
        <is>
          <t>ARACI</t>
        </is>
      </c>
      <c r="F36" s="61" t="inlineStr">
        <is>
          <t>FEIRA DE  SANTANA</t>
        </is>
      </c>
      <c r="G36" s="60" t="inlineStr">
        <is>
          <t>BA</t>
        </is>
      </c>
      <c r="H36" s="119" t="n">
        <v>45352</v>
      </c>
      <c r="I36" s="119">
        <f>H36-180</f>
        <v/>
      </c>
      <c r="J36" s="60">
        <f>SUM(L36:AE36)</f>
        <v/>
      </c>
      <c r="K36" s="60">
        <f>SUM(AF36:AJ36)</f>
        <v/>
      </c>
      <c r="L36" s="60" t="n"/>
      <c r="M36" s="60" t="n"/>
      <c r="N36" s="60" t="n"/>
      <c r="O36" s="60" t="n"/>
      <c r="P36" s="60" t="n"/>
      <c r="Q36" s="60" t="n"/>
      <c r="R36" s="60" t="n"/>
      <c r="S36" s="60" t="n"/>
      <c r="T36" s="60" t="n"/>
      <c r="U36" s="60" t="n"/>
      <c r="V36" s="60" t="n">
        <v>3</v>
      </c>
      <c r="W36" s="60" t="n"/>
      <c r="X36" s="60" t="n"/>
      <c r="Y36" s="60" t="n"/>
      <c r="Z36" s="60" t="n"/>
      <c r="AA36" s="60" t="n"/>
      <c r="AB36" s="60" t="n"/>
      <c r="AC36" s="60" t="n"/>
      <c r="AD36" s="60" t="n"/>
      <c r="AE36" s="60" t="n"/>
      <c r="AF36" s="60" t="n"/>
      <c r="AG36" s="60" t="n"/>
      <c r="AH36" s="60" t="n"/>
      <c r="AI36" s="60" t="n"/>
      <c r="AJ36" s="60" t="n"/>
      <c r="AK36" s="120">
        <f>IF(L36&gt;0,L36*90.44,0)+IF(M36&gt;0,M36*348.12,0)+IF(N36&gt;0,N36*151.63,0)+IF(O36&gt;0,O36*197.82,0)+IF(P36&gt;0,P36*244.09,0)+IF(Q36&gt;0,Q36*315.35,0)+IF(R36&gt;0,R36*1067.3,0)+IF(T36&gt;0,T36*567.47,0)+IF(U36&gt;0,U36*151.63,0)+IF(V36&gt;0,V36*197.84,0)+IF(W36&gt;0,W36*470.51,0)+IF(X36&gt;0,X36*701.69,0)+IF(Z36&gt;0,Z36*151.63,0)+IF(AA36&gt;0,AA36*197.84)+IF(AB36&gt;0,AB36*308.4,0)+IF(AC36&gt;0,AC36*496.16,0)</f>
        <v/>
      </c>
    </row>
    <row r="37">
      <c r="A37" s="58" t="n"/>
      <c r="B37" s="59">
        <f>IF(H37&lt;$B$1,"VENCIDO","NA VALIDADE")</f>
        <v/>
      </c>
      <c r="C37" s="60" t="inlineStr">
        <is>
          <t>AGÊNCIA</t>
        </is>
      </c>
      <c r="D37" s="61" t="inlineStr">
        <is>
          <t>AGÊNCIA BARRA ( SH VITORIA CENTER TERREO )</t>
        </is>
      </c>
      <c r="E37" s="62" t="inlineStr">
        <is>
          <t>SALVADOR</t>
        </is>
      </c>
      <c r="F37" s="61" t="inlineStr">
        <is>
          <t>FEIRA DE  SANTANA</t>
        </is>
      </c>
      <c r="G37" s="60" t="inlineStr">
        <is>
          <t>BA</t>
        </is>
      </c>
      <c r="H37" s="119" t="n">
        <v>45323</v>
      </c>
      <c r="I37" s="119" t="n">
        <v>45323</v>
      </c>
      <c r="J37" s="60">
        <f>SUM(L37:AE37)</f>
        <v/>
      </c>
      <c r="K37" s="60">
        <f>SUM(AF37:AJ37)</f>
        <v/>
      </c>
      <c r="L37" s="60" t="n">
        <v>1</v>
      </c>
      <c r="M37" s="60" t="n"/>
      <c r="N37" s="60" t="n"/>
      <c r="O37" s="60" t="n"/>
      <c r="P37" s="60" t="n"/>
      <c r="Q37" s="60" t="n"/>
      <c r="R37" s="60" t="n"/>
      <c r="S37" s="60" t="n"/>
      <c r="T37" s="60" t="n"/>
      <c r="U37" s="60" t="n"/>
      <c r="V37" s="60" t="n"/>
      <c r="W37" s="60" t="n"/>
      <c r="X37" s="60" t="n"/>
      <c r="Y37" s="60" t="n"/>
      <c r="Z37" s="60" t="n"/>
      <c r="AA37" s="60" t="n">
        <v>1</v>
      </c>
      <c r="AB37" s="60" t="n"/>
      <c r="AC37" s="60" t="n"/>
      <c r="AD37" s="60" t="n"/>
      <c r="AE37" s="60" t="n"/>
      <c r="AF37" s="60" t="n"/>
      <c r="AG37" s="60" t="n"/>
      <c r="AH37" s="60" t="n"/>
      <c r="AI37" s="60" t="n"/>
      <c r="AJ37" s="60" t="n"/>
      <c r="AK37" s="120">
        <f>IF(L37&gt;0,L37*90.44,0)+IF(M37&gt;0,M37*348.12,0)+IF(N37&gt;0,N37*151.63,0)+IF(O37&gt;0,O37*197.82,0)+IF(P37&gt;0,P37*244.09,0)+IF(Q37&gt;0,Q37*315.35,0)+IF(R37&gt;0,R37*1067.3,0)+IF(T37&gt;0,T37*567.47,0)+IF(U37&gt;0,U37*151.63,0)+IF(V37&gt;0,V37*197.84,0)+IF(W37&gt;0,W37*470.51,0)+IF(X37&gt;0,X37*701.69,0)+IF(Z37&gt;0,Z37*151.63,0)+IF(AA37&gt;0,AA37*197.84)+IF(AB37&gt;0,AB37*308.4,0)+IF(AC37&gt;0,AC37*496.16,0)</f>
        <v/>
      </c>
    </row>
    <row r="38" hidden="1">
      <c r="A38" s="58" t="inlineStr">
        <is>
          <t>SIM</t>
        </is>
      </c>
      <c r="B38" s="59">
        <f>IF(H38&lt;$B$1,"VENCIDO","NA VALIDADE")</f>
        <v/>
      </c>
      <c r="C38" s="60" t="inlineStr">
        <is>
          <t>BASE OP</t>
        </is>
      </c>
      <c r="D38" s="61" t="inlineStr">
        <is>
          <t>BASE OPERACIONAL BARRA GRANDE</t>
        </is>
      </c>
      <c r="E38" s="62" t="inlineStr">
        <is>
          <t>BARRA GRANDE</t>
        </is>
      </c>
      <c r="F38" s="61" t="inlineStr">
        <is>
          <t>ILHÉUS</t>
        </is>
      </c>
      <c r="G38" s="60" t="inlineStr">
        <is>
          <t>BA</t>
        </is>
      </c>
      <c r="H38" s="119" t="n">
        <v>45474</v>
      </c>
      <c r="I38" s="119">
        <f>H38-180</f>
        <v/>
      </c>
      <c r="J38" s="60">
        <f>SUM(L38:AE38)</f>
        <v/>
      </c>
      <c r="K38" s="60">
        <f>SUM(AF38:AJ38)</f>
        <v/>
      </c>
      <c r="L38" s="60" t="n"/>
      <c r="M38" s="60" t="n"/>
      <c r="N38" s="60" t="n"/>
      <c r="O38" s="60" t="n">
        <v>1</v>
      </c>
      <c r="P38" s="60" t="n"/>
      <c r="Q38" s="60" t="n"/>
      <c r="R38" s="60" t="n"/>
      <c r="S38" s="60" t="n"/>
      <c r="T38" s="60" t="n"/>
      <c r="U38" s="60" t="n"/>
      <c r="V38" s="60" t="n"/>
      <c r="W38" s="60" t="n"/>
      <c r="X38" s="60" t="n"/>
      <c r="Y38" s="60" t="n"/>
      <c r="Z38" s="60" t="n"/>
      <c r="AA38" s="60" t="n">
        <v>1</v>
      </c>
      <c r="AB38" s="60" t="n"/>
      <c r="AC38" s="60" t="n"/>
      <c r="AD38" s="60" t="n"/>
      <c r="AE38" s="60" t="n"/>
      <c r="AF38" s="60" t="n"/>
      <c r="AG38" s="60" t="n"/>
      <c r="AH38" s="60" t="n"/>
      <c r="AI38" s="60" t="n"/>
      <c r="AJ38" s="60" t="n"/>
      <c r="AK38" s="120">
        <f>IF(L38&gt;0,L38*90.44,0)+IF(M38&gt;0,M38*348.12,0)+IF(N38&gt;0,N38*151.63,0)+IF(O38&gt;0,O38*197.82,0)+IF(P38&gt;0,P38*244.09,0)+IF(Q38&gt;0,Q38*315.35,0)+IF(R38&gt;0,R38*1067.3,0)+IF(T38&gt;0,T38*567.47,0)+IF(U38&gt;0,U38*151.63,0)+IF(V38&gt;0,V38*197.84,0)+IF(W38&gt;0,W38*470.51,0)+IF(X38&gt;0,X38*701.69,0)+IF(Z38&gt;0,Z38*151.63,0)+IF(AA38&gt;0,AA38*197.84)+IF(AB38&gt;0,AB38*308.4,0)+IF(AC38&gt;0,AC38*496.16,0)</f>
        <v/>
      </c>
    </row>
    <row r="39">
      <c r="A39" s="58" t="n"/>
      <c r="B39" s="59">
        <f>IF(H39&lt;$B$1,"VENCIDO","NA VALIDADE")</f>
        <v/>
      </c>
      <c r="C39" s="60" t="inlineStr">
        <is>
          <t>BASE OP</t>
        </is>
      </c>
      <c r="D39" s="61" t="inlineStr">
        <is>
          <t>BASE OPERACIONAL BARRA</t>
        </is>
      </c>
      <c r="E39" s="62" t="inlineStr">
        <is>
          <t>BARRA</t>
        </is>
      </c>
      <c r="F39" s="61" t="inlineStr">
        <is>
          <t>FEIRA DE  SANTANA</t>
        </is>
      </c>
      <c r="G39" s="60" t="inlineStr">
        <is>
          <t>BA</t>
        </is>
      </c>
      <c r="H39" s="119" t="n">
        <v>45444</v>
      </c>
      <c r="I39" s="119">
        <f>H39-180</f>
        <v/>
      </c>
      <c r="J39" s="60">
        <f>SUM(L39:AE39)</f>
        <v/>
      </c>
      <c r="K39" s="60">
        <f>SUM(AF39:AJ39)</f>
        <v/>
      </c>
      <c r="L39" s="60" t="n"/>
      <c r="M39" s="60" t="n"/>
      <c r="N39" s="60" t="n"/>
      <c r="O39" s="60" t="n"/>
      <c r="P39" s="60" t="n"/>
      <c r="Q39" s="60" t="n">
        <v>1</v>
      </c>
      <c r="R39" s="60" t="n"/>
      <c r="S39" s="60" t="n"/>
      <c r="T39" s="60" t="n"/>
      <c r="U39" s="60" t="n"/>
      <c r="V39" s="60" t="n"/>
      <c r="W39" s="60" t="n"/>
      <c r="X39" s="60" t="n"/>
      <c r="Y39" s="60" t="n"/>
      <c r="Z39" s="60" t="n"/>
      <c r="AA39" s="60" t="n"/>
      <c r="AB39" s="60" t="n"/>
      <c r="AC39" s="60" t="n"/>
      <c r="AD39" s="60" t="n"/>
      <c r="AE39" s="60" t="n"/>
      <c r="AF39" s="60" t="n"/>
      <c r="AG39" s="60" t="n"/>
      <c r="AH39" s="60" t="n"/>
      <c r="AI39" s="60" t="n"/>
      <c r="AJ39" s="60" t="n"/>
      <c r="AK39" s="120">
        <f>IF(L39&gt;0,L39*90.44,0)+IF(M39&gt;0,M39*348.12,0)+IF(N39&gt;0,N39*151.63,0)+IF(O39&gt;0,O39*197.82,0)+IF(P39&gt;0,P39*244.09,0)+IF(Q39&gt;0,Q39*315.35,0)+IF(R39&gt;0,R39*1067.3,0)+IF(T39&gt;0,T39*567.47,0)+IF(U39&gt;0,U39*151.63,0)+IF(V39&gt;0,V39*197.84,0)+IF(W39&gt;0,W39*470.51,0)+IF(X39&gt;0,X39*701.69,0)+IF(Z39&gt;0,Z39*151.63,0)+IF(AA39&gt;0,AA39*197.84)+IF(AB39&gt;0,AB39*308.4,0)+IF(AC39&gt;0,AC39*496.16,0)</f>
        <v/>
      </c>
    </row>
    <row r="40" hidden="1">
      <c r="A40" s="58" t="inlineStr">
        <is>
          <t>SIM</t>
        </is>
      </c>
      <c r="B40" s="59">
        <f>IF(H40&lt;$B$1,"VENCIDO","NA VALIDADE")</f>
        <v/>
      </c>
      <c r="C40" s="60" t="inlineStr">
        <is>
          <t>BASE OP</t>
        </is>
      </c>
      <c r="D40" s="61" t="inlineStr">
        <is>
          <t>BASE OPERACIONAL BARRA DA ESTIVA</t>
        </is>
      </c>
      <c r="E40" s="62" t="inlineStr">
        <is>
          <t>BARRA DA ESTIVA</t>
        </is>
      </c>
      <c r="F40" s="61" t="inlineStr">
        <is>
          <t>VITÓRIA DA CONQUISTA</t>
        </is>
      </c>
      <c r="G40" s="60" t="inlineStr">
        <is>
          <t>BA</t>
        </is>
      </c>
      <c r="H40" s="119" t="n">
        <v>45292</v>
      </c>
      <c r="I40" s="119">
        <f>H40-180</f>
        <v/>
      </c>
      <c r="J40" s="60">
        <f>SUM(L40:AE40)</f>
        <v/>
      </c>
      <c r="K40" s="60">
        <f>SUM(AF40:AJ40)</f>
        <v/>
      </c>
      <c r="L40" s="60" t="n"/>
      <c r="M40" s="60" t="n"/>
      <c r="N40" s="60" t="n"/>
      <c r="O40" s="60" t="n"/>
      <c r="P40" s="60" t="n"/>
      <c r="Q40" s="60" t="n">
        <v>1</v>
      </c>
      <c r="R40" s="60" t="n"/>
      <c r="S40" s="60" t="n"/>
      <c r="T40" s="60" t="n"/>
      <c r="U40" s="60" t="n"/>
      <c r="V40" s="60" t="n"/>
      <c r="W40" s="60" t="n"/>
      <c r="X40" s="60" t="n"/>
      <c r="Y40" s="60" t="n"/>
      <c r="Z40" s="60" t="n"/>
      <c r="AA40" s="60" t="n"/>
      <c r="AB40" s="60" t="n"/>
      <c r="AC40" s="60" t="n"/>
      <c r="AD40" s="60" t="n"/>
      <c r="AE40" s="60" t="n"/>
      <c r="AF40" s="60" t="n"/>
      <c r="AG40" s="60" t="n"/>
      <c r="AH40" s="60" t="n"/>
      <c r="AI40" s="60" t="n"/>
      <c r="AJ40" s="60" t="n"/>
      <c r="AK40" s="120">
        <f>IF(L40&gt;0,L40*90.44,0)+IF(M40&gt;0,M40*348.12,0)+IF(N40&gt;0,N40*151.63,0)+IF(O40&gt;0,O40*197.82,0)+IF(P40&gt;0,P40*244.09,0)+IF(Q40&gt;0,Q40*315.35,0)+IF(R40&gt;0,R40*1067.3,0)+IF(T40&gt;0,T40*567.47,0)+IF(U40&gt;0,U40*151.63,0)+IF(V40&gt;0,V40*197.84,0)+IF(W40&gt;0,W40*470.51,0)+IF(X40&gt;0,X40*701.69,0)+IF(Z40&gt;0,Z40*151.63,0)+IF(AA40&gt;0,AA40*197.84)+IF(AB40&gt;0,AB40*308.4,0)+IF(AC40&gt;0,AC40*496.16,0)</f>
        <v/>
      </c>
    </row>
    <row r="41" hidden="1">
      <c r="A41" s="58" t="inlineStr">
        <is>
          <t>SIM</t>
        </is>
      </c>
      <c r="B41" s="59">
        <f>IF(H41&lt;$B$1,"VENCIDO","NA VALIDADE")</f>
        <v/>
      </c>
      <c r="C41" s="60" t="inlineStr">
        <is>
          <t>BASE OP</t>
        </is>
      </c>
      <c r="D41" s="61" t="inlineStr">
        <is>
          <t>BASE OPERACIONAL BARRA DO CHOÇA</t>
        </is>
      </c>
      <c r="E41" s="62" t="inlineStr">
        <is>
          <t>BARRA DO CHOÇA</t>
        </is>
      </c>
      <c r="F41" s="61" t="inlineStr">
        <is>
          <t>VITÓRIA DA CONQUISTA</t>
        </is>
      </c>
      <c r="G41" s="60" t="inlineStr">
        <is>
          <t>BA</t>
        </is>
      </c>
      <c r="H41" s="119" t="n">
        <v>45444</v>
      </c>
      <c r="I41" s="119">
        <f>H41-180</f>
        <v/>
      </c>
      <c r="J41" s="60">
        <f>SUM(L41:AE41)</f>
        <v/>
      </c>
      <c r="K41" s="60">
        <f>SUM(AF41:AJ41)</f>
        <v/>
      </c>
      <c r="L41" s="60" t="n"/>
      <c r="M41" s="60" t="n"/>
      <c r="N41" s="60" t="n"/>
      <c r="O41" s="60" t="n"/>
      <c r="P41" s="60" t="n"/>
      <c r="Q41" s="60" t="n"/>
      <c r="R41" s="60" t="n"/>
      <c r="S41" s="60" t="n"/>
      <c r="T41" s="60" t="n"/>
      <c r="U41" s="60" t="n"/>
      <c r="V41" s="60" t="n">
        <v>1</v>
      </c>
      <c r="W41" s="60" t="n"/>
      <c r="X41" s="60" t="n"/>
      <c r="Y41" s="60" t="n"/>
      <c r="Z41" s="60" t="n"/>
      <c r="AA41" s="60" t="n"/>
      <c r="AB41" s="60" t="n"/>
      <c r="AC41" s="60" t="n"/>
      <c r="AD41" s="60" t="n"/>
      <c r="AE41" s="60" t="n"/>
      <c r="AF41" s="60" t="n"/>
      <c r="AG41" s="60" t="n"/>
      <c r="AH41" s="60" t="n"/>
      <c r="AI41" s="60" t="n"/>
      <c r="AJ41" s="60" t="n"/>
      <c r="AK41" s="120">
        <f>IF(L41&gt;0,L41*90.44,0)+IF(M41&gt;0,M41*348.12,0)+IF(N41&gt;0,N41*151.63,0)+IF(O41&gt;0,O41*197.82,0)+IF(P41&gt;0,P41*244.09,0)+IF(Q41&gt;0,Q41*315.35,0)+IF(R41&gt;0,R41*1067.3,0)+IF(T41&gt;0,T41*567.47,0)+IF(U41&gt;0,U41*151.63,0)+IF(V41&gt;0,V41*197.84,0)+IF(W41&gt;0,W41*470.51,0)+IF(X41&gt;0,X41*701.69,0)+IF(Z41&gt;0,Z41*151.63,0)+IF(AA41&gt;0,AA41*197.84)+IF(AB41&gt;0,AB41*308.4,0)+IF(AC41&gt;0,AC41*496.16,0)</f>
        <v/>
      </c>
    </row>
    <row r="42">
      <c r="A42" s="58" t="inlineStr">
        <is>
          <t>SIM</t>
        </is>
      </c>
      <c r="B42" s="59">
        <f>IF(H42&lt;$B$1,"VENCIDO","NA VALIDADE")</f>
        <v/>
      </c>
      <c r="C42" s="60" t="inlineStr">
        <is>
          <t>BASE OP</t>
        </is>
      </c>
      <c r="D42" s="61" t="inlineStr">
        <is>
          <t>BASE OPERACIONAL BURITIRAMA</t>
        </is>
      </c>
      <c r="E42" s="62" t="inlineStr">
        <is>
          <t>BURITIRAMA</t>
        </is>
      </c>
      <c r="F42" s="61" t="inlineStr">
        <is>
          <t>FEIRA DE  SANTANA</t>
        </is>
      </c>
      <c r="G42" s="60" t="inlineStr">
        <is>
          <t>BA</t>
        </is>
      </c>
      <c r="H42" s="119" t="n">
        <v>45536</v>
      </c>
      <c r="I42" s="119">
        <f>H42-180</f>
        <v/>
      </c>
      <c r="J42" s="60">
        <f>SUM(L42:AE42)</f>
        <v/>
      </c>
      <c r="K42" s="60">
        <f>SUM(AF42:AJ42)</f>
        <v/>
      </c>
      <c r="L42" s="60" t="n"/>
      <c r="M42" s="60" t="n"/>
      <c r="N42" s="60" t="n"/>
      <c r="O42" s="60" t="n"/>
      <c r="P42" s="60" t="n"/>
      <c r="Q42" s="60" t="n">
        <v>1</v>
      </c>
      <c r="R42" s="60" t="n"/>
      <c r="S42" s="60" t="n"/>
      <c r="T42" s="60" t="n"/>
      <c r="U42" s="60" t="n"/>
      <c r="V42" s="60" t="n"/>
      <c r="W42" s="60" t="n"/>
      <c r="X42" s="60" t="n"/>
      <c r="Y42" s="60" t="n"/>
      <c r="Z42" s="60" t="n"/>
      <c r="AA42" s="60" t="n"/>
      <c r="AB42" s="60" t="n"/>
      <c r="AC42" s="60" t="n"/>
      <c r="AD42" s="60" t="n"/>
      <c r="AE42" s="60" t="n"/>
      <c r="AF42" s="60" t="n"/>
      <c r="AG42" s="60" t="n"/>
      <c r="AH42" s="60" t="n"/>
      <c r="AI42" s="60" t="n"/>
      <c r="AJ42" s="60" t="n"/>
      <c r="AK42" s="120">
        <f>IF(L42&gt;0,L42*90.44,0)+IF(M42&gt;0,M42*348.12,0)+IF(N42&gt;0,N42*151.63,0)+IF(O42&gt;0,O42*197.82,0)+IF(P42&gt;0,P42*244.09,0)+IF(Q42&gt;0,Q42*315.35,0)+IF(R42&gt;0,R42*1067.3,0)+IF(T42&gt;0,T42*567.47,0)+IF(U42&gt;0,U42*151.63,0)+IF(V42&gt;0,V42*197.84,0)+IF(W42&gt;0,W42*470.51,0)+IF(X42&gt;0,X42*701.69,0)+IF(Z42&gt;0,Z42*151.63,0)+IF(AA42&gt;0,AA42*197.84)+IF(AB42&gt;0,AB42*308.4,0)+IF(AC42&gt;0,AC42*496.16,0)</f>
        <v/>
      </c>
    </row>
    <row r="43" hidden="1">
      <c r="A43" s="58" t="inlineStr">
        <is>
          <t>VITÓRIA 06/12</t>
        </is>
      </c>
      <c r="B43" s="59">
        <f>IF(H43&lt;$B$1,"VENCIDO","NA VALIDADE")</f>
        <v/>
      </c>
      <c r="C43" s="60" t="inlineStr">
        <is>
          <t>ESTAÇÃO REP</t>
        </is>
      </c>
      <c r="D43" s="61" t="inlineStr">
        <is>
          <t>ESTAÇÃO REPETIDORA ITAPEBI</t>
        </is>
      </c>
      <c r="E43" s="62" t="inlineStr">
        <is>
          <t>ITAPEBI</t>
        </is>
      </c>
      <c r="F43" s="61" t="inlineStr">
        <is>
          <t>ILHÉUS</t>
        </is>
      </c>
      <c r="G43" s="60" t="inlineStr">
        <is>
          <t>BA</t>
        </is>
      </c>
      <c r="H43" s="119" t="n">
        <v>45323</v>
      </c>
      <c r="I43" s="119">
        <f>H43-180</f>
        <v/>
      </c>
      <c r="J43" s="60">
        <f>SUM(L43:AE43)</f>
        <v/>
      </c>
      <c r="K43" s="60">
        <f>SUM(AF43:AJ43)</f>
        <v/>
      </c>
      <c r="L43" s="60" t="n"/>
      <c r="M43" s="60" t="n"/>
      <c r="N43" s="60" t="n"/>
      <c r="O43" s="60" t="n"/>
      <c r="P43" s="60" t="n"/>
      <c r="Q43" s="60" t="n">
        <v>1</v>
      </c>
      <c r="R43" s="60" t="n"/>
      <c r="S43" s="60" t="n"/>
      <c r="T43" s="60" t="n"/>
      <c r="U43" s="60" t="n"/>
      <c r="V43" s="60" t="n"/>
      <c r="W43" s="60" t="n"/>
      <c r="X43" s="60" t="n"/>
      <c r="Y43" s="60" t="n"/>
      <c r="Z43" s="60" t="n"/>
      <c r="AA43" s="60" t="n"/>
      <c r="AB43" s="60" t="n"/>
      <c r="AC43" s="60" t="n"/>
      <c r="AD43" s="60" t="n"/>
      <c r="AE43" s="60" t="n"/>
      <c r="AF43" s="60" t="n"/>
      <c r="AG43" s="60" t="n"/>
      <c r="AH43" s="60" t="n"/>
      <c r="AI43" s="60" t="n"/>
      <c r="AJ43" s="60" t="n"/>
      <c r="AK43" s="120">
        <f>IF(L43&gt;0,L43*90.44,0)+IF(M43&gt;0,M43*348.12,0)+IF(N43&gt;0,N43*151.63,0)+IF(O43&gt;0,O43*197.82,0)+IF(P43&gt;0,P43*244.09,0)+IF(Q43&gt;0,Q43*315.35,0)+IF(R43&gt;0,R43*1067.3,0)+IF(T43&gt;0,T43*567.47,0)+IF(U43&gt;0,U43*151.63,0)+IF(V43&gt;0,V43*197.84,0)+IF(W43&gt;0,W43*470.51,0)+IF(X43&gt;0,X43*701.69,0)+IF(Z43&gt;0,Z43*151.63,0)+IF(AA43&gt;0,AA43*197.84)+IF(AB43&gt;0,AB43*308.4,0)+IF(AC43&gt;0,AC43*496.16,0)</f>
        <v/>
      </c>
    </row>
    <row r="44" hidden="1">
      <c r="A44" s="58" t="n"/>
      <c r="B44" s="59">
        <f>IF(H44&lt;$B$1,"VENCIDO","NA VALIDADE")</f>
        <v/>
      </c>
      <c r="C44" s="60" t="inlineStr">
        <is>
          <t>BASE OP</t>
        </is>
      </c>
      <c r="D44" s="61" t="inlineStr">
        <is>
          <t>BASE OPERACIONAL BELMONTE</t>
        </is>
      </c>
      <c r="E44" s="62" t="inlineStr">
        <is>
          <t>BELMONTE</t>
        </is>
      </c>
      <c r="F44" s="61" t="inlineStr">
        <is>
          <t>ILHÉUS</t>
        </is>
      </c>
      <c r="G44" s="60" t="inlineStr">
        <is>
          <t>BA</t>
        </is>
      </c>
      <c r="H44" s="119" t="n">
        <v>45505</v>
      </c>
      <c r="I44" s="119">
        <f>H44-180</f>
        <v/>
      </c>
      <c r="J44" s="60">
        <f>SUM(L44:AE44)</f>
        <v/>
      </c>
      <c r="K44" s="60">
        <f>SUM(AF44:AJ44)</f>
        <v/>
      </c>
      <c r="L44" s="60" t="n"/>
      <c r="M44" s="60" t="n"/>
      <c r="N44" s="60" t="n"/>
      <c r="O44" s="60" t="n"/>
      <c r="P44" s="60" t="n"/>
      <c r="Q44" s="60" t="n">
        <v>1</v>
      </c>
      <c r="R44" s="60" t="n"/>
      <c r="S44" s="60" t="n"/>
      <c r="T44" s="60" t="n"/>
      <c r="U44" s="60" t="n"/>
      <c r="V44" s="60" t="n"/>
      <c r="W44" s="60" t="n"/>
      <c r="X44" s="60" t="n">
        <v>1</v>
      </c>
      <c r="Y44" s="60" t="n"/>
      <c r="Z44" s="60" t="n"/>
      <c r="AA44" s="60" t="n"/>
      <c r="AB44" s="60" t="n"/>
      <c r="AC44" s="60" t="n"/>
      <c r="AD44" s="60" t="n"/>
      <c r="AE44" s="60" t="n"/>
      <c r="AF44" s="60" t="n"/>
      <c r="AG44" s="60" t="n"/>
      <c r="AH44" s="60" t="n"/>
      <c r="AI44" s="60" t="n"/>
      <c r="AJ44" s="60" t="n"/>
      <c r="AK44" s="120">
        <f>IF(L44&gt;0,L44*90.44,0)+IF(M44&gt;0,M44*348.12,0)+IF(N44&gt;0,N44*151.63,0)+IF(O44&gt;0,O44*197.82,0)+IF(P44&gt;0,P44*244.09,0)+IF(Q44&gt;0,Q44*315.35,0)+IF(R44&gt;0,R44*1067.3,0)+IF(T44&gt;0,T44*567.47,0)+IF(U44&gt;0,U44*151.63,0)+IF(V44&gt;0,V44*197.84,0)+IF(W44&gt;0,W44*470.51,0)+IF(X44&gt;0,X44*701.69,0)+IF(Z44&gt;0,Z44*151.63,0)+IF(AA44&gt;0,AA44*197.84)+IF(AB44&gt;0,AB44*308.4,0)+IF(AC44&gt;0,AC44*496.16,0)</f>
        <v/>
      </c>
    </row>
    <row r="45" hidden="1">
      <c r="A45" s="58" t="inlineStr">
        <is>
          <t>SIM</t>
        </is>
      </c>
      <c r="B45" s="59">
        <f>IF(H45&lt;$B$1,"VENCIDO","NA VALIDADE")</f>
        <v/>
      </c>
      <c r="C45" s="60" t="inlineStr">
        <is>
          <t>BASE OP</t>
        </is>
      </c>
      <c r="D45" s="61" t="inlineStr">
        <is>
          <t>BASE OPERACIONAL BELO CAMPO</t>
        </is>
      </c>
      <c r="E45" s="62" t="inlineStr">
        <is>
          <t>BELO CAMPO</t>
        </is>
      </c>
      <c r="F45" s="61" t="inlineStr">
        <is>
          <t>VITÓRIA DA CONQUISTA</t>
        </is>
      </c>
      <c r="G45" s="60" t="inlineStr">
        <is>
          <t>BA</t>
        </is>
      </c>
      <c r="H45" s="119" t="n">
        <v>45352</v>
      </c>
      <c r="I45" s="119">
        <f>H45-180</f>
        <v/>
      </c>
      <c r="J45" s="60">
        <f>SUM(L45:AE45)</f>
        <v/>
      </c>
      <c r="K45" s="60">
        <f>SUM(AF45:AJ45)</f>
        <v/>
      </c>
      <c r="L45" s="60" t="n"/>
      <c r="M45" s="60" t="n"/>
      <c r="N45" s="60" t="n"/>
      <c r="O45" s="60" t="n"/>
      <c r="P45" s="60" t="n"/>
      <c r="Q45" s="60" t="n"/>
      <c r="R45" s="60" t="n"/>
      <c r="S45" s="60" t="n"/>
      <c r="T45" s="60" t="n"/>
      <c r="U45" s="60" t="n"/>
      <c r="V45" s="60" t="n">
        <v>1</v>
      </c>
      <c r="W45" s="60" t="n"/>
      <c r="X45" s="60" t="n"/>
      <c r="Y45" s="60" t="n"/>
      <c r="Z45" s="60" t="n"/>
      <c r="AA45" s="60" t="n"/>
      <c r="AB45" s="60" t="n"/>
      <c r="AC45" s="60" t="n"/>
      <c r="AD45" s="60" t="n"/>
      <c r="AE45" s="60" t="n"/>
      <c r="AF45" s="60" t="n"/>
      <c r="AG45" s="60" t="n"/>
      <c r="AH45" s="60" t="n"/>
      <c r="AI45" s="60" t="n"/>
      <c r="AJ45" s="60" t="n"/>
      <c r="AK45" s="120">
        <f>IF(L45&gt;0,L45*90.44,0)+IF(M45&gt;0,M45*348.12,0)+IF(N45&gt;0,N45*151.63,0)+IF(O45&gt;0,O45*197.82,0)+IF(P45&gt;0,P45*244.09,0)+IF(Q45&gt;0,Q45*315.35,0)+IF(R45&gt;0,R45*1067.3,0)+IF(T45&gt;0,T45*567.47,0)+IF(U45&gt;0,U45*151.63,0)+IF(V45&gt;0,V45*197.84,0)+IF(W45&gt;0,W45*470.51,0)+IF(X45&gt;0,X45*701.69,0)+IF(Z45&gt;0,Z45*151.63,0)+IF(AA45&gt;0,AA45*197.84)+IF(AB45&gt;0,AB45*308.4,0)+IF(AC45&gt;0,AC45*496.16,0)</f>
        <v/>
      </c>
    </row>
    <row r="46" hidden="1">
      <c r="A46" s="58" t="inlineStr">
        <is>
          <t>SIM</t>
        </is>
      </c>
      <c r="B46" s="59">
        <f>IF(H46&lt;$B$1,"VENCIDO","NA VALIDADE")</f>
        <v/>
      </c>
      <c r="C46" s="60" t="inlineStr">
        <is>
          <t>BASE OP</t>
        </is>
      </c>
      <c r="D46" s="61" t="inlineStr">
        <is>
          <t>BASE OPERACIONAL BOQUIRA</t>
        </is>
      </c>
      <c r="E46" s="62" t="inlineStr">
        <is>
          <t>BOQUIRA</t>
        </is>
      </c>
      <c r="F46" s="61" t="inlineStr">
        <is>
          <t>VITÓRIA DA CONQUISTA</t>
        </is>
      </c>
      <c r="G46" s="60" t="inlineStr">
        <is>
          <t>BA</t>
        </is>
      </c>
      <c r="H46" s="119" t="n">
        <v>45323</v>
      </c>
      <c r="I46" s="119">
        <f>H46-180</f>
        <v/>
      </c>
      <c r="J46" s="60">
        <f>SUM(L46:AE46)</f>
        <v/>
      </c>
      <c r="K46" s="60">
        <f>SUM(AF46:AJ46)</f>
        <v/>
      </c>
      <c r="L46" s="60" t="n"/>
      <c r="M46" s="60" t="n"/>
      <c r="N46" s="60" t="n"/>
      <c r="O46" s="60" t="n"/>
      <c r="P46" s="60" t="n"/>
      <c r="Q46" s="60" t="n">
        <v>2</v>
      </c>
      <c r="R46" s="60" t="n"/>
      <c r="S46" s="60" t="n"/>
      <c r="T46" s="60" t="n"/>
      <c r="U46" s="60" t="n"/>
      <c r="V46" s="60" t="n"/>
      <c r="W46" s="60" t="n"/>
      <c r="X46" s="60" t="n"/>
      <c r="Y46" s="60" t="n"/>
      <c r="Z46" s="60" t="n"/>
      <c r="AA46" s="60" t="n"/>
      <c r="AB46" s="60" t="n"/>
      <c r="AC46" s="60" t="n"/>
      <c r="AD46" s="60" t="n"/>
      <c r="AE46" s="60" t="n"/>
      <c r="AF46" s="60" t="n"/>
      <c r="AG46" s="60" t="n"/>
      <c r="AH46" s="60" t="n"/>
      <c r="AI46" s="60" t="n"/>
      <c r="AJ46" s="60" t="n"/>
      <c r="AK46" s="120">
        <f>IF(L46&gt;0,L46*90.44,0)+IF(M46&gt;0,M46*348.12,0)+IF(N46&gt;0,N46*151.63,0)+IF(O46&gt;0,O46*197.82,0)+IF(P46&gt;0,P46*244.09,0)+IF(Q46&gt;0,Q46*315.35,0)+IF(R46&gt;0,R46*1067.3,0)+IF(T46&gt;0,T46*567.47,0)+IF(U46&gt;0,U46*151.63,0)+IF(V46&gt;0,V46*197.84,0)+IF(W46&gt;0,W46*470.51,0)+IF(X46&gt;0,X46*701.69,0)+IF(Z46&gt;0,Z46*151.63,0)+IF(AA46&gt;0,AA46*197.84)+IF(AB46&gt;0,AB46*308.4,0)+IF(AC46&gt;0,AC46*496.16,0)</f>
        <v/>
      </c>
    </row>
    <row r="47" hidden="1">
      <c r="A47" s="58" t="inlineStr">
        <is>
          <t>SIM</t>
        </is>
      </c>
      <c r="B47" s="59">
        <f>IF(H47&lt;$B$1,"VENCIDO","NA VALIDADE")</f>
        <v/>
      </c>
      <c r="C47" s="60" t="inlineStr">
        <is>
          <t>BASE OP</t>
        </is>
      </c>
      <c r="D47" s="61" t="inlineStr">
        <is>
          <t>BASE OPERACIONAL BREJÕES</t>
        </is>
      </c>
      <c r="E47" s="62" t="inlineStr">
        <is>
          <t>BREJÕES</t>
        </is>
      </c>
      <c r="F47" s="61" t="inlineStr">
        <is>
          <t>VITÓRIA DA CONQUISTA</t>
        </is>
      </c>
      <c r="G47" s="60" t="inlineStr">
        <is>
          <t>BA</t>
        </is>
      </c>
      <c r="H47" s="119" t="n">
        <v>45474</v>
      </c>
      <c r="I47" s="119">
        <f>H47-180</f>
        <v/>
      </c>
      <c r="J47" s="60">
        <f>SUM(L47:AE47)</f>
        <v/>
      </c>
      <c r="K47" s="60">
        <f>SUM(AF47:AJ47)</f>
        <v/>
      </c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>
        <v>2</v>
      </c>
      <c r="W47" s="60" t="n"/>
      <c r="X47" s="60" t="n"/>
      <c r="Y47" s="60" t="n"/>
      <c r="Z47" s="60" t="n"/>
      <c r="AA47" s="60" t="n"/>
      <c r="AB47" s="60" t="n"/>
      <c r="AC47" s="60" t="n"/>
      <c r="AD47" s="60" t="n"/>
      <c r="AE47" s="60" t="n"/>
      <c r="AF47" s="60" t="n"/>
      <c r="AG47" s="60" t="n"/>
      <c r="AH47" s="60" t="n"/>
      <c r="AI47" s="60" t="n"/>
      <c r="AJ47" s="60" t="n"/>
      <c r="AK47" s="120">
        <f>IF(L47&gt;0,L47*90.44,0)+IF(M47&gt;0,M47*348.12,0)+IF(N47&gt;0,N47*151.63,0)+IF(O47&gt;0,O47*197.82,0)+IF(P47&gt;0,P47*244.09,0)+IF(Q47&gt;0,Q47*315.35,0)+IF(R47&gt;0,R47*1067.3,0)+IF(T47&gt;0,T47*567.47,0)+IF(U47&gt;0,U47*151.63,0)+IF(V47&gt;0,V47*197.84,0)+IF(W47&gt;0,W47*470.51,0)+IF(X47&gt;0,X47*701.69,0)+IF(Z47&gt;0,Z47*151.63,0)+IF(AA47&gt;0,AA47*197.84)+IF(AB47&gt;0,AB47*308.4,0)+IF(AC47&gt;0,AC47*496.16,0)</f>
        <v/>
      </c>
    </row>
    <row r="48" hidden="1">
      <c r="A48" s="58" t="inlineStr">
        <is>
          <t>LUCIANO</t>
        </is>
      </c>
      <c r="B48" s="59">
        <f>IF(H48&lt;$B$1,"VENCIDO","NA VALIDADE")</f>
        <v/>
      </c>
      <c r="C48" s="60" t="inlineStr">
        <is>
          <t>BASE OP</t>
        </is>
      </c>
      <c r="D48" s="61" t="inlineStr">
        <is>
          <t xml:space="preserve">BASE OPERACIONAL BREJOLANDIA </t>
        </is>
      </c>
      <c r="E48" s="62" t="inlineStr">
        <is>
          <t>BREJOLANDIA</t>
        </is>
      </c>
      <c r="F48" s="61" t="inlineStr">
        <is>
          <t>VITÓRIA DA CONQUISTA</t>
        </is>
      </c>
      <c r="G48" s="60" t="inlineStr">
        <is>
          <t>BA</t>
        </is>
      </c>
      <c r="H48" s="119" t="n">
        <v>45352</v>
      </c>
      <c r="I48" s="119">
        <f>H48-180</f>
        <v/>
      </c>
      <c r="J48" s="60">
        <f>SUM(L48:AE48)</f>
        <v/>
      </c>
      <c r="K48" s="60">
        <f>SUM(AF48:AJ48)</f>
        <v/>
      </c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>
        <v>1</v>
      </c>
      <c r="W48" s="60" t="n"/>
      <c r="X48" s="60" t="n"/>
      <c r="Y48" s="60" t="n"/>
      <c r="Z48" s="60" t="n"/>
      <c r="AA48" s="60" t="n"/>
      <c r="AB48" s="60" t="n"/>
      <c r="AC48" s="60" t="n"/>
      <c r="AD48" s="60" t="n"/>
      <c r="AE48" s="60" t="n"/>
      <c r="AF48" s="60" t="n"/>
      <c r="AG48" s="60" t="n"/>
      <c r="AH48" s="60" t="n"/>
      <c r="AI48" s="60" t="n"/>
      <c r="AJ48" s="60" t="n"/>
      <c r="AK48" s="120">
        <f>IF(L48&gt;0,L48*90.44,0)+IF(M48&gt;0,M48*348.12,0)+IF(N48&gt;0,N48*151.63,0)+IF(O48&gt;0,O48*197.82,0)+IF(P48&gt;0,P48*244.09,0)+IF(Q48&gt;0,Q48*315.35,0)+IF(R48&gt;0,R48*1067.3,0)+IF(T48&gt;0,T48*567.47,0)+IF(U48&gt;0,U48*151.63,0)+IF(V48&gt;0,V48*197.84,0)+IF(W48&gt;0,W48*470.51,0)+IF(X48&gt;0,X48*701.69,0)+IF(Z48&gt;0,Z48*151.63,0)+IF(AA48&gt;0,AA48*197.84)+IF(AB48&gt;0,AB48*308.4,0)+IF(AC48&gt;0,AC48*496.16,0)</f>
        <v/>
      </c>
    </row>
    <row r="49" hidden="1">
      <c r="A49" s="58" t="n"/>
      <c r="B49" s="59">
        <f>IF(H49&lt;$B$1,"VENCIDO","NA VALIDADE")</f>
        <v/>
      </c>
      <c r="C49" s="60" t="inlineStr">
        <is>
          <t>BASE OP</t>
        </is>
      </c>
      <c r="D49" s="61" t="inlineStr">
        <is>
          <t>BASE OPERACIONAL BROTAS DE MACAUBA</t>
        </is>
      </c>
      <c r="E49" s="62" t="inlineStr">
        <is>
          <t>BROTAS DE MACAUBA</t>
        </is>
      </c>
      <c r="F49" s="61" t="inlineStr">
        <is>
          <t>VITÓRIA DA CONQUISTA</t>
        </is>
      </c>
      <c r="G49" s="60" t="inlineStr">
        <is>
          <t>BA</t>
        </is>
      </c>
      <c r="H49" s="119" t="n">
        <v>45566</v>
      </c>
      <c r="I49" s="119">
        <f>H49-180</f>
        <v/>
      </c>
      <c r="J49" s="60">
        <f>SUM(L49:AE49)</f>
        <v/>
      </c>
      <c r="K49" s="60">
        <f>SUM(AF49:AJ49)</f>
        <v/>
      </c>
      <c r="L49" s="60" t="n"/>
      <c r="M49" s="60" t="n"/>
      <c r="N49" s="60" t="n"/>
      <c r="O49" s="60" t="n"/>
      <c r="P49" s="60" t="n"/>
      <c r="Q49" s="60" t="n">
        <v>1</v>
      </c>
      <c r="R49" s="60" t="n"/>
      <c r="S49" s="60" t="n"/>
      <c r="T49" s="60" t="n"/>
      <c r="U49" s="60" t="n"/>
      <c r="V49" s="60" t="n"/>
      <c r="W49" s="60" t="n"/>
      <c r="X49" s="60" t="n"/>
      <c r="Y49" s="60" t="n"/>
      <c r="Z49" s="60" t="n"/>
      <c r="AA49" s="60" t="n"/>
      <c r="AB49" s="60" t="n"/>
      <c r="AC49" s="60" t="n"/>
      <c r="AD49" s="60" t="n"/>
      <c r="AE49" s="60" t="n"/>
      <c r="AF49" s="60" t="n"/>
      <c r="AG49" s="60" t="n"/>
      <c r="AH49" s="60" t="n"/>
      <c r="AI49" s="60" t="n"/>
      <c r="AJ49" s="60" t="n"/>
      <c r="AK49" s="120">
        <f>IF(L49&gt;0,L49*90.44,0)+IF(M49&gt;0,M49*348.12,0)+IF(N49&gt;0,N49*151.63,0)+IF(O49&gt;0,O49*197.82,0)+IF(P49&gt;0,P49*244.09,0)+IF(Q49&gt;0,Q49*315.35,0)+IF(R49&gt;0,R49*1067.3,0)+IF(T49&gt;0,T49*567.47,0)+IF(U49&gt;0,U49*151.63,0)+IF(V49&gt;0,V49*197.84,0)+IF(W49&gt;0,W49*470.51,0)+IF(X49&gt;0,X49*701.69,0)+IF(Z49&gt;0,Z49*151.63,0)+IF(AA49&gt;0,AA49*197.84)+IF(AB49&gt;0,AB49*308.4,0)+IF(AC49&gt;0,AC49*496.16,0)</f>
        <v/>
      </c>
    </row>
    <row r="50" hidden="1">
      <c r="A50" s="58" t="inlineStr">
        <is>
          <t>SIM</t>
        </is>
      </c>
      <c r="B50" s="59">
        <f>IF(H50&lt;$B$1,"VENCIDO","NA VALIDADE")</f>
        <v/>
      </c>
      <c r="C50" s="60" t="inlineStr">
        <is>
          <t>BASE OP</t>
        </is>
      </c>
      <c r="D50" s="61" t="inlineStr">
        <is>
          <t>BASE OPERACIONAL CACULÉ</t>
        </is>
      </c>
      <c r="E50" s="62" t="inlineStr">
        <is>
          <t>CACULÉ</t>
        </is>
      </c>
      <c r="F50" s="61" t="inlineStr">
        <is>
          <t>VITÓRIA DA CONQUISTA</t>
        </is>
      </c>
      <c r="G50" s="60" t="inlineStr">
        <is>
          <t>BA</t>
        </is>
      </c>
      <c r="H50" s="119" t="n">
        <v>45292</v>
      </c>
      <c r="I50" s="119">
        <f>H50-180</f>
        <v/>
      </c>
      <c r="J50" s="60">
        <f>SUM(L50:AE50)</f>
        <v/>
      </c>
      <c r="K50" s="60">
        <f>SUM(AF50:AJ50)</f>
        <v/>
      </c>
      <c r="L50" s="60" t="n"/>
      <c r="M50" s="60" t="n"/>
      <c r="N50" s="60" t="n"/>
      <c r="O50" s="60" t="n">
        <v>2</v>
      </c>
      <c r="P50" s="60" t="n"/>
      <c r="Q50" s="60" t="n"/>
      <c r="R50" s="60" t="n"/>
      <c r="S50" s="60" t="n"/>
      <c r="T50" s="60" t="n"/>
      <c r="U50" s="60" t="n"/>
      <c r="V50" s="60" t="n"/>
      <c r="W50" s="60" t="n"/>
      <c r="X50" s="60" t="n"/>
      <c r="Y50" s="60" t="n"/>
      <c r="Z50" s="60" t="n"/>
      <c r="AA50" s="60" t="n"/>
      <c r="AB50" s="60" t="n"/>
      <c r="AC50" s="60" t="n"/>
      <c r="AD50" s="60" t="n"/>
      <c r="AE50" s="60" t="n"/>
      <c r="AF50" s="60" t="n"/>
      <c r="AG50" s="60" t="n"/>
      <c r="AH50" s="60" t="n"/>
      <c r="AI50" s="60" t="n"/>
      <c r="AJ50" s="60" t="n"/>
      <c r="AK50" s="120">
        <f>IF(L50&gt;0,L50*90.44,0)+IF(M50&gt;0,M50*348.12,0)+IF(N50&gt;0,N50*151.63,0)+IF(O50&gt;0,O50*197.82,0)+IF(P50&gt;0,P50*244.09,0)+IF(Q50&gt;0,Q50*315.35,0)+IF(R50&gt;0,R50*1067.3,0)+IF(T50&gt;0,T50*567.47,0)+IF(U50&gt;0,U50*151.63,0)+IF(V50&gt;0,V50*197.84,0)+IF(W50&gt;0,W50*470.51,0)+IF(X50&gt;0,X50*701.69,0)+IF(Z50&gt;0,Z50*151.63,0)+IF(AA50&gt;0,AA50*197.84)+IF(AB50&gt;0,AB50*308.4,0)+IF(AC50&gt;0,AC50*496.16,0)</f>
        <v/>
      </c>
    </row>
    <row r="51" hidden="1">
      <c r="A51" s="58" t="inlineStr">
        <is>
          <t>SIM</t>
        </is>
      </c>
      <c r="B51" s="59">
        <f>IF(H51&lt;$B$1,"VENCIDO","NA VALIDADE")</f>
        <v/>
      </c>
      <c r="C51" s="60" t="inlineStr">
        <is>
          <t>BASE OP</t>
        </is>
      </c>
      <c r="D51" s="61" t="inlineStr">
        <is>
          <t>BASE OPERACIONAL CAETITÉ</t>
        </is>
      </c>
      <c r="E51" s="62" t="inlineStr">
        <is>
          <t>CAETITÉ</t>
        </is>
      </c>
      <c r="F51" s="61" t="inlineStr">
        <is>
          <t>VITÓRIA DA CONQUISTA</t>
        </is>
      </c>
      <c r="G51" s="60" t="inlineStr">
        <is>
          <t>BA</t>
        </is>
      </c>
      <c r="H51" s="119" t="n">
        <v>45352</v>
      </c>
      <c r="I51" s="119">
        <f>H51-180</f>
        <v/>
      </c>
      <c r="J51" s="60">
        <f>SUM(L51:AE51)</f>
        <v/>
      </c>
      <c r="K51" s="60">
        <f>SUM(AF51:AJ51)</f>
        <v/>
      </c>
      <c r="L51" s="60" t="n">
        <v>1</v>
      </c>
      <c r="M51" s="60" t="n"/>
      <c r="N51" s="60" t="n"/>
      <c r="O51" s="60" t="n"/>
      <c r="P51" s="60" t="n"/>
      <c r="Q51" s="60" t="n"/>
      <c r="R51" s="60" t="n"/>
      <c r="S51" s="60" t="n"/>
      <c r="T51" s="60" t="n"/>
      <c r="U51" s="60" t="n"/>
      <c r="V51" s="60" t="n"/>
      <c r="W51" s="60" t="n"/>
      <c r="X51" s="60" t="n"/>
      <c r="Y51" s="60" t="n"/>
      <c r="Z51" s="60" t="n"/>
      <c r="AA51" s="60" t="n"/>
      <c r="AB51" s="60" t="n"/>
      <c r="AC51" s="60" t="n"/>
      <c r="AD51" s="60" t="n"/>
      <c r="AE51" s="60" t="n"/>
      <c r="AF51" s="60" t="n"/>
      <c r="AG51" s="60" t="n"/>
      <c r="AH51" s="60" t="n"/>
      <c r="AI51" s="60" t="n"/>
      <c r="AJ51" s="60" t="n"/>
      <c r="AK51" s="120">
        <f>IF(L51&gt;0,L51*90.44,0)+IF(M51&gt;0,M51*348.12,0)+IF(N51&gt;0,N51*151.63,0)+IF(O51&gt;0,O51*197.82,0)+IF(P51&gt;0,P51*244.09,0)+IF(Q51&gt;0,Q51*315.35,0)+IF(R51&gt;0,R51*1067.3,0)+IF(T51&gt;0,T51*567.47,0)+IF(U51&gt;0,U51*151.63,0)+IF(V51&gt;0,V51*197.84,0)+IF(W51&gt;0,W51*470.51,0)+IF(X51&gt;0,X51*701.69,0)+IF(Z51&gt;0,Z51*151.63,0)+IF(AA51&gt;0,AA51*197.84)+IF(AB51&gt;0,AB51*308.4,0)+IF(AC51&gt;0,AC51*496.16,0)</f>
        <v/>
      </c>
    </row>
    <row r="52" hidden="1">
      <c r="A52" s="58" t="inlineStr">
        <is>
          <t>VITÓRIA 06/12</t>
        </is>
      </c>
      <c r="B52" s="59">
        <f>IF(H52&lt;$B$1,"VENCIDO","NA VALIDADE")</f>
        <v/>
      </c>
      <c r="C52" s="60" t="inlineStr">
        <is>
          <t>SUBESTAÇÃO</t>
        </is>
      </c>
      <c r="D52" s="66" t="inlineStr">
        <is>
          <t>SE GUARATINGA</t>
        </is>
      </c>
      <c r="E52" s="62" t="inlineStr">
        <is>
          <t>GUARATINGA</t>
        </is>
      </c>
      <c r="F52" s="61" t="inlineStr">
        <is>
          <t>ILHÉUS</t>
        </is>
      </c>
      <c r="G52" s="60" t="inlineStr">
        <is>
          <t>BA</t>
        </is>
      </c>
      <c r="H52" s="119" t="n">
        <v>45627</v>
      </c>
      <c r="I52" s="119">
        <f>H52-180</f>
        <v/>
      </c>
      <c r="J52" s="60">
        <f>SUM(L52:AE52)</f>
        <v/>
      </c>
      <c r="K52" s="60">
        <f>SUM(AF52:AJ52)</f>
        <v/>
      </c>
      <c r="L52" s="60" t="n"/>
      <c r="M52" s="60" t="n"/>
      <c r="N52" s="60" t="n"/>
      <c r="O52" s="60" t="n">
        <v>1</v>
      </c>
      <c r="P52" s="60" t="n">
        <v>1</v>
      </c>
      <c r="Q52" s="60" t="n">
        <v>2</v>
      </c>
      <c r="R52" s="60" t="n"/>
      <c r="S52" s="60" t="n"/>
      <c r="T52" s="60" t="n">
        <v>1</v>
      </c>
      <c r="U52" s="60" t="n"/>
      <c r="V52" s="60" t="n"/>
      <c r="W52" s="60" t="n"/>
      <c r="X52" s="60" t="n"/>
      <c r="Y52" s="60" t="n"/>
      <c r="Z52" s="60" t="n"/>
      <c r="AA52" s="60" t="n"/>
      <c r="AB52" s="60" t="n"/>
      <c r="AC52" s="60" t="n"/>
      <c r="AD52" s="60" t="n"/>
      <c r="AE52" s="60" t="n"/>
      <c r="AF52" s="60" t="n"/>
      <c r="AG52" s="60" t="n"/>
      <c r="AH52" s="60" t="n"/>
      <c r="AI52" s="60" t="n"/>
      <c r="AJ52" s="60" t="n"/>
      <c r="AK52" s="120">
        <f>IF(L52&gt;0,L52*90.44,0)+IF(M52&gt;0,M52*348.12,0)+IF(N52&gt;0,N52*151.63,0)+IF(O52&gt;0,O52*197.82,0)+IF(P52&gt;0,P52*244.09,0)+IF(Q52&gt;0,Q52*315.35,0)+IF(R52&gt;0,R52*1067.3,0)+IF(T52&gt;0,T52*567.47,0)+IF(U52&gt;0,U52*151.63,0)+IF(V52&gt;0,V52*197.84,0)+IF(W52&gt;0,W52*470.51,0)+IF(X52&gt;0,X52*701.69,0)+IF(Z52&gt;0,Z52*151.63,0)+IF(AA52&gt;0,AA52*197.84)+IF(AB52&gt;0,AB52*308.4,0)+IF(AC52&gt;0,AC52*496.16,0)</f>
        <v/>
      </c>
    </row>
    <row r="53">
      <c r="A53" s="58" t="inlineStr">
        <is>
          <t>SIM</t>
        </is>
      </c>
      <c r="B53" s="59">
        <f>IF(H53&lt;$B$1,"VENCIDO","NA VALIDADE")</f>
        <v/>
      </c>
      <c r="C53" s="60" t="inlineStr">
        <is>
          <t>BASE OP</t>
        </is>
      </c>
      <c r="D53" s="61" t="inlineStr">
        <is>
          <t>BASE OPERACIONAL CAMPO ALEGRE</t>
        </is>
      </c>
      <c r="E53" s="62" t="inlineStr">
        <is>
          <t>CAMPO ALEGRE</t>
        </is>
      </c>
      <c r="F53" s="61" t="inlineStr">
        <is>
          <t>FEIRA DE  SANTANA</t>
        </is>
      </c>
      <c r="G53" s="60" t="inlineStr">
        <is>
          <t>BA</t>
        </is>
      </c>
      <c r="H53" s="119" t="n">
        <v>45505</v>
      </c>
      <c r="I53" s="119">
        <f>H53-180</f>
        <v/>
      </c>
      <c r="J53" s="60">
        <f>SUM(L53:AE53)</f>
        <v/>
      </c>
      <c r="K53" s="60">
        <f>SUM(AF53:AJ53)</f>
        <v/>
      </c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>
        <v>1</v>
      </c>
      <c r="W53" s="60" t="n"/>
      <c r="X53" s="60" t="n"/>
      <c r="Y53" s="60" t="n"/>
      <c r="Z53" s="60" t="n"/>
      <c r="AA53" s="60" t="n"/>
      <c r="AB53" s="60" t="n"/>
      <c r="AC53" s="60" t="n"/>
      <c r="AD53" s="60" t="n"/>
      <c r="AE53" s="60" t="n"/>
      <c r="AF53" s="60" t="n"/>
      <c r="AG53" s="60" t="n"/>
      <c r="AH53" s="60" t="n"/>
      <c r="AI53" s="60" t="n"/>
      <c r="AJ53" s="60" t="n"/>
      <c r="AK53" s="120">
        <f>IF(L53&gt;0,L53*90.44,0)+IF(M53&gt;0,M53*348.12,0)+IF(N53&gt;0,N53*151.63,0)+IF(O53&gt;0,O53*197.82,0)+IF(P53&gt;0,P53*244.09,0)+IF(Q53&gt;0,Q53*315.35,0)+IF(R53&gt;0,R53*1067.3,0)+IF(T53&gt;0,T53*567.47,0)+IF(U53&gt;0,U53*151.63,0)+IF(V53&gt;0,V53*197.84,0)+IF(W53&gt;0,W53*470.51,0)+IF(X53&gt;0,X53*701.69,0)+IF(Z53&gt;0,Z53*151.63,0)+IF(AA53&gt;0,AA53*197.84)+IF(AB53&gt;0,AB53*308.4,0)+IF(AC53&gt;0,AC53*496.16,0)</f>
        <v/>
      </c>
    </row>
    <row r="54">
      <c r="A54" s="58" t="inlineStr">
        <is>
          <t>SIM</t>
        </is>
      </c>
      <c r="B54" s="59">
        <f>IF(H54&lt;$B$1,"VENCIDO","NA VALIDADE")</f>
        <v/>
      </c>
      <c r="C54" s="60" t="inlineStr">
        <is>
          <t>BASE OP</t>
        </is>
      </c>
      <c r="D54" s="61" t="inlineStr">
        <is>
          <t>BASE OPERACIONAL CANARANA</t>
        </is>
      </c>
      <c r="E54" s="62" t="inlineStr">
        <is>
          <t>CANARANA</t>
        </is>
      </c>
      <c r="F54" s="61" t="inlineStr">
        <is>
          <t>FEIRA DE  SANTANA</t>
        </is>
      </c>
      <c r="G54" s="60" t="inlineStr">
        <is>
          <t>BA</t>
        </is>
      </c>
      <c r="H54" s="119" t="n">
        <v>45505</v>
      </c>
      <c r="I54" s="119">
        <f>H54-180</f>
        <v/>
      </c>
      <c r="J54" s="60">
        <f>SUM(L54:AE54)</f>
        <v/>
      </c>
      <c r="K54" s="60">
        <f>SUM(AF54:AJ54)</f>
        <v/>
      </c>
      <c r="L54" s="60" t="n"/>
      <c r="M54" s="60" t="n"/>
      <c r="N54" s="60" t="n"/>
      <c r="O54" s="60" t="n"/>
      <c r="P54" s="60" t="n"/>
      <c r="Q54" s="60" t="n"/>
      <c r="R54" s="60" t="n"/>
      <c r="S54" s="60" t="n"/>
      <c r="T54" s="60" t="n"/>
      <c r="U54" s="60" t="n"/>
      <c r="V54" s="60" t="n">
        <v>1</v>
      </c>
      <c r="W54" s="60" t="n"/>
      <c r="X54" s="60" t="n"/>
      <c r="Y54" s="60" t="n"/>
      <c r="Z54" s="60" t="n"/>
      <c r="AA54" s="60" t="n"/>
      <c r="AB54" s="60" t="n"/>
      <c r="AC54" s="60" t="n"/>
      <c r="AD54" s="60" t="n"/>
      <c r="AE54" s="60" t="n"/>
      <c r="AF54" s="60" t="n"/>
      <c r="AG54" s="60" t="n"/>
      <c r="AH54" s="60" t="n"/>
      <c r="AI54" s="60" t="n"/>
      <c r="AJ54" s="60" t="n"/>
      <c r="AK54" s="120">
        <f>IF(L54&gt;0,L54*90.44,0)+IF(M54&gt;0,M54*348.12,0)+IF(N54&gt;0,N54*151.63,0)+IF(O54&gt;0,O54*197.82,0)+IF(P54&gt;0,P54*244.09,0)+IF(Q54&gt;0,Q54*315.35,0)+IF(R54&gt;0,R54*1067.3,0)+IF(T54&gt;0,T54*567.47,0)+IF(U54&gt;0,U54*151.63,0)+IF(V54&gt;0,V54*197.84,0)+IF(W54&gt;0,W54*470.51,0)+IF(X54&gt;0,X54*701.69,0)+IF(Z54&gt;0,Z54*151.63,0)+IF(AA54&gt;0,AA54*197.84)+IF(AB54&gt;0,AB54*308.4,0)+IF(AC54&gt;0,AC54*496.16,0)</f>
        <v/>
      </c>
    </row>
    <row r="55" hidden="1">
      <c r="A55" s="58" t="inlineStr">
        <is>
          <t>SIM</t>
        </is>
      </c>
      <c r="B55" s="59">
        <f>IF(H55&lt;$B$1,"VENCIDO","NA VALIDADE")</f>
        <v/>
      </c>
      <c r="C55" s="60" t="inlineStr">
        <is>
          <t>SUBESTAÇÃO</t>
        </is>
      </c>
      <c r="D55" s="61" t="inlineStr">
        <is>
          <t>SE ITABEROÉ</t>
        </is>
      </c>
      <c r="E55" s="62" t="inlineStr">
        <is>
          <t>ITUBERÁ</t>
        </is>
      </c>
      <c r="F55" s="61" t="inlineStr">
        <is>
          <t>ILHÉUS</t>
        </is>
      </c>
      <c r="G55" s="60" t="inlineStr">
        <is>
          <t>BA</t>
        </is>
      </c>
      <c r="H55" s="119" t="n">
        <v>45444</v>
      </c>
      <c r="I55" s="119">
        <f>H55-180</f>
        <v/>
      </c>
      <c r="J55" s="60">
        <f>SUM(L55:AE55)</f>
        <v/>
      </c>
      <c r="K55" s="60">
        <f>SUM(AF55:AJ55)</f>
        <v/>
      </c>
      <c r="L55" s="60" t="n"/>
      <c r="M55" s="60" t="n"/>
      <c r="N55" s="60" t="n"/>
      <c r="O55" s="60" t="n"/>
      <c r="P55" s="60" t="n"/>
      <c r="Q55" s="60" t="n">
        <v>3</v>
      </c>
      <c r="R55" s="60" t="n"/>
      <c r="S55" s="60" t="n"/>
      <c r="T55" s="60" t="n">
        <v>1</v>
      </c>
      <c r="U55" s="60" t="n"/>
      <c r="V55" s="60" t="n"/>
      <c r="W55" s="60" t="n"/>
      <c r="X55" s="60" t="n"/>
      <c r="Y55" s="60" t="n"/>
      <c r="Z55" s="60" t="n"/>
      <c r="AA55" s="60" t="n">
        <v>1</v>
      </c>
      <c r="AB55" s="60" t="n"/>
      <c r="AC55" s="60" t="n"/>
      <c r="AD55" s="60" t="n"/>
      <c r="AE55" s="60" t="n"/>
      <c r="AF55" s="60" t="n"/>
      <c r="AG55" s="60" t="n"/>
      <c r="AH55" s="60" t="n"/>
      <c r="AI55" s="60" t="n"/>
      <c r="AJ55" s="60" t="n"/>
      <c r="AK55" s="120">
        <f>IF(L55&gt;0,L55*90.44,0)+IF(M55&gt;0,M55*348.12,0)+IF(N55&gt;0,N55*151.63,0)+IF(O55&gt;0,O55*197.82,0)+IF(P55&gt;0,P55*244.09,0)+IF(Q55&gt;0,Q55*315.35,0)+IF(R55&gt;0,R55*1067.3,0)+IF(T55&gt;0,T55*567.47,0)+IF(U55&gt;0,U55*151.63,0)+IF(V55&gt;0,V55*197.84,0)+IF(W55&gt;0,W55*470.51,0)+IF(X55&gt;0,X55*701.69,0)+IF(Z55&gt;0,Z55*151.63,0)+IF(AA55&gt;0,AA55*197.84)+IF(AB55&gt;0,AB55*308.4,0)+IF(AC55&gt;0,AC55*496.16,0)</f>
        <v/>
      </c>
    </row>
    <row r="56" hidden="1">
      <c r="A56" s="58" t="n"/>
      <c r="B56" s="59">
        <f>IF(H56&lt;$B$1,"VENCIDO","NA VALIDADE")</f>
        <v/>
      </c>
      <c r="C56" s="60" t="inlineStr">
        <is>
          <t>BASE OP</t>
        </is>
      </c>
      <c r="D56" s="61" t="inlineStr">
        <is>
          <t>BASE OPERACIONAL CANDIDO SALES</t>
        </is>
      </c>
      <c r="E56" s="62" t="inlineStr">
        <is>
          <t>CÂNDIDO SALES</t>
        </is>
      </c>
      <c r="F56" s="61" t="inlineStr">
        <is>
          <t>VITÓRIA DA CONQUISTA</t>
        </is>
      </c>
      <c r="G56" s="60" t="inlineStr">
        <is>
          <t>BA</t>
        </is>
      </c>
      <c r="H56" s="119" t="n">
        <v>45352</v>
      </c>
      <c r="I56" s="119">
        <f>H56-180</f>
        <v/>
      </c>
      <c r="J56" s="60">
        <f>SUM(L56:AE56)</f>
        <v/>
      </c>
      <c r="K56" s="60">
        <f>SUM(AF56:AJ56)</f>
        <v/>
      </c>
      <c r="L56" s="60" t="n"/>
      <c r="M56" s="60" t="n"/>
      <c r="N56" s="60" t="n"/>
      <c r="O56" s="60" t="n"/>
      <c r="P56" s="60" t="n"/>
      <c r="Q56" s="60" t="n"/>
      <c r="R56" s="60" t="n"/>
      <c r="S56" s="60" t="n"/>
      <c r="T56" s="60" t="n"/>
      <c r="U56" s="60" t="n"/>
      <c r="V56" s="60" t="n">
        <v>1</v>
      </c>
      <c r="W56" s="60" t="n"/>
      <c r="X56" s="60" t="n"/>
      <c r="Y56" s="60" t="n"/>
      <c r="Z56" s="60" t="n"/>
      <c r="AA56" s="60" t="n"/>
      <c r="AB56" s="60" t="n"/>
      <c r="AC56" s="60" t="n"/>
      <c r="AD56" s="60" t="n"/>
      <c r="AE56" s="60" t="n"/>
      <c r="AF56" s="60" t="n"/>
      <c r="AG56" s="60" t="n"/>
      <c r="AH56" s="60" t="n"/>
      <c r="AI56" s="60" t="n"/>
      <c r="AJ56" s="60" t="n"/>
      <c r="AK56" s="120">
        <f>IF(L56&gt;0,L56*90.44,0)+IF(M56&gt;0,M56*348.12,0)+IF(N56&gt;0,N56*151.63,0)+IF(O56&gt;0,O56*197.82,0)+IF(P56&gt;0,P56*244.09,0)+IF(Q56&gt;0,Q56*315.35,0)+IF(R56&gt;0,R56*1067.3,0)+IF(T56&gt;0,T56*567.47,0)+IF(U56&gt;0,U56*151.63,0)+IF(V56&gt;0,V56*197.84,0)+IF(W56&gt;0,W56*470.51,0)+IF(X56&gt;0,X56*701.69,0)+IF(Z56&gt;0,Z56*151.63,0)+IF(AA56&gt;0,AA56*197.84)+IF(AB56&gt;0,AB56*308.4,0)+IF(AC56&gt;0,AC56*496.16,0)</f>
        <v/>
      </c>
    </row>
    <row r="57">
      <c r="A57" s="58" t="n"/>
      <c r="B57" s="59">
        <f>IF(H57&lt;$B$1,"VENCIDO","NA VALIDADE")</f>
        <v/>
      </c>
      <c r="C57" s="60" t="inlineStr">
        <is>
          <t>BASE OP</t>
        </is>
      </c>
      <c r="D57" s="61" t="inlineStr">
        <is>
          <t>BASE OPERACIONAL CANSANÇÃO</t>
        </is>
      </c>
      <c r="E57" s="62" t="inlineStr">
        <is>
          <t>CANSANÇÃO</t>
        </is>
      </c>
      <c r="F57" s="61" t="inlineStr">
        <is>
          <t>FEIRA DE  SANTANA</t>
        </is>
      </c>
      <c r="G57" s="60" t="inlineStr">
        <is>
          <t>BA</t>
        </is>
      </c>
      <c r="H57" s="119" t="n">
        <v>45444</v>
      </c>
      <c r="I57" s="119">
        <f>H57-180</f>
        <v/>
      </c>
      <c r="J57" s="60">
        <f>SUM(L57:AE57)</f>
        <v/>
      </c>
      <c r="K57" s="60">
        <f>SUM(AF57:AJ57)</f>
        <v/>
      </c>
      <c r="L57" s="60" t="n"/>
      <c r="M57" s="60" t="n"/>
      <c r="N57" s="60" t="n"/>
      <c r="O57" s="60" t="n"/>
      <c r="P57" s="60" t="n"/>
      <c r="Q57" s="60" t="n"/>
      <c r="R57" s="60" t="n"/>
      <c r="S57" s="60" t="n"/>
      <c r="T57" s="60" t="n"/>
      <c r="U57" s="60" t="n"/>
      <c r="V57" s="60" t="n">
        <v>1</v>
      </c>
      <c r="W57" s="60" t="n"/>
      <c r="X57" s="60" t="n"/>
      <c r="Y57" s="60" t="n"/>
      <c r="Z57" s="60" t="n"/>
      <c r="AA57" s="60" t="n"/>
      <c r="AB57" s="60" t="n"/>
      <c r="AC57" s="60" t="n"/>
      <c r="AD57" s="60" t="n"/>
      <c r="AE57" s="60" t="n"/>
      <c r="AF57" s="60" t="n"/>
      <c r="AG57" s="60" t="n"/>
      <c r="AH57" s="60" t="n"/>
      <c r="AI57" s="60" t="n"/>
      <c r="AJ57" s="60" t="n"/>
      <c r="AK57" s="120">
        <f>IF(L57&gt;0,L57*90.44,0)+IF(M57&gt;0,M57*348.12,0)+IF(N57&gt;0,N57*151.63,0)+IF(O57&gt;0,O57*197.82,0)+IF(P57&gt;0,P57*244.09,0)+IF(Q57&gt;0,Q57*315.35,0)+IF(R57&gt;0,R57*1067.3,0)+IF(T57&gt;0,T57*567.47,0)+IF(U57&gt;0,U57*151.63,0)+IF(V57&gt;0,V57*197.84,0)+IF(W57&gt;0,W57*470.51,0)+IF(X57&gt;0,X57*701.69,0)+IF(Z57&gt;0,Z57*151.63,0)+IF(AA57&gt;0,AA57*197.84)+IF(AB57&gt;0,AB57*308.4,0)+IF(AC57&gt;0,AC57*496.16,0)</f>
        <v/>
      </c>
    </row>
    <row r="58">
      <c r="A58" s="58" t="inlineStr">
        <is>
          <t>SIM</t>
        </is>
      </c>
      <c r="B58" s="59">
        <f>IF(H58&lt;$B$1,"VENCIDO","NA VALIDADE")</f>
        <v/>
      </c>
      <c r="C58" s="60" t="inlineStr">
        <is>
          <t>BASE OP</t>
        </is>
      </c>
      <c r="D58" s="61" t="inlineStr">
        <is>
          <t>BASE OPERACIONAL CANUDOS</t>
        </is>
      </c>
      <c r="E58" s="62" t="inlineStr">
        <is>
          <t>CANUDOS</t>
        </is>
      </c>
      <c r="F58" s="61" t="inlineStr">
        <is>
          <t>FEIRA DE  SANTANA</t>
        </is>
      </c>
      <c r="G58" s="60" t="inlineStr">
        <is>
          <t>BA</t>
        </is>
      </c>
      <c r="H58" s="119" t="n">
        <v>45292</v>
      </c>
      <c r="I58" s="119">
        <f>H58-180</f>
        <v/>
      </c>
      <c r="J58" s="60">
        <f>SUM(L58:AE58)</f>
        <v/>
      </c>
      <c r="K58" s="60">
        <f>SUM(AF58:AJ58)</f>
        <v/>
      </c>
      <c r="L58" s="60" t="n"/>
      <c r="M58" s="60" t="n"/>
      <c r="N58" s="60" t="n"/>
      <c r="O58" s="60" t="n"/>
      <c r="P58" s="60" t="n"/>
      <c r="Q58" s="60" t="n"/>
      <c r="R58" s="60" t="n"/>
      <c r="S58" s="60" t="n"/>
      <c r="T58" s="60" t="n"/>
      <c r="U58" s="60" t="n"/>
      <c r="V58" s="60" t="n">
        <v>2</v>
      </c>
      <c r="W58" s="60" t="n"/>
      <c r="X58" s="60" t="n"/>
      <c r="Y58" s="60" t="n"/>
      <c r="Z58" s="60" t="n"/>
      <c r="AA58" s="60" t="n"/>
      <c r="AB58" s="60" t="n"/>
      <c r="AC58" s="60" t="n"/>
      <c r="AD58" s="60" t="n"/>
      <c r="AE58" s="60" t="n"/>
      <c r="AF58" s="60" t="n"/>
      <c r="AG58" s="60" t="n"/>
      <c r="AH58" s="60" t="n"/>
      <c r="AI58" s="60" t="n"/>
      <c r="AJ58" s="60" t="n"/>
      <c r="AK58" s="120">
        <f>IF(L58&gt;0,L58*90.44,0)+IF(M58&gt;0,M58*348.12,0)+IF(N58&gt;0,N58*151.63,0)+IF(O58&gt;0,O58*197.82,0)+IF(P58&gt;0,P58*244.09,0)+IF(Q58&gt;0,Q58*315.35,0)+IF(R58&gt;0,R58*1067.3,0)+IF(T58&gt;0,T58*567.47,0)+IF(U58&gt;0,U58*151.63,0)+IF(V58&gt;0,V58*197.84,0)+IF(W58&gt;0,W58*470.51,0)+IF(X58&gt;0,X58*701.69,0)+IF(Z58&gt;0,Z58*151.63,0)+IF(AA58&gt;0,AA58*197.84)+IF(AB58&gt;0,AB58*308.4,0)+IF(AC58&gt;0,AC58*496.16,0)</f>
        <v/>
      </c>
    </row>
    <row r="59">
      <c r="A59" s="58" t="inlineStr">
        <is>
          <t>SIM</t>
        </is>
      </c>
      <c r="B59" s="59">
        <f>IF(H59&lt;$B$1,"VENCIDO","NA VALIDADE")</f>
        <v/>
      </c>
      <c r="C59" s="60" t="inlineStr">
        <is>
          <t>BASE OP</t>
        </is>
      </c>
      <c r="D59" s="61" t="inlineStr">
        <is>
          <t>BASE OPERACIONAL CAPIM GROSSO</t>
        </is>
      </c>
      <c r="E59" s="62" t="inlineStr">
        <is>
          <t>CAPIM GROSSO</t>
        </is>
      </c>
      <c r="F59" s="61" t="inlineStr">
        <is>
          <t>FEIRA DE  SANTANA</t>
        </is>
      </c>
      <c r="G59" s="60" t="inlineStr">
        <is>
          <t>BA</t>
        </is>
      </c>
      <c r="H59" s="119" t="n">
        <v>45383</v>
      </c>
      <c r="I59" s="119">
        <f>H59-180</f>
        <v/>
      </c>
      <c r="J59" s="60">
        <f>SUM(L59:AE59)</f>
        <v/>
      </c>
      <c r="K59" s="60">
        <f>SUM(AF59:AJ59)</f>
        <v/>
      </c>
      <c r="L59" s="60" t="n"/>
      <c r="M59" s="60" t="n"/>
      <c r="N59" s="60" t="n"/>
      <c r="O59" s="60" t="n">
        <v>2</v>
      </c>
      <c r="P59" s="60" t="n"/>
      <c r="Q59" s="60" t="n"/>
      <c r="R59" s="60" t="n"/>
      <c r="S59" s="60" t="n"/>
      <c r="T59" s="60" t="n"/>
      <c r="U59" s="60" t="n"/>
      <c r="V59" s="60" t="n"/>
      <c r="W59" s="60" t="n"/>
      <c r="X59" s="60" t="n"/>
      <c r="Y59" s="60" t="n"/>
      <c r="Z59" s="60" t="n"/>
      <c r="AA59" s="60" t="n"/>
      <c r="AB59" s="60" t="n"/>
      <c r="AC59" s="60" t="n"/>
      <c r="AD59" s="60" t="n"/>
      <c r="AE59" s="60" t="n"/>
      <c r="AF59" s="60" t="n"/>
      <c r="AG59" s="60" t="n"/>
      <c r="AH59" s="60" t="n"/>
      <c r="AI59" s="60" t="n"/>
      <c r="AJ59" s="60" t="n"/>
      <c r="AK59" s="120">
        <f>IF(L59&gt;0,L59*90.44,0)+IF(M59&gt;0,M59*348.12,0)+IF(N59&gt;0,N59*151.63,0)+IF(O59&gt;0,O59*197.82,0)+IF(P59&gt;0,P59*244.09,0)+IF(Q59&gt;0,Q59*315.35,0)+IF(R59&gt;0,R59*1067.3,0)+IF(T59&gt;0,T59*567.47,0)+IF(U59&gt;0,U59*151.63,0)+IF(V59&gt;0,V59*197.84,0)+IF(W59&gt;0,W59*470.51,0)+IF(X59&gt;0,X59*701.69,0)+IF(Z59&gt;0,Z59*151.63,0)+IF(AA59&gt;0,AA59*197.84)+IF(AB59&gt;0,AB59*308.4,0)+IF(AC59&gt;0,AC59*496.16,0)</f>
        <v/>
      </c>
    </row>
    <row r="60">
      <c r="A60" s="58" t="inlineStr">
        <is>
          <t>SIM</t>
        </is>
      </c>
      <c r="B60" s="59">
        <f>IF(H60&lt;$B$1,"VENCIDO","NA VALIDADE")</f>
        <v/>
      </c>
      <c r="C60" s="60" t="inlineStr">
        <is>
          <t>BASE OP</t>
        </is>
      </c>
      <c r="D60" s="61" t="inlineStr">
        <is>
          <t>BASE OPERACIONAL CASA NOVA</t>
        </is>
      </c>
      <c r="E60" s="62" t="inlineStr">
        <is>
          <t>CASA NOVA</t>
        </is>
      </c>
      <c r="F60" s="61" t="inlineStr">
        <is>
          <t>FEIRA DE  SANTANA</t>
        </is>
      </c>
      <c r="G60" s="60" t="inlineStr">
        <is>
          <t>BA</t>
        </is>
      </c>
      <c r="H60" s="119" t="n">
        <v>45413</v>
      </c>
      <c r="I60" s="119" t="n">
        <v>45413</v>
      </c>
      <c r="J60" s="60">
        <f>SUM(L60:AE60)</f>
        <v/>
      </c>
      <c r="K60" s="60">
        <f>SUM(AF60:AJ60)</f>
        <v/>
      </c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>
        <v>1</v>
      </c>
      <c r="W60" s="60" t="n"/>
      <c r="X60" s="60" t="n"/>
      <c r="Y60" s="60" t="n"/>
      <c r="Z60" s="60" t="n"/>
      <c r="AA60" s="60" t="n">
        <v>1</v>
      </c>
      <c r="AB60" s="60" t="n"/>
      <c r="AC60" s="60" t="n"/>
      <c r="AD60" s="60" t="n"/>
      <c r="AE60" s="60" t="n"/>
      <c r="AF60" s="60" t="n"/>
      <c r="AG60" s="60" t="n"/>
      <c r="AH60" s="60" t="n"/>
      <c r="AI60" s="60" t="n"/>
      <c r="AJ60" s="60" t="n"/>
      <c r="AK60" s="120">
        <f>IF(L60&gt;0,L60*90.44,0)+IF(M60&gt;0,M60*348.12,0)+IF(N60&gt;0,N60*151.63,0)+IF(O60&gt;0,O60*197.82,0)+IF(P60&gt;0,P60*244.09,0)+IF(Q60&gt;0,Q60*315.35,0)+IF(R60&gt;0,R60*1067.3,0)+IF(T60&gt;0,T60*567.47,0)+IF(U60&gt;0,U60*151.63,0)+IF(V60&gt;0,V60*197.84,0)+IF(W60&gt;0,W60*470.51,0)+IF(X60&gt;0,X60*701.69,0)+IF(Z60&gt;0,Z60*151.63,0)+IF(AA60&gt;0,AA60*197.84)+IF(AB60&gt;0,AB60*308.4,0)+IF(AC60&gt;0,AC60*496.16,0)</f>
        <v/>
      </c>
    </row>
    <row r="61">
      <c r="A61" s="58" t="inlineStr">
        <is>
          <t>SIM</t>
        </is>
      </c>
      <c r="B61" s="59">
        <f>IF(H61&lt;$B$1,"VENCIDO","NA VALIDADE")</f>
        <v/>
      </c>
      <c r="C61" s="60" t="inlineStr">
        <is>
          <t>BASE OP</t>
        </is>
      </c>
      <c r="D61" s="61" t="inlineStr">
        <is>
          <t>BASE OPERACIONAL CASTRO ALVES</t>
        </is>
      </c>
      <c r="E61" s="62" t="inlineStr">
        <is>
          <t>CASTRO ALVES</t>
        </is>
      </c>
      <c r="F61" s="61" t="inlineStr">
        <is>
          <t>FEIRA DE  SANTANA</t>
        </is>
      </c>
      <c r="G61" s="60" t="inlineStr">
        <is>
          <t>BA</t>
        </is>
      </c>
      <c r="H61" s="119" t="n">
        <v>45566</v>
      </c>
      <c r="I61" s="119">
        <f>H61-180</f>
        <v/>
      </c>
      <c r="J61" s="60">
        <f>SUM(L61:AE61)</f>
        <v/>
      </c>
      <c r="K61" s="60">
        <f>SUM(AF61:AJ61)</f>
        <v/>
      </c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>
        <v>1</v>
      </c>
      <c r="W61" s="60" t="n"/>
      <c r="X61" s="60" t="n"/>
      <c r="Y61" s="60" t="n"/>
      <c r="Z61" s="60" t="n"/>
      <c r="AA61" s="60" t="n"/>
      <c r="AB61" s="60" t="n"/>
      <c r="AC61" s="60" t="n"/>
      <c r="AD61" s="60" t="n"/>
      <c r="AE61" s="60" t="n"/>
      <c r="AF61" s="60" t="n"/>
      <c r="AG61" s="60" t="n"/>
      <c r="AH61" s="60" t="n"/>
      <c r="AI61" s="60" t="n"/>
      <c r="AJ61" s="60" t="n"/>
      <c r="AK61" s="120">
        <f>IF(L61&gt;0,L61*90.44,0)+IF(M61&gt;0,M61*348.12,0)+IF(N61&gt;0,N61*151.63,0)+IF(O61&gt;0,O61*197.82,0)+IF(P61&gt;0,P61*244.09,0)+IF(Q61&gt;0,Q61*315.35,0)+IF(R61&gt;0,R61*1067.3,0)+IF(T61&gt;0,T61*567.47,0)+IF(U61&gt;0,U61*151.63,0)+IF(V61&gt;0,V61*197.84,0)+IF(W61&gt;0,W61*470.51,0)+IF(X61&gt;0,X61*701.69,0)+IF(Z61&gt;0,Z61*151.63,0)+IF(AA61&gt;0,AA61*197.84)+IF(AB61&gt;0,AB61*308.4,0)+IF(AC61&gt;0,AC61*496.16,0)</f>
        <v/>
      </c>
    </row>
    <row r="62">
      <c r="A62" s="58" t="inlineStr">
        <is>
          <t>rota</t>
        </is>
      </c>
      <c r="B62" s="59">
        <f>IF(H62&lt;$B$1,"VENCIDO","NA VALIDADE")</f>
        <v/>
      </c>
      <c r="C62" s="60" t="inlineStr">
        <is>
          <t>BASE OP</t>
        </is>
      </c>
      <c r="D62" s="61" t="inlineStr">
        <is>
          <t>BASE OPERACIONAL CICERO DANTAS I</t>
        </is>
      </c>
      <c r="E62" s="62" t="inlineStr">
        <is>
          <t>CÍCERO DANTAS</t>
        </is>
      </c>
      <c r="F62" s="61" t="inlineStr">
        <is>
          <t>FEIRA DE  SANTANA</t>
        </is>
      </c>
      <c r="G62" s="60" t="inlineStr">
        <is>
          <t>BA</t>
        </is>
      </c>
      <c r="H62" s="119" t="n">
        <v>45536</v>
      </c>
      <c r="I62" s="119">
        <f>H62-180</f>
        <v/>
      </c>
      <c r="J62" s="60">
        <f>SUM(L62:AE62)</f>
        <v/>
      </c>
      <c r="K62" s="60">
        <f>SUM(AF62:AJ62)</f>
        <v/>
      </c>
      <c r="L62" s="60" t="n"/>
      <c r="M62" s="60" t="n"/>
      <c r="N62" s="60" t="n"/>
      <c r="O62" s="60" t="n"/>
      <c r="P62" s="60" t="n"/>
      <c r="Q62" s="60" t="n"/>
      <c r="R62" s="60" t="n"/>
      <c r="S62" s="60" t="n"/>
      <c r="T62" s="60" t="n"/>
      <c r="U62" s="60" t="n"/>
      <c r="V62" s="60" t="n">
        <v>1</v>
      </c>
      <c r="W62" s="60" t="n"/>
      <c r="X62" s="60" t="n"/>
      <c r="Y62" s="60" t="n"/>
      <c r="Z62" s="60" t="n"/>
      <c r="AA62" s="60" t="n"/>
      <c r="AB62" s="60" t="n"/>
      <c r="AC62" s="60" t="n"/>
      <c r="AD62" s="60" t="n"/>
      <c r="AE62" s="60" t="n"/>
      <c r="AF62" s="60" t="n"/>
      <c r="AG62" s="60" t="n"/>
      <c r="AH62" s="60" t="n"/>
      <c r="AI62" s="60" t="n"/>
      <c r="AJ62" s="60" t="n"/>
      <c r="AK62" s="120">
        <f>IF(L62&gt;0,L62*90.44,0)+IF(M62&gt;0,M62*348.12,0)+IF(N62&gt;0,N62*151.63,0)+IF(O62&gt;0,O62*197.82,0)+IF(P62&gt;0,P62*244.09,0)+IF(Q62&gt;0,Q62*315.35,0)+IF(R62&gt;0,R62*1067.3,0)+IF(T62&gt;0,T62*567.47,0)+IF(U62&gt;0,U62*151.63,0)+IF(V62&gt;0,V62*197.84,0)+IF(W62&gt;0,W62*470.51,0)+IF(X62&gt;0,X62*701.69,0)+IF(Z62&gt;0,Z62*151.63,0)+IF(AA62&gt;0,AA62*197.84)+IF(AB62&gt;0,AB62*308.4,0)+IF(AC62&gt;0,AC62*496.16,0)</f>
        <v/>
      </c>
    </row>
    <row r="63">
      <c r="A63" s="58" t="inlineStr">
        <is>
          <t>SIM</t>
        </is>
      </c>
      <c r="B63" s="59">
        <f>IF(H63&lt;$B$1,"VENCIDO","NA VALIDADE")</f>
        <v/>
      </c>
      <c r="C63" s="60" t="inlineStr">
        <is>
          <t>BASE OP</t>
        </is>
      </c>
      <c r="D63" s="61" t="inlineStr">
        <is>
          <t>BASE OPERACIONAL CICERO DANTAS 2</t>
        </is>
      </c>
      <c r="E63" s="62" t="inlineStr">
        <is>
          <t>CÍCERO DANTAS</t>
        </is>
      </c>
      <c r="F63" s="61" t="inlineStr">
        <is>
          <t>FEIRA DE  SANTANA</t>
        </is>
      </c>
      <c r="G63" s="60" t="inlineStr">
        <is>
          <t>BA</t>
        </is>
      </c>
      <c r="H63" s="119" t="n">
        <v>45536</v>
      </c>
      <c r="I63" s="119">
        <f>H63-180</f>
        <v/>
      </c>
      <c r="J63" s="60" t="n">
        <v>2</v>
      </c>
      <c r="K63" s="60">
        <f>SUM(AF63:AJ63)</f>
        <v/>
      </c>
      <c r="L63" s="60" t="n"/>
      <c r="M63" s="60" t="n"/>
      <c r="N63" s="60" t="n"/>
      <c r="O63" s="60" t="n"/>
      <c r="P63" s="60" t="n"/>
      <c r="Q63" s="60" t="n">
        <v>2</v>
      </c>
      <c r="R63" s="60" t="n"/>
      <c r="S63" s="60" t="n"/>
      <c r="T63" s="60" t="n"/>
      <c r="U63" s="60" t="n"/>
      <c r="V63" s="60" t="n"/>
      <c r="W63" s="60" t="n"/>
      <c r="X63" s="60" t="n"/>
      <c r="Y63" s="60" t="n"/>
      <c r="Z63" s="60" t="n"/>
      <c r="AA63" s="60" t="n"/>
      <c r="AB63" s="60" t="n"/>
      <c r="AC63" s="60" t="n"/>
      <c r="AD63" s="60" t="n"/>
      <c r="AE63" s="60" t="n"/>
      <c r="AF63" s="60" t="n"/>
      <c r="AG63" s="60" t="n"/>
      <c r="AH63" s="60" t="n"/>
      <c r="AI63" s="60" t="n"/>
      <c r="AJ63" s="60" t="n"/>
      <c r="AK63" s="120">
        <f>IF(L63&gt;0,L63*90.44,0)+IF(M63&gt;0,M63*348.12,0)+IF(N63&gt;0,N63*151.63,0)+IF(O63&gt;0,O63*197.82,0)+IF(P63&gt;0,P63*244.09,0)+IF(Q63&gt;0,Q63*315.35,0)+IF(R63&gt;0,R63*1067.3,0)+IF(T63&gt;0,T63*567.47,0)+IF(U63&gt;0,U63*151.63,0)+IF(V63&gt;0,V63*197.84,0)+IF(W63&gt;0,W63*470.51,0)+IF(X63&gt;0,X63*701.69,0)+IF(Z63&gt;0,Z63*151.63,0)+IF(AA63&gt;0,AA63*197.84)+IF(AB63&gt;0,AB63*308.4,0)+IF(AC63&gt;0,AC63*496.16,0)</f>
        <v/>
      </c>
    </row>
    <row r="64" hidden="1">
      <c r="A64" s="58" t="inlineStr">
        <is>
          <t>SIM</t>
        </is>
      </c>
      <c r="B64" s="59">
        <f>IF(H64&lt;$B$1,"VENCIDO","NA VALIDADE")</f>
        <v/>
      </c>
      <c r="C64" s="60" t="inlineStr">
        <is>
          <t>BASE OP</t>
        </is>
      </c>
      <c r="D64" s="61" t="inlineStr">
        <is>
          <t>BASE OPERACIONAL COARACI</t>
        </is>
      </c>
      <c r="E64" s="62" t="inlineStr">
        <is>
          <t>COARACI</t>
        </is>
      </c>
      <c r="F64" s="61" t="inlineStr">
        <is>
          <t>ILHÉUS</t>
        </is>
      </c>
      <c r="G64" s="60" t="inlineStr">
        <is>
          <t>BA</t>
        </is>
      </c>
      <c r="H64" s="119" t="n">
        <v>45505</v>
      </c>
      <c r="I64" s="119">
        <f>H64-180</f>
        <v/>
      </c>
      <c r="J64" s="60">
        <f>SUM(L64:AE64)</f>
        <v/>
      </c>
      <c r="K64" s="60">
        <f>SUM(AF64:AJ64)</f>
        <v/>
      </c>
      <c r="L64" s="60" t="n"/>
      <c r="M64" s="60" t="n"/>
      <c r="N64" s="60" t="n"/>
      <c r="O64" s="60" t="n"/>
      <c r="P64" s="60" t="n"/>
      <c r="Q64" s="60" t="n"/>
      <c r="R64" s="60" t="n"/>
      <c r="S64" s="60" t="n"/>
      <c r="T64" s="60" t="n"/>
      <c r="U64" s="60" t="n"/>
      <c r="V64" s="60" t="n"/>
      <c r="W64" s="60" t="n"/>
      <c r="X64" s="60" t="n"/>
      <c r="Y64" s="60" t="n"/>
      <c r="Z64" s="60" t="n"/>
      <c r="AA64" s="60" t="n">
        <v>1</v>
      </c>
      <c r="AB64" s="60" t="n"/>
      <c r="AC64" s="60" t="n"/>
      <c r="AD64" s="60" t="n"/>
      <c r="AE64" s="60" t="n"/>
      <c r="AF64" s="60" t="n"/>
      <c r="AG64" s="60" t="n"/>
      <c r="AH64" s="60" t="n"/>
      <c r="AI64" s="60" t="n"/>
      <c r="AJ64" s="60" t="n"/>
      <c r="AK64" s="120">
        <f>IF(L64&gt;0,L64*90.44,0)+IF(M64&gt;0,M64*348.12,0)+IF(N64&gt;0,N64*151.63,0)+IF(O64&gt;0,O64*197.82,0)+IF(P64&gt;0,P64*244.09,0)+IF(Q64&gt;0,Q64*315.35,0)+IF(R64&gt;0,R64*1067.3,0)+IF(T64&gt;0,T64*567.47,0)+IF(U64&gt;0,U64*151.63,0)+IF(V64&gt;0,V64*197.84,0)+IF(W64&gt;0,W64*470.51,0)+IF(X64&gt;0,X64*701.69,0)+IF(Z64&gt;0,Z64*151.63,0)+IF(AA64&gt;0,AA64*197.84)+IF(AB64&gt;0,AB64*308.4,0)+IF(AC64&gt;0,AC64*496.16,0)</f>
        <v/>
      </c>
    </row>
    <row r="65" hidden="1">
      <c r="A65" s="58" t="inlineStr">
        <is>
          <t>SIM</t>
        </is>
      </c>
      <c r="B65" s="59">
        <f>IF(H65&lt;$B$1,"VENCIDO","NA VALIDADE")</f>
        <v/>
      </c>
      <c r="C65" s="60" t="inlineStr">
        <is>
          <t>BASE OP</t>
        </is>
      </c>
      <c r="D65" s="61" t="inlineStr">
        <is>
          <t>BASE OPERACIONAL COCOS</t>
        </is>
      </c>
      <c r="E65" s="62" t="inlineStr">
        <is>
          <t>COCOS</t>
        </is>
      </c>
      <c r="F65" s="61" t="inlineStr">
        <is>
          <t>VITÓRIA DA CONQUISTA</t>
        </is>
      </c>
      <c r="G65" s="60" t="inlineStr">
        <is>
          <t>BA</t>
        </is>
      </c>
      <c r="H65" s="119" t="n">
        <v>45627</v>
      </c>
      <c r="I65" s="119">
        <f>H65-180</f>
        <v/>
      </c>
      <c r="J65" s="60">
        <f>SUM(L65:AE65)</f>
        <v/>
      </c>
      <c r="K65" s="60">
        <f>SUM(AF65:AJ65)</f>
        <v/>
      </c>
      <c r="L65" s="60" t="n"/>
      <c r="M65" s="60" t="n"/>
      <c r="N65" s="60" t="n"/>
      <c r="O65" s="60" t="n"/>
      <c r="P65" s="60" t="n"/>
      <c r="Q65" s="60" t="n">
        <v>1</v>
      </c>
      <c r="R65" s="60" t="n"/>
      <c r="S65" s="60" t="n"/>
      <c r="T65" s="60" t="n"/>
      <c r="U65" s="60" t="n"/>
      <c r="V65" s="60" t="n"/>
      <c r="W65" s="60" t="n"/>
      <c r="X65" s="60" t="n"/>
      <c r="Y65" s="60" t="n"/>
      <c r="Z65" s="60" t="n"/>
      <c r="AA65" s="60" t="n"/>
      <c r="AB65" s="60" t="n"/>
      <c r="AC65" s="60" t="n"/>
      <c r="AD65" s="60" t="n"/>
      <c r="AE65" s="60" t="n"/>
      <c r="AF65" s="60" t="n"/>
      <c r="AG65" s="60" t="n"/>
      <c r="AH65" s="60" t="n"/>
      <c r="AI65" s="60" t="n"/>
      <c r="AJ65" s="60" t="n"/>
      <c r="AK65" s="120">
        <f>IF(L65&gt;0,L65*90.44,0)+IF(M65&gt;0,M65*348.12,0)+IF(N65&gt;0,N65*151.63,0)+IF(O65&gt;0,O65*197.82,0)+IF(P65&gt;0,P65*244.09,0)+IF(Q65&gt;0,Q65*315.35,0)+IF(R65&gt;0,R65*1067.3,0)+IF(T65&gt;0,T65*567.47,0)+IF(U65&gt;0,U65*151.63,0)+IF(V65&gt;0,V65*197.84,0)+IF(W65&gt;0,W65*470.51,0)+IF(X65&gt;0,X65*701.69,0)+IF(Z65&gt;0,Z65*151.63,0)+IF(AA65&gt;0,AA65*197.84)+IF(AB65&gt;0,AB65*308.4,0)+IF(AC65&gt;0,AC65*496.16,0)</f>
        <v/>
      </c>
    </row>
    <row r="66">
      <c r="A66" s="58" t="inlineStr">
        <is>
          <t>LUCIANO</t>
        </is>
      </c>
      <c r="B66" s="59">
        <f>IF(H66&lt;$B$1,"VENCIDO","NA VALIDADE")</f>
        <v/>
      </c>
      <c r="C66" s="60" t="inlineStr">
        <is>
          <t>BASE OP</t>
        </is>
      </c>
      <c r="D66" s="61" t="inlineStr">
        <is>
          <t>BASE OPERACIONAL CONCEOÇÃO DO JACUIPE</t>
        </is>
      </c>
      <c r="E66" s="62" t="inlineStr">
        <is>
          <t>CONCEIÇÃO DO JACUÍPE</t>
        </is>
      </c>
      <c r="F66" s="61" t="inlineStr">
        <is>
          <t>FEIRA DE  SANTANA</t>
        </is>
      </c>
      <c r="G66" s="60" t="inlineStr">
        <is>
          <t>BA</t>
        </is>
      </c>
      <c r="H66" s="119" t="n">
        <v>45474</v>
      </c>
      <c r="I66" s="119" t="n">
        <v>45474</v>
      </c>
      <c r="J66" s="60">
        <f>SUM(L66:AE66)</f>
        <v/>
      </c>
      <c r="K66" s="60">
        <f>SUM(AF66:AJ66)</f>
        <v/>
      </c>
      <c r="L66" s="60" t="n"/>
      <c r="M66" s="60" t="n"/>
      <c r="N66" s="60" t="n"/>
      <c r="O66" s="60" t="n">
        <v>2</v>
      </c>
      <c r="P66" s="60" t="n">
        <v>1</v>
      </c>
      <c r="Q66" s="60" t="n"/>
      <c r="R66" s="60" t="n"/>
      <c r="S66" s="60" t="n"/>
      <c r="T66" s="60" t="n"/>
      <c r="U66" s="60" t="n"/>
      <c r="V66" s="60" t="n"/>
      <c r="W66" s="60" t="n"/>
      <c r="X66" s="60" t="n"/>
      <c r="Y66" s="60" t="n"/>
      <c r="Z66" s="60" t="n"/>
      <c r="AA66" s="60" t="n"/>
      <c r="AB66" s="60" t="n"/>
      <c r="AC66" s="60" t="n"/>
      <c r="AD66" s="60" t="n"/>
      <c r="AE66" s="60" t="n"/>
      <c r="AF66" s="60" t="n"/>
      <c r="AG66" s="60" t="n"/>
      <c r="AH66" s="60" t="n"/>
      <c r="AI66" s="60" t="n"/>
      <c r="AJ66" s="60" t="n"/>
      <c r="AK66" s="120">
        <f>IF(L66&gt;0,L66*90.44,0)+IF(M66&gt;0,M66*348.12,0)+IF(N66&gt;0,N66*151.63,0)+IF(O66&gt;0,O66*197.82,0)+IF(P66&gt;0,P66*244.09,0)+IF(Q66&gt;0,Q66*315.35,0)+IF(R66&gt;0,R66*1067.3,0)+IF(T66&gt;0,T66*567.47,0)+IF(U66&gt;0,U66*151.63,0)+IF(V66&gt;0,V66*197.84,0)+IF(W66&gt;0,W66*470.51,0)+IF(X66&gt;0,X66*701.69,0)+IF(Z66&gt;0,Z66*151.63,0)+IF(AA66&gt;0,AA66*197.84)+IF(AB66&gt;0,AB66*308.4,0)+IF(AC66&gt;0,AC66*496.16,0)</f>
        <v/>
      </c>
    </row>
    <row r="67" hidden="1">
      <c r="A67" s="58" t="inlineStr">
        <is>
          <t>SIM</t>
        </is>
      </c>
      <c r="B67" s="59">
        <f>IF(H67&lt;$B$1,"VENCIDO","NA VALIDADE")</f>
        <v/>
      </c>
      <c r="C67" s="60" t="inlineStr">
        <is>
          <t>BASE OP</t>
        </is>
      </c>
      <c r="D67" s="61" t="inlineStr">
        <is>
          <t>BASE OPERACIONAL CONDEÚBA</t>
        </is>
      </c>
      <c r="E67" s="62" t="inlineStr">
        <is>
          <t>CONDEÚBA</t>
        </is>
      </c>
      <c r="F67" s="61" t="inlineStr">
        <is>
          <t>VITÓRIA DA CONQUISTA</t>
        </is>
      </c>
      <c r="G67" s="60" t="inlineStr">
        <is>
          <t>BA</t>
        </is>
      </c>
      <c r="H67" s="119" t="n">
        <v>45505</v>
      </c>
      <c r="I67" s="119">
        <f>H67-180</f>
        <v/>
      </c>
      <c r="J67" s="60">
        <f>SUM(L67:AE67)</f>
        <v/>
      </c>
      <c r="K67" s="60">
        <f>SUM(AF67:AJ67)</f>
        <v/>
      </c>
      <c r="L67" s="60" t="n"/>
      <c r="M67" s="60" t="n"/>
      <c r="N67" s="60" t="n"/>
      <c r="O67" s="60" t="n"/>
      <c r="P67" s="60" t="n"/>
      <c r="Q67" s="60" t="n">
        <v>1</v>
      </c>
      <c r="R67" s="60" t="n"/>
      <c r="S67" s="60" t="n"/>
      <c r="T67" s="60" t="n"/>
      <c r="U67" s="60" t="n"/>
      <c r="V67" s="60" t="n"/>
      <c r="W67" s="60" t="n"/>
      <c r="X67" s="60" t="n"/>
      <c r="Y67" s="60" t="n"/>
      <c r="Z67" s="60" t="n"/>
      <c r="AA67" s="60" t="n"/>
      <c r="AB67" s="60" t="n"/>
      <c r="AC67" s="60" t="n"/>
      <c r="AD67" s="60" t="n"/>
      <c r="AE67" s="60" t="n"/>
      <c r="AF67" s="60" t="n"/>
      <c r="AG67" s="60" t="n"/>
      <c r="AH67" s="60" t="n"/>
      <c r="AI67" s="60" t="n"/>
      <c r="AJ67" s="60" t="n"/>
      <c r="AK67" s="120">
        <f>IF(L67&gt;0,L67*90.44,0)+IF(M67&gt;0,M67*348.12,0)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/>
      </c>
    </row>
    <row r="68" hidden="1">
      <c r="A68" s="58" t="inlineStr">
        <is>
          <t>SIM</t>
        </is>
      </c>
      <c r="B68" s="59">
        <f>IF(H68&lt;$B$1,"VENCIDO","NA VALIDADE")</f>
        <v/>
      </c>
      <c r="C68" s="60" t="inlineStr">
        <is>
          <t>BASE OP</t>
        </is>
      </c>
      <c r="D68" s="61" t="inlineStr">
        <is>
          <t>BASE OPERACIONAL CORRENTINA</t>
        </is>
      </c>
      <c r="E68" s="62" t="inlineStr">
        <is>
          <t>CORRENTINA</t>
        </is>
      </c>
      <c r="F68" s="61" t="inlineStr">
        <is>
          <t>VITÓRIA DA CONQUISTA</t>
        </is>
      </c>
      <c r="G68" s="60" t="inlineStr">
        <is>
          <t>BA</t>
        </is>
      </c>
      <c r="H68" s="119" t="n">
        <v>45536</v>
      </c>
      <c r="I68" s="119">
        <f>H68-180</f>
        <v/>
      </c>
      <c r="J68" s="60">
        <f>SUM(L68:AE68)</f>
        <v/>
      </c>
      <c r="K68" s="60">
        <f>SUM(AF68:AJ68)</f>
        <v/>
      </c>
      <c r="L68" s="60" t="n">
        <v>1</v>
      </c>
      <c r="M68" s="60" t="n"/>
      <c r="N68" s="60" t="n"/>
      <c r="O68" s="60" t="n"/>
      <c r="P68" s="60" t="n"/>
      <c r="Q68" s="60" t="n"/>
      <c r="R68" s="60" t="n"/>
      <c r="S68" s="60" t="n"/>
      <c r="T68" s="60" t="n"/>
      <c r="U68" s="60" t="n"/>
      <c r="V68" s="60" t="n"/>
      <c r="W68" s="60" t="n"/>
      <c r="X68" s="60" t="n"/>
      <c r="Y68" s="60" t="n"/>
      <c r="Z68" s="60" t="n"/>
      <c r="AA68" s="60" t="n"/>
      <c r="AB68" s="60" t="n"/>
      <c r="AC68" s="60" t="n"/>
      <c r="AD68" s="60" t="n"/>
      <c r="AE68" s="60" t="n"/>
      <c r="AF68" s="60" t="n"/>
      <c r="AG68" s="60" t="n"/>
      <c r="AH68" s="60" t="n"/>
      <c r="AI68" s="60" t="n"/>
      <c r="AJ68" s="60" t="n"/>
      <c r="AK68" s="120">
        <f>IF(L68&gt;0,L68*90.44,0)+IF(M68&gt;0,M68*348.12,0)+IF(N68&gt;0,N68*151.63,0)+IF(O68&gt;0,O68*197.82,0)+IF(P68&gt;0,P68*244.09,0)+IF(Q68&gt;0,Q68*315.35,0)+IF(R68&gt;0,R68*1067.3,0)+IF(T68&gt;0,T68*567.47,0)+IF(U68&gt;0,U68*151.63,0)+IF(V68&gt;0,V68*197.84,0)+IF(W68&gt;0,W68*470.51,0)+IF(X68&gt;0,X68*701.69,0)+IF(Z68&gt;0,Z68*151.63,0)+IF(AA68&gt;0,AA68*197.84)+IF(AB68&gt;0,AB68*308.4,0)+IF(AC68&gt;0,AC68*496.16,0)</f>
        <v/>
      </c>
    </row>
    <row r="69" hidden="1">
      <c r="A69" s="58" t="n"/>
      <c r="B69" s="59">
        <f>IF(H69&lt;$B$1,"VENCIDO","NA VALIDADE")</f>
        <v/>
      </c>
      <c r="C69" s="60" t="inlineStr">
        <is>
          <t>BASE OP</t>
        </is>
      </c>
      <c r="D69" s="61" t="inlineStr">
        <is>
          <t>BASE OPERACIONAL CRISTÓPOLIS</t>
        </is>
      </c>
      <c r="E69" s="62" t="inlineStr">
        <is>
          <t>CRISTÓPOLIS</t>
        </is>
      </c>
      <c r="F69" s="61" t="inlineStr">
        <is>
          <t>VITÓRIA DA CONQUISTA</t>
        </is>
      </c>
      <c r="G69" s="60" t="inlineStr">
        <is>
          <t>BA</t>
        </is>
      </c>
      <c r="H69" s="119" t="n">
        <v>45352</v>
      </c>
      <c r="I69" s="119">
        <f>H69-180</f>
        <v/>
      </c>
      <c r="J69" s="60">
        <f>SUM(L69:AE69)</f>
        <v/>
      </c>
      <c r="K69" s="60">
        <f>SUM(AF69:AJ69)</f>
        <v/>
      </c>
      <c r="L69" s="60" t="n"/>
      <c r="M69" s="60" t="n"/>
      <c r="N69" s="60" t="n"/>
      <c r="O69" s="60" t="n"/>
      <c r="P69" s="60" t="n"/>
      <c r="Q69" s="60" t="n"/>
      <c r="R69" s="60" t="n"/>
      <c r="S69" s="60" t="n"/>
      <c r="T69" s="60" t="n"/>
      <c r="U69" s="60" t="n"/>
      <c r="V69" s="60" t="n">
        <v>1</v>
      </c>
      <c r="W69" s="60" t="n"/>
      <c r="X69" s="60" t="n"/>
      <c r="Y69" s="60" t="n"/>
      <c r="Z69" s="60" t="n"/>
      <c r="AA69" s="60" t="n"/>
      <c r="AB69" s="60" t="n"/>
      <c r="AC69" s="60" t="n"/>
      <c r="AD69" s="60" t="n"/>
      <c r="AE69" s="60" t="n"/>
      <c r="AF69" s="60" t="n"/>
      <c r="AG69" s="60" t="n"/>
      <c r="AH69" s="60" t="n"/>
      <c r="AI69" s="60" t="n"/>
      <c r="AJ69" s="60" t="n"/>
      <c r="AK69" s="120">
        <f>IF(L69&gt;0,L69*90.44,0)+IF(M69&gt;0,M69*348.12,0)+IF(N69&gt;0,N69*151.63,0)+IF(O69&gt;0,O69*197.82,0)+IF(P69&gt;0,P69*244.09,0)+IF(Q69&gt;0,Q69*315.35,0)+IF(R69&gt;0,R69*1067.3,0)+IF(T69&gt;0,T69*567.47,0)+IF(U69&gt;0,U69*151.63,0)+IF(V69&gt;0,V69*197.84,0)+IF(W69&gt;0,W69*470.51,0)+IF(X69&gt;0,X69*701.69,0)+IF(Z69&gt;0,Z69*151.63,0)+IF(AA69&gt;0,AA69*197.84)+IF(AB69&gt;0,AB69*308.4,0)+IF(AC69&gt;0,AC69*496.16,0)</f>
        <v/>
      </c>
    </row>
    <row r="70">
      <c r="A70" s="58" t="inlineStr">
        <is>
          <t>SIM</t>
        </is>
      </c>
      <c r="B70" s="59">
        <f>IF(H70&lt;$B$1,"VENCIDO","NA VALIDADE")</f>
        <v/>
      </c>
      <c r="C70" s="60" t="inlineStr">
        <is>
          <t>BASE OP</t>
        </is>
      </c>
      <c r="D70" s="61" t="inlineStr">
        <is>
          <t>BASE OPERACIONAL CRUZ DAS ALMAS</t>
        </is>
      </c>
      <c r="E70" s="62" t="inlineStr">
        <is>
          <t>CRUZ DAS ALMAS</t>
        </is>
      </c>
      <c r="F70" s="61" t="inlineStr">
        <is>
          <t>FEIRA DE  SANTANA</t>
        </is>
      </c>
      <c r="G70" s="60" t="inlineStr">
        <is>
          <t>BA</t>
        </is>
      </c>
      <c r="H70" s="119" t="n">
        <v>45444</v>
      </c>
      <c r="I70" s="119">
        <f>H70-180</f>
        <v/>
      </c>
      <c r="J70" s="60">
        <f>SUM(L70:AE70)</f>
        <v/>
      </c>
      <c r="K70" s="60">
        <f>SUM(AF70:AJ70)</f>
        <v/>
      </c>
      <c r="L70" s="60" t="n"/>
      <c r="M70" s="60" t="n"/>
      <c r="N70" s="60" t="n"/>
      <c r="O70" s="60" t="n">
        <v>1</v>
      </c>
      <c r="P70" s="60" t="n"/>
      <c r="Q70" s="60" t="n"/>
      <c r="R70" s="60" t="n"/>
      <c r="S70" s="60" t="n"/>
      <c r="T70" s="60" t="n"/>
      <c r="U70" s="60" t="n"/>
      <c r="V70" s="60" t="n"/>
      <c r="W70" s="60" t="n"/>
      <c r="X70" s="60" t="n"/>
      <c r="Y70" s="60" t="n"/>
      <c r="Z70" s="60" t="n"/>
      <c r="AA70" s="60" t="n"/>
      <c r="AB70" s="60" t="n"/>
      <c r="AC70" s="60" t="n"/>
      <c r="AD70" s="60" t="n"/>
      <c r="AE70" s="60" t="n"/>
      <c r="AF70" s="60" t="n"/>
      <c r="AG70" s="60" t="n"/>
      <c r="AH70" s="60" t="n"/>
      <c r="AI70" s="60" t="n"/>
      <c r="AJ70" s="60" t="n"/>
      <c r="AK70" s="120">
        <f>IF(L70&gt;0,L70*90.44,0)+IF(M70&gt;0,M70*348.12,0)+IF(N70&gt;0,N70*151.63,0)+IF(O70&gt;0,O70*197.82,0)+IF(P70&gt;0,P70*244.09,0)+IF(Q70&gt;0,Q70*315.35,0)+IF(R70&gt;0,R70*1067.3,0)+IF(T70&gt;0,T70*567.47,0)+IF(U70&gt;0,U70*151.63,0)+IF(V70&gt;0,V70*197.84,0)+IF(W70&gt;0,W70*470.51,0)+IF(X70&gt;0,X70*701.69,0)+IF(Z70&gt;0,Z70*151.63,0)+IF(AA70&gt;0,AA70*197.84)+IF(AB70&gt;0,AB70*308.4,0)+IF(AC70&gt;0,AC70*496.16,0)</f>
        <v/>
      </c>
    </row>
    <row r="71">
      <c r="A71" s="58" t="inlineStr">
        <is>
          <t>SIM</t>
        </is>
      </c>
      <c r="B71" s="59">
        <f>IF(H71&lt;$B$1,"VENCIDO","NA VALIDADE")</f>
        <v/>
      </c>
      <c r="C71" s="60" t="inlineStr">
        <is>
          <t>BASE OP</t>
        </is>
      </c>
      <c r="D71" s="61" t="inlineStr">
        <is>
          <t>BASE OPERACIONAL CURAÇÁ</t>
        </is>
      </c>
      <c r="E71" s="62" t="inlineStr">
        <is>
          <t>CURAÇÁ</t>
        </is>
      </c>
      <c r="F71" s="61" t="inlineStr">
        <is>
          <t>FEIRA DE  SANTANA</t>
        </is>
      </c>
      <c r="G71" s="60" t="inlineStr">
        <is>
          <t>BA</t>
        </is>
      </c>
      <c r="H71" s="119" t="n">
        <v>45323</v>
      </c>
      <c r="I71" s="119" t="n">
        <v>45323</v>
      </c>
      <c r="J71" s="60">
        <f>SUM(L71:AE71)</f>
        <v/>
      </c>
      <c r="K71" s="60">
        <f>SUM(AF71:AJ71)</f>
        <v/>
      </c>
      <c r="L71" s="60" t="n"/>
      <c r="M71" s="60" t="n"/>
      <c r="N71" s="60" t="n"/>
      <c r="O71" s="60" t="n">
        <v>2</v>
      </c>
      <c r="P71" s="60" t="n"/>
      <c r="Q71" s="60" t="n"/>
      <c r="R71" s="60" t="n"/>
      <c r="S71" s="60" t="n"/>
      <c r="T71" s="60" t="n"/>
      <c r="U71" s="60" t="n"/>
      <c r="V71" s="60" t="n"/>
      <c r="W71" s="60" t="n"/>
      <c r="X71" s="60" t="n"/>
      <c r="Y71" s="60" t="n"/>
      <c r="Z71" s="60" t="n"/>
      <c r="AA71" s="60" t="n">
        <v>2</v>
      </c>
      <c r="AB71" s="60" t="n"/>
      <c r="AC71" s="60" t="n"/>
      <c r="AD71" s="60" t="n"/>
      <c r="AE71" s="60" t="n"/>
      <c r="AF71" s="60" t="n"/>
      <c r="AG71" s="60" t="n"/>
      <c r="AH71" s="60" t="n"/>
      <c r="AI71" s="60" t="n"/>
      <c r="AJ71" s="60" t="n"/>
      <c r="AK71" s="120">
        <f>IF(L71&gt;0,L71*90.44,0)+IF(M71&gt;0,M71*348.12,0)+IF(N71&gt;0,N71*151.63,0)+IF(O71&gt;0,O71*197.82,0)+IF(P71&gt;0,P71*244.09,0)+IF(Q71&gt;0,Q71*315.35,0)+IF(R71&gt;0,R71*1067.3,0)+IF(T71&gt;0,T71*567.47,0)+IF(U71&gt;0,U71*151.63,0)+IF(V71&gt;0,V71*197.84,0)+IF(W71&gt;0,W71*470.51,0)+IF(X71&gt;0,X71*701.69,0)+IF(Z71&gt;0,Z71*151.63,0)+IF(AA71&gt;0,AA71*197.84)+IF(AB71&gt;0,AB71*308.4,0)+IF(AC71&gt;0,AC71*496.16,0)</f>
        <v/>
      </c>
    </row>
    <row r="72">
      <c r="A72" s="58" t="inlineStr">
        <is>
          <t>SIM</t>
        </is>
      </c>
      <c r="B72" s="59">
        <f>IF(H72&lt;$B$1,"VENCIDO","NA VALIDADE")</f>
        <v/>
      </c>
      <c r="C72" s="60" t="inlineStr">
        <is>
          <t>BASE OP</t>
        </is>
      </c>
      <c r="D72" s="61" t="inlineStr">
        <is>
          <t>BASE OPERACIONAL ENTRE RIOS</t>
        </is>
      </c>
      <c r="E72" s="62" t="inlineStr">
        <is>
          <t>ENTRE RIOS</t>
        </is>
      </c>
      <c r="F72" s="61" t="inlineStr">
        <is>
          <t>FEIRA DE  SANTANA</t>
        </is>
      </c>
      <c r="G72" s="60" t="inlineStr">
        <is>
          <t>BA</t>
        </is>
      </c>
      <c r="H72" s="119" t="n">
        <v>45566</v>
      </c>
      <c r="I72" s="119">
        <f>H72-180</f>
        <v/>
      </c>
      <c r="J72" s="60">
        <f>SUM(L72:AE72)</f>
        <v/>
      </c>
      <c r="K72" s="60">
        <f>SUM(AF72:AJ72)</f>
        <v/>
      </c>
      <c r="L72" s="60" t="n"/>
      <c r="M72" s="60" t="n"/>
      <c r="N72" s="60" t="n"/>
      <c r="O72" s="60" t="n"/>
      <c r="P72" s="60" t="n"/>
      <c r="Q72" s="60" t="n"/>
      <c r="R72" s="60" t="n"/>
      <c r="S72" s="60" t="n"/>
      <c r="T72" s="60" t="n"/>
      <c r="U72" s="60" t="n"/>
      <c r="V72" s="60" t="n">
        <v>1</v>
      </c>
      <c r="W72" s="60" t="n"/>
      <c r="X72" s="60" t="n"/>
      <c r="Y72" s="60" t="n"/>
      <c r="Z72" s="60" t="n"/>
      <c r="AA72" s="60" t="n"/>
      <c r="AB72" s="60" t="n"/>
      <c r="AC72" s="60" t="n"/>
      <c r="AD72" s="60" t="n"/>
      <c r="AE72" s="60" t="n"/>
      <c r="AF72" s="60" t="n"/>
      <c r="AG72" s="60" t="n"/>
      <c r="AH72" s="60" t="n"/>
      <c r="AI72" s="60" t="n"/>
      <c r="AJ72" s="60" t="n"/>
      <c r="AK72" s="120">
        <f>IF(L72&gt;0,L72*90.44,0)+IF(M72&gt;0,M72*348.12,0)+IF(N72&gt;0,N72*151.63,0)+IF(O72&gt;0,O72*197.82,0)+IF(P72&gt;0,P72*244.09,0)+IF(Q72&gt;0,Q72*315.35,0)+IF(R72&gt;0,R72*1067.3,0)+IF(T72&gt;0,T72*567.47,0)+IF(U72&gt;0,U72*151.63,0)+IF(V72&gt;0,V72*197.84,0)+IF(W72&gt;0,W72*470.51,0)+IF(X72&gt;0,X72*701.69,0)+IF(Z72&gt;0,Z72*151.63,0)+IF(AA72&gt;0,AA72*197.84)+IF(AB72&gt;0,AB72*308.4,0)+IF(AC72&gt;0,AC72*496.16,0)</f>
        <v/>
      </c>
    </row>
    <row r="73">
      <c r="A73" s="58" t="inlineStr">
        <is>
          <t>SIM</t>
        </is>
      </c>
      <c r="B73" s="59">
        <f>IF(H73&lt;$B$1,"VENCIDO","NA VALIDADE")</f>
        <v/>
      </c>
      <c r="C73" s="60" t="inlineStr">
        <is>
          <t>BASE OP</t>
        </is>
      </c>
      <c r="D73" s="61" t="inlineStr">
        <is>
          <t>BASE OPERACIONAL EUCLIDES DA CUNHA I</t>
        </is>
      </c>
      <c r="E73" s="62" t="inlineStr">
        <is>
          <t>EUCLIDES DA CUNHA</t>
        </is>
      </c>
      <c r="F73" s="61" t="inlineStr">
        <is>
          <t>FEIRA DE  SANTANA</t>
        </is>
      </c>
      <c r="G73" s="60" t="inlineStr">
        <is>
          <t>BA</t>
        </is>
      </c>
      <c r="H73" s="119" t="n">
        <v>45536</v>
      </c>
      <c r="I73" s="119">
        <f>H73-180</f>
        <v/>
      </c>
      <c r="J73" s="60">
        <f>SUM(L73:AE73)</f>
        <v/>
      </c>
      <c r="K73" s="60">
        <f>SUM(AF73:AJ73)</f>
        <v/>
      </c>
      <c r="L73" s="60" t="n"/>
      <c r="M73" s="60" t="n"/>
      <c r="N73" s="60" t="n"/>
      <c r="O73" s="60" t="n">
        <v>1</v>
      </c>
      <c r="P73" s="60" t="n"/>
      <c r="Q73" s="60" t="n"/>
      <c r="R73" s="60" t="n"/>
      <c r="S73" s="60" t="n"/>
      <c r="T73" s="60" t="n"/>
      <c r="U73" s="60" t="n"/>
      <c r="V73" s="60" t="n"/>
      <c r="W73" s="60" t="n"/>
      <c r="X73" s="60" t="n"/>
      <c r="Y73" s="60" t="n"/>
      <c r="Z73" s="60" t="n"/>
      <c r="AA73" s="60" t="n"/>
      <c r="AB73" s="60" t="n"/>
      <c r="AC73" s="60" t="n"/>
      <c r="AD73" s="60" t="n"/>
      <c r="AE73" s="60" t="n"/>
      <c r="AF73" s="60" t="n"/>
      <c r="AG73" s="60" t="n"/>
      <c r="AH73" s="60" t="n"/>
      <c r="AI73" s="60" t="n"/>
      <c r="AJ73" s="60" t="n"/>
      <c r="AK73" s="120">
        <f>IF(L73&gt;0,L73*90.44,0)+IF(M73&gt;0,M73*348.12,0)+IF(N73&gt;0,N73*151.63,0)+IF(O73&gt;0,O73*197.82,0)+IF(P73&gt;0,P73*244.09,0)+IF(Q73&gt;0,Q73*315.35,0)+IF(R73&gt;0,R73*1067.3,0)+IF(T73&gt;0,T73*567.47,0)+IF(U73&gt;0,U73*151.63,0)+IF(V73&gt;0,V73*197.84,0)+IF(W73&gt;0,W73*470.51,0)+IF(X73&gt;0,X73*701.69,0)+IF(Z73&gt;0,Z73*151.63,0)+IF(AA73&gt;0,AA73*197.84)+IF(AB73&gt;0,AB73*308.4,0)+IF(AC73&gt;0,AC73*496.16,0)</f>
        <v/>
      </c>
    </row>
    <row r="74" hidden="1">
      <c r="A74" s="58" t="inlineStr">
        <is>
          <t>SIM</t>
        </is>
      </c>
      <c r="B74" s="59">
        <f>IF(H74&lt;$B$1,"VENCIDO","NA VALIDADE")</f>
        <v/>
      </c>
      <c r="C74" s="60" t="inlineStr">
        <is>
          <t>BASE OP</t>
        </is>
      </c>
      <c r="D74" s="61" t="inlineStr">
        <is>
          <t>BASE OPERACIONAL FORMOSA DO RIO PRETO</t>
        </is>
      </c>
      <c r="E74" s="62" t="inlineStr">
        <is>
          <t>FORMOSA DO RIO PRETO</t>
        </is>
      </c>
      <c r="F74" s="61" t="inlineStr">
        <is>
          <t>VITÓRIA DA CONQUISTA</t>
        </is>
      </c>
      <c r="G74" s="60" t="inlineStr">
        <is>
          <t>BA</t>
        </is>
      </c>
      <c r="H74" s="119" t="n">
        <v>45352</v>
      </c>
      <c r="I74" s="119">
        <f>H74-180</f>
        <v/>
      </c>
      <c r="J74" s="60">
        <f>SUM(L74:AE74)</f>
        <v/>
      </c>
      <c r="K74" s="60">
        <f>SUM(AF74:AJ74)</f>
        <v/>
      </c>
      <c r="L74" s="60" t="n"/>
      <c r="M74" s="60" t="n"/>
      <c r="N74" s="60" t="n"/>
      <c r="O74" s="60" t="n"/>
      <c r="P74" s="60" t="n"/>
      <c r="Q74" s="60" t="n"/>
      <c r="R74" s="60" t="n"/>
      <c r="S74" s="60" t="n"/>
      <c r="T74" s="60" t="n"/>
      <c r="U74" s="60" t="n"/>
      <c r="V74" s="60" t="n">
        <v>1</v>
      </c>
      <c r="W74" s="60" t="n"/>
      <c r="X74" s="60" t="n"/>
      <c r="Y74" s="60" t="n"/>
      <c r="Z74" s="60" t="n"/>
      <c r="AA74" s="60" t="n"/>
      <c r="AB74" s="60" t="n"/>
      <c r="AC74" s="60" t="n"/>
      <c r="AD74" s="60" t="n"/>
      <c r="AE74" s="60" t="n"/>
      <c r="AF74" s="60" t="n"/>
      <c r="AG74" s="60" t="n"/>
      <c r="AH74" s="60" t="n"/>
      <c r="AI74" s="60" t="n"/>
      <c r="AJ74" s="60" t="n"/>
      <c r="AK74" s="120">
        <f>IF(L74&gt;0,L74*90.44,0)+IF(M74&gt;0,M74*348.12,0)+IF(N74&gt;0,N74*151.63,0)+IF(O74&gt;0,O74*197.82,0)+IF(P74&gt;0,P74*244.09,0)+IF(Q74&gt;0,Q74*315.35,0)+IF(R74&gt;0,R74*1067.3,0)+IF(T74&gt;0,T74*567.47,0)+IF(U74&gt;0,U74*151.63,0)+IF(V74&gt;0,V74*197.84,0)+IF(W74&gt;0,W74*470.51,0)+IF(X74&gt;0,X74*701.69,0)+IF(Z74&gt;0,Z74*151.63,0)+IF(AA74&gt;0,AA74*197.84)+IF(AB74&gt;0,AB74*308.4,0)+IF(AC74&gt;0,AC74*496.16,0)</f>
        <v/>
      </c>
    </row>
    <row r="75" hidden="1">
      <c r="A75" s="58" t="inlineStr">
        <is>
          <t>rota</t>
        </is>
      </c>
      <c r="B75" s="59">
        <f>IF(H75&lt;$B$1,"VENCIDO","NA VALIDADE")</f>
        <v/>
      </c>
      <c r="C75" s="60" t="inlineStr">
        <is>
          <t>BASE OP</t>
        </is>
      </c>
      <c r="D75" s="61" t="inlineStr">
        <is>
          <t xml:space="preserve">BASE OPERACIONAL GANDU </t>
        </is>
      </c>
      <c r="E75" s="62" t="inlineStr">
        <is>
          <t>GANDÚ</t>
        </is>
      </c>
      <c r="F75" s="61" t="inlineStr">
        <is>
          <t>ILHÉUS</t>
        </is>
      </c>
      <c r="G75" s="60" t="inlineStr">
        <is>
          <t>BA</t>
        </is>
      </c>
      <c r="H75" s="119" t="n">
        <v>45413</v>
      </c>
      <c r="I75" s="119">
        <f>H75-180</f>
        <v/>
      </c>
      <c r="J75" s="60">
        <f>SUM(L75:AE75)</f>
        <v/>
      </c>
      <c r="K75" s="60">
        <f>SUM(AF75:AJ75)</f>
        <v/>
      </c>
      <c r="L75" s="60" t="n"/>
      <c r="M75" s="60" t="n"/>
      <c r="N75" s="60" t="n"/>
      <c r="O75" s="60" t="n"/>
      <c r="P75" s="60" t="n"/>
      <c r="Q75" s="60" t="n"/>
      <c r="R75" s="60" t="n"/>
      <c r="S75" s="60" t="n"/>
      <c r="T75" s="60" t="n"/>
      <c r="U75" s="60" t="n"/>
      <c r="V75" s="60" t="n">
        <v>1</v>
      </c>
      <c r="W75" s="60" t="n"/>
      <c r="X75" s="60" t="n"/>
      <c r="Y75" s="60" t="n"/>
      <c r="Z75" s="60" t="n"/>
      <c r="AA75" s="60" t="n"/>
      <c r="AB75" s="60" t="n"/>
      <c r="AC75" s="60" t="n"/>
      <c r="AD75" s="60" t="n"/>
      <c r="AE75" s="60" t="n"/>
      <c r="AF75" s="60" t="n"/>
      <c r="AG75" s="60" t="n"/>
      <c r="AH75" s="60" t="n"/>
      <c r="AI75" s="60" t="n"/>
      <c r="AJ75" s="60" t="n"/>
      <c r="AK75" s="120">
        <f>IF(L75&gt;0,L75*90.44,0)+IF(M75&gt;0,M75*348.12,0)+IF(N75&gt;0,N75*151.63,0)+IF(O75&gt;0,O75*197.82,0)+IF(P75&gt;0,P75*244.09,0)+IF(Q75&gt;0,Q75*315.35,0)+IF(R75&gt;0,R75*1067.3,0)+IF(T75&gt;0,T75*567.47,0)+IF(U75&gt;0,U75*151.63,0)+IF(V75&gt;0,V75*197.84,0)+IF(W75&gt;0,W75*470.51,0)+IF(X75&gt;0,X75*701.69,0)+IF(Z75&gt;0,Z75*151.63,0)+IF(AA75&gt;0,AA75*197.84)+IF(AB75&gt;0,AB75*308.4,0)+IF(AC75&gt;0,AC75*496.16,0)</f>
        <v/>
      </c>
    </row>
    <row r="76">
      <c r="A76" s="58" t="inlineStr">
        <is>
          <t>SIM</t>
        </is>
      </c>
      <c r="B76" s="59">
        <f>IF(H76&lt;$B$1,"VENCIDO","NA VALIDADE")</f>
        <v/>
      </c>
      <c r="C76" s="60" t="inlineStr">
        <is>
          <t>BASE OP</t>
        </is>
      </c>
      <c r="D76" s="61" t="inlineStr">
        <is>
          <t>BASE OPERACIONAL MURITIBA (CONTAINER)</t>
        </is>
      </c>
      <c r="E76" s="62" t="inlineStr">
        <is>
          <t>MURITIBA</t>
        </is>
      </c>
      <c r="F76" s="61" t="inlineStr">
        <is>
          <t>FEIRA DE  SANTANA</t>
        </is>
      </c>
      <c r="G76" s="60" t="inlineStr">
        <is>
          <t>BA</t>
        </is>
      </c>
      <c r="H76" s="119" t="n">
        <v>45474</v>
      </c>
      <c r="I76" s="119">
        <f>H76-180</f>
        <v/>
      </c>
      <c r="J76" s="60" t="n">
        <v>1</v>
      </c>
      <c r="K76" s="60">
        <f>SUM(AF76:AJ76)</f>
        <v/>
      </c>
      <c r="L76" s="60" t="n"/>
      <c r="M76" s="60" t="n"/>
      <c r="N76" s="60" t="n"/>
      <c r="O76" s="60" t="n">
        <v>1</v>
      </c>
      <c r="P76" s="60" t="n"/>
      <c r="Q76" s="60" t="n"/>
      <c r="R76" s="60" t="n"/>
      <c r="S76" s="60" t="n"/>
      <c r="T76" s="60" t="n"/>
      <c r="U76" s="60" t="n"/>
      <c r="V76" s="60" t="n">
        <v>1</v>
      </c>
      <c r="W76" s="60" t="n"/>
      <c r="X76" s="60" t="n"/>
      <c r="Y76" s="60" t="n"/>
      <c r="Z76" s="60" t="n"/>
      <c r="AA76" s="60" t="n"/>
      <c r="AB76" s="60" t="n"/>
      <c r="AC76" s="60" t="n"/>
      <c r="AD76" s="60" t="n"/>
      <c r="AE76" s="60" t="n"/>
      <c r="AF76" s="60" t="n"/>
      <c r="AG76" s="60" t="n"/>
      <c r="AH76" s="60" t="n"/>
      <c r="AI76" s="60" t="n"/>
      <c r="AJ76" s="60" t="n"/>
      <c r="AK76" s="120">
        <f>IF(L76&gt;0,L76*90.44,0)+IF(M76&gt;0,M76*348.12,0)+IF(N76&gt;0,N76*151.63,0)+IF(O76&gt;0,O76*197.82,0)+IF(P76&gt;0,P76*244.09,0)+IF(Q76&gt;0,Q76*315.35,0)+IF(R76&gt;0,R76*1067.3,0)+IF(T76&gt;0,T76*567.47,0)+IF(U76&gt;0,U76*151.63,0)+IF(V76&gt;0,V76*197.84,0)+IF(W76&gt;0,W76*470.51,0)+IF(X76&gt;0,X76*701.69,0)+IF(Z76&gt;0,Z76*151.63,0)+IF(AA76&gt;0,AA76*197.84)+IF(AB76&gt;0,AB76*308.4,0)+IF(AC76&gt;0,AC76*496.16,0)</f>
        <v/>
      </c>
    </row>
    <row r="77" hidden="1">
      <c r="A77" s="58" t="inlineStr">
        <is>
          <t>SIM</t>
        </is>
      </c>
      <c r="B77" s="59">
        <f>IF(H77&lt;$B$1,"VENCIDO","NA VALIDADE")</f>
        <v/>
      </c>
      <c r="C77" s="60" t="inlineStr">
        <is>
          <t>BASE OP</t>
        </is>
      </c>
      <c r="D77" s="61" t="inlineStr">
        <is>
          <t>BASE OPERACIONAL IBICARAÍ</t>
        </is>
      </c>
      <c r="E77" s="62" t="inlineStr">
        <is>
          <t>IBICARAÍ</t>
        </is>
      </c>
      <c r="F77" s="61" t="inlineStr">
        <is>
          <t>VITÓRIA DA CONQUISTA</t>
        </is>
      </c>
      <c r="G77" s="60" t="inlineStr">
        <is>
          <t>BA</t>
        </is>
      </c>
      <c r="H77" s="119" t="n">
        <v>45505</v>
      </c>
      <c r="I77" s="119">
        <f>H77-180</f>
        <v/>
      </c>
      <c r="J77" s="60">
        <f>SUM(L77:AE77)</f>
        <v/>
      </c>
      <c r="K77" s="60">
        <f>SUM(AF77:AJ77)</f>
        <v/>
      </c>
      <c r="L77" s="60" t="n"/>
      <c r="M77" s="60" t="n"/>
      <c r="N77" s="60" t="n">
        <v>1</v>
      </c>
      <c r="O77" s="60" t="n"/>
      <c r="P77" s="60" t="n"/>
      <c r="Q77" s="60" t="n"/>
      <c r="R77" s="60" t="n"/>
      <c r="S77" s="60" t="n"/>
      <c r="T77" s="60" t="n"/>
      <c r="U77" s="60" t="n"/>
      <c r="V77" s="60" t="n"/>
      <c r="W77" s="60" t="n"/>
      <c r="X77" s="60" t="n"/>
      <c r="Y77" s="60" t="n"/>
      <c r="Z77" s="60" t="n"/>
      <c r="AA77" s="60" t="n"/>
      <c r="AB77" s="60" t="n"/>
      <c r="AC77" s="60" t="n"/>
      <c r="AD77" s="60" t="n"/>
      <c r="AE77" s="60" t="n"/>
      <c r="AF77" s="60" t="n"/>
      <c r="AG77" s="60" t="n"/>
      <c r="AH77" s="60" t="n"/>
      <c r="AI77" s="60" t="n"/>
      <c r="AJ77" s="60" t="n"/>
      <c r="AK77" s="120">
        <f>IF(L77&gt;0,L77*90.44,0)+IF(M77&gt;0,M77*348.12,0)+IF(N77&gt;0,N77*151.63,0)+IF(O77&gt;0,O77*197.82,0)+IF(P77&gt;0,P77*244.09,0)+IF(Q77&gt;0,Q77*315.35,0)+IF(R77&gt;0,R77*1067.3,0)+IF(T77&gt;0,T77*567.47,0)+IF(U77&gt;0,U77*151.63,0)+IF(V77&gt;0,V77*197.84,0)+IF(W77&gt;0,W77*470.51,0)+IF(X77&gt;0,X77*701.69,0)+IF(Z77&gt;0,Z77*151.63,0)+IF(AA77&gt;0,AA77*197.84)+IF(AB77&gt;0,AB77*308.4,0)+IF(AC77&gt;0,AC77*496.16,0)</f>
        <v/>
      </c>
    </row>
    <row r="78" hidden="1">
      <c r="A78" s="58" t="n"/>
      <c r="B78" s="59">
        <f>IF(H78&lt;$B$1,"VENCIDO","NA VALIDADE")</f>
        <v/>
      </c>
      <c r="C78" s="60" t="inlineStr">
        <is>
          <t>BASE OP</t>
        </is>
      </c>
      <c r="D78" s="61" t="inlineStr">
        <is>
          <t>BASE OPERACIONAL IBICUÍ</t>
        </is>
      </c>
      <c r="E78" s="62" t="inlineStr">
        <is>
          <t>IBICUÍ</t>
        </is>
      </c>
      <c r="F78" s="61" t="inlineStr">
        <is>
          <t>VITÓRIA DA CONQUISTA</t>
        </is>
      </c>
      <c r="G78" s="60" t="inlineStr">
        <is>
          <t>BA</t>
        </is>
      </c>
      <c r="H78" s="119" t="n">
        <v>45352</v>
      </c>
      <c r="I78" s="119">
        <f>H78-180</f>
        <v/>
      </c>
      <c r="J78" s="60">
        <f>SUM(L78:AE78)</f>
        <v/>
      </c>
      <c r="K78" s="60">
        <f>SUM(AF78:AJ78)</f>
        <v/>
      </c>
      <c r="L78" s="60" t="n"/>
      <c r="M78" s="60" t="n"/>
      <c r="N78" s="60" t="n"/>
      <c r="O78" s="60" t="n"/>
      <c r="P78" s="60" t="n"/>
      <c r="Q78" s="60" t="n">
        <v>1</v>
      </c>
      <c r="R78" s="60" t="n"/>
      <c r="S78" s="60" t="n"/>
      <c r="T78" s="60" t="n"/>
      <c r="U78" s="60" t="n"/>
      <c r="V78" s="60" t="n"/>
      <c r="W78" s="60" t="n"/>
      <c r="X78" s="60" t="n"/>
      <c r="Y78" s="60" t="n"/>
      <c r="Z78" s="60" t="n"/>
      <c r="AA78" s="60" t="n"/>
      <c r="AB78" s="60" t="n"/>
      <c r="AC78" s="60" t="n"/>
      <c r="AD78" s="60" t="n"/>
      <c r="AE78" s="60" t="n"/>
      <c r="AF78" s="60" t="n"/>
      <c r="AG78" s="60" t="n"/>
      <c r="AH78" s="60" t="n"/>
      <c r="AI78" s="60" t="n"/>
      <c r="AJ78" s="60" t="n"/>
      <c r="AK78" s="120">
        <f>IF(L78&gt;0,L78*90.44,0)+IF(M78&gt;0,M78*348.12,0)+IF(N78&gt;0,N78*151.63,0)+IF(O78&gt;0,O78*197.82,0)+IF(P78&gt;0,P78*244.09,0)+IF(Q78&gt;0,Q78*315.35,0)+IF(R78&gt;0,R78*1067.3,0)+IF(T78&gt;0,T78*567.47,0)+IF(U78&gt;0,U78*151.63,0)+IF(V78&gt;0,V78*197.84,0)+IF(W78&gt;0,W78*470.51,0)+IF(X78&gt;0,X78*701.69,0)+IF(Z78&gt;0,Z78*151.63,0)+IF(AA78&gt;0,AA78*197.84)+IF(AB78&gt;0,AB78*308.4,0)+IF(AC78&gt;0,AC78*496.16,0)</f>
        <v/>
      </c>
    </row>
    <row r="79">
      <c r="A79" s="58" t="inlineStr">
        <is>
          <t>rota</t>
        </is>
      </c>
      <c r="B79" s="59">
        <f>IF(H79&lt;$B$1,"VENCIDO","NA VALIDADE")</f>
        <v/>
      </c>
      <c r="C79" s="60" t="inlineStr">
        <is>
          <t>BASE OP</t>
        </is>
      </c>
      <c r="D79" s="61" t="inlineStr">
        <is>
          <t>BASE OPERACIONAL IBIPEBA</t>
        </is>
      </c>
      <c r="E79" s="62" t="inlineStr">
        <is>
          <t>IBIPEBA</t>
        </is>
      </c>
      <c r="F79" s="61" t="inlineStr">
        <is>
          <t>FEIRA DE  SANTANA</t>
        </is>
      </c>
      <c r="G79" s="60" t="inlineStr">
        <is>
          <t>BA</t>
        </is>
      </c>
      <c r="H79" s="119" t="n">
        <v>45474</v>
      </c>
      <c r="I79" s="119">
        <f>H79-180</f>
        <v/>
      </c>
      <c r="J79" s="60">
        <f>SUM(L79:AE79)</f>
        <v/>
      </c>
      <c r="K79" s="60">
        <f>SUM(AF79:AJ79)</f>
        <v/>
      </c>
      <c r="L79" s="60" t="n"/>
      <c r="M79" s="60" t="n"/>
      <c r="N79" s="60" t="n"/>
      <c r="O79" s="60" t="n"/>
      <c r="P79" s="60" t="n">
        <v>1</v>
      </c>
      <c r="Q79" s="60" t="n"/>
      <c r="R79" s="60" t="n"/>
      <c r="S79" s="60" t="n"/>
      <c r="T79" s="60" t="n"/>
      <c r="U79" s="60" t="n"/>
      <c r="V79" s="60" t="n"/>
      <c r="W79" s="60" t="n"/>
      <c r="X79" s="60" t="n"/>
      <c r="Y79" s="60" t="n"/>
      <c r="Z79" s="60" t="n"/>
      <c r="AA79" s="60" t="n"/>
      <c r="AB79" s="60" t="n"/>
      <c r="AC79" s="60" t="n"/>
      <c r="AD79" s="60" t="n"/>
      <c r="AE79" s="60" t="n"/>
      <c r="AF79" s="60" t="n"/>
      <c r="AG79" s="60" t="n"/>
      <c r="AH79" s="60" t="n"/>
      <c r="AI79" s="60" t="n"/>
      <c r="AJ79" s="60" t="n"/>
      <c r="AK79" s="120">
        <f>IF(L79&gt;0,L79*90.44,0)+IF(M79&gt;0,M79*348.12,0)+IF(N79&gt;0,N79*151.63,0)+IF(O79&gt;0,O79*197.82,0)+IF(P79&gt;0,P79*244.09,0)+IF(Q79&gt;0,Q79*315.35,0)+IF(R79&gt;0,R79*1067.3,0)+IF(T79&gt;0,T79*567.47,0)+IF(U79&gt;0,U79*151.63,0)+IF(V79&gt;0,V79*197.84,0)+IF(W79&gt;0,W79*470.51,0)+IF(X79&gt;0,X79*701.69,0)+IF(Z79&gt;0,Z79*151.63,0)+IF(AA79&gt;0,AA79*197.84)+IF(AB79&gt;0,AB79*308.4,0)+IF(AC79&gt;0,AC79*496.16,0)</f>
        <v/>
      </c>
    </row>
    <row r="80" hidden="1">
      <c r="A80" s="58" t="n"/>
      <c r="B80" s="59">
        <f>IF(H80&lt;$B$1,"VENCIDO","NA VALIDADE")</f>
        <v/>
      </c>
      <c r="C80" s="60" t="inlineStr">
        <is>
          <t>BASE OP</t>
        </is>
      </c>
      <c r="D80" s="61" t="inlineStr">
        <is>
          <t>BASE OPERACIONAL IBITIARA</t>
        </is>
      </c>
      <c r="E80" s="62" t="inlineStr">
        <is>
          <t>IBITIARA</t>
        </is>
      </c>
      <c r="F80" s="61" t="inlineStr">
        <is>
          <t>VITÓRIA DA CONQUISTA</t>
        </is>
      </c>
      <c r="G80" s="60" t="inlineStr">
        <is>
          <t>BA</t>
        </is>
      </c>
      <c r="H80" s="119" t="n">
        <v>45444</v>
      </c>
      <c r="I80" s="119">
        <f>H80-180</f>
        <v/>
      </c>
      <c r="J80" s="60">
        <f>SUM(L80:AE80)</f>
        <v/>
      </c>
      <c r="K80" s="60">
        <f>SUM(AF80:AJ80)</f>
        <v/>
      </c>
      <c r="L80" s="60" t="n"/>
      <c r="M80" s="60" t="n"/>
      <c r="N80" s="60" t="n"/>
      <c r="O80" s="60" t="n"/>
      <c r="P80" s="60" t="n"/>
      <c r="Q80" s="60" t="n">
        <v>2</v>
      </c>
      <c r="R80" s="60" t="n"/>
      <c r="S80" s="60" t="n"/>
      <c r="T80" s="60" t="n"/>
      <c r="U80" s="60" t="n"/>
      <c r="V80" s="60" t="n"/>
      <c r="W80" s="60" t="n"/>
      <c r="X80" s="60" t="n"/>
      <c r="Y80" s="60" t="n"/>
      <c r="Z80" s="60" t="n"/>
      <c r="AA80" s="60" t="n"/>
      <c r="AB80" s="60" t="n"/>
      <c r="AC80" s="60" t="n"/>
      <c r="AD80" s="60" t="n"/>
      <c r="AE80" s="60" t="n"/>
      <c r="AF80" s="60" t="n"/>
      <c r="AG80" s="60" t="n"/>
      <c r="AH80" s="60" t="n"/>
      <c r="AI80" s="60" t="n"/>
      <c r="AJ80" s="60" t="n"/>
      <c r="AK80" s="120">
        <f>IF(L80&gt;0,L80*90.44,0)+IF(M80&gt;0,M80*348.12,0)+IF(N80&gt;0,N80*151.63,0)+IF(O80&gt;0,O80*197.82,0)+IF(P80&gt;0,P80*244.09,0)+IF(Q80&gt;0,Q80*315.35,0)+IF(R80&gt;0,R80*1067.3,0)+IF(T80&gt;0,T80*567.47,0)+IF(U80&gt;0,U80*151.63,0)+IF(V80&gt;0,V80*197.84,0)+IF(W80&gt;0,W80*470.51,0)+IF(X80&gt;0,X80*701.69,0)+IF(Z80&gt;0,Z80*151.63,0)+IF(AA80&gt;0,AA80*197.84)+IF(AB80&gt;0,AB80*308.4,0)+IF(AC80&gt;0,AC80*496.16,0)</f>
        <v/>
      </c>
    </row>
    <row r="81">
      <c r="A81" s="58" t="inlineStr">
        <is>
          <t>SIM</t>
        </is>
      </c>
      <c r="B81" s="59">
        <f>IF(H81&lt;$B$1,"VENCIDO","NA VALIDADE")</f>
        <v/>
      </c>
      <c r="C81" s="60" t="inlineStr">
        <is>
          <t>BASE OP</t>
        </is>
      </c>
      <c r="D81" s="61" t="inlineStr">
        <is>
          <t>BASE OPERACIONAL MACURURÉ</t>
        </is>
      </c>
      <c r="E81" s="62" t="inlineStr">
        <is>
          <t>MUCURURÉ</t>
        </is>
      </c>
      <c r="F81" s="61" t="inlineStr">
        <is>
          <t>FEIRA DE  SANTANA</t>
        </is>
      </c>
      <c r="G81" s="60" t="inlineStr">
        <is>
          <t>BA</t>
        </is>
      </c>
      <c r="H81" s="119" t="n">
        <v>45323</v>
      </c>
      <c r="I81" s="119">
        <f>H81-180</f>
        <v/>
      </c>
      <c r="J81" s="60">
        <f>SUM(L81:AE81)</f>
        <v/>
      </c>
      <c r="K81" s="60">
        <f>SUM(AF81:AJ81)</f>
        <v/>
      </c>
      <c r="L81" s="60" t="n"/>
      <c r="M81" s="60" t="n"/>
      <c r="N81" s="60" t="n"/>
      <c r="O81" s="60" t="n"/>
      <c r="P81" s="60" t="n"/>
      <c r="Q81" s="60" t="n"/>
      <c r="R81" s="60" t="n"/>
      <c r="S81" s="60" t="n"/>
      <c r="T81" s="60" t="n"/>
      <c r="U81" s="60" t="n"/>
      <c r="V81" s="60" t="n">
        <v>2</v>
      </c>
      <c r="W81" s="60" t="n"/>
      <c r="X81" s="60" t="n"/>
      <c r="Y81" s="60" t="n"/>
      <c r="Z81" s="60" t="n"/>
      <c r="AA81" s="60" t="n"/>
      <c r="AB81" s="60" t="n"/>
      <c r="AC81" s="60" t="n"/>
      <c r="AD81" s="60" t="n"/>
      <c r="AE81" s="60" t="n"/>
      <c r="AF81" s="60" t="n"/>
      <c r="AG81" s="60" t="n"/>
      <c r="AH81" s="60" t="n"/>
      <c r="AI81" s="60" t="n"/>
      <c r="AJ81" s="60" t="n"/>
      <c r="AK81" s="120">
        <f>IF(L81&gt;0,L81*90.44,0)+IF(M81&gt;0,M81*348.12,0)+IF(N81&gt;0,N81*151.63,0)+IF(O81&gt;0,O81*197.82,0)+IF(P81&gt;0,P81*244.09,0)+IF(Q81&gt;0,Q81*315.35,0)+IF(R81&gt;0,R81*1067.3,0)+IF(T81&gt;0,T81*567.47,0)+IF(U81&gt;0,U81*151.63,0)+IF(V81&gt;0,V81*197.84,0)+IF(W81&gt;0,W81*470.51,0)+IF(X81&gt;0,X81*701.69,0)+IF(Z81&gt;0,Z81*151.63,0)+IF(AA81&gt;0,AA81*197.84)+IF(AB81&gt;0,AB81*308.4,0)+IF(AC81&gt;0,AC81*496.16,0)</f>
        <v/>
      </c>
    </row>
    <row r="82" hidden="1">
      <c r="A82" s="58" t="inlineStr">
        <is>
          <t>SIM</t>
        </is>
      </c>
      <c r="B82" s="59">
        <f>IF(H82&lt;$B$1,"VENCIDO","NA VALIDADE")</f>
        <v/>
      </c>
      <c r="C82" s="60" t="inlineStr">
        <is>
          <t>BASE OP</t>
        </is>
      </c>
      <c r="D82" s="61" t="inlineStr">
        <is>
          <t>BASE OPERACIONAL IBITIRA</t>
        </is>
      </c>
      <c r="E82" s="62" t="inlineStr">
        <is>
          <t>IBITIRA</t>
        </is>
      </c>
      <c r="F82" s="61" t="inlineStr">
        <is>
          <t>VITÓRIA DA CONQUISTA</t>
        </is>
      </c>
      <c r="G82" s="60" t="inlineStr">
        <is>
          <t>BA</t>
        </is>
      </c>
      <c r="H82" s="119" t="n">
        <v>45292</v>
      </c>
      <c r="I82" s="119">
        <f>H82-180</f>
        <v/>
      </c>
      <c r="J82" s="60">
        <f>SUM(L82:AE82)</f>
        <v/>
      </c>
      <c r="K82" s="60">
        <f>SUM(AF82:AJ82)</f>
        <v/>
      </c>
      <c r="L82" s="60" t="n"/>
      <c r="M82" s="60" t="n"/>
      <c r="N82" s="60" t="n"/>
      <c r="O82" s="60" t="n"/>
      <c r="P82" s="60" t="n"/>
      <c r="Q82" s="60" t="n"/>
      <c r="R82" s="60" t="n"/>
      <c r="S82" s="60" t="n"/>
      <c r="T82" s="60" t="n"/>
      <c r="U82" s="60" t="n"/>
      <c r="V82" s="60" t="n">
        <v>2</v>
      </c>
      <c r="W82" s="60" t="n"/>
      <c r="X82" s="60" t="n"/>
      <c r="Y82" s="60" t="n"/>
      <c r="Z82" s="60" t="n"/>
      <c r="AA82" s="60" t="n"/>
      <c r="AB82" s="60" t="n"/>
      <c r="AC82" s="60" t="n"/>
      <c r="AD82" s="60" t="n"/>
      <c r="AE82" s="60" t="n"/>
      <c r="AF82" s="60" t="n"/>
      <c r="AG82" s="60" t="n"/>
      <c r="AH82" s="60" t="n"/>
      <c r="AI82" s="60" t="n"/>
      <c r="AJ82" s="60" t="n"/>
      <c r="AK82" s="120">
        <f>IF(L82&gt;0,L82*90.44,0)+IF(M82&gt;0,M82*348.12,0)+IF(N82&gt;0,N82*151.63,0)+IF(O82&gt;0,O82*197.82,0)+IF(P82&gt;0,P82*244.09,0)+IF(Q82&gt;0,Q82*315.35,0)+IF(R82&gt;0,R82*1067.3,0)+IF(T82&gt;0,T82*567.47,0)+IF(U82&gt;0,U82*151.63,0)+IF(V82&gt;0,V82*197.84,0)+IF(W82&gt;0,W82*470.51,0)+IF(X82&gt;0,X82*701.69,0)+IF(Z82&gt;0,Z82*151.63,0)+IF(AA82&gt;0,AA82*197.84)+IF(AB82&gt;0,AB82*308.4,0)+IF(AC82&gt;0,AC82*496.16,0)</f>
        <v/>
      </c>
    </row>
    <row r="83" hidden="1">
      <c r="A83" s="58" t="inlineStr">
        <is>
          <t>rota</t>
        </is>
      </c>
      <c r="B83" s="59">
        <f>IF(H83&lt;$B$1,"VENCIDO","NA VALIDADE")</f>
        <v/>
      </c>
      <c r="C83" s="60" t="inlineStr">
        <is>
          <t>SUBESTAÇÃO</t>
        </is>
      </c>
      <c r="D83" s="61" t="inlineStr">
        <is>
          <t>SE ITAPEBI</t>
        </is>
      </c>
      <c r="E83" s="62" t="inlineStr">
        <is>
          <t>ITAPEBI</t>
        </is>
      </c>
      <c r="F83" s="61" t="inlineStr">
        <is>
          <t>ILHÉUS</t>
        </is>
      </c>
      <c r="G83" s="60" t="inlineStr">
        <is>
          <t>BA</t>
        </is>
      </c>
      <c r="H83" s="119" t="n">
        <v>45505</v>
      </c>
      <c r="I83" s="119">
        <f>H83-180</f>
        <v/>
      </c>
      <c r="J83" s="60">
        <f>SUM(L83:AE83)</f>
        <v/>
      </c>
      <c r="K83" s="60">
        <f>SUM(AF83:AJ83)</f>
        <v/>
      </c>
      <c r="L83" s="60" t="n"/>
      <c r="M83" s="60" t="n"/>
      <c r="N83" s="60" t="n"/>
      <c r="O83" s="60" t="n"/>
      <c r="P83" s="60" t="n"/>
      <c r="Q83" s="60" t="n"/>
      <c r="R83" s="60" t="n"/>
      <c r="S83" s="60" t="n"/>
      <c r="T83" s="60" t="n"/>
      <c r="U83" s="60" t="n"/>
      <c r="V83" s="60" t="n"/>
      <c r="W83" s="60" t="n"/>
      <c r="X83" s="60" t="n"/>
      <c r="Y83" s="60" t="n"/>
      <c r="Z83" s="60" t="n"/>
      <c r="AA83" s="60" t="n">
        <v>2</v>
      </c>
      <c r="AB83" s="60" t="n"/>
      <c r="AC83" s="60" t="n"/>
      <c r="AD83" s="60" t="n"/>
      <c r="AE83" s="60" t="n"/>
      <c r="AF83" s="60" t="n"/>
      <c r="AG83" s="60" t="n"/>
      <c r="AH83" s="60" t="n"/>
      <c r="AI83" s="60" t="n"/>
      <c r="AJ83" s="60" t="n"/>
      <c r="AK83" s="120">
        <f>IF(L83&gt;0,L83*90.44,0)+IF(M83&gt;0,M83*348.12,0)+IF(N83&gt;0,N83*151.63,0)+IF(O83&gt;0,O83*197.82,0)+IF(P83&gt;0,P83*244.09,0)+IF(Q83&gt;0,Q83*315.35,0)+IF(R83&gt;0,R83*1067.3,0)+IF(T83&gt;0,T83*567.47,0)+IF(U83&gt;0,U83*151.63,0)+IF(V83&gt;0,V83*197.84,0)+IF(W83&gt;0,W83*470.51,0)+IF(X83&gt;0,X83*701.69,0)+IF(Z83&gt;0,Z83*151.63,0)+IF(AA83&gt;0,AA83*197.84)+IF(AB83&gt;0,AB83*308.4,0)+IF(AC83&gt;0,AC83*496.16,0)</f>
        <v/>
      </c>
    </row>
    <row r="84">
      <c r="A84" s="58" t="inlineStr">
        <is>
          <t>SIM</t>
        </is>
      </c>
      <c r="B84" s="59">
        <f>IF(H84&lt;$B$1,"VENCIDO","NA VALIDADE")</f>
        <v/>
      </c>
      <c r="C84" s="60" t="inlineStr">
        <is>
          <t>BASE OP</t>
        </is>
      </c>
      <c r="D84" s="61" t="inlineStr">
        <is>
          <t>BASE OPERACIONAL IPIRÁ</t>
        </is>
      </c>
      <c r="E84" s="62" t="inlineStr">
        <is>
          <t>IPIRÁ</t>
        </is>
      </c>
      <c r="F84" s="61" t="inlineStr">
        <is>
          <t>FEIRA DE  SANTANA</t>
        </is>
      </c>
      <c r="G84" s="60" t="inlineStr">
        <is>
          <t>BA</t>
        </is>
      </c>
      <c r="H84" s="119" t="n">
        <v>45566</v>
      </c>
      <c r="I84" s="119">
        <f>H84-180</f>
        <v/>
      </c>
      <c r="J84" s="60">
        <f>SUM(L84:AE84)</f>
        <v/>
      </c>
      <c r="K84" s="60">
        <f>SUM(AF84:AJ84)</f>
        <v/>
      </c>
      <c r="L84" s="60" t="n"/>
      <c r="M84" s="60" t="n"/>
      <c r="N84" s="60" t="n"/>
      <c r="O84" s="60" t="n">
        <v>1</v>
      </c>
      <c r="P84" s="60" t="n"/>
      <c r="Q84" s="60" t="n"/>
      <c r="R84" s="60" t="n"/>
      <c r="S84" s="60" t="n"/>
      <c r="T84" s="60" t="n"/>
      <c r="U84" s="60" t="n"/>
      <c r="V84" s="60" t="n"/>
      <c r="W84" s="60" t="n"/>
      <c r="X84" s="60" t="n"/>
      <c r="Y84" s="60" t="n"/>
      <c r="Z84" s="60" t="n"/>
      <c r="AA84" s="60" t="n"/>
      <c r="AB84" s="60" t="n"/>
      <c r="AC84" s="60" t="n"/>
      <c r="AD84" s="60" t="n"/>
      <c r="AE84" s="60" t="n"/>
      <c r="AF84" s="60" t="n"/>
      <c r="AG84" s="60" t="n"/>
      <c r="AH84" s="60" t="n"/>
      <c r="AI84" s="60" t="n"/>
      <c r="AJ84" s="60" t="n"/>
      <c r="AK84" s="120">
        <f>IF(L84&gt;0,L84*90.44,0)+IF(M84&gt;0,M84*348.12,0)+IF(N84&gt;0,N84*151.63,0)+IF(O84&gt;0,O84*197.82,0)+IF(P84&gt;0,P84*244.09,0)+IF(Q84&gt;0,Q84*315.35,0)+IF(R84&gt;0,R84*1067.3,0)+IF(T84&gt;0,T84*567.47,0)+IF(U84&gt;0,U84*151.63,0)+IF(V84&gt;0,V84*197.84,0)+IF(W84&gt;0,W84*470.51,0)+IF(X84&gt;0,X84*701.69,0)+IF(Z84&gt;0,Z84*151.63,0)+IF(AA84&gt;0,AA84*197.84)+IF(AB84&gt;0,AB84*308.4,0)+IF(AC84&gt;0,AC84*496.16,0)</f>
        <v/>
      </c>
    </row>
    <row r="85" hidden="1">
      <c r="A85" s="58" t="inlineStr">
        <is>
          <t>SIM</t>
        </is>
      </c>
      <c r="B85" s="59">
        <f>IF(H85&lt;$B$1,"VENCIDO","NA VALIDADE")</f>
        <v/>
      </c>
      <c r="C85" s="60" t="inlineStr">
        <is>
          <t>BASE OP</t>
        </is>
      </c>
      <c r="D85" s="61" t="inlineStr">
        <is>
          <t>BASE OPERACIONAL IRAMAIA</t>
        </is>
      </c>
      <c r="E85" s="62" t="inlineStr">
        <is>
          <t>IRAMAIA</t>
        </is>
      </c>
      <c r="F85" s="61" t="inlineStr">
        <is>
          <t>VITÓRIA DA CONQUISTA</t>
        </is>
      </c>
      <c r="G85" s="60" t="inlineStr">
        <is>
          <t>BA</t>
        </is>
      </c>
      <c r="H85" s="119" t="n">
        <v>45352</v>
      </c>
      <c r="I85" s="119">
        <f>H85-180</f>
        <v/>
      </c>
      <c r="J85" s="60">
        <f>SUM(L85:AE85)</f>
        <v/>
      </c>
      <c r="K85" s="60">
        <f>SUM(AF85:AJ85)</f>
        <v/>
      </c>
      <c r="L85" s="60" t="n"/>
      <c r="M85" s="60" t="n"/>
      <c r="N85" s="60" t="n"/>
      <c r="O85" s="60" t="n"/>
      <c r="P85" s="60" t="n"/>
      <c r="Q85" s="60" t="n"/>
      <c r="R85" s="60" t="n"/>
      <c r="S85" s="60" t="n"/>
      <c r="T85" s="60" t="n"/>
      <c r="U85" s="60" t="n"/>
      <c r="V85" s="60" t="n">
        <v>2</v>
      </c>
      <c r="W85" s="60" t="n"/>
      <c r="X85" s="60" t="n"/>
      <c r="Y85" s="60" t="n"/>
      <c r="Z85" s="60" t="n"/>
      <c r="AA85" s="60" t="n"/>
      <c r="AB85" s="60" t="n"/>
      <c r="AC85" s="60" t="n"/>
      <c r="AD85" s="60" t="n"/>
      <c r="AE85" s="60" t="n"/>
      <c r="AF85" s="60" t="n"/>
      <c r="AG85" s="60" t="n"/>
      <c r="AH85" s="60" t="n"/>
      <c r="AI85" s="60" t="n"/>
      <c r="AJ85" s="60" t="n"/>
      <c r="AK85" s="120">
        <f>IF(L85&gt;0,L85*90.44,0)+IF(M85&gt;0,M85*348.12,0)+IF(N85&gt;0,N85*151.63,0)+IF(O85&gt;0,O85*197.82,0)+IF(P85&gt;0,P85*244.09,0)+IF(Q85&gt;0,Q85*315.35,0)+IF(R85&gt;0,R85*1067.3,0)+IF(T85&gt;0,T85*567.47,0)+IF(U85&gt;0,U85*151.63,0)+IF(V85&gt;0,V85*197.84,0)+IF(W85&gt;0,W85*470.51,0)+IF(X85&gt;0,X85*701.69,0)+IF(Z85&gt;0,Z85*151.63,0)+IF(AA85&gt;0,AA85*197.84)+IF(AB85&gt;0,AB85*308.4,0)+IF(AC85&gt;0,AC85*496.16,0)</f>
        <v/>
      </c>
    </row>
    <row r="86">
      <c r="A86" s="58" t="inlineStr">
        <is>
          <t>SIM</t>
        </is>
      </c>
      <c r="B86" s="59">
        <f>IF(H86&lt;$B$1,"VENCIDO","NA VALIDADE")</f>
        <v/>
      </c>
      <c r="C86" s="60" t="inlineStr">
        <is>
          <t>BASE OP</t>
        </is>
      </c>
      <c r="D86" s="61" t="inlineStr">
        <is>
          <t>BASE OPERACIONAL IRAQUARA</t>
        </is>
      </c>
      <c r="E86" s="62" t="inlineStr">
        <is>
          <t>IRAQUARA</t>
        </is>
      </c>
      <c r="F86" s="61" t="inlineStr">
        <is>
          <t>FEIRA DE  SANTANA</t>
        </is>
      </c>
      <c r="G86" s="60" t="inlineStr">
        <is>
          <t>BA</t>
        </is>
      </c>
      <c r="H86" s="119" t="n">
        <v>45505</v>
      </c>
      <c r="I86" s="119">
        <f>H86-180</f>
        <v/>
      </c>
      <c r="J86" s="60">
        <f>SUM(L86:AE86)</f>
        <v/>
      </c>
      <c r="K86" s="60">
        <f>SUM(AF86:AJ86)</f>
        <v/>
      </c>
      <c r="L86" s="60" t="n"/>
      <c r="M86" s="60" t="n"/>
      <c r="N86" s="60" t="n"/>
      <c r="O86" s="60" t="n"/>
      <c r="P86" s="60" t="n"/>
      <c r="Q86" s="60" t="n"/>
      <c r="R86" s="60" t="n"/>
      <c r="S86" s="60" t="n"/>
      <c r="T86" s="60" t="n"/>
      <c r="U86" s="60" t="n"/>
      <c r="V86" s="60" t="n">
        <v>2</v>
      </c>
      <c r="W86" s="60" t="n"/>
      <c r="X86" s="60" t="n"/>
      <c r="Y86" s="60" t="n"/>
      <c r="Z86" s="60" t="n"/>
      <c r="AA86" s="60" t="n"/>
      <c r="AB86" s="60" t="n"/>
      <c r="AC86" s="60" t="n"/>
      <c r="AD86" s="60" t="n"/>
      <c r="AE86" s="60" t="n"/>
      <c r="AF86" s="60" t="n"/>
      <c r="AG86" s="60" t="n"/>
      <c r="AH86" s="60" t="n"/>
      <c r="AI86" s="60" t="n"/>
      <c r="AJ86" s="60" t="n"/>
      <c r="AK86" s="120">
        <f>IF(L86&gt;0,L86*90.44,0)+IF(M86&gt;0,M86*348.12,0)+IF(N86&gt;0,N86*151.63,0)+IF(O86&gt;0,O86*197.82,0)+IF(P86&gt;0,P86*244.09,0)+IF(Q86&gt;0,Q86*315.35,0)+IF(R86&gt;0,R86*1067.3,0)+IF(T86&gt;0,T86*567.47,0)+IF(U86&gt;0,U86*151.63,0)+IF(V86&gt;0,V86*197.84,0)+IF(W86&gt;0,W86*470.51,0)+IF(X86&gt;0,X86*701.69,0)+IF(Z86&gt;0,Z86*151.63,0)+IF(AA86&gt;0,AA86*197.84)+IF(AB86&gt;0,AB86*308.4,0)+IF(AC86&gt;0,AC86*496.16,0)</f>
        <v/>
      </c>
    </row>
    <row r="87">
      <c r="A87" s="58" t="inlineStr">
        <is>
          <t>FEIRA 06/12</t>
        </is>
      </c>
      <c r="B87" s="59">
        <f>IF(H87&lt;$B$1,"VENCIDO","NA VALIDADE")</f>
        <v/>
      </c>
      <c r="C87" s="60" t="inlineStr">
        <is>
          <t>BASE OP</t>
        </is>
      </c>
      <c r="D87" s="61" t="inlineStr">
        <is>
          <t>BASE OPERACIONAL IRARÁ</t>
        </is>
      </c>
      <c r="E87" s="62" t="inlineStr">
        <is>
          <t>IRARÁ</t>
        </is>
      </c>
      <c r="F87" s="61" t="inlineStr">
        <is>
          <t>FEIRA DE  SANTANA</t>
        </is>
      </c>
      <c r="G87" s="60" t="inlineStr">
        <is>
          <t>BA</t>
        </is>
      </c>
      <c r="H87" s="119" t="n">
        <v>45383</v>
      </c>
      <c r="I87" s="119">
        <f>H87-180</f>
        <v/>
      </c>
      <c r="J87" s="60">
        <f>SUM(L87:AE87)</f>
        <v/>
      </c>
      <c r="K87" s="60">
        <f>SUM(AF87:AJ87)</f>
        <v/>
      </c>
      <c r="L87" s="60" t="n"/>
      <c r="M87" s="60" t="n"/>
      <c r="N87" s="60" t="n"/>
      <c r="O87" s="60" t="n">
        <v>2</v>
      </c>
      <c r="P87" s="60" t="n"/>
      <c r="Q87" s="60" t="n"/>
      <c r="R87" s="60" t="n"/>
      <c r="S87" s="60" t="n"/>
      <c r="T87" s="60" t="n"/>
      <c r="U87" s="60" t="n"/>
      <c r="V87" s="60" t="n"/>
      <c r="W87" s="60" t="n"/>
      <c r="X87" s="60" t="n"/>
      <c r="Y87" s="60" t="n"/>
      <c r="Z87" s="60" t="n"/>
      <c r="AA87" s="60" t="n"/>
      <c r="AB87" s="60" t="n"/>
      <c r="AC87" s="60" t="n"/>
      <c r="AD87" s="60" t="n"/>
      <c r="AE87" s="60" t="n"/>
      <c r="AF87" s="60" t="n"/>
      <c r="AG87" s="60" t="n"/>
      <c r="AH87" s="60" t="n"/>
      <c r="AI87" s="60" t="n"/>
      <c r="AJ87" s="60" t="n"/>
      <c r="AK87" s="120">
        <f>IF(L87&gt;0,L87*90.44,0)+IF(M87&gt;0,M87*348.12,0)+IF(N87&gt;0,N87*151.63,0)+IF(O87&gt;0,O87*197.82,0)+IF(P87&gt;0,P87*244.09,0)+IF(Q87&gt;0,Q87*315.35,0)+IF(R87&gt;0,R87*1067.3,0)+IF(T87&gt;0,T87*567.47,0)+IF(U87&gt;0,U87*151.63,0)+IF(V87&gt;0,V87*197.84,0)+IF(W87&gt;0,W87*470.51,0)+IF(X87&gt;0,X87*701.69,0)+IF(Z87&gt;0,Z87*151.63,0)+IF(AA87&gt;0,AA87*197.84)+IF(AB87&gt;0,AB87*308.4,0)+IF(AC87&gt;0,AC87*496.16,0)</f>
        <v/>
      </c>
    </row>
    <row r="88" hidden="1">
      <c r="A88" s="58" t="inlineStr">
        <is>
          <t>SIM</t>
        </is>
      </c>
      <c r="B88" s="59" t="n"/>
      <c r="C88" s="60" t="inlineStr">
        <is>
          <t>ESTAÇÃO REP</t>
        </is>
      </c>
      <c r="D88" s="61" t="inlineStr">
        <is>
          <t xml:space="preserve"> REPETIDORA SERRA BOA ( SEM EXTINTOR )</t>
        </is>
      </c>
      <c r="E88" s="62" t="inlineStr">
        <is>
          <t>CAMACÃ</t>
        </is>
      </c>
      <c r="F88" s="61" t="inlineStr">
        <is>
          <t>ILHÉUS</t>
        </is>
      </c>
      <c r="G88" s="60" t="inlineStr">
        <is>
          <t>BA</t>
        </is>
      </c>
      <c r="H88" s="119" t="n"/>
      <c r="I88" s="119" t="n"/>
      <c r="J88" s="60">
        <f>SUM(L88:AE88)</f>
        <v/>
      </c>
      <c r="K88" s="60">
        <f>SUM(AF88:AJ88)</f>
        <v/>
      </c>
      <c r="L88" s="60" t="n"/>
      <c r="M88" s="60" t="n"/>
      <c r="N88" s="60" t="n"/>
      <c r="O88" s="60" t="n"/>
      <c r="P88" s="60" t="n"/>
      <c r="Q88" s="60" t="n"/>
      <c r="R88" s="60" t="n"/>
      <c r="S88" s="60" t="n"/>
      <c r="T88" s="60" t="n"/>
      <c r="U88" s="60" t="n"/>
      <c r="V88" s="60" t="n"/>
      <c r="W88" s="60" t="n"/>
      <c r="X88" s="60" t="n"/>
      <c r="Y88" s="60" t="n"/>
      <c r="Z88" s="60" t="n"/>
      <c r="AA88" s="60" t="n"/>
      <c r="AB88" s="60" t="n"/>
      <c r="AC88" s="60" t="n"/>
      <c r="AD88" s="60" t="n"/>
      <c r="AE88" s="60" t="n"/>
      <c r="AF88" s="60" t="n"/>
      <c r="AG88" s="60" t="n"/>
      <c r="AH88" s="60" t="n"/>
      <c r="AI88" s="60" t="n"/>
      <c r="AJ88" s="60" t="n"/>
      <c r="AK88" s="120">
        <f>IF(L88&gt;0,L88*90.44,0)+IF(M88&gt;0,M88*348.12,0)+IF(N88&gt;0,N88*151.63,0)+IF(O88&gt;0,O88*197.82,0)+IF(P88&gt;0,P88*244.09,0)+IF(Q88&gt;0,Q88*315.35,0)+IF(R88&gt;0,R88*1067.3,0)+IF(T88&gt;0,T88*567.47,0)+IF(U88&gt;0,U88*151.63,0)+IF(V88&gt;0,V88*197.84,0)+IF(W88&gt;0,W88*470.51,0)+IF(X88&gt;0,X88*701.69,0)+IF(Z88&gt;0,Z88*151.63,0)+IF(AA88&gt;0,AA88*197.84)+IF(AB88&gt;0,AB88*308.4,0)+IF(AC88&gt;0,AC88*496.16,0)</f>
        <v/>
      </c>
    </row>
    <row r="89" hidden="1">
      <c r="A89" s="58" t="inlineStr">
        <is>
          <t>SIM</t>
        </is>
      </c>
      <c r="B89" s="59">
        <f>IF(H89&lt;$B$1,"VENCIDO","NA VALIDADE")</f>
        <v/>
      </c>
      <c r="C89" s="60" t="inlineStr">
        <is>
          <t>BASE OP</t>
        </is>
      </c>
      <c r="D89" s="61" t="inlineStr">
        <is>
          <t>BASE OPERACIONAL ITAMARAJU</t>
        </is>
      </c>
      <c r="E89" s="62" t="inlineStr">
        <is>
          <t>ITAMARAJÚ</t>
        </is>
      </c>
      <c r="F89" s="61" t="inlineStr">
        <is>
          <t>ILHÉUS</t>
        </is>
      </c>
      <c r="G89" s="60" t="inlineStr">
        <is>
          <t>BA</t>
        </is>
      </c>
      <c r="H89" s="119" t="n">
        <v>45323</v>
      </c>
      <c r="I89" s="119">
        <f>H89-180</f>
        <v/>
      </c>
      <c r="J89" s="60">
        <f>SUM(L89:AE89)</f>
        <v/>
      </c>
      <c r="K89" s="60">
        <f>SUM(AF89:AJ89)</f>
        <v/>
      </c>
      <c r="L89" s="60" t="n"/>
      <c r="M89" s="60" t="n"/>
      <c r="N89" s="60" t="n"/>
      <c r="O89" s="60" t="n"/>
      <c r="P89" s="60" t="n"/>
      <c r="Q89" s="60" t="n">
        <v>2</v>
      </c>
      <c r="R89" s="60" t="n"/>
      <c r="S89" s="60" t="n"/>
      <c r="T89" s="60" t="n"/>
      <c r="U89" s="60" t="n"/>
      <c r="V89" s="60" t="n"/>
      <c r="W89" s="60" t="n"/>
      <c r="X89" s="60" t="n"/>
      <c r="Y89" s="60" t="n"/>
      <c r="Z89" s="60" t="n"/>
      <c r="AA89" s="60" t="n"/>
      <c r="AB89" s="60" t="n"/>
      <c r="AC89" s="60" t="n"/>
      <c r="AD89" s="60" t="n"/>
      <c r="AE89" s="60" t="n"/>
      <c r="AF89" s="60" t="n"/>
      <c r="AG89" s="60" t="n"/>
      <c r="AH89" s="60" t="n"/>
      <c r="AI89" s="60" t="n"/>
      <c r="AJ89" s="60" t="n"/>
      <c r="AK89" s="120">
        <f>IF(L89&gt;0,L89*90.44,0)+IF(M89&gt;0,M89*348.12,0)+IF(N89&gt;0,N89*151.63,0)+IF(O89&gt;0,O89*197.82,0)+IF(P89&gt;0,P89*244.09,0)+IF(Q89&gt;0,Q89*315.35,0)+IF(R89&gt;0,R89*1067.3,0)+IF(T89&gt;0,T89*567.47,0)+IF(U89&gt;0,U89*151.63,0)+IF(V89&gt;0,V89*197.84,0)+IF(W89&gt;0,W89*470.51,0)+IF(X89&gt;0,X89*701.69,0)+IF(Z89&gt;0,Z89*151.63,0)+IF(AA89&gt;0,AA89*197.84)+IF(AB89&gt;0,AB89*308.4,0)+IF(AC89&gt;0,AC89*496.16,0)</f>
        <v/>
      </c>
    </row>
    <row r="90" hidden="1">
      <c r="A90" s="58" t="inlineStr">
        <is>
          <t>SIM</t>
        </is>
      </c>
      <c r="B90" s="59">
        <f>IF(H90&lt;$B$1,"VENCIDO","NA VALIDADE")</f>
        <v/>
      </c>
      <c r="C90" s="60" t="inlineStr">
        <is>
          <t>BASE OP</t>
        </is>
      </c>
      <c r="D90" s="61" t="inlineStr">
        <is>
          <t>BASE OPERACIONAL ITAMBÉ</t>
        </is>
      </c>
      <c r="E90" s="62" t="inlineStr">
        <is>
          <t>ITAMBÉ</t>
        </is>
      </c>
      <c r="F90" s="61" t="inlineStr">
        <is>
          <t>VITÓRIA DA CONQUISTA</t>
        </is>
      </c>
      <c r="G90" s="60" t="inlineStr">
        <is>
          <t>BA</t>
        </is>
      </c>
      <c r="H90" s="119" t="n">
        <v>45474</v>
      </c>
      <c r="I90" s="119">
        <f>H90-180</f>
        <v/>
      </c>
      <c r="J90" s="60">
        <f>SUM(L90:AE90)</f>
        <v/>
      </c>
      <c r="K90" s="60">
        <f>SUM(AF90:AJ90)</f>
        <v/>
      </c>
      <c r="L90" s="60" t="n"/>
      <c r="M90" s="60" t="n"/>
      <c r="N90" s="60" t="n"/>
      <c r="O90" s="60" t="n"/>
      <c r="P90" s="60" t="n"/>
      <c r="Q90" s="60" t="n"/>
      <c r="R90" s="60" t="n"/>
      <c r="S90" s="60" t="n"/>
      <c r="T90" s="60" t="n"/>
      <c r="U90" s="60" t="n"/>
      <c r="V90" s="60" t="n">
        <v>1</v>
      </c>
      <c r="W90" s="60" t="n"/>
      <c r="X90" s="60" t="n"/>
      <c r="Y90" s="60" t="n"/>
      <c r="Z90" s="60" t="n"/>
      <c r="AA90" s="60" t="n"/>
      <c r="AB90" s="60" t="n"/>
      <c r="AC90" s="60" t="n"/>
      <c r="AD90" s="60" t="n"/>
      <c r="AE90" s="60" t="n"/>
      <c r="AF90" s="60" t="n"/>
      <c r="AG90" s="60" t="n"/>
      <c r="AH90" s="60" t="n"/>
      <c r="AI90" s="60" t="n"/>
      <c r="AJ90" s="60" t="n"/>
      <c r="AK90" s="120">
        <f>IF(L90&gt;0,L90*90.44,0)+IF(M90&gt;0,M90*348.12,0)+IF(N90&gt;0,N90*151.63,0)+IF(O90&gt;0,O90*197.82,0)+IF(P90&gt;0,P90*244.09,0)+IF(Q90&gt;0,Q90*315.35,0)+IF(R90&gt;0,R90*1067.3,0)+IF(T90&gt;0,T90*567.47,0)+IF(U90&gt;0,U90*151.63,0)+IF(V90&gt;0,V90*197.84,0)+IF(W90&gt;0,W90*470.51,0)+IF(X90&gt;0,X90*701.69,0)+IF(Z90&gt;0,Z90*151.63,0)+IF(AA90&gt;0,AA90*197.84)+IF(AB90&gt;0,AB90*308.4,0)+IF(AC90&gt;0,AC90*496.16,0)</f>
        <v/>
      </c>
    </row>
    <row r="91">
      <c r="A91" s="58" t="inlineStr">
        <is>
          <t>SIM</t>
        </is>
      </c>
      <c r="B91" s="59">
        <f>IF(H91&lt;$B$1,"VENCIDO","NA VALIDADE")</f>
        <v/>
      </c>
      <c r="C91" s="60" t="inlineStr">
        <is>
          <t>BASE OP</t>
        </is>
      </c>
      <c r="D91" s="61" t="inlineStr">
        <is>
          <t>BASE OPERACIONAL ITAPARICA</t>
        </is>
      </c>
      <c r="E91" s="62" t="inlineStr">
        <is>
          <t>ITAPARICA</t>
        </is>
      </c>
      <c r="F91" s="61" t="inlineStr">
        <is>
          <t>FEIRA DE  SANTANA</t>
        </is>
      </c>
      <c r="G91" s="60" t="inlineStr">
        <is>
          <t>BA</t>
        </is>
      </c>
      <c r="H91" s="119" t="n">
        <v>45597</v>
      </c>
      <c r="I91" s="119">
        <f>H91-180</f>
        <v/>
      </c>
      <c r="J91" s="60">
        <f>SUM(L91:AE91)</f>
        <v/>
      </c>
      <c r="K91" s="60">
        <f>SUM(AF91:AJ91)</f>
        <v/>
      </c>
      <c r="L91" s="60" t="n"/>
      <c r="M91" s="60" t="n"/>
      <c r="N91" s="60" t="n"/>
      <c r="O91" s="60" t="n"/>
      <c r="P91" s="60" t="n"/>
      <c r="Q91" s="60" t="n"/>
      <c r="R91" s="60" t="n"/>
      <c r="S91" s="60" t="n"/>
      <c r="T91" s="60" t="n"/>
      <c r="U91" s="60" t="n"/>
      <c r="V91" s="60" t="n">
        <v>1</v>
      </c>
      <c r="W91" s="60" t="n"/>
      <c r="X91" s="60" t="n"/>
      <c r="Y91" s="60" t="n"/>
      <c r="Z91" s="60" t="n"/>
      <c r="AA91" s="60" t="n"/>
      <c r="AB91" s="60" t="n"/>
      <c r="AC91" s="60" t="n"/>
      <c r="AD91" s="60" t="n"/>
      <c r="AE91" s="60" t="n"/>
      <c r="AF91" s="60" t="n"/>
      <c r="AG91" s="60" t="n"/>
      <c r="AH91" s="60" t="n"/>
      <c r="AI91" s="60" t="n"/>
      <c r="AJ91" s="60" t="n"/>
      <c r="AK91" s="120">
        <f>IF(L91&gt;0,L91*90.44,0)+IF(M91&gt;0,M91*348.12,0)+IF(N91&gt;0,N91*151.63,0)+IF(O91&gt;0,O91*197.82,0)+IF(P91&gt;0,P91*244.09,0)+IF(Q91&gt;0,Q91*315.35,0)+IF(R91&gt;0,R91*1067.3,0)+IF(T91&gt;0,T91*567.47,0)+IF(U91&gt;0,U91*151.63,0)+IF(V91&gt;0,V91*197.84,0)+IF(W91&gt;0,W91*470.51,0)+IF(X91&gt;0,X91*701.69,0)+IF(Z91&gt;0,Z91*151.63,0)+IF(AA91&gt;0,AA91*197.84)+IF(AB91&gt;0,AB91*308.4,0)+IF(AC91&gt;0,AC91*496.16,0)</f>
        <v/>
      </c>
    </row>
    <row r="92" hidden="1">
      <c r="A92" s="58" t="inlineStr">
        <is>
          <t>rota</t>
        </is>
      </c>
      <c r="B92" s="59">
        <f>IF(H92&lt;$B$1,"VENCIDO","NA VALIDADE")</f>
        <v/>
      </c>
      <c r="C92" s="60" t="inlineStr">
        <is>
          <t>BASE OP</t>
        </is>
      </c>
      <c r="D92" s="61" t="inlineStr">
        <is>
          <t>BASE OPERACIONAL ITAPEBI</t>
        </is>
      </c>
      <c r="E92" s="62" t="inlineStr">
        <is>
          <t>ITAPEBI</t>
        </is>
      </c>
      <c r="F92" s="61" t="inlineStr">
        <is>
          <t>ILHÉUS</t>
        </is>
      </c>
      <c r="G92" s="60" t="inlineStr">
        <is>
          <t>BA</t>
        </is>
      </c>
      <c r="H92" s="119" t="n">
        <v>45323</v>
      </c>
      <c r="I92" s="119">
        <f>H92-180</f>
        <v/>
      </c>
      <c r="J92" s="60">
        <f>SUM(L92:AE92)</f>
        <v/>
      </c>
      <c r="K92" s="60">
        <f>SUM(AF92:AJ92)</f>
        <v/>
      </c>
      <c r="L92" s="60" t="n"/>
      <c r="M92" s="60" t="n"/>
      <c r="N92" s="60" t="n"/>
      <c r="O92" s="60" t="n"/>
      <c r="P92" s="60" t="n"/>
      <c r="Q92" s="60" t="n">
        <v>2</v>
      </c>
      <c r="R92" s="60" t="n"/>
      <c r="S92" s="60" t="n"/>
      <c r="T92" s="60" t="n"/>
      <c r="U92" s="60" t="n"/>
      <c r="V92" s="60" t="n"/>
      <c r="W92" s="60" t="n"/>
      <c r="X92" s="60" t="n"/>
      <c r="Y92" s="60" t="n"/>
      <c r="Z92" s="60" t="n"/>
      <c r="AA92" s="60" t="n"/>
      <c r="AB92" s="60" t="n"/>
      <c r="AC92" s="60" t="n"/>
      <c r="AD92" s="60" t="n"/>
      <c r="AE92" s="60" t="n"/>
      <c r="AF92" s="60" t="n"/>
      <c r="AG92" s="60" t="n"/>
      <c r="AH92" s="60" t="n"/>
      <c r="AI92" s="60" t="n"/>
      <c r="AJ92" s="60" t="n"/>
      <c r="AK92" s="120">
        <f>IF(L92&gt;0,L92*90.44,0)+IF(M92&gt;0,M92*348.12,0)+IF(N92&gt;0,N92*151.63,0)+IF(O92&gt;0,O92*197.82,0)+IF(P92&gt;0,P92*244.09,0)+IF(Q92&gt;0,Q92*315.35,0)+IF(R92&gt;0,R92*1067.3,0)+IF(T92&gt;0,T92*567.47,0)+IF(U92&gt;0,U92*151.63,0)+IF(V92&gt;0,V92*197.84,0)+IF(W92&gt;0,W92*470.51,0)+IF(X92&gt;0,X92*701.69,0)+IF(Z92&gt;0,Z92*151.63,0)+IF(AA92&gt;0,AA92*197.84)+IF(AB92&gt;0,AB92*308.4,0)+IF(AC92&gt;0,AC92*496.16,0)</f>
        <v/>
      </c>
    </row>
    <row r="93" hidden="1">
      <c r="A93" s="58" t="inlineStr">
        <is>
          <t>rota</t>
        </is>
      </c>
      <c r="B93" s="59">
        <f>IF(H93&lt;$B$1,"VENCIDO","NA VALIDADE")</f>
        <v/>
      </c>
      <c r="C93" s="60" t="inlineStr">
        <is>
          <t>BASE OP</t>
        </is>
      </c>
      <c r="D93" s="61" t="inlineStr">
        <is>
          <t>BASE OPERACIONAL ITARANTIN</t>
        </is>
      </c>
      <c r="E93" s="62" t="inlineStr">
        <is>
          <t>ITARANTIM</t>
        </is>
      </c>
      <c r="F93" s="61" t="inlineStr">
        <is>
          <t>VITÓRIA DA CONQUISTA</t>
        </is>
      </c>
      <c r="G93" s="60" t="inlineStr">
        <is>
          <t>BA</t>
        </is>
      </c>
      <c r="H93" s="119" t="n">
        <v>45474</v>
      </c>
      <c r="I93" s="119">
        <f>H93-180</f>
        <v/>
      </c>
      <c r="J93" s="60">
        <f>SUM(L93:AE93)</f>
        <v/>
      </c>
      <c r="K93" s="60">
        <f>SUM(AF93:AJ93)</f>
        <v/>
      </c>
      <c r="L93" s="60" t="n"/>
      <c r="M93" s="60" t="n"/>
      <c r="N93" s="60" t="n"/>
      <c r="O93" s="60" t="n"/>
      <c r="P93" s="60" t="n"/>
      <c r="Q93" s="60" t="n"/>
      <c r="R93" s="60" t="n"/>
      <c r="S93" s="60" t="n"/>
      <c r="T93" s="60" t="n"/>
      <c r="U93" s="60" t="n"/>
      <c r="V93" s="60" t="n"/>
      <c r="W93" s="60" t="n"/>
      <c r="X93" s="60" t="n">
        <v>1</v>
      </c>
      <c r="Y93" s="60" t="n"/>
      <c r="Z93" s="60" t="n"/>
      <c r="AA93" s="60" t="n"/>
      <c r="AB93" s="60" t="n"/>
      <c r="AC93" s="60" t="n"/>
      <c r="AD93" s="60" t="n"/>
      <c r="AE93" s="60" t="n"/>
      <c r="AF93" s="60" t="n"/>
      <c r="AG93" s="60" t="n"/>
      <c r="AH93" s="60" t="n"/>
      <c r="AI93" s="60" t="n"/>
      <c r="AJ93" s="60" t="n"/>
      <c r="AK93" s="120">
        <f>IF(L93&gt;0,L93*90.44,0)+IF(M93&gt;0,M93*348.12,0)+IF(N93&gt;0,N93*151.63,0)+IF(O93&gt;0,O93*197.82,0)+IF(P93&gt;0,P93*244.09,0)+IF(Q93&gt;0,Q93*315.35,0)+IF(R93&gt;0,R93*1067.3,0)+IF(T93&gt;0,T93*567.47,0)+IF(U93&gt;0,U93*151.63,0)+IF(V93&gt;0,V93*197.84,0)+IF(W93&gt;0,W93*470.51,0)+IF(X93&gt;0,X93*701.69,0)+IF(Z93&gt;0,Z93*151.63,0)+IF(AA93&gt;0,AA93*197.84)+IF(AB93&gt;0,AB93*308.4,0)+IF(AC93&gt;0,AC93*496.16,0)</f>
        <v/>
      </c>
    </row>
    <row r="94" hidden="1">
      <c r="A94" s="58" t="inlineStr">
        <is>
          <t>SIM</t>
        </is>
      </c>
      <c r="B94" s="59">
        <f>IF(H94&lt;$B$1,"VENCIDO","NA VALIDADE")</f>
        <v/>
      </c>
      <c r="C94" s="60" t="inlineStr">
        <is>
          <t>BASE OP</t>
        </is>
      </c>
      <c r="D94" s="61" t="inlineStr">
        <is>
          <t>BASE OPERACIONAL ITUBERA</t>
        </is>
      </c>
      <c r="E94" s="62" t="inlineStr">
        <is>
          <t>ITUBERÁ</t>
        </is>
      </c>
      <c r="F94" s="61" t="inlineStr">
        <is>
          <t>ILHÉUS</t>
        </is>
      </c>
      <c r="G94" s="60" t="inlineStr">
        <is>
          <t>BA</t>
        </is>
      </c>
      <c r="H94" s="119" t="n">
        <v>45474</v>
      </c>
      <c r="I94" s="119">
        <f>H94-180</f>
        <v/>
      </c>
      <c r="J94" s="60">
        <f>SUM(L94:AE94)</f>
        <v/>
      </c>
      <c r="K94" s="60">
        <f>SUM(AF94:AJ94)</f>
        <v/>
      </c>
      <c r="L94" s="60" t="n"/>
      <c r="M94" s="60" t="n"/>
      <c r="N94" s="60" t="n"/>
      <c r="O94" s="60" t="n"/>
      <c r="P94" s="60" t="n"/>
      <c r="Q94" s="60" t="n"/>
      <c r="R94" s="60" t="n"/>
      <c r="S94" s="60" t="n"/>
      <c r="T94" s="60" t="n"/>
      <c r="U94" s="60" t="n"/>
      <c r="V94" s="60" t="n">
        <v>1</v>
      </c>
      <c r="W94" s="60" t="n"/>
      <c r="X94" s="60" t="n"/>
      <c r="Y94" s="60" t="n"/>
      <c r="Z94" s="60" t="n"/>
      <c r="AA94" s="60" t="n"/>
      <c r="AB94" s="60" t="n"/>
      <c r="AC94" s="60" t="n"/>
      <c r="AD94" s="60" t="n"/>
      <c r="AE94" s="60" t="n"/>
      <c r="AF94" s="60" t="n"/>
      <c r="AG94" s="60" t="n"/>
      <c r="AH94" s="60" t="n"/>
      <c r="AI94" s="60" t="n"/>
      <c r="AJ94" s="60" t="n"/>
      <c r="AK94" s="120">
        <f>IF(L94&gt;0,L94*90.44,0)+IF(M94&gt;0,M94*348.12,0)+IF(N94&gt;0,N94*151.63,0)+IF(O94&gt;0,O94*197.82,0)+IF(P94&gt;0,P94*244.09,0)+IF(Q94&gt;0,Q94*315.35,0)+IF(R94&gt;0,R94*1067.3,0)+IF(T94&gt;0,T94*567.47,0)+IF(U94&gt;0,U94*151.63,0)+IF(V94&gt;0,V94*197.84,0)+IF(W94&gt;0,W94*470.51,0)+IF(X94&gt;0,X94*701.69,0)+IF(Z94&gt;0,Z94*151.63,0)+IF(AA94&gt;0,AA94*197.84)+IF(AB94&gt;0,AB94*308.4,0)+IF(AC94&gt;0,AC94*496.16,0)</f>
        <v/>
      </c>
    </row>
    <row r="95" hidden="1">
      <c r="A95" s="58" t="inlineStr">
        <is>
          <t>SIM</t>
        </is>
      </c>
      <c r="B95" s="59">
        <f>IF(H95&lt;$B$1,"VENCIDO","NA VALIDADE")</f>
        <v/>
      </c>
      <c r="C95" s="60" t="inlineStr">
        <is>
          <t>BASE OP</t>
        </is>
      </c>
      <c r="D95" s="61" t="inlineStr">
        <is>
          <t>BASE OPERACIONAL JAGUAQUARA</t>
        </is>
      </c>
      <c r="E95" s="62" t="inlineStr">
        <is>
          <t>JAGUAQUARA</t>
        </is>
      </c>
      <c r="F95" s="61" t="inlineStr">
        <is>
          <t>VITÓRIA DA CONQUISTA</t>
        </is>
      </c>
      <c r="G95" s="60" t="inlineStr">
        <is>
          <t>BA</t>
        </is>
      </c>
      <c r="H95" s="119" t="n">
        <v>45444</v>
      </c>
      <c r="I95" s="119">
        <f>H95-180</f>
        <v/>
      </c>
      <c r="J95" s="60">
        <f>SUM(L95:AE95)</f>
        <v/>
      </c>
      <c r="K95" s="60">
        <f>SUM(AF95:AJ95)</f>
        <v/>
      </c>
      <c r="L95" s="60" t="n"/>
      <c r="M95" s="60" t="n"/>
      <c r="N95" s="60" t="n"/>
      <c r="O95" s="60" t="n"/>
      <c r="P95" s="60" t="n"/>
      <c r="Q95" s="60" t="n">
        <v>1</v>
      </c>
      <c r="R95" s="60" t="n"/>
      <c r="S95" s="60" t="n"/>
      <c r="T95" s="60" t="n"/>
      <c r="U95" s="60" t="n"/>
      <c r="V95" s="60" t="n"/>
      <c r="W95" s="60" t="n"/>
      <c r="X95" s="60" t="n"/>
      <c r="Y95" s="60" t="n"/>
      <c r="Z95" s="60" t="n"/>
      <c r="AA95" s="60" t="n"/>
      <c r="AB95" s="60" t="n"/>
      <c r="AC95" s="60" t="n"/>
      <c r="AD95" s="60" t="n"/>
      <c r="AE95" s="60" t="n"/>
      <c r="AF95" s="60" t="n"/>
      <c r="AG95" s="60" t="n"/>
      <c r="AH95" s="60" t="n"/>
      <c r="AI95" s="60" t="n"/>
      <c r="AJ95" s="60" t="n"/>
      <c r="AK95" s="120">
        <f>IF(L95&gt;0,L95*90.44,0)+IF(M95&gt;0,M95*348.12,0)+IF(N95&gt;0,N95*151.63,0)+IF(O95&gt;0,O95*197.82,0)+IF(P95&gt;0,P95*244.09,0)+IF(Q95&gt;0,Q95*315.35,0)+IF(R95&gt;0,R95*1067.3,0)+IF(T95&gt;0,T95*567.47,0)+IF(U95&gt;0,U95*151.63,0)+IF(V95&gt;0,V95*197.84,0)+IF(W95&gt;0,W95*470.51,0)+IF(X95&gt;0,X95*701.69,0)+IF(Z95&gt;0,Z95*151.63,0)+IF(AA95&gt;0,AA95*197.84)+IF(AB95&gt;0,AB95*308.4,0)+IF(AC95&gt;0,AC95*496.16,0)</f>
        <v/>
      </c>
    </row>
    <row r="96">
      <c r="A96" s="58" t="inlineStr">
        <is>
          <t>SIM</t>
        </is>
      </c>
      <c r="B96" s="59">
        <f>IF(H96&lt;$B$1,"VENCIDO","NA VALIDADE")</f>
        <v/>
      </c>
      <c r="C96" s="60" t="inlineStr">
        <is>
          <t>BASE OP</t>
        </is>
      </c>
      <c r="D96" s="61" t="inlineStr">
        <is>
          <t>BASE OPERACIONAL JEREMOABO</t>
        </is>
      </c>
      <c r="E96" s="62" t="inlineStr">
        <is>
          <t>JEREMOABO</t>
        </is>
      </c>
      <c r="F96" s="61" t="inlineStr">
        <is>
          <t>FEIRA DE  SANTANA</t>
        </is>
      </c>
      <c r="G96" s="60" t="inlineStr">
        <is>
          <t>BA</t>
        </is>
      </c>
      <c r="H96" s="119" t="n">
        <v>45352</v>
      </c>
      <c r="I96" s="119">
        <f>H96-180</f>
        <v/>
      </c>
      <c r="J96" s="60">
        <f>SUM(L96:AE96)</f>
        <v/>
      </c>
      <c r="K96" s="60">
        <f>SUM(AF96:AJ96)</f>
        <v/>
      </c>
      <c r="L96" s="60" t="n"/>
      <c r="M96" s="60" t="n"/>
      <c r="N96" s="60" t="n"/>
      <c r="O96" s="60" t="n"/>
      <c r="P96" s="60" t="n"/>
      <c r="Q96" s="60" t="n"/>
      <c r="R96" s="60" t="n"/>
      <c r="S96" s="60" t="n"/>
      <c r="T96" s="60" t="n"/>
      <c r="U96" s="60" t="n"/>
      <c r="V96" s="60" t="n">
        <v>2</v>
      </c>
      <c r="W96" s="60" t="n"/>
      <c r="X96" s="60" t="n"/>
      <c r="Y96" s="60" t="n"/>
      <c r="Z96" s="60" t="n"/>
      <c r="AA96" s="60" t="n"/>
      <c r="AB96" s="60" t="n"/>
      <c r="AC96" s="60" t="n"/>
      <c r="AD96" s="60" t="n"/>
      <c r="AE96" s="60" t="n"/>
      <c r="AF96" s="60" t="n"/>
      <c r="AG96" s="60" t="n"/>
      <c r="AH96" s="60" t="n"/>
      <c r="AI96" s="60" t="n"/>
      <c r="AJ96" s="60" t="n"/>
      <c r="AK96" s="120">
        <f>IF(L96&gt;0,L96*90.44,0)+IF(M96&gt;0,M96*348.12,0)+IF(N96&gt;0,N96*151.63,0)+IF(O96&gt;0,O96*197.82,0)+IF(P96&gt;0,P96*244.09,0)+IF(Q96&gt;0,Q96*315.35,0)+IF(R96&gt;0,R96*1067.3,0)+IF(T96&gt;0,T96*567.47,0)+IF(U96&gt;0,U96*151.63,0)+IF(V96&gt;0,V96*197.84,0)+IF(W96&gt;0,W96*470.51,0)+IF(X96&gt;0,X96*701.69,0)+IF(Z96&gt;0,Z96*151.63,0)+IF(AA96&gt;0,AA96*197.84)+IF(AB96&gt;0,AB96*308.4,0)+IF(AC96&gt;0,AC96*496.16,0)</f>
        <v/>
      </c>
    </row>
    <row r="97">
      <c r="A97" s="58" t="inlineStr">
        <is>
          <t>SIM</t>
        </is>
      </c>
      <c r="B97" s="59">
        <f>IF(H97&lt;$B$1,"VENCIDO","NA VALIDADE")</f>
        <v/>
      </c>
      <c r="C97" s="60" t="inlineStr">
        <is>
          <t>BASE OP</t>
        </is>
      </c>
      <c r="D97" s="61" t="inlineStr">
        <is>
          <t>BASE OPERACIONAL LENÇÓIS</t>
        </is>
      </c>
      <c r="E97" s="62" t="inlineStr">
        <is>
          <t>TANQUINHO DE LENÇÓIS</t>
        </is>
      </c>
      <c r="F97" s="61" t="inlineStr">
        <is>
          <t>FEIRA DE  SANTANA</t>
        </is>
      </c>
      <c r="G97" s="60" t="inlineStr">
        <is>
          <t>BA</t>
        </is>
      </c>
      <c r="H97" s="119" t="n">
        <v>45536</v>
      </c>
      <c r="I97" s="119">
        <f>H97-180</f>
        <v/>
      </c>
      <c r="J97" s="60">
        <f>SUM(L97:AE97)</f>
        <v/>
      </c>
      <c r="K97" s="60">
        <f>SUM(AF97:AJ97)</f>
        <v/>
      </c>
      <c r="L97" s="60" t="n"/>
      <c r="M97" s="60" t="n"/>
      <c r="N97" s="60" t="n"/>
      <c r="O97" s="60" t="n"/>
      <c r="P97" s="60" t="n"/>
      <c r="Q97" s="60" t="n"/>
      <c r="R97" s="60" t="n"/>
      <c r="S97" s="60" t="n"/>
      <c r="T97" s="60" t="n"/>
      <c r="U97" s="60" t="n"/>
      <c r="V97" s="60" t="n">
        <v>2</v>
      </c>
      <c r="W97" s="60" t="n"/>
      <c r="X97" s="60" t="n"/>
      <c r="Y97" s="60" t="n"/>
      <c r="Z97" s="60" t="n"/>
      <c r="AA97" s="60" t="n"/>
      <c r="AB97" s="60" t="n"/>
      <c r="AC97" s="60" t="n"/>
      <c r="AD97" s="60" t="n"/>
      <c r="AE97" s="60" t="n"/>
      <c r="AF97" s="60" t="n"/>
      <c r="AG97" s="60" t="n"/>
      <c r="AH97" s="60" t="n"/>
      <c r="AI97" s="60" t="n"/>
      <c r="AJ97" s="60" t="n"/>
      <c r="AK97" s="120">
        <f>IF(L97&gt;0,L97*90.44,0)+IF(M97&gt;0,M97*348.12,0)+IF(N97&gt;0,N97*151.63,0)+IF(O97&gt;0,O97*197.82,0)+IF(P97&gt;0,P97*244.09,0)+IF(Q97&gt;0,Q97*315.35,0)+IF(R97&gt;0,R97*1067.3,0)+IF(T97&gt;0,T97*567.47,0)+IF(U97&gt;0,U97*151.63,0)+IF(V97&gt;0,V97*197.84,0)+IF(W97&gt;0,W97*470.51,0)+IF(X97&gt;0,X97*701.69,0)+IF(Z97&gt;0,Z97*151.63,0)+IF(AA97&gt;0,AA97*197.84)+IF(AB97&gt;0,AB97*308.4,0)+IF(AC97&gt;0,AC97*496.16,0)</f>
        <v/>
      </c>
    </row>
    <row r="98" hidden="1">
      <c r="A98" s="58" t="inlineStr">
        <is>
          <t>rota</t>
        </is>
      </c>
      <c r="B98" s="59">
        <f>IF(H98&lt;$B$1,"VENCIDO","NA VALIDADE")</f>
        <v/>
      </c>
      <c r="C98" s="60" t="inlineStr">
        <is>
          <t>BASE OP</t>
        </is>
      </c>
      <c r="D98" s="61" t="inlineStr">
        <is>
          <t>BASE OPERACIONAL LICINIO DE ALMEIDA</t>
        </is>
      </c>
      <c r="E98" s="62" t="inlineStr">
        <is>
          <t>LICÍNIO DE ALMEIDA</t>
        </is>
      </c>
      <c r="F98" s="61" t="inlineStr">
        <is>
          <t>VITÓRIA DA CONQUISTA</t>
        </is>
      </c>
      <c r="G98" s="60" t="inlineStr">
        <is>
          <t>BA</t>
        </is>
      </c>
      <c r="H98" s="119" t="n">
        <v>45352</v>
      </c>
      <c r="I98" s="119">
        <f>H98-180</f>
        <v/>
      </c>
      <c r="J98" s="60">
        <f>SUM(L98:AE98)</f>
        <v/>
      </c>
      <c r="K98" s="60">
        <f>SUM(AF98:AJ98)</f>
        <v/>
      </c>
      <c r="L98" s="60" t="n"/>
      <c r="M98" s="60" t="n"/>
      <c r="N98" s="60" t="n"/>
      <c r="O98" s="60" t="n"/>
      <c r="P98" s="60" t="n"/>
      <c r="Q98" s="60" t="n">
        <v>1</v>
      </c>
      <c r="R98" s="60" t="n"/>
      <c r="S98" s="60" t="n"/>
      <c r="T98" s="60" t="n"/>
      <c r="U98" s="60" t="n"/>
      <c r="V98" s="60" t="n"/>
      <c r="W98" s="60" t="n"/>
      <c r="X98" s="60" t="n"/>
      <c r="Y98" s="60" t="n"/>
      <c r="Z98" s="60" t="n"/>
      <c r="AA98" s="60" t="n"/>
      <c r="AB98" s="60" t="n"/>
      <c r="AC98" s="60" t="n"/>
      <c r="AD98" s="60" t="n"/>
      <c r="AE98" s="60" t="n"/>
      <c r="AF98" s="60" t="n"/>
      <c r="AG98" s="60" t="n"/>
      <c r="AH98" s="60" t="n"/>
      <c r="AI98" s="60" t="n"/>
      <c r="AJ98" s="60" t="n"/>
      <c r="AK98" s="120">
        <f>IF(L98&gt;0,L98*90.44,0)+IF(M98&gt;0,M98*348.12,0)+IF(N98&gt;0,N98*151.63,0)+IF(O98&gt;0,O98*197.82,0)+IF(P98&gt;0,P98*244.09,0)+IF(Q98&gt;0,Q98*315.35,0)+IF(R98&gt;0,R98*1067.3,0)+IF(T98&gt;0,T98*567.47,0)+IF(U98&gt;0,U98*151.63,0)+IF(V98&gt;0,V98*197.84,0)+IF(W98&gt;0,W98*470.51,0)+IF(X98&gt;0,X98*701.69,0)+IF(Z98&gt;0,Z98*151.63,0)+IF(AA98&gt;0,AA98*197.84)+IF(AB98&gt;0,AB98*308.4,0)+IF(AC98&gt;0,AC98*496.16,0)</f>
        <v/>
      </c>
    </row>
    <row r="99" hidden="1">
      <c r="A99" s="58" t="n"/>
      <c r="B99" s="59">
        <f>IF(H99&lt;$B$1,"VENCIDO","NA VALIDADE")</f>
        <v/>
      </c>
      <c r="C99" s="60" t="inlineStr">
        <is>
          <t>BASE OP</t>
        </is>
      </c>
      <c r="D99" s="61" t="inlineStr">
        <is>
          <t>BASE OPERACIONAL LUIZ EDUARDO MAGALHÃES</t>
        </is>
      </c>
      <c r="E99" s="62" t="inlineStr">
        <is>
          <t>LUIS EDUARDO MAGALHÃES</t>
        </is>
      </c>
      <c r="F99" s="61" t="inlineStr">
        <is>
          <t>VITÓRIA DA CONQUISTA</t>
        </is>
      </c>
      <c r="G99" s="60" t="inlineStr">
        <is>
          <t>BA</t>
        </is>
      </c>
      <c r="H99" s="119" t="n">
        <v>45383</v>
      </c>
      <c r="I99" s="119">
        <f>H99-180</f>
        <v/>
      </c>
      <c r="J99" s="60">
        <f>SUM(L99:AE99)</f>
        <v/>
      </c>
      <c r="K99" s="60">
        <f>SUM(AF99:AJ99)</f>
        <v/>
      </c>
      <c r="L99" s="60" t="n"/>
      <c r="M99" s="60" t="n"/>
      <c r="N99" s="60" t="n"/>
      <c r="O99" s="60" t="n"/>
      <c r="P99" s="60" t="n"/>
      <c r="Q99" s="60" t="n"/>
      <c r="R99" s="60" t="n"/>
      <c r="S99" s="60" t="n"/>
      <c r="T99" s="60" t="n"/>
      <c r="U99" s="60" t="n"/>
      <c r="V99" s="60" t="n">
        <v>2</v>
      </c>
      <c r="W99" s="60" t="n"/>
      <c r="X99" s="60" t="n"/>
      <c r="Y99" s="60" t="n"/>
      <c r="Z99" s="60" t="n"/>
      <c r="AA99" s="60" t="n"/>
      <c r="AB99" s="60" t="n"/>
      <c r="AC99" s="60" t="n"/>
      <c r="AD99" s="60" t="n"/>
      <c r="AE99" s="60" t="n"/>
      <c r="AF99" s="60" t="n"/>
      <c r="AG99" s="60" t="n"/>
      <c r="AH99" s="60" t="n"/>
      <c r="AI99" s="60" t="n"/>
      <c r="AJ99" s="60" t="n"/>
      <c r="AK99" s="120">
        <f>IF(L99&gt;0,L99*90.44,0)+IF(M99&gt;0,M99*348.12,0)+IF(N99&gt;0,N99*151.63,0)+IF(O99&gt;0,O99*197.82,0)+IF(P99&gt;0,P99*244.09,0)+IF(Q99&gt;0,Q99*315.35,0)+IF(R99&gt;0,R99*1067.3,0)+IF(T99&gt;0,T99*567.47,0)+IF(U99&gt;0,U99*151.63,0)+IF(V99&gt;0,V99*197.84,0)+IF(W99&gt;0,W99*470.51,0)+IF(X99&gt;0,X99*701.69,0)+IF(Z99&gt;0,Z99*151.63,0)+IF(AA99&gt;0,AA99*197.84)+IF(AB99&gt;0,AB99*308.4,0)+IF(AC99&gt;0,AC99*496.16,0)</f>
        <v/>
      </c>
    </row>
    <row r="100" hidden="1">
      <c r="A100" s="58" t="n"/>
      <c r="B100" s="59">
        <f>IF(H100&lt;$B$1,"VENCIDO","NA VALIDADE")</f>
        <v/>
      </c>
      <c r="C100" s="60" t="inlineStr">
        <is>
          <t>BASE OP</t>
        </is>
      </c>
      <c r="D100" s="61" t="inlineStr">
        <is>
          <t>BASE OPERACIONAL MARACÁS</t>
        </is>
      </c>
      <c r="E100" s="62" t="inlineStr">
        <is>
          <t>MARACÁS</t>
        </is>
      </c>
      <c r="F100" s="61" t="inlineStr">
        <is>
          <t>VITÓRIA DA CONQUISTA</t>
        </is>
      </c>
      <c r="G100" s="60" t="inlineStr">
        <is>
          <t>BA</t>
        </is>
      </c>
      <c r="H100" s="119" t="n">
        <v>45352</v>
      </c>
      <c r="I100" s="119">
        <f>H100-180</f>
        <v/>
      </c>
      <c r="J100" s="60">
        <f>SUM(L100:AE100)</f>
        <v/>
      </c>
      <c r="K100" s="60">
        <f>SUM(AF100:AJ100)</f>
        <v/>
      </c>
      <c r="L100" s="60" t="n"/>
      <c r="M100" s="60" t="n"/>
      <c r="N100" s="60" t="n"/>
      <c r="O100" s="60" t="n">
        <v>1</v>
      </c>
      <c r="P100" s="60" t="n"/>
      <c r="Q100" s="60" t="n">
        <v>1</v>
      </c>
      <c r="R100" s="60" t="n"/>
      <c r="S100" s="60" t="n"/>
      <c r="T100" s="60" t="n"/>
      <c r="U100" s="60" t="n"/>
      <c r="V100" s="60" t="n"/>
      <c r="W100" s="60" t="n"/>
      <c r="X100" s="60" t="n"/>
      <c r="Y100" s="60" t="n"/>
      <c r="Z100" s="60" t="n"/>
      <c r="AA100" s="60" t="n"/>
      <c r="AB100" s="60" t="n"/>
      <c r="AC100" s="60" t="n"/>
      <c r="AD100" s="60" t="n"/>
      <c r="AE100" s="60" t="n"/>
      <c r="AF100" s="60" t="n"/>
      <c r="AG100" s="60" t="n"/>
      <c r="AH100" s="60" t="n"/>
      <c r="AI100" s="60" t="n"/>
      <c r="AJ100" s="60" t="n"/>
      <c r="AK100" s="120">
        <f>IF(L100&gt;0,L100*90.44,0)+IF(M100&gt;0,M100*348.12,0)+IF(N100&gt;0,N100*151.63,0)+IF(O100&gt;0,O100*197.82,0)+IF(P100&gt;0,P100*244.09,0)+IF(Q100&gt;0,Q100*315.35,0)+IF(R100&gt;0,R100*1067.3,0)+IF(T100&gt;0,T100*567.47,0)+IF(U100&gt;0,U100*151.63,0)+IF(V100&gt;0,V100*197.84,0)+IF(W100&gt;0,W100*470.51,0)+IF(X100&gt;0,X100*701.69,0)+IF(Z100&gt;0,Z100*151.63,0)+IF(AA100&gt;0,AA100*197.84)+IF(AB100&gt;0,AB100*308.4,0)+IF(AC100&gt;0,AC100*496.16,0)</f>
        <v/>
      </c>
    </row>
    <row r="101" hidden="1">
      <c r="A101" s="58" t="inlineStr">
        <is>
          <t>SIM</t>
        </is>
      </c>
      <c r="B101" s="59">
        <f>IF(H101&lt;$B$1,"VENCIDO","NA VALIDADE")</f>
        <v/>
      </c>
      <c r="C101" s="60" t="inlineStr">
        <is>
          <t>SUBESTAÇÃO</t>
        </is>
      </c>
      <c r="D101" s="66" t="inlineStr">
        <is>
          <t>SE ITABELA</t>
        </is>
      </c>
      <c r="E101" s="62" t="inlineStr">
        <is>
          <t>ITABELA</t>
        </is>
      </c>
      <c r="F101" s="61" t="inlineStr">
        <is>
          <t>ILHÉUS</t>
        </is>
      </c>
      <c r="G101" s="60" t="inlineStr">
        <is>
          <t>BA</t>
        </is>
      </c>
      <c r="H101" s="119" t="n">
        <v>45627</v>
      </c>
      <c r="I101" s="119">
        <f>H101-180</f>
        <v/>
      </c>
      <c r="J101" s="60">
        <f>SUM(L101:AE101)</f>
        <v/>
      </c>
      <c r="K101" s="60">
        <f>SUM(AF101:AJ101)</f>
        <v/>
      </c>
      <c r="L101" s="60" t="n"/>
      <c r="M101" s="60" t="n"/>
      <c r="N101" s="60" t="n"/>
      <c r="O101" s="60" t="n"/>
      <c r="P101" s="60" t="n">
        <v>2</v>
      </c>
      <c r="Q101" s="60" t="n">
        <v>8</v>
      </c>
      <c r="R101" s="60" t="n"/>
      <c r="S101" s="60" t="n"/>
      <c r="T101" s="60" t="n">
        <v>2</v>
      </c>
      <c r="U101" s="60" t="n"/>
      <c r="V101" s="60" t="n"/>
      <c r="W101" s="60" t="n"/>
      <c r="X101" s="60" t="n"/>
      <c r="Y101" s="60" t="n"/>
      <c r="Z101" s="60" t="n"/>
      <c r="AA101" s="60" t="n"/>
      <c r="AB101" s="60" t="n"/>
      <c r="AC101" s="60" t="n"/>
      <c r="AD101" s="60" t="n"/>
      <c r="AE101" s="60" t="n"/>
      <c r="AF101" s="60" t="n"/>
      <c r="AG101" s="60" t="n"/>
      <c r="AH101" s="60" t="n"/>
      <c r="AI101" s="60" t="n"/>
      <c r="AJ101" s="60" t="n"/>
      <c r="AK101" s="120">
        <f>IF(L101&gt;0,L101*90.44,0)+IF(M101&gt;0,M101*348.12,0)+IF(N101&gt;0,N101*151.63,0)+IF(O101&gt;0,O101*197.82,0)+IF(P101&gt;0,P101*244.09,0)+IF(Q101&gt;0,Q101*315.35,0)+IF(R101&gt;0,R101*1067.3,0)+IF(T101&gt;0,T101*567.47,0)+IF(U101&gt;0,U101*151.63,0)+IF(V101&gt;0,V101*197.84,0)+IF(W101&gt;0,W101*470.51,0)+IF(X101&gt;0,X101*701.69,0)+IF(Z101&gt;0,Z101*151.63,0)+IF(AA101&gt;0,AA101*197.84)+IF(AB101&gt;0,AB101*308.4,0)+IF(AC101&gt;0,AC101*496.16,0)</f>
        <v/>
      </c>
    </row>
    <row r="102" hidden="1">
      <c r="A102" s="58" t="inlineStr">
        <is>
          <t>SIM</t>
        </is>
      </c>
      <c r="B102" s="59">
        <f>IF(H102&lt;$B$1,"VENCIDO","NA VALIDADE")</f>
        <v/>
      </c>
      <c r="C102" s="60" t="inlineStr">
        <is>
          <t>BASE OP</t>
        </is>
      </c>
      <c r="D102" s="61" t="inlineStr">
        <is>
          <t>BASE OPERACIONAL CAMACÃ</t>
        </is>
      </c>
      <c r="E102" s="62" t="inlineStr">
        <is>
          <t>CAMACÃ</t>
        </is>
      </c>
      <c r="F102" s="61" t="inlineStr">
        <is>
          <t>ILHÉUS</t>
        </is>
      </c>
      <c r="G102" s="60" t="inlineStr">
        <is>
          <t>BA</t>
        </is>
      </c>
      <c r="H102" s="119" t="n">
        <v>45444</v>
      </c>
      <c r="I102" s="119">
        <f>H102-180</f>
        <v/>
      </c>
      <c r="J102" s="60">
        <f>SUM(L102:AE102)</f>
        <v/>
      </c>
      <c r="K102" s="60">
        <f>SUM(AF102:AJ102)</f>
        <v/>
      </c>
      <c r="L102" s="60" t="n"/>
      <c r="M102" s="60" t="n"/>
      <c r="N102" s="60" t="n"/>
      <c r="O102" s="60" t="n"/>
      <c r="P102" s="60" t="n"/>
      <c r="Q102" s="60" t="n"/>
      <c r="R102" s="60" t="n"/>
      <c r="S102" s="60" t="n"/>
      <c r="T102" s="60" t="n"/>
      <c r="U102" s="60" t="n"/>
      <c r="V102" s="60" t="n"/>
      <c r="W102" s="60" t="n"/>
      <c r="X102" s="60" t="n"/>
      <c r="Y102" s="60" t="n"/>
      <c r="Z102" s="60" t="n"/>
      <c r="AA102" s="60" t="n">
        <v>1</v>
      </c>
      <c r="AB102" s="60" t="n"/>
      <c r="AC102" s="60" t="n"/>
      <c r="AD102" s="60" t="n"/>
      <c r="AE102" s="60" t="n"/>
      <c r="AF102" s="60" t="n"/>
      <c r="AG102" s="60" t="n"/>
      <c r="AH102" s="60" t="n"/>
      <c r="AI102" s="60" t="n"/>
      <c r="AJ102" s="60" t="n"/>
      <c r="AK102" s="120">
        <f>IF(L102&gt;0,L102*90.44,0)+IF(M102&gt;0,M102*348.12,0)+IF(N102&gt;0,N102*151.63,0)+IF(O102&gt;0,O102*197.82,0)+IF(P102&gt;0,P102*244.09,0)+IF(Q102&gt;0,Q102*315.35,0)+IF(R102&gt;0,R102*1067.3,0)+IF(T102&gt;0,T102*567.47,0)+IF(U102&gt;0,U102*151.63,0)+IF(V102&gt;0,V102*197.84,0)+IF(W102&gt;0,W102*470.51,0)+IF(X102&gt;0,X102*701.69,0)+IF(Z102&gt;0,Z102*151.63,0)+IF(AA102&gt;0,AA102*197.84)+IF(AB102&gt;0,AB102*308.4,0)+IF(AC102&gt;0,AC102*496.16,0)</f>
        <v/>
      </c>
    </row>
    <row r="103">
      <c r="A103" s="58" t="inlineStr">
        <is>
          <t>SIM</t>
        </is>
      </c>
      <c r="B103" s="59">
        <f>IF(H103&lt;$B$1,"VENCIDO","NA VALIDADE")</f>
        <v/>
      </c>
      <c r="C103" s="60" t="inlineStr">
        <is>
          <t>BASE OP</t>
        </is>
      </c>
      <c r="D103" s="61" t="inlineStr">
        <is>
          <t>BASE OPERACIONAL MORRO DO CHAPÉU</t>
        </is>
      </c>
      <c r="E103" s="62" t="inlineStr">
        <is>
          <t>MORRO DO CHAPÉU</t>
        </is>
      </c>
      <c r="F103" s="61" t="inlineStr">
        <is>
          <t>FEIRA DE  SANTANA</t>
        </is>
      </c>
      <c r="G103" s="60" t="inlineStr">
        <is>
          <t>BA</t>
        </is>
      </c>
      <c r="H103" s="119" t="n">
        <v>45505</v>
      </c>
      <c r="I103" s="119">
        <f>H103-180</f>
        <v/>
      </c>
      <c r="J103" s="60">
        <f>SUM(L103:AE103)</f>
        <v/>
      </c>
      <c r="K103" s="60">
        <f>SUM(AF103:AJ103)</f>
        <v/>
      </c>
      <c r="L103" s="60" t="n"/>
      <c r="M103" s="60" t="n"/>
      <c r="N103" s="60" t="n"/>
      <c r="O103" s="60" t="n"/>
      <c r="P103" s="60" t="n"/>
      <c r="Q103" s="60" t="n"/>
      <c r="R103" s="60" t="n"/>
      <c r="S103" s="60" t="n"/>
      <c r="T103" s="60" t="n"/>
      <c r="U103" s="60" t="n"/>
      <c r="V103" s="60" t="n">
        <v>1</v>
      </c>
      <c r="W103" s="60" t="n"/>
      <c r="X103" s="60" t="n"/>
      <c r="Y103" s="60" t="n"/>
      <c r="Z103" s="60" t="n"/>
      <c r="AA103" s="60" t="n"/>
      <c r="AB103" s="60" t="n"/>
      <c r="AC103" s="60" t="n"/>
      <c r="AD103" s="60" t="n"/>
      <c r="AE103" s="60" t="n"/>
      <c r="AF103" s="60" t="n"/>
      <c r="AG103" s="60" t="n"/>
      <c r="AH103" s="60" t="n"/>
      <c r="AI103" s="60" t="n"/>
      <c r="AJ103" s="60" t="n"/>
      <c r="AK103" s="120">
        <f>IF(L103&gt;0,L103*90.44,0)+IF(M103&gt;0,M103*348.12,0)+IF(N103&gt;0,N103*151.63,0)+IF(O103&gt;0,O103*197.82,0)+IF(P103&gt;0,P103*244.09,0)+IF(Q103&gt;0,Q103*315.35,0)+IF(R103&gt;0,R103*1067.3,0)+IF(T103&gt;0,T103*567.47,0)+IF(U103&gt;0,U103*151.63,0)+IF(V103&gt;0,V103*197.84,0)+IF(W103&gt;0,W103*470.51,0)+IF(X103&gt;0,X103*701.69,0)+IF(Z103&gt;0,Z103*151.63,0)+IF(AA103&gt;0,AA103*197.84)+IF(AB103&gt;0,AB103*308.4,0)+IF(AC103&gt;0,AC103*496.16,0)</f>
        <v/>
      </c>
    </row>
    <row r="104" hidden="1">
      <c r="A104" s="58" t="inlineStr">
        <is>
          <t>LUCIANO</t>
        </is>
      </c>
      <c r="B104" s="59">
        <f>IF(H104&lt;$B$1,"VENCIDO","NA VALIDADE")</f>
        <v/>
      </c>
      <c r="C104" s="60" t="inlineStr">
        <is>
          <t>BASE OP</t>
        </is>
      </c>
      <c r="D104" s="61" t="inlineStr">
        <is>
          <t>BASE OPERACIONAL CANAVIEIRAS</t>
        </is>
      </c>
      <c r="E104" s="62" t="inlineStr">
        <is>
          <t>CANAVIEIRAS</t>
        </is>
      </c>
      <c r="F104" s="61" t="inlineStr">
        <is>
          <t>ILHÉUS</t>
        </is>
      </c>
      <c r="G104" s="60" t="inlineStr">
        <is>
          <t>BA</t>
        </is>
      </c>
      <c r="H104" s="119" t="n">
        <v>45597</v>
      </c>
      <c r="I104" s="119">
        <f>H104-180</f>
        <v/>
      </c>
      <c r="J104" s="60">
        <f>SUM(L104:AE104)</f>
        <v/>
      </c>
      <c r="K104" s="60">
        <f>SUM(AF104:AJ104)</f>
        <v/>
      </c>
      <c r="L104" s="60" t="n"/>
      <c r="M104" s="60" t="n"/>
      <c r="N104" s="60" t="n"/>
      <c r="O104" s="60" t="n"/>
      <c r="P104" s="60" t="n"/>
      <c r="Q104" s="60" t="n"/>
      <c r="R104" s="60" t="n"/>
      <c r="S104" s="60" t="n"/>
      <c r="T104" s="60" t="n"/>
      <c r="U104" s="60" t="n"/>
      <c r="V104" s="60" t="n"/>
      <c r="W104" s="60" t="n"/>
      <c r="X104" s="60" t="n"/>
      <c r="Y104" s="60" t="n"/>
      <c r="Z104" s="60" t="n"/>
      <c r="AA104" s="60" t="n">
        <v>1</v>
      </c>
      <c r="AB104" s="60" t="n"/>
      <c r="AC104" s="60" t="n"/>
      <c r="AD104" s="60" t="n"/>
      <c r="AE104" s="60" t="n"/>
      <c r="AF104" s="60" t="n"/>
      <c r="AG104" s="60" t="n"/>
      <c r="AH104" s="60" t="n"/>
      <c r="AI104" s="60" t="n"/>
      <c r="AJ104" s="60" t="n"/>
      <c r="AK104" s="120">
        <f>IF(L104&gt;0,L104*90.44,0)+IF(M104&gt;0,M104*348.12,0)+IF(N104&gt;0,N104*151.63,0)+IF(O104&gt;0,O104*197.82,0)+IF(P104&gt;0,P104*244.09,0)+IF(Q104&gt;0,Q104*315.35,0)+IF(R104&gt;0,R104*1067.3,0)+IF(T104&gt;0,T104*567.47,0)+IF(U104&gt;0,U104*151.63,0)+IF(V104&gt;0,V104*197.84,0)+IF(W104&gt;0,W104*470.51,0)+IF(X104&gt;0,X104*701.69,0)+IF(Z104&gt;0,Z104*151.63,0)+IF(AA104&gt;0,AA104*197.84)+IF(AB104&gt;0,AB104*308.4,0)+IF(AC104&gt;0,AC104*496.16,0)</f>
        <v/>
      </c>
    </row>
    <row r="105">
      <c r="A105" s="58" t="inlineStr">
        <is>
          <t>SIM</t>
        </is>
      </c>
      <c r="B105" s="59">
        <f>IF(H105&lt;$B$1,"VENCIDO","NA VALIDADE")</f>
        <v/>
      </c>
      <c r="C105" s="60" t="inlineStr">
        <is>
          <t>BASE OP</t>
        </is>
      </c>
      <c r="D105" s="61" t="inlineStr">
        <is>
          <t>BASE OPERACIONAL MUNDO NOVO</t>
        </is>
      </c>
      <c r="E105" s="62" t="inlineStr">
        <is>
          <t>MUNDO NOVO</t>
        </is>
      </c>
      <c r="F105" s="61" t="inlineStr">
        <is>
          <t>FEIRA DE  SANTANA</t>
        </is>
      </c>
      <c r="G105" s="60" t="inlineStr">
        <is>
          <t>BA</t>
        </is>
      </c>
      <c r="H105" s="119" t="n">
        <v>45536</v>
      </c>
      <c r="I105" s="119">
        <f>H105-180</f>
        <v/>
      </c>
      <c r="J105" s="60">
        <f>SUM(L105:AE105)</f>
        <v/>
      </c>
      <c r="K105" s="60">
        <f>SUM(AF105:AJ105)</f>
        <v/>
      </c>
      <c r="L105" s="60" t="n"/>
      <c r="M105" s="60" t="n"/>
      <c r="N105" s="60" t="n"/>
      <c r="O105" s="60" t="n"/>
      <c r="P105" s="60" t="n"/>
      <c r="Q105" s="60" t="n"/>
      <c r="R105" s="60" t="n"/>
      <c r="S105" s="60" t="n"/>
      <c r="T105" s="60" t="n"/>
      <c r="U105" s="60" t="n"/>
      <c r="V105" s="60" t="n">
        <v>1</v>
      </c>
      <c r="W105" s="60" t="n"/>
      <c r="X105" s="60" t="n"/>
      <c r="Y105" s="60" t="n"/>
      <c r="Z105" s="60" t="n"/>
      <c r="AA105" s="60" t="n"/>
      <c r="AB105" s="60" t="n"/>
      <c r="AC105" s="60" t="n"/>
      <c r="AD105" s="60" t="n"/>
      <c r="AE105" s="60" t="n"/>
      <c r="AF105" s="60" t="n"/>
      <c r="AG105" s="60" t="n"/>
      <c r="AH105" s="60" t="n"/>
      <c r="AI105" s="60" t="n"/>
      <c r="AJ105" s="60" t="n"/>
      <c r="AK105" s="120">
        <f>IF(L105&gt;0,L105*90.44,0)+IF(M105&gt;0,M105*348.12,0)+IF(N105&gt;0,N105*151.63,0)+IF(O105&gt;0,O105*197.82,0)+IF(P105&gt;0,P105*244.09,0)+IF(Q105&gt;0,Q105*315.35,0)+IF(R105&gt;0,R105*1067.3,0)+IF(T105&gt;0,T105*567.47,0)+IF(U105&gt;0,U105*151.63,0)+IF(V105&gt;0,V105*197.84,0)+IF(W105&gt;0,W105*470.51,0)+IF(X105&gt;0,X105*701.69,0)+IF(Z105&gt;0,Z105*151.63,0)+IF(AA105&gt;0,AA105*197.84)+IF(AB105&gt;0,AB105*308.4,0)+IF(AC105&gt;0,AC105*496.16,0)</f>
        <v/>
      </c>
    </row>
    <row r="106" hidden="1">
      <c r="A106" s="58" t="inlineStr">
        <is>
          <t>SIM</t>
        </is>
      </c>
      <c r="B106" s="59">
        <f>IF(H106&lt;$B$1,"VENCIDO","NA VALIDADE")</f>
        <v/>
      </c>
      <c r="C106" s="60" t="inlineStr">
        <is>
          <t>BASE OP</t>
        </is>
      </c>
      <c r="D106" s="61" t="inlineStr">
        <is>
          <t>BASE OPERACIONAL ITACARÉ</t>
        </is>
      </c>
      <c r="E106" s="62" t="inlineStr">
        <is>
          <t>ITACARÉ</t>
        </is>
      </c>
      <c r="F106" s="61" t="inlineStr">
        <is>
          <t>ILHÉUS</t>
        </is>
      </c>
      <c r="G106" s="60" t="inlineStr">
        <is>
          <t>BA</t>
        </is>
      </c>
      <c r="H106" s="119" t="n">
        <v>45474</v>
      </c>
      <c r="I106" s="119">
        <f>H106-180</f>
        <v/>
      </c>
      <c r="J106" s="60">
        <f>SUM(L106:AE106)</f>
        <v/>
      </c>
      <c r="K106" s="60">
        <f>SUM(AF106:AJ106)</f>
        <v/>
      </c>
      <c r="L106" s="60" t="n"/>
      <c r="M106" s="60" t="n"/>
      <c r="N106" s="60" t="n"/>
      <c r="O106" s="60" t="n"/>
      <c r="P106" s="60" t="n"/>
      <c r="Q106" s="60" t="n"/>
      <c r="R106" s="60" t="n"/>
      <c r="S106" s="60" t="n"/>
      <c r="T106" s="60" t="n"/>
      <c r="U106" s="60" t="n"/>
      <c r="V106" s="60" t="n"/>
      <c r="W106" s="60" t="n"/>
      <c r="X106" s="60" t="n"/>
      <c r="Y106" s="60" t="n"/>
      <c r="Z106" s="60" t="n"/>
      <c r="AA106" s="60" t="n">
        <v>1</v>
      </c>
      <c r="AB106" s="60" t="n"/>
      <c r="AC106" s="60" t="n"/>
      <c r="AD106" s="60" t="n"/>
      <c r="AE106" s="60" t="n"/>
      <c r="AF106" s="60" t="n"/>
      <c r="AG106" s="60" t="n"/>
      <c r="AH106" s="60" t="n"/>
      <c r="AI106" s="60" t="n"/>
      <c r="AJ106" s="60" t="n"/>
      <c r="AK106" s="120">
        <f>IF(L106&gt;0,L106*90.44,0)+IF(M106&gt;0,M106*348.12,0)+IF(N106&gt;0,N106*151.63,0)+IF(O106&gt;0,O106*197.82,0)+IF(P106&gt;0,P106*244.09,0)+IF(Q106&gt;0,Q106*315.35,0)+IF(R106&gt;0,R106*1067.3,0)+IF(T106&gt;0,T106*567.47,0)+IF(U106&gt;0,U106*151.63,0)+IF(V106&gt;0,V106*197.84,0)+IF(W106&gt;0,W106*470.51,0)+IF(X106&gt;0,X106*701.69,0)+IF(Z106&gt;0,Z106*151.63,0)+IF(AA106&gt;0,AA106*197.84)+IF(AB106&gt;0,AB106*308.4,0)+IF(AC106&gt;0,AC106*496.16,0)</f>
        <v/>
      </c>
    </row>
    <row r="107">
      <c r="A107" s="58" t="inlineStr">
        <is>
          <t>rota</t>
        </is>
      </c>
      <c r="B107" s="59">
        <f>IF(H107&lt;$B$1,"VENCIDO","NA VALIDADE")</f>
        <v/>
      </c>
      <c r="C107" s="60" t="inlineStr">
        <is>
          <t>BASE OP</t>
        </is>
      </c>
      <c r="D107" s="61" t="inlineStr">
        <is>
          <t>BASE OPERACIONAL NAZARÉ</t>
        </is>
      </c>
      <c r="E107" s="62" t="inlineStr">
        <is>
          <t>NAZARÉ</t>
        </is>
      </c>
      <c r="F107" s="61" t="inlineStr">
        <is>
          <t>FEIRA DE  SANTANA</t>
        </is>
      </c>
      <c r="G107" s="60" t="inlineStr">
        <is>
          <t>BA</t>
        </is>
      </c>
      <c r="H107" s="119" t="n">
        <v>45536</v>
      </c>
      <c r="I107" s="119">
        <f>H107-180</f>
        <v/>
      </c>
      <c r="J107" s="60">
        <f>SUM(L107:AE107)</f>
        <v/>
      </c>
      <c r="K107" s="60">
        <f>SUM(AF107:AJ107)</f>
        <v/>
      </c>
      <c r="L107" s="60" t="n"/>
      <c r="M107" s="60" t="n"/>
      <c r="N107" s="60" t="n"/>
      <c r="O107" s="60" t="n"/>
      <c r="P107" s="60" t="n"/>
      <c r="Q107" s="60" t="n">
        <v>1</v>
      </c>
      <c r="R107" s="60" t="n"/>
      <c r="S107" s="60" t="n"/>
      <c r="T107" s="60" t="n"/>
      <c r="U107" s="60" t="n"/>
      <c r="V107" s="60" t="n"/>
      <c r="W107" s="60" t="n"/>
      <c r="X107" s="60" t="n"/>
      <c r="Y107" s="60" t="n"/>
      <c r="Z107" s="60" t="n"/>
      <c r="AA107" s="60" t="n"/>
      <c r="AB107" s="60" t="n"/>
      <c r="AC107" s="60" t="n"/>
      <c r="AD107" s="60" t="n"/>
      <c r="AE107" s="60" t="n"/>
      <c r="AF107" s="60" t="n"/>
      <c r="AG107" s="60" t="n"/>
      <c r="AH107" s="60" t="n"/>
      <c r="AI107" s="60" t="n"/>
      <c r="AJ107" s="60" t="n"/>
      <c r="AK107" s="120">
        <f>IF(L107&gt;0,L107*90.44,0)+IF(M107&gt;0,M107*348.12,0)+IF(N107&gt;0,N107*151.63,0)+IF(O107&gt;0,O107*197.82,0)+IF(P107&gt;0,P107*244.09,0)+IF(Q107&gt;0,Q107*315.35,0)+IF(R107&gt;0,R107*1067.3,0)+IF(T107&gt;0,T107*567.47,0)+IF(U107&gt;0,U107*151.63,0)+IF(V107&gt;0,V107*197.84,0)+IF(W107&gt;0,W107*470.51,0)+IF(X107&gt;0,X107*701.69,0)+IF(Z107&gt;0,Z107*151.63,0)+IF(AA107&gt;0,AA107*197.84)+IF(AB107&gt;0,AB107*308.4,0)+IF(AC107&gt;0,AC107*496.16,0)</f>
        <v/>
      </c>
    </row>
    <row r="108">
      <c r="A108" s="58" t="inlineStr">
        <is>
          <t>SIM</t>
        </is>
      </c>
      <c r="B108" s="59">
        <f>IF(H108&lt;$B$1,"VENCIDO","NA VALIDADE")</f>
        <v/>
      </c>
      <c r="C108" s="60" t="inlineStr">
        <is>
          <t>BASE OP</t>
        </is>
      </c>
      <c r="D108" s="61" t="inlineStr">
        <is>
          <t>BASE OPERACIONAL OLINDINA</t>
        </is>
      </c>
      <c r="E108" s="62" t="inlineStr">
        <is>
          <t>OLINDINA</t>
        </is>
      </c>
      <c r="F108" s="61" t="inlineStr">
        <is>
          <t>FEIRA DE  SANTANA</t>
        </is>
      </c>
      <c r="G108" s="60" t="inlineStr">
        <is>
          <t>BA</t>
        </is>
      </c>
      <c r="H108" s="119" t="n">
        <v>45352</v>
      </c>
      <c r="I108" s="119">
        <f>H108-180</f>
        <v/>
      </c>
      <c r="J108" s="60">
        <f>SUM(L108:AE108)</f>
        <v/>
      </c>
      <c r="K108" s="60">
        <f>SUM(AF108:AJ108)</f>
        <v/>
      </c>
      <c r="L108" s="60" t="n"/>
      <c r="M108" s="60" t="n"/>
      <c r="N108" s="60" t="n"/>
      <c r="O108" s="60" t="n"/>
      <c r="P108" s="60" t="n"/>
      <c r="Q108" s="60" t="n"/>
      <c r="R108" s="60" t="n"/>
      <c r="S108" s="60" t="n"/>
      <c r="T108" s="60" t="n"/>
      <c r="U108" s="60" t="n"/>
      <c r="V108" s="60" t="n">
        <v>1</v>
      </c>
      <c r="W108" s="60" t="n"/>
      <c r="X108" s="60" t="n"/>
      <c r="Y108" s="60" t="n"/>
      <c r="Z108" s="60" t="n"/>
      <c r="AA108" s="60" t="n"/>
      <c r="AB108" s="60" t="n"/>
      <c r="AC108" s="60" t="n"/>
      <c r="AD108" s="60" t="n"/>
      <c r="AE108" s="60" t="n"/>
      <c r="AF108" s="60" t="n"/>
      <c r="AG108" s="60" t="n"/>
      <c r="AH108" s="60" t="n"/>
      <c r="AI108" s="60" t="n"/>
      <c r="AJ108" s="60" t="n"/>
      <c r="AK108" s="120">
        <f>IF(L108&gt;0,L108*90.44,0)+IF(M108&gt;0,M108*348.12,0)+IF(N108&gt;0,N108*151.63,0)+IF(O108&gt;0,O108*197.82,0)+IF(P108&gt;0,P108*244.09,0)+IF(Q108&gt;0,Q108*315.35,0)+IF(R108&gt;0,R108*1067.3,0)+IF(T108&gt;0,T108*567.47,0)+IF(U108&gt;0,U108*151.63,0)+IF(V108&gt;0,V108*197.84,0)+IF(W108&gt;0,W108*470.51,0)+IF(X108&gt;0,X108*701.69,0)+IF(Z108&gt;0,Z108*151.63,0)+IF(AA108&gt;0,AA108*197.84)+IF(AB108&gt;0,AB108*308.4,0)+IF(AC108&gt;0,AC108*496.16,0)</f>
        <v/>
      </c>
    </row>
    <row r="109">
      <c r="A109" s="58" t="inlineStr">
        <is>
          <t>SIM</t>
        </is>
      </c>
      <c r="B109" s="59">
        <f>IF(H109&lt;$B$1,"VENCIDO","NA VALIDADE")</f>
        <v/>
      </c>
      <c r="C109" s="60" t="inlineStr">
        <is>
          <t>BASE OP</t>
        </is>
      </c>
      <c r="D109" s="61" t="inlineStr">
        <is>
          <t>BASE OPERACIONAL OUROLÂNDIA</t>
        </is>
      </c>
      <c r="E109" s="62" t="inlineStr">
        <is>
          <t>OUROLÂNDIA</t>
        </is>
      </c>
      <c r="F109" s="61" t="inlineStr">
        <is>
          <t>FEIRA DE  SANTANA</t>
        </is>
      </c>
      <c r="G109" s="60" t="inlineStr">
        <is>
          <t>BA</t>
        </is>
      </c>
      <c r="H109" s="119" t="n">
        <v>45505</v>
      </c>
      <c r="I109" s="119">
        <f>H109-180</f>
        <v/>
      </c>
      <c r="J109" s="60">
        <f>SUM(L109:AE109)</f>
        <v/>
      </c>
      <c r="K109" s="60">
        <f>SUM(AF109:AJ109)</f>
        <v/>
      </c>
      <c r="L109" s="60" t="n"/>
      <c r="M109" s="60" t="n"/>
      <c r="N109" s="60" t="n"/>
      <c r="O109" s="60" t="n"/>
      <c r="P109" s="60" t="n"/>
      <c r="Q109" s="60" t="n"/>
      <c r="R109" s="60" t="n"/>
      <c r="S109" s="60" t="n"/>
      <c r="T109" s="60" t="n"/>
      <c r="U109" s="60" t="n"/>
      <c r="V109" s="60" t="n">
        <v>1</v>
      </c>
      <c r="W109" s="60" t="n"/>
      <c r="X109" s="60" t="n"/>
      <c r="Y109" s="60" t="n"/>
      <c r="Z109" s="60" t="n"/>
      <c r="AA109" s="60" t="n"/>
      <c r="AB109" s="60" t="n"/>
      <c r="AC109" s="60" t="n"/>
      <c r="AD109" s="60" t="n"/>
      <c r="AE109" s="60" t="n"/>
      <c r="AF109" s="60" t="n"/>
      <c r="AG109" s="60" t="n"/>
      <c r="AH109" s="60" t="n"/>
      <c r="AI109" s="60" t="n"/>
      <c r="AJ109" s="60" t="n"/>
      <c r="AK109" s="120">
        <f>IF(L109&gt;0,L109*90.44,0)+IF(M109&gt;0,M109*348.12,0)+IF(N109&gt;0,N109*151.63,0)+IF(O109&gt;0,O109*197.82,0)+IF(P109&gt;0,P109*244.09,0)+IF(Q109&gt;0,Q109*315.35,0)+IF(R109&gt;0,R109*1067.3,0)+IF(T109&gt;0,T109*567.47,0)+IF(U109&gt;0,U109*151.63,0)+IF(V109&gt;0,V109*197.84,0)+IF(W109&gt;0,W109*470.51,0)+IF(X109&gt;0,X109*701.69,0)+IF(Z109&gt;0,Z109*151.63,0)+IF(AA109&gt;0,AA109*197.84)+IF(AB109&gt;0,AB109*308.4,0)+IF(AC109&gt;0,AC109*496.16,0)</f>
        <v/>
      </c>
    </row>
    <row r="110" hidden="1">
      <c r="A110" s="58" t="inlineStr">
        <is>
          <t>SIM</t>
        </is>
      </c>
      <c r="B110" s="59">
        <f>IF(H110&lt;$B$1,"VENCIDO","NA VALIDADE")</f>
        <v/>
      </c>
      <c r="C110" s="60" t="inlineStr">
        <is>
          <t>BASE OP</t>
        </is>
      </c>
      <c r="D110" s="61" t="inlineStr">
        <is>
          <t>SE PARAMIRIM</t>
        </is>
      </c>
      <c r="E110" s="62" t="inlineStr">
        <is>
          <t>PARAMIRIM</t>
        </is>
      </c>
      <c r="F110" s="61" t="inlineStr">
        <is>
          <t>VITÓRIA DA CONQUISTA</t>
        </is>
      </c>
      <c r="G110" s="60" t="inlineStr">
        <is>
          <t>BA</t>
        </is>
      </c>
      <c r="H110" s="119" t="n">
        <v>45444</v>
      </c>
      <c r="I110" s="119">
        <f>H110-180</f>
        <v/>
      </c>
      <c r="J110" s="60">
        <f>SUM(L110:AE110)</f>
        <v/>
      </c>
      <c r="K110" s="60">
        <f>SUM(AF110:AJ110)</f>
        <v/>
      </c>
      <c r="L110" s="60" t="n"/>
      <c r="M110" s="60" t="n"/>
      <c r="N110" s="60" t="n"/>
      <c r="O110" s="60" t="n"/>
      <c r="P110" s="60" t="n"/>
      <c r="Q110" s="60" t="n">
        <v>1</v>
      </c>
      <c r="R110" s="60" t="n"/>
      <c r="S110" s="60" t="n"/>
      <c r="T110" s="60" t="n"/>
      <c r="U110" s="60" t="n"/>
      <c r="V110" s="60" t="n"/>
      <c r="W110" s="60" t="n"/>
      <c r="X110" s="60" t="n"/>
      <c r="Y110" s="60" t="n"/>
      <c r="Z110" s="60" t="n"/>
      <c r="AA110" s="60" t="n"/>
      <c r="AB110" s="60" t="n"/>
      <c r="AC110" s="60" t="n"/>
      <c r="AD110" s="60" t="n"/>
      <c r="AE110" s="60" t="n"/>
      <c r="AF110" s="60" t="n"/>
      <c r="AG110" s="60" t="n"/>
      <c r="AH110" s="60" t="n"/>
      <c r="AI110" s="60" t="n"/>
      <c r="AJ110" s="60" t="n"/>
      <c r="AK110" s="120">
        <f>IF(L110&gt;0,L110*90.44,0)+IF(M110&gt;0,M110*348.12,0)+IF(N110&gt;0,N110*151.63,0)+IF(O110&gt;0,O110*197.82,0)+IF(P110&gt;0,P110*244.09,0)+IF(Q110&gt;0,Q110*315.35,0)+IF(R110&gt;0,R110*1067.3,0)+IF(T110&gt;0,T110*567.47,0)+IF(U110&gt;0,U110*151.63,0)+IF(V110&gt;0,V110*197.84,0)+IF(W110&gt;0,W110*470.51,0)+IF(X110&gt;0,X110*701.69,0)+IF(Z110&gt;0,Z110*151.63,0)+IF(AA110&gt;0,AA110*197.84)+IF(AB110&gt;0,AB110*308.4,0)+IF(AC110&gt;0,AC110*496.16,0)</f>
        <v/>
      </c>
    </row>
    <row r="111" hidden="1">
      <c r="A111" s="58" t="inlineStr">
        <is>
          <t>SIM</t>
        </is>
      </c>
      <c r="B111" s="59">
        <f>IF(H111&lt;$B$1,"VENCIDO","NA VALIDADE")</f>
        <v/>
      </c>
      <c r="C111" s="60" t="inlineStr">
        <is>
          <t>BASE OP</t>
        </is>
      </c>
      <c r="D111" s="61" t="inlineStr">
        <is>
          <t xml:space="preserve">BASE OPERACIONAL PARATINGA </t>
        </is>
      </c>
      <c r="E111" s="62" t="inlineStr">
        <is>
          <t xml:space="preserve">PARATINGA </t>
        </is>
      </c>
      <c r="F111" s="61" t="inlineStr">
        <is>
          <t>VITÓRIA DA CONQUISTA</t>
        </is>
      </c>
      <c r="G111" s="60" t="inlineStr">
        <is>
          <t>BA</t>
        </is>
      </c>
      <c r="H111" s="119" t="n">
        <v>45352</v>
      </c>
      <c r="I111" s="119">
        <f>H111-180</f>
        <v/>
      </c>
      <c r="J111" s="60">
        <f>SUM(L111:AE111)</f>
        <v/>
      </c>
      <c r="K111" s="60">
        <f>SUM(AF111:AJ111)</f>
        <v/>
      </c>
      <c r="L111" s="60" t="n"/>
      <c r="M111" s="60" t="n"/>
      <c r="N111" s="60" t="n"/>
      <c r="O111" s="60" t="n"/>
      <c r="P111" s="60" t="n"/>
      <c r="Q111" s="60" t="n"/>
      <c r="R111" s="60" t="n"/>
      <c r="S111" s="60" t="n"/>
      <c r="T111" s="60" t="n"/>
      <c r="U111" s="60" t="n"/>
      <c r="V111" s="60" t="n">
        <v>1</v>
      </c>
      <c r="W111" s="60" t="n"/>
      <c r="X111" s="60" t="n"/>
      <c r="Y111" s="60" t="n"/>
      <c r="Z111" s="60" t="n"/>
      <c r="AA111" s="60" t="n"/>
      <c r="AB111" s="60" t="n"/>
      <c r="AC111" s="60" t="n"/>
      <c r="AD111" s="60" t="n"/>
      <c r="AE111" s="60" t="n"/>
      <c r="AF111" s="60" t="n"/>
      <c r="AG111" s="60" t="n"/>
      <c r="AH111" s="60" t="n"/>
      <c r="AI111" s="60" t="n"/>
      <c r="AJ111" s="60" t="n"/>
      <c r="AK111" s="120">
        <f>IF(L111&gt;0,L111*90.44,0)+IF(M111&gt;0,M111*348.12,0)+IF(N111&gt;0,N111*151.63,0)+IF(O111&gt;0,O111*197.82,0)+IF(P111&gt;0,P111*244.09,0)+IF(Q111&gt;0,Q111*315.35,0)+IF(R111&gt;0,R111*1067.3,0)+IF(T111&gt;0,T111*567.47,0)+IF(U111&gt;0,U111*151.63,0)+IF(V111&gt;0,V111*197.84,0)+IF(W111&gt;0,W111*470.51,0)+IF(X111&gt;0,X111*701.69,0)+IF(Z111&gt;0,Z111*151.63,0)+IF(AA111&gt;0,AA111*197.84)+IF(AB111&gt;0,AB111*308.4,0)+IF(AC111&gt;0,AC111*496.16,0)</f>
        <v/>
      </c>
    </row>
    <row r="112">
      <c r="A112" s="58" t="inlineStr">
        <is>
          <t>SIM</t>
        </is>
      </c>
      <c r="B112" s="59">
        <f>IF(H112&lt;$B$1,"VENCIDO","NA VALIDADE")</f>
        <v/>
      </c>
      <c r="C112" s="60" t="inlineStr">
        <is>
          <t>BASE OP</t>
        </is>
      </c>
      <c r="D112" s="61" t="inlineStr">
        <is>
          <t>BASE OPERACIONAL PARIPIRANGA</t>
        </is>
      </c>
      <c r="E112" s="62" t="inlineStr">
        <is>
          <t>Paripiranga</t>
        </is>
      </c>
      <c r="F112" s="61" t="inlineStr">
        <is>
          <t>FEIRA DE  SANTANA</t>
        </is>
      </c>
      <c r="G112" s="60" t="inlineStr">
        <is>
          <t>BA</t>
        </is>
      </c>
      <c r="H112" s="119" t="n">
        <v>45566</v>
      </c>
      <c r="I112" s="119">
        <f>H112-180</f>
        <v/>
      </c>
      <c r="J112" s="60">
        <f>SUM(L112:AE112)</f>
        <v/>
      </c>
      <c r="K112" s="60">
        <f>SUM(AF112:AJ112)</f>
        <v/>
      </c>
      <c r="L112" s="60" t="n"/>
      <c r="M112" s="60" t="n"/>
      <c r="N112" s="60" t="n"/>
      <c r="O112" s="60" t="n">
        <v>1</v>
      </c>
      <c r="P112" s="60" t="n"/>
      <c r="Q112" s="60" t="n"/>
      <c r="R112" s="60" t="n"/>
      <c r="S112" s="60" t="n"/>
      <c r="T112" s="60" t="n"/>
      <c r="U112" s="60" t="n"/>
      <c r="V112" s="60" t="n"/>
      <c r="W112" s="60" t="n"/>
      <c r="X112" s="60" t="n"/>
      <c r="Y112" s="60" t="n"/>
      <c r="Z112" s="60" t="n"/>
      <c r="AA112" s="60" t="n"/>
      <c r="AB112" s="60" t="n"/>
      <c r="AC112" s="60" t="n"/>
      <c r="AD112" s="60" t="n"/>
      <c r="AE112" s="60" t="n"/>
      <c r="AF112" s="60" t="n"/>
      <c r="AG112" s="60" t="n"/>
      <c r="AH112" s="60" t="n"/>
      <c r="AI112" s="60" t="n"/>
      <c r="AJ112" s="60" t="n"/>
      <c r="AK112" s="120">
        <f>IF(L112&gt;0,L112*90.44,0)+IF(M112&gt;0,M112*348.12,0)+IF(N112&gt;0,N112*151.63,0)+IF(O112&gt;0,O112*197.82,0)+IF(P112&gt;0,P112*244.09,0)+IF(Q112&gt;0,Q112*315.35,0)+IF(R112&gt;0,R112*1067.3,0)+IF(T112&gt;0,T112*567.47,0)+IF(U112&gt;0,U112*151.63,0)+IF(V112&gt;0,V112*197.84,0)+IF(W112&gt;0,W112*470.51,0)+IF(X112&gt;0,X112*701.69,0)+IF(Z112&gt;0,Z112*151.63,0)+IF(AA112&gt;0,AA112*197.84)+IF(AB112&gt;0,AB112*308.4,0)+IF(AC112&gt;0,AC112*496.16,0)</f>
        <v/>
      </c>
    </row>
    <row r="113" hidden="1">
      <c r="A113" s="58" t="n"/>
      <c r="B113" s="59">
        <f>IF(H113&lt;$B$1,"VENCIDO","NA VALIDADE")</f>
        <v/>
      </c>
      <c r="C113" s="60" t="inlineStr">
        <is>
          <t>BASE OP</t>
        </is>
      </c>
      <c r="D113" s="61" t="inlineStr">
        <is>
          <t>BASE OPERACIONAL POÇÕES</t>
        </is>
      </c>
      <c r="E113" s="62" t="inlineStr">
        <is>
          <t>POÇÕES</t>
        </is>
      </c>
      <c r="F113" s="61" t="inlineStr">
        <is>
          <t>VITÓRIA DA CONQUISTA</t>
        </is>
      </c>
      <c r="G113" s="60" t="inlineStr">
        <is>
          <t>BA</t>
        </is>
      </c>
      <c r="H113" s="119" t="n">
        <v>45444</v>
      </c>
      <c r="I113" s="119">
        <f>H113-180</f>
        <v/>
      </c>
      <c r="J113" s="60">
        <f>SUM(L113:AE113)</f>
        <v/>
      </c>
      <c r="K113" s="60">
        <f>SUM(AF113:AJ113)</f>
        <v/>
      </c>
      <c r="L113" s="60" t="n"/>
      <c r="M113" s="60" t="n"/>
      <c r="N113" s="60" t="n"/>
      <c r="O113" s="60" t="n">
        <v>1</v>
      </c>
      <c r="P113" s="60" t="n"/>
      <c r="Q113" s="60" t="n">
        <v>1</v>
      </c>
      <c r="R113" s="60" t="n"/>
      <c r="S113" s="60" t="n"/>
      <c r="T113" s="60" t="n"/>
      <c r="U113" s="60" t="n"/>
      <c r="V113" s="60" t="n"/>
      <c r="W113" s="60" t="n"/>
      <c r="X113" s="60" t="n"/>
      <c r="Y113" s="60" t="n"/>
      <c r="Z113" s="60" t="n"/>
      <c r="AA113" s="60" t="n"/>
      <c r="AB113" s="60" t="n"/>
      <c r="AC113" s="60" t="n"/>
      <c r="AD113" s="60" t="n"/>
      <c r="AE113" s="60" t="n"/>
      <c r="AF113" s="60" t="n"/>
      <c r="AG113" s="60" t="n"/>
      <c r="AH113" s="60" t="n"/>
      <c r="AI113" s="60" t="n"/>
      <c r="AJ113" s="60" t="n"/>
      <c r="AK113" s="120">
        <f>IF(L113&gt;0,L113*90.44,0)+IF(M113&gt;0,M113*348.12,0)+IF(N113&gt;0,N113*151.63,0)+IF(O113&gt;0,O113*197.82,0)+IF(P113&gt;0,P113*244.09,0)+IF(Q113&gt;0,Q113*315.35,0)+IF(R113&gt;0,R113*1067.3,0)+IF(T113&gt;0,T113*567.47,0)+IF(U113&gt;0,U113*151.63,0)+IF(V113&gt;0,V113*197.84,0)+IF(W113&gt;0,W113*470.51,0)+IF(X113&gt;0,X113*701.69,0)+IF(Z113&gt;0,Z113*151.63,0)+IF(AA113&gt;0,AA113*197.84)+IF(AB113&gt;0,AB113*308.4,0)+IF(AC113&gt;0,AC113*496.16,0)</f>
        <v/>
      </c>
    </row>
    <row r="114">
      <c r="A114" s="67" t="n"/>
      <c r="B114" s="59">
        <f>IF(H114&lt;$B$1,"VENCIDO","NA VALIDADE")</f>
        <v/>
      </c>
      <c r="C114" s="60" t="inlineStr">
        <is>
          <t>BASE OP</t>
        </is>
      </c>
      <c r="D114" s="61" t="inlineStr">
        <is>
          <t>BASE OPERACIONAL POJUCA</t>
        </is>
      </c>
      <c r="E114" s="62" t="inlineStr">
        <is>
          <t>POJUCA</t>
        </is>
      </c>
      <c r="F114" s="61" t="inlineStr">
        <is>
          <t>FEIRA DE  SANTANA</t>
        </is>
      </c>
      <c r="G114" s="60" t="inlineStr">
        <is>
          <t>BA</t>
        </is>
      </c>
      <c r="H114" s="119" t="n">
        <v>45292</v>
      </c>
      <c r="I114" s="119">
        <f>H114-180</f>
        <v/>
      </c>
      <c r="J114" s="60">
        <f>SUM(L114:AE114)</f>
        <v/>
      </c>
      <c r="K114" s="60">
        <f>SUM(AF114:AJ114)</f>
        <v/>
      </c>
      <c r="L114" s="60" t="n"/>
      <c r="M114" s="60" t="n"/>
      <c r="N114" s="60" t="n"/>
      <c r="O114" s="60" t="n">
        <v>1</v>
      </c>
      <c r="P114" s="60" t="n"/>
      <c r="Q114" s="60" t="n"/>
      <c r="R114" s="60" t="n"/>
      <c r="S114" s="60" t="n"/>
      <c r="T114" s="60" t="n"/>
      <c r="U114" s="60" t="n"/>
      <c r="V114" s="60" t="n"/>
      <c r="W114" s="60" t="n"/>
      <c r="X114" s="60" t="n"/>
      <c r="Y114" s="60" t="n"/>
      <c r="Z114" s="60" t="n"/>
      <c r="AA114" s="60" t="n"/>
      <c r="AB114" s="60" t="n"/>
      <c r="AC114" s="60" t="n"/>
      <c r="AD114" s="60" t="n"/>
      <c r="AE114" s="60" t="n"/>
      <c r="AF114" s="60" t="n"/>
      <c r="AG114" s="60" t="n"/>
      <c r="AH114" s="60" t="n"/>
      <c r="AI114" s="60" t="n"/>
      <c r="AJ114" s="60" t="n"/>
      <c r="AK114" s="120">
        <f>IF(L114&gt;0,L114*90.44,0)+IF(M114&gt;0,M114*348.12,0)+IF(N114&gt;0,N114*151.63,0)+IF(O114&gt;0,O114*197.82,0)+IF(P114&gt;0,P114*244.09,0)+IF(Q114&gt;0,Q114*315.35,0)+IF(R114&gt;0,R114*1067.3,0)+IF(T114&gt;0,T114*567.47,0)+IF(U114&gt;0,U114*151.63,0)+IF(V114&gt;0,V114*197.84,0)+IF(W114&gt;0,W114*470.51,0)+IF(X114&gt;0,X114*701.69,0)+IF(Z114&gt;0,Z114*151.63,0)+IF(AA114&gt;0,AA114*197.84)+IF(AB114&gt;0,AB114*308.4,0)+IF(AC114&gt;0,AC114*496.16,0)</f>
        <v/>
      </c>
    </row>
    <row r="115" hidden="1">
      <c r="A115" s="58" t="inlineStr">
        <is>
          <t>rota</t>
        </is>
      </c>
      <c r="B115" s="59">
        <f>IF(H115&lt;$B$1,"VENCIDO","NA VALIDADE")</f>
        <v/>
      </c>
      <c r="C115" s="60" t="inlineStr">
        <is>
          <t>BASE OP</t>
        </is>
      </c>
      <c r="D115" s="61" t="inlineStr">
        <is>
          <t>BASE OPERACIONAL PRESIDENTE TANCREDO NEVES</t>
        </is>
      </c>
      <c r="E115" s="62" t="inlineStr">
        <is>
          <t>PRESIDENTE TANCREDO NEVES</t>
        </is>
      </c>
      <c r="F115" s="61" t="inlineStr">
        <is>
          <t>ILHÉUS</t>
        </is>
      </c>
      <c r="G115" s="60" t="inlineStr">
        <is>
          <t>BA</t>
        </is>
      </c>
      <c r="H115" s="119" t="n">
        <v>45444</v>
      </c>
      <c r="I115" s="119">
        <f>H115-180</f>
        <v/>
      </c>
      <c r="J115" s="60">
        <f>SUM(L115:AE115)</f>
        <v/>
      </c>
      <c r="K115" s="60">
        <f>SUM(AF115:AJ115)</f>
        <v/>
      </c>
      <c r="L115" s="60" t="n"/>
      <c r="M115" s="60" t="n"/>
      <c r="N115" s="60" t="n"/>
      <c r="O115" s="60" t="n"/>
      <c r="P115" s="60" t="n"/>
      <c r="Q115" s="60" t="n"/>
      <c r="R115" s="60" t="n"/>
      <c r="S115" s="60" t="n"/>
      <c r="T115" s="60" t="n"/>
      <c r="U115" s="60" t="n"/>
      <c r="V115" s="60" t="n">
        <v>1</v>
      </c>
      <c r="W115" s="60" t="n"/>
      <c r="X115" s="60" t="n"/>
      <c r="Y115" s="60" t="n"/>
      <c r="Z115" s="60" t="n"/>
      <c r="AA115" s="60" t="n"/>
      <c r="AB115" s="60" t="n"/>
      <c r="AC115" s="60" t="n"/>
      <c r="AD115" s="60" t="n"/>
      <c r="AE115" s="60" t="n"/>
      <c r="AF115" s="60" t="n"/>
      <c r="AG115" s="60" t="n"/>
      <c r="AH115" s="60" t="n"/>
      <c r="AI115" s="60" t="n"/>
      <c r="AJ115" s="60" t="n"/>
      <c r="AK115" s="120">
        <f>IF(L115&gt;0,L115*90.44,0)+IF(M115&gt;0,M115*348.12,0)+IF(N115&gt;0,N115*151.63,0)+IF(O115&gt;0,O115*197.82,0)+IF(P115&gt;0,P115*244.09,0)+IF(Q115&gt;0,Q115*315.35,0)+IF(R115&gt;0,R115*1067.3,0)+IF(T115&gt;0,T115*567.47,0)+IF(U115&gt;0,U115*151.63,0)+IF(V115&gt;0,V115*197.84,0)+IF(W115&gt;0,W115*470.51,0)+IF(X115&gt;0,X115*701.69,0)+IF(Z115&gt;0,Z115*151.63,0)+IF(AA115&gt;0,AA115*197.84)+IF(AB115&gt;0,AB115*308.4,0)+IF(AC115&gt;0,AC115*496.16,0)</f>
        <v/>
      </c>
    </row>
    <row r="116">
      <c r="A116" s="58" t="inlineStr">
        <is>
          <t>SIM</t>
        </is>
      </c>
      <c r="B116" s="59">
        <f>IF(H116&lt;$B$1,"VENCIDO","NA VALIDADE")</f>
        <v/>
      </c>
      <c r="C116" s="60" t="inlineStr">
        <is>
          <t>BASE OP</t>
        </is>
      </c>
      <c r="D116" s="61" t="inlineStr">
        <is>
          <t>UTD REMANSO</t>
        </is>
      </c>
      <c r="E116" s="62" t="inlineStr">
        <is>
          <t>REMANSO</t>
        </is>
      </c>
      <c r="F116" s="61" t="inlineStr">
        <is>
          <t>FEIRA DE  SANTANA</t>
        </is>
      </c>
      <c r="G116" s="60" t="inlineStr">
        <is>
          <t>BA</t>
        </is>
      </c>
      <c r="H116" s="119" t="n">
        <v>45474</v>
      </c>
      <c r="I116" s="119">
        <f>H116-180</f>
        <v/>
      </c>
      <c r="J116" s="60">
        <f>SUM(L116:AE116)</f>
        <v/>
      </c>
      <c r="K116" s="60">
        <f>SUM(AF116:AJ116)</f>
        <v/>
      </c>
      <c r="L116" s="60" t="n"/>
      <c r="M116" s="60" t="n"/>
      <c r="N116" s="60" t="n"/>
      <c r="O116" s="60" t="n"/>
      <c r="P116" s="60" t="n"/>
      <c r="Q116" s="60" t="n"/>
      <c r="R116" s="60" t="n"/>
      <c r="S116" s="60" t="n"/>
      <c r="T116" s="60" t="n"/>
      <c r="U116" s="60" t="n"/>
      <c r="V116" s="60" t="n">
        <v>8</v>
      </c>
      <c r="W116" s="60" t="n"/>
      <c r="X116" s="60" t="n"/>
      <c r="Y116" s="60" t="n"/>
      <c r="Z116" s="60" t="n"/>
      <c r="AA116" s="60" t="n"/>
      <c r="AB116" s="60" t="n"/>
      <c r="AC116" s="60" t="n"/>
      <c r="AD116" s="60" t="n"/>
      <c r="AE116" s="60" t="n"/>
      <c r="AF116" s="60" t="n">
        <v>4</v>
      </c>
      <c r="AG116" s="60" t="n"/>
      <c r="AH116" s="60" t="n"/>
      <c r="AI116" s="60" t="n"/>
      <c r="AJ116" s="60" t="n"/>
      <c r="AK116" s="120">
        <f>IF(L116&gt;0,L116*90.44,0)+IF(M116&gt;0,M116*348.12,0)+IF(N116&gt;0,N116*151.63,0)+IF(O116&gt;0,O116*197.82,0)+IF(P116&gt;0,P116*244.09,0)+IF(Q116&gt;0,Q116*315.35,0)+IF(R116&gt;0,R116*1067.3,0)+IF(T116&gt;0,T116*567.47,0)+IF(U116&gt;0,U116*151.63,0)+IF(V116&gt;0,V116*197.84,0)+IF(W116&gt;0,W116*470.51,0)+IF(X116&gt;0,X116*701.69,0)+IF(Z116&gt;0,Z116*151.63,0)+IF(AA116&gt;0,AA116*197.84)+IF(AB116&gt;0,AB116*308.4,0)+IF(AC116&gt;0,AC116*496.16,0)</f>
        <v/>
      </c>
    </row>
    <row r="117" hidden="1">
      <c r="A117" s="58" t="inlineStr">
        <is>
          <t>rota</t>
        </is>
      </c>
      <c r="B117" s="59">
        <f>IF(H117&lt;$B$1,"VENCIDO","NA VALIDADE")</f>
        <v/>
      </c>
      <c r="C117" s="60" t="inlineStr">
        <is>
          <t>BASE OP</t>
        </is>
      </c>
      <c r="D117" s="61" t="inlineStr">
        <is>
          <t>BASE OPERACIONAL RIACHÃO DAS NEVES</t>
        </is>
      </c>
      <c r="E117" s="62" t="inlineStr">
        <is>
          <t>RIACHÃO DAS NEVES</t>
        </is>
      </c>
      <c r="F117" s="61" t="inlineStr">
        <is>
          <t>VITÓRIA DA CONQUISTA</t>
        </is>
      </c>
      <c r="G117" s="60" t="inlineStr">
        <is>
          <t>BA</t>
        </is>
      </c>
      <c r="H117" s="119" t="n">
        <v>45352</v>
      </c>
      <c r="I117" s="119">
        <f>H117-180</f>
        <v/>
      </c>
      <c r="J117" s="60">
        <f>SUM(L117:AE117)</f>
        <v/>
      </c>
      <c r="K117" s="60">
        <f>SUM(AF117:AJ117)</f>
        <v/>
      </c>
      <c r="L117" s="60" t="n"/>
      <c r="M117" s="60" t="n"/>
      <c r="N117" s="60" t="n"/>
      <c r="O117" s="60" t="n"/>
      <c r="P117" s="60" t="n"/>
      <c r="Q117" s="60" t="n"/>
      <c r="R117" s="60" t="n"/>
      <c r="S117" s="60" t="n"/>
      <c r="T117" s="60" t="n"/>
      <c r="U117" s="60" t="n"/>
      <c r="V117" s="60" t="n">
        <v>2</v>
      </c>
      <c r="W117" s="60" t="n"/>
      <c r="X117" s="60" t="n"/>
      <c r="Y117" s="60" t="n"/>
      <c r="Z117" s="60" t="n"/>
      <c r="AA117" s="60" t="n"/>
      <c r="AB117" s="60" t="n"/>
      <c r="AC117" s="60" t="n"/>
      <c r="AD117" s="60" t="n"/>
      <c r="AE117" s="60" t="n"/>
      <c r="AF117" s="60" t="n"/>
      <c r="AG117" s="60" t="n"/>
      <c r="AH117" s="60" t="n"/>
      <c r="AI117" s="60" t="n"/>
      <c r="AJ117" s="60" t="n"/>
      <c r="AK117" s="120">
        <f>IF(L117&gt;0,L117*90.44,0)+IF(M117&gt;0,M117*348.12,0)+IF(N117&gt;0,N117*151.63,0)+IF(O117&gt;0,O117*197.82,0)+IF(P117&gt;0,P117*244.09,0)+IF(Q117&gt;0,Q117*315.35,0)+IF(R117&gt;0,R117*1067.3,0)+IF(T117&gt;0,T117*567.47,0)+IF(U117&gt;0,U117*151.63,0)+IF(V117&gt;0,V117*197.84,0)+IF(W117&gt;0,W117*470.51,0)+IF(X117&gt;0,X117*701.69,0)+IF(Z117&gt;0,Z117*151.63,0)+IF(AA117&gt;0,AA117*197.84)+IF(AB117&gt;0,AB117*308.4,0)+IF(AC117&gt;0,AC117*496.16,0)</f>
        <v/>
      </c>
    </row>
    <row r="118">
      <c r="A118" s="58" t="inlineStr">
        <is>
          <t>LUCIANO</t>
        </is>
      </c>
      <c r="B118" s="59">
        <f>IF(H118&lt;$B$1,"VENCIDO","NA VALIDADE")</f>
        <v/>
      </c>
      <c r="C118" s="60" t="inlineStr">
        <is>
          <t>BASE OP</t>
        </is>
      </c>
      <c r="D118" s="61" t="inlineStr">
        <is>
          <t>BASE OPERACIONAL RIACHÃO DO JACUÍPE</t>
        </is>
      </c>
      <c r="E118" s="62" t="inlineStr">
        <is>
          <t>RIACHÃO DO JACUÍPE</t>
        </is>
      </c>
      <c r="F118" s="61" t="inlineStr">
        <is>
          <t>FEIRA DE  SANTANA</t>
        </is>
      </c>
      <c r="G118" s="60" t="inlineStr">
        <is>
          <t>BA</t>
        </is>
      </c>
      <c r="H118" s="119" t="n">
        <v>45505</v>
      </c>
      <c r="I118" s="119">
        <f>H118-180</f>
        <v/>
      </c>
      <c r="J118" s="60">
        <f>SUM(L118:AE118)</f>
        <v/>
      </c>
      <c r="K118" s="60">
        <f>SUM(AF118:AJ118)</f>
        <v/>
      </c>
      <c r="L118" s="60" t="n"/>
      <c r="M118" s="60" t="n"/>
      <c r="N118" s="60" t="n"/>
      <c r="O118" s="60" t="n"/>
      <c r="P118" s="60" t="n"/>
      <c r="Q118" s="60" t="n"/>
      <c r="R118" s="60" t="n"/>
      <c r="S118" s="60" t="n"/>
      <c r="T118" s="60" t="n"/>
      <c r="U118" s="60" t="n"/>
      <c r="V118" s="60" t="n">
        <v>1</v>
      </c>
      <c r="W118" s="60" t="n"/>
      <c r="X118" s="60" t="n"/>
      <c r="Y118" s="60" t="n"/>
      <c r="Z118" s="60" t="n"/>
      <c r="AA118" s="60" t="n"/>
      <c r="AB118" s="60" t="n"/>
      <c r="AC118" s="60" t="n"/>
      <c r="AD118" s="60" t="n"/>
      <c r="AE118" s="60" t="n"/>
      <c r="AF118" s="60" t="n"/>
      <c r="AG118" s="60" t="n"/>
      <c r="AH118" s="60" t="n"/>
      <c r="AI118" s="60" t="n"/>
      <c r="AJ118" s="60" t="n"/>
      <c r="AK118" s="120">
        <f>IF(L118&gt;0,L118*90.44,0)+IF(M118&gt;0,M118*348.12,0)+IF(N118&gt;0,N118*151.63,0)+IF(O118&gt;0,O118*197.82,0)+IF(P118&gt;0,P118*244.09,0)+IF(Q118&gt;0,Q118*315.35,0)+IF(R118&gt;0,R118*1067.3,0)+IF(T118&gt;0,T118*567.47,0)+IF(U118&gt;0,U118*151.63,0)+IF(V118&gt;0,V118*197.84,0)+IF(W118&gt;0,W118*470.51,0)+IF(X118&gt;0,X118*701.69,0)+IF(Z118&gt;0,Z118*151.63,0)+IF(AA118&gt;0,AA118*197.84)+IF(AB118&gt;0,AB118*308.4,0)+IF(AC118&gt;0,AC118*496.16,0)</f>
        <v/>
      </c>
    </row>
    <row r="119" hidden="1">
      <c r="A119" s="58" t="inlineStr">
        <is>
          <t>LUCIANO</t>
        </is>
      </c>
      <c r="B119" s="59">
        <f>IF(H119&lt;$B$1,"VENCIDO","NA VALIDADE")</f>
        <v/>
      </c>
      <c r="C119" s="60" t="inlineStr">
        <is>
          <t>BASE OP</t>
        </is>
      </c>
      <c r="D119" s="61" t="inlineStr">
        <is>
          <t>BASE OPERACIONAL RODA VELHA</t>
        </is>
      </c>
      <c r="E119" s="62" t="inlineStr">
        <is>
          <t>RODA VELHA</t>
        </is>
      </c>
      <c r="F119" s="61" t="inlineStr">
        <is>
          <t>VITÓRIA DA CONQUISTA</t>
        </is>
      </c>
      <c r="G119" s="60" t="inlineStr">
        <is>
          <t>BA</t>
        </is>
      </c>
      <c r="H119" s="119" t="n">
        <v>45352</v>
      </c>
      <c r="I119" s="119">
        <f>H119-180</f>
        <v/>
      </c>
      <c r="J119" s="60">
        <f>SUM(L119:AE119)</f>
        <v/>
      </c>
      <c r="K119" s="60">
        <f>SUM(AF119:AJ119)</f>
        <v/>
      </c>
      <c r="L119" s="60" t="n"/>
      <c r="M119" s="60" t="n"/>
      <c r="N119" s="60" t="n"/>
      <c r="O119" s="60" t="n"/>
      <c r="P119" s="60" t="n"/>
      <c r="Q119" s="60" t="n">
        <v>1</v>
      </c>
      <c r="R119" s="60" t="n"/>
      <c r="S119" s="60" t="n"/>
      <c r="T119" s="60" t="n"/>
      <c r="U119" s="60" t="n"/>
      <c r="V119" s="60" t="n"/>
      <c r="W119" s="60" t="n"/>
      <c r="X119" s="60" t="n"/>
      <c r="Y119" s="60" t="n"/>
      <c r="Z119" s="60" t="n"/>
      <c r="AA119" s="60" t="n"/>
      <c r="AB119" s="60" t="n"/>
      <c r="AC119" s="60" t="n"/>
      <c r="AD119" s="60" t="n"/>
      <c r="AE119" s="60" t="n"/>
      <c r="AF119" s="60" t="n"/>
      <c r="AG119" s="60" t="n"/>
      <c r="AH119" s="60" t="n"/>
      <c r="AI119" s="60" t="n"/>
      <c r="AJ119" s="60" t="n"/>
      <c r="AK119" s="120">
        <f>IF(L119&gt;0,L119*90.44,0)+IF(M119&gt;0,M119*348.12,0)+IF(N119&gt;0,N119*151.63,0)+IF(O119&gt;0,O119*197.82,0)+IF(P119&gt;0,P119*244.09,0)+IF(Q119&gt;0,Q119*315.35,0)+IF(R119&gt;0,R119*1067.3,0)+IF(T119&gt;0,T119*567.47,0)+IF(U119&gt;0,U119*151.63,0)+IF(V119&gt;0,V119*197.84,0)+IF(W119&gt;0,W119*470.51,0)+IF(X119&gt;0,X119*701.69,0)+IF(Z119&gt;0,Z119*151.63,0)+IF(AA119&gt;0,AA119*197.84)+IF(AB119&gt;0,AB119*308.4,0)+IF(AC119&gt;0,AC119*496.16,0)</f>
        <v/>
      </c>
    </row>
    <row r="120" hidden="1">
      <c r="A120" s="58" t="n"/>
      <c r="B120" s="59">
        <f>IF(H120&lt;$B$1,"VENCIDO","NA VALIDADE")</f>
        <v/>
      </c>
      <c r="C120" s="60" t="inlineStr">
        <is>
          <t>BASE OP</t>
        </is>
      </c>
      <c r="D120" s="61" t="inlineStr">
        <is>
          <t>BASE OPERACIONAL ROSÁRIO</t>
        </is>
      </c>
      <c r="E120" s="62" t="inlineStr">
        <is>
          <t>ROSÁRIO</t>
        </is>
      </c>
      <c r="F120" s="61" t="inlineStr">
        <is>
          <t>VITÓRIA DA CONQUISTA</t>
        </is>
      </c>
      <c r="G120" s="60" t="inlineStr">
        <is>
          <t>BA</t>
        </is>
      </c>
      <c r="H120" s="119" t="n">
        <v>45352</v>
      </c>
      <c r="I120" s="119">
        <f>H120-180</f>
        <v/>
      </c>
      <c r="J120" s="60">
        <f>SUM(L120:AE120)</f>
        <v/>
      </c>
      <c r="K120" s="60">
        <f>SUM(AF120:AJ120)</f>
        <v/>
      </c>
      <c r="L120" s="60" t="n"/>
      <c r="M120" s="60" t="n"/>
      <c r="N120" s="60" t="n"/>
      <c r="O120" s="60" t="n"/>
      <c r="P120" s="60" t="n"/>
      <c r="Q120" s="60" t="n">
        <v>1</v>
      </c>
      <c r="R120" s="60" t="n"/>
      <c r="S120" s="60" t="n"/>
      <c r="T120" s="60" t="n"/>
      <c r="U120" s="60" t="n"/>
      <c r="V120" s="60" t="n"/>
      <c r="W120" s="60" t="n"/>
      <c r="X120" s="60" t="n"/>
      <c r="Y120" s="60" t="n"/>
      <c r="Z120" s="60" t="n"/>
      <c r="AA120" s="60" t="n"/>
      <c r="AB120" s="60" t="n"/>
      <c r="AC120" s="60" t="n"/>
      <c r="AD120" s="60" t="n"/>
      <c r="AE120" s="60" t="n"/>
      <c r="AF120" s="60" t="n"/>
      <c r="AG120" s="60" t="n"/>
      <c r="AH120" s="60" t="n"/>
      <c r="AI120" s="60" t="n"/>
      <c r="AJ120" s="60" t="n"/>
      <c r="AK120" s="120">
        <f>IF(L120&gt;0,L120*90.44,0)+IF(M120&gt;0,M120*348.12,0)+IF(N120&gt;0,N120*151.63,0)+IF(O120&gt;0,O120*197.82,0)+IF(P120&gt;0,P120*244.09,0)+IF(Q120&gt;0,Q120*315.35,0)+IF(R120&gt;0,R120*1067.3,0)+IF(T120&gt;0,T120*567.47,0)+IF(U120&gt;0,U120*151.63,0)+IF(V120&gt;0,V120*197.84,0)+IF(W120&gt;0,W120*470.51,0)+IF(X120&gt;0,X120*701.69,0)+IF(Z120&gt;0,Z120*151.63,0)+IF(AA120&gt;0,AA120*197.84)+IF(AB120&gt;0,AB120*308.4,0)+IF(AC120&gt;0,AC120*496.16,0)</f>
        <v/>
      </c>
    </row>
    <row r="121">
      <c r="A121" s="58" t="inlineStr">
        <is>
          <t>SIM</t>
        </is>
      </c>
      <c r="B121" s="59">
        <f>IF(H121&lt;$B$1,"VENCIDO","NA VALIDADE")</f>
        <v/>
      </c>
      <c r="C121" s="60" t="inlineStr">
        <is>
          <t>BASE OP</t>
        </is>
      </c>
      <c r="D121" s="61" t="inlineStr">
        <is>
          <t>BASE OPERACIONAL RUY BARBOSA</t>
        </is>
      </c>
      <c r="E121" s="62" t="inlineStr">
        <is>
          <t>RUY BARBOSA</t>
        </is>
      </c>
      <c r="F121" s="61" t="inlineStr">
        <is>
          <t>FEIRA DE  SANTANA</t>
        </is>
      </c>
      <c r="G121" s="60" t="inlineStr">
        <is>
          <t>BA</t>
        </is>
      </c>
      <c r="H121" s="119" t="n">
        <v>45536</v>
      </c>
      <c r="I121" s="119">
        <f>H121-180</f>
        <v/>
      </c>
      <c r="J121" s="60">
        <f>SUM(L121:AE121)</f>
        <v/>
      </c>
      <c r="K121" s="60">
        <f>SUM(AF121:AJ121)</f>
        <v/>
      </c>
      <c r="L121" s="60" t="n"/>
      <c r="M121" s="60" t="n"/>
      <c r="N121" s="60" t="n"/>
      <c r="O121" s="60" t="n">
        <v>3</v>
      </c>
      <c r="P121" s="60" t="n"/>
      <c r="Q121" s="60" t="n"/>
      <c r="R121" s="60" t="n"/>
      <c r="S121" s="60" t="n"/>
      <c r="T121" s="60" t="n"/>
      <c r="U121" s="60" t="n"/>
      <c r="V121" s="60" t="n"/>
      <c r="W121" s="60" t="n"/>
      <c r="X121" s="60" t="n"/>
      <c r="Y121" s="60" t="n"/>
      <c r="Z121" s="60" t="n"/>
      <c r="AA121" s="60" t="n"/>
      <c r="AB121" s="60" t="n"/>
      <c r="AC121" s="60" t="n"/>
      <c r="AD121" s="60" t="n"/>
      <c r="AE121" s="60" t="n"/>
      <c r="AF121" s="60" t="n"/>
      <c r="AG121" s="60" t="n"/>
      <c r="AH121" s="60" t="n"/>
      <c r="AI121" s="60" t="n"/>
      <c r="AJ121" s="60" t="n"/>
      <c r="AK121" s="120">
        <f>IF(L121&gt;0,L121*90.44,0)+IF(M121&gt;0,M121*348.12,0)+IF(N121&gt;0,N121*151.63,0)+IF(O121&gt;0,O121*197.82,0)+IF(P121&gt;0,P121*244.09,0)+IF(Q121&gt;0,Q121*315.35,0)+IF(R121&gt;0,R121*1067.3,0)+IF(T121&gt;0,T121*567.47,0)+IF(U121&gt;0,U121*151.63,0)+IF(V121&gt;0,V121*197.84,0)+IF(W121&gt;0,W121*470.51,0)+IF(X121&gt;0,X121*701.69,0)+IF(Z121&gt;0,Z121*151.63,0)+IF(AA121&gt;0,AA121*197.84)+IF(AB121&gt;0,AB121*308.4,0)+IF(AC121&gt;0,AC121*496.16,0)</f>
        <v/>
      </c>
    </row>
    <row r="122" hidden="1">
      <c r="A122" s="58" t="n"/>
      <c r="B122" s="59">
        <f>IF(H122&lt;$B$1,"VENCIDO","NA VALIDADE")</f>
        <v/>
      </c>
      <c r="C122" s="60" t="inlineStr">
        <is>
          <t>BASE OP</t>
        </is>
      </c>
      <c r="D122" s="61" t="inlineStr">
        <is>
          <t>BASE OP / UTD SANTA MARIA DA VITORIA</t>
        </is>
      </c>
      <c r="E122" s="62" t="inlineStr">
        <is>
          <t>SANTA MARIA DA VITORIA</t>
        </is>
      </c>
      <c r="F122" s="61" t="inlineStr">
        <is>
          <t>VITÓRIA DA CONQUISTA</t>
        </is>
      </c>
      <c r="G122" s="60" t="inlineStr">
        <is>
          <t>BA</t>
        </is>
      </c>
      <c r="H122" s="119" t="n">
        <v>45352</v>
      </c>
      <c r="I122" s="119">
        <f>H122-180</f>
        <v/>
      </c>
      <c r="J122" s="60">
        <f>SUM(L122:AE122)</f>
        <v/>
      </c>
      <c r="K122" s="60">
        <f>SUM(AF122:AJ122)</f>
        <v/>
      </c>
      <c r="L122" s="60" t="n"/>
      <c r="M122" s="60" t="n"/>
      <c r="N122" s="60" t="n"/>
      <c r="O122" s="60" t="n">
        <v>2</v>
      </c>
      <c r="P122" s="60" t="n"/>
      <c r="Q122" s="60" t="n">
        <v>2</v>
      </c>
      <c r="R122" s="60" t="n"/>
      <c r="S122" s="60" t="n"/>
      <c r="T122" s="60" t="n"/>
      <c r="U122" s="60" t="n"/>
      <c r="V122" s="60" t="n">
        <v>2</v>
      </c>
      <c r="W122" s="60" t="n"/>
      <c r="X122" s="60" t="n"/>
      <c r="Y122" s="60" t="n"/>
      <c r="Z122" s="60" t="n"/>
      <c r="AA122" s="60" t="n"/>
      <c r="AB122" s="60" t="n"/>
      <c r="AC122" s="60" t="n"/>
      <c r="AD122" s="60" t="n"/>
      <c r="AE122" s="60" t="n"/>
      <c r="AF122" s="60" t="n"/>
      <c r="AG122" s="60" t="n"/>
      <c r="AH122" s="60" t="n"/>
      <c r="AI122" s="60" t="n"/>
      <c r="AJ122" s="60" t="n"/>
      <c r="AK122" s="120">
        <f>IF(L122&gt;0,L122*90.44,0)+IF(M122&gt;0,M122*348.12,0)+IF(N122&gt;0,N122*151.63,0)+IF(O122&gt;0,O122*197.82,0)+IF(P122&gt;0,P122*244.09,0)+IF(Q122&gt;0,Q122*315.35,0)+IF(R122&gt;0,R122*1067.3,0)+IF(T122&gt;0,T122*567.47,0)+IF(U122&gt;0,U122*151.63,0)+IF(V122&gt;0,V122*197.84,0)+IF(W122&gt;0,W122*470.51,0)+IF(X122&gt;0,X122*701.69,0)+IF(Z122&gt;0,Z122*151.63,0)+IF(AA122&gt;0,AA122*197.84)+IF(AB122&gt;0,AB122*308.4,0)+IF(AC122&gt;0,AC122*496.16,0)</f>
        <v/>
      </c>
    </row>
    <row r="123" hidden="1">
      <c r="A123" s="58" t="inlineStr">
        <is>
          <t>SIM</t>
        </is>
      </c>
      <c r="B123" s="59">
        <f>IF(H123&lt;$B$1,"VENCIDO","NA VALIDADE")</f>
        <v/>
      </c>
      <c r="C123" s="60" t="inlineStr">
        <is>
          <t>BASE OP</t>
        </is>
      </c>
      <c r="D123" s="61" t="inlineStr">
        <is>
          <t>BASE OPERACIONAL SANTA RITA DE CÁSSIA</t>
        </is>
      </c>
      <c r="E123" s="62" t="inlineStr">
        <is>
          <t>SANTA RITA DE CÁSSIA</t>
        </is>
      </c>
      <c r="F123" s="61" t="inlineStr">
        <is>
          <t>VITÓRIA DA CONQUISTA</t>
        </is>
      </c>
      <c r="G123" s="60" t="inlineStr">
        <is>
          <t>BA</t>
        </is>
      </c>
      <c r="H123" s="119" t="n">
        <v>45352</v>
      </c>
      <c r="I123" s="119">
        <f>H123-180</f>
        <v/>
      </c>
      <c r="J123" s="60">
        <f>SUM(L123:AE123)</f>
        <v/>
      </c>
      <c r="K123" s="60">
        <f>SUM(AF123:AJ123)</f>
        <v/>
      </c>
      <c r="L123" s="60" t="n"/>
      <c r="M123" s="60" t="n"/>
      <c r="N123" s="60" t="n"/>
      <c r="O123" s="60" t="n"/>
      <c r="P123" s="60" t="n"/>
      <c r="Q123" s="60" t="n"/>
      <c r="R123" s="60" t="n"/>
      <c r="S123" s="60" t="n"/>
      <c r="T123" s="60" t="n"/>
      <c r="U123" s="60" t="n"/>
      <c r="V123" s="60" t="n">
        <v>1</v>
      </c>
      <c r="W123" s="60" t="n"/>
      <c r="X123" s="60" t="n"/>
      <c r="Y123" s="60" t="n"/>
      <c r="Z123" s="60" t="n"/>
      <c r="AA123" s="60" t="n"/>
      <c r="AB123" s="60" t="n"/>
      <c r="AC123" s="60" t="n"/>
      <c r="AD123" s="60" t="n"/>
      <c r="AE123" s="60" t="n"/>
      <c r="AF123" s="60" t="n"/>
      <c r="AG123" s="60" t="n"/>
      <c r="AH123" s="60" t="n"/>
      <c r="AI123" s="60" t="n"/>
      <c r="AJ123" s="60" t="n"/>
      <c r="AK123" s="120">
        <f>IF(L123&gt;0,L123*90.44,0)+IF(M123&gt;0,M123*348.12,0)+IF(N123&gt;0,N123*151.63,0)+IF(O123&gt;0,O123*197.82,0)+IF(P123&gt;0,P123*244.09,0)+IF(Q123&gt;0,Q123*315.35,0)+IF(R123&gt;0,R123*1067.3,0)+IF(T123&gt;0,T123*567.47,0)+IF(U123&gt;0,U123*151.63,0)+IF(V123&gt;0,V123*197.84,0)+IF(W123&gt;0,W123*470.51,0)+IF(X123&gt;0,X123*701.69,0)+IF(Z123&gt;0,Z123*151.63,0)+IF(AA123&gt;0,AA123*197.84)+IF(AB123&gt;0,AB123*308.4,0)+IF(AC123&gt;0,AC123*496.16,0)</f>
        <v/>
      </c>
    </row>
    <row r="124" hidden="1">
      <c r="A124" s="58" t="n"/>
      <c r="B124" s="59">
        <f>IF(H124&lt;$B$1,"VENCIDO","NA VALIDADE")</f>
        <v/>
      </c>
      <c r="C124" s="60" t="inlineStr">
        <is>
          <t>BASE OP</t>
        </is>
      </c>
      <c r="D124" s="61" t="inlineStr">
        <is>
          <t>BASE OPERACIONAL SANTANA</t>
        </is>
      </c>
      <c r="E124" s="62" t="inlineStr">
        <is>
          <t>SANTANA</t>
        </is>
      </c>
      <c r="F124" s="61" t="inlineStr">
        <is>
          <t>VITÓRIA DA CONQUISTA</t>
        </is>
      </c>
      <c r="G124" s="60" t="inlineStr">
        <is>
          <t>BA</t>
        </is>
      </c>
      <c r="H124" s="119" t="n">
        <v>45627</v>
      </c>
      <c r="I124" s="119">
        <f>H124-180</f>
        <v/>
      </c>
      <c r="J124" s="60">
        <f>SUM(L124:AE124)</f>
        <v/>
      </c>
      <c r="K124" s="60">
        <f>SUM(AF124:AJ124)</f>
        <v/>
      </c>
      <c r="L124" s="60" t="n"/>
      <c r="M124" s="60" t="n"/>
      <c r="N124" s="60" t="n"/>
      <c r="O124" s="60" t="n"/>
      <c r="P124" s="60" t="n"/>
      <c r="Q124" s="60" t="n">
        <v>1</v>
      </c>
      <c r="R124" s="60" t="n"/>
      <c r="S124" s="60" t="n"/>
      <c r="T124" s="60" t="n"/>
      <c r="U124" s="60" t="n"/>
      <c r="V124" s="60" t="n"/>
      <c r="W124" s="60" t="n"/>
      <c r="X124" s="60" t="n"/>
      <c r="Y124" s="60" t="n"/>
      <c r="Z124" s="60" t="n"/>
      <c r="AA124" s="60" t="n"/>
      <c r="AB124" s="60" t="n"/>
      <c r="AC124" s="60" t="n"/>
      <c r="AD124" s="60" t="n"/>
      <c r="AE124" s="60" t="n"/>
      <c r="AF124" s="60" t="n"/>
      <c r="AG124" s="60" t="n"/>
      <c r="AH124" s="60" t="n"/>
      <c r="AI124" s="60" t="n"/>
      <c r="AJ124" s="60" t="n"/>
      <c r="AK124" s="120">
        <f>IF(L124&gt;0,L124*90.44,0)+IF(M124&gt;0,M124*348.12,0)+IF(N124&gt;0,N124*151.63,0)+IF(O124&gt;0,O124*197.82,0)+IF(P124&gt;0,P124*244.09,0)+IF(Q124&gt;0,Q124*315.35,0)+IF(R124&gt;0,R124*1067.3,0)+IF(T124&gt;0,T124*567.47,0)+IF(U124&gt;0,U124*151.63,0)+IF(V124&gt;0,V124*197.84,0)+IF(W124&gt;0,W124*470.51,0)+IF(X124&gt;0,X124*701.69,0)+IF(Z124&gt;0,Z124*151.63,0)+IF(AA124&gt;0,AA124*197.84)+IF(AB124&gt;0,AB124*308.4,0)+IF(AC124&gt;0,AC124*496.16,0)</f>
        <v/>
      </c>
    </row>
    <row r="125">
      <c r="A125" s="58" t="inlineStr">
        <is>
          <t>SIM</t>
        </is>
      </c>
      <c r="B125" s="59">
        <f>IF(H125&lt;$B$1,"VENCIDO","NA VALIDADE")</f>
        <v/>
      </c>
      <c r="C125" s="60" t="inlineStr">
        <is>
          <t>BASE OP</t>
        </is>
      </c>
      <c r="D125" s="61" t="inlineStr">
        <is>
          <t>BASE OPERACIONAL SANTO ESTEVÃO</t>
        </is>
      </c>
      <c r="E125" s="62" t="inlineStr">
        <is>
          <t>SANTO ESTEVÃO</t>
        </is>
      </c>
      <c r="F125" s="61" t="inlineStr">
        <is>
          <t>FEIRA DE  SANTANA</t>
        </is>
      </c>
      <c r="G125" s="60" t="inlineStr">
        <is>
          <t>BA</t>
        </is>
      </c>
      <c r="H125" s="119" t="n">
        <v>45413</v>
      </c>
      <c r="I125" s="119">
        <f>H125-180</f>
        <v/>
      </c>
      <c r="J125" s="60">
        <f>SUM(L125:AE125)</f>
        <v/>
      </c>
      <c r="K125" s="60">
        <f>SUM(AF125:AJ125)</f>
        <v/>
      </c>
      <c r="L125" s="60" t="n"/>
      <c r="M125" s="60" t="n"/>
      <c r="N125" s="60" t="n"/>
      <c r="O125" s="60" t="n"/>
      <c r="P125" s="60" t="n"/>
      <c r="Q125" s="60" t="n"/>
      <c r="R125" s="60" t="n"/>
      <c r="S125" s="60" t="n"/>
      <c r="T125" s="60" t="n"/>
      <c r="U125" s="60" t="n"/>
      <c r="V125" s="60" t="n">
        <v>1</v>
      </c>
      <c r="W125" s="60" t="n"/>
      <c r="X125" s="60" t="n"/>
      <c r="Y125" s="60" t="n"/>
      <c r="Z125" s="60" t="n"/>
      <c r="AA125" s="60" t="n"/>
      <c r="AB125" s="60" t="n"/>
      <c r="AC125" s="60" t="n"/>
      <c r="AD125" s="60" t="n"/>
      <c r="AE125" s="60" t="n"/>
      <c r="AF125" s="60" t="n"/>
      <c r="AG125" s="60" t="n"/>
      <c r="AH125" s="60" t="n"/>
      <c r="AI125" s="60" t="n"/>
      <c r="AJ125" s="60" t="n"/>
      <c r="AK125" s="120">
        <f>IF(L125&gt;0,L125*90.44,0)+IF(M125&gt;0,M125*348.12,0)+IF(N125&gt;0,N125*151.63,0)+IF(O125&gt;0,O125*197.82,0)+IF(P125&gt;0,P125*244.09,0)+IF(Q125&gt;0,Q125*315.35,0)+IF(R125&gt;0,R125*1067.3,0)+IF(T125&gt;0,T125*567.47,0)+IF(U125&gt;0,U125*151.63,0)+IF(V125&gt;0,V125*197.84,0)+IF(W125&gt;0,W125*470.51,0)+IF(X125&gt;0,X125*701.69,0)+IF(Z125&gt;0,Z125*151.63,0)+IF(AA125&gt;0,AA125*197.84)+IF(AB125&gt;0,AB125*308.4,0)+IF(AC125&gt;0,AC125*496.16,0)</f>
        <v/>
      </c>
    </row>
    <row r="126">
      <c r="A126" s="58" t="inlineStr">
        <is>
          <t>SIM</t>
        </is>
      </c>
      <c r="B126" s="59">
        <f>IF(H126&lt;$B$1,"VENCIDO","NA VALIDADE")</f>
        <v/>
      </c>
      <c r="C126" s="60" t="inlineStr">
        <is>
          <t>BASE OP</t>
        </is>
      </c>
      <c r="D126" s="61" t="inlineStr">
        <is>
          <t>BASE OPERACIONAL SENTO SÉ</t>
        </is>
      </c>
      <c r="E126" s="62" t="inlineStr">
        <is>
          <t>SENTO SÉ</t>
        </is>
      </c>
      <c r="F126" s="61" t="inlineStr">
        <is>
          <t>FEIRA DE  SANTANA</t>
        </is>
      </c>
      <c r="G126" s="60" t="inlineStr">
        <is>
          <t>BA</t>
        </is>
      </c>
      <c r="H126" s="119" t="n">
        <v>45536</v>
      </c>
      <c r="I126" s="119">
        <f>H126-180</f>
        <v/>
      </c>
      <c r="J126" s="60">
        <f>SUM(L126:AE126)</f>
        <v/>
      </c>
      <c r="K126" s="60">
        <f>SUM(AF126:AJ126)</f>
        <v/>
      </c>
      <c r="L126" s="60" t="n"/>
      <c r="M126" s="60" t="n"/>
      <c r="N126" s="60" t="n"/>
      <c r="O126" s="60" t="n"/>
      <c r="P126" s="60" t="n"/>
      <c r="Q126" s="60" t="n"/>
      <c r="R126" s="60" t="n"/>
      <c r="S126" s="60" t="n"/>
      <c r="T126" s="60" t="n"/>
      <c r="U126" s="60" t="n"/>
      <c r="V126" s="60" t="n">
        <v>1</v>
      </c>
      <c r="W126" s="60" t="n"/>
      <c r="X126" s="60" t="n"/>
      <c r="Y126" s="60" t="n"/>
      <c r="Z126" s="60" t="n"/>
      <c r="AA126" s="60" t="n"/>
      <c r="AB126" s="60" t="n"/>
      <c r="AC126" s="60" t="n"/>
      <c r="AD126" s="60" t="n"/>
      <c r="AE126" s="60" t="n"/>
      <c r="AF126" s="60" t="n"/>
      <c r="AG126" s="60" t="n"/>
      <c r="AH126" s="60" t="n"/>
      <c r="AI126" s="60" t="n"/>
      <c r="AJ126" s="60" t="n"/>
      <c r="AK126" s="120">
        <f>IF(L126&gt;0,L126*90.44,0)+IF(M126&gt;0,M126*348.12,0)+IF(N126&gt;0,N126*151.63,0)+IF(O126&gt;0,O126*197.82,0)+IF(P126&gt;0,P126*244.09,0)+IF(Q126&gt;0,Q126*315.35,0)+IF(R126&gt;0,R126*1067.3,0)+IF(T126&gt;0,T126*567.47,0)+IF(U126&gt;0,U126*151.63,0)+IF(V126&gt;0,V126*197.84,0)+IF(W126&gt;0,W126*470.51,0)+IF(X126&gt;0,X126*701.69,0)+IF(Z126&gt;0,Z126*151.63,0)+IF(AA126&gt;0,AA126*197.84)+IF(AB126&gt;0,AB126*308.4,0)+IF(AC126&gt;0,AC126*496.16,0)</f>
        <v/>
      </c>
    </row>
    <row r="127">
      <c r="A127" s="58" t="inlineStr">
        <is>
          <t>SIM</t>
        </is>
      </c>
      <c r="B127" s="59">
        <f>IF(H127&lt;$B$1,"VENCIDO","NA VALIDADE")</f>
        <v/>
      </c>
      <c r="C127" s="60" t="inlineStr">
        <is>
          <t>BASE OP</t>
        </is>
      </c>
      <c r="D127" s="61" t="inlineStr">
        <is>
          <t>BASE OPERACIONAL SUBAÚMA</t>
        </is>
      </c>
      <c r="E127" s="62" t="inlineStr">
        <is>
          <t>SUBAÚMA</t>
        </is>
      </c>
      <c r="F127" s="61" t="inlineStr">
        <is>
          <t>FEIRA DE  SANTANA</t>
        </is>
      </c>
      <c r="G127" s="60" t="inlineStr">
        <is>
          <t>BA</t>
        </is>
      </c>
      <c r="H127" s="119" t="n">
        <v>45474</v>
      </c>
      <c r="I127" s="119">
        <f>H127-180</f>
        <v/>
      </c>
      <c r="J127" s="60">
        <f>SUM(L127:AE127)</f>
        <v/>
      </c>
      <c r="K127" s="60">
        <f>SUM(AF127:AJ127)</f>
        <v/>
      </c>
      <c r="L127" s="60" t="n"/>
      <c r="M127" s="60" t="n"/>
      <c r="N127" s="60" t="n"/>
      <c r="O127" s="60" t="n"/>
      <c r="P127" s="60" t="n"/>
      <c r="Q127" s="60" t="n"/>
      <c r="R127" s="60" t="n"/>
      <c r="S127" s="60" t="n"/>
      <c r="T127" s="60" t="n"/>
      <c r="U127" s="60" t="n"/>
      <c r="V127" s="60" t="n">
        <v>1</v>
      </c>
      <c r="W127" s="60" t="n"/>
      <c r="X127" s="60" t="n"/>
      <c r="Y127" s="60" t="n"/>
      <c r="Z127" s="60" t="n"/>
      <c r="AA127" s="60" t="n"/>
      <c r="AB127" s="60" t="n"/>
      <c r="AC127" s="60" t="n"/>
      <c r="AD127" s="60" t="n"/>
      <c r="AE127" s="60" t="n"/>
      <c r="AF127" s="60" t="n"/>
      <c r="AG127" s="60" t="n"/>
      <c r="AH127" s="60" t="n"/>
      <c r="AI127" s="60" t="n"/>
      <c r="AJ127" s="60" t="n"/>
      <c r="AK127" s="120">
        <f>IF(L127&gt;0,L127*90.44,0)+IF(M127&gt;0,M127*348.12,0)+IF(N127&gt;0,N127*151.63,0)+IF(O127&gt;0,O127*197.82,0)+IF(P127&gt;0,P127*244.09,0)+IF(Q127&gt;0,Q127*315.35,0)+IF(R127&gt;0,R127*1067.3,0)+IF(T127&gt;0,T127*567.47,0)+IF(U127&gt;0,U127*151.63,0)+IF(V127&gt;0,V127*197.84,0)+IF(W127&gt;0,W127*470.51,0)+IF(X127&gt;0,X127*701.69,0)+IF(Z127&gt;0,Z127*151.63,0)+IF(AA127&gt;0,AA127*197.84)+IF(AB127&gt;0,AB127*308.4,0)+IF(AC127&gt;0,AC127*496.16,0)</f>
        <v/>
      </c>
    </row>
    <row r="128" hidden="1">
      <c r="A128" s="58" t="inlineStr">
        <is>
          <t>SIM</t>
        </is>
      </c>
      <c r="B128" s="59">
        <f>IF(H128&lt;$B$1,"VENCIDO","NA VALIDADE")</f>
        <v/>
      </c>
      <c r="C128" s="60" t="inlineStr">
        <is>
          <t>BASE OP</t>
        </is>
      </c>
      <c r="D128" s="61" t="inlineStr">
        <is>
          <t>BASE OPERACIONAL TANHAÇU</t>
        </is>
      </c>
      <c r="E128" s="62" t="inlineStr">
        <is>
          <t>TANHAÇÚ</t>
        </is>
      </c>
      <c r="F128" s="61" t="inlineStr">
        <is>
          <t>VITÓRIA DA CONQUISTA</t>
        </is>
      </c>
      <c r="G128" s="60" t="inlineStr">
        <is>
          <t>BA</t>
        </is>
      </c>
      <c r="H128" s="119" t="n">
        <v>45292</v>
      </c>
      <c r="I128" s="119">
        <f>H128-180</f>
        <v/>
      </c>
      <c r="J128" s="60">
        <f>SUM(L128:AE128)</f>
        <v/>
      </c>
      <c r="K128" s="60">
        <f>SUM(AF128:AJ128)</f>
        <v/>
      </c>
      <c r="L128" s="60" t="n"/>
      <c r="M128" s="60" t="n"/>
      <c r="N128" s="60" t="n"/>
      <c r="O128" s="60" t="n"/>
      <c r="P128" s="60" t="n"/>
      <c r="Q128" s="60" t="n"/>
      <c r="R128" s="60" t="n"/>
      <c r="S128" s="60" t="n"/>
      <c r="T128" s="60" t="n"/>
      <c r="U128" s="60" t="n"/>
      <c r="V128" s="60" t="n">
        <v>1</v>
      </c>
      <c r="W128" s="60" t="n"/>
      <c r="X128" s="60" t="n"/>
      <c r="Y128" s="60" t="n"/>
      <c r="Z128" s="60" t="n"/>
      <c r="AA128" s="60" t="n"/>
      <c r="AB128" s="60" t="n"/>
      <c r="AC128" s="60" t="n"/>
      <c r="AD128" s="60" t="n"/>
      <c r="AE128" s="60" t="n"/>
      <c r="AF128" s="60" t="n"/>
      <c r="AG128" s="60" t="n"/>
      <c r="AH128" s="60" t="n"/>
      <c r="AI128" s="60" t="n"/>
      <c r="AJ128" s="60" t="n"/>
      <c r="AK128" s="120">
        <f>IF(L128&gt;0,L128*90.44,0)+IF(M128&gt;0,M128*348.12,0)+IF(N128&gt;0,N128*151.63,0)+IF(O128&gt;0,O128*197.82,0)+IF(P128&gt;0,P128*244.09,0)+IF(Q128&gt;0,Q128*315.35,0)+IF(R128&gt;0,R128*1067.3,0)+IF(T128&gt;0,T128*567.47,0)+IF(U128&gt;0,U128*151.63,0)+IF(V128&gt;0,V128*197.84,0)+IF(W128&gt;0,W128*470.51,0)+IF(X128&gt;0,X128*701.69,0)+IF(Z128&gt;0,Z128*151.63,0)+IF(AA128&gt;0,AA128*197.84)+IF(AB128&gt;0,AB128*308.4,0)+IF(AC128&gt;0,AC128*496.16,0)</f>
        <v/>
      </c>
    </row>
    <row r="129">
      <c r="A129" s="58" t="inlineStr">
        <is>
          <t>SIM</t>
        </is>
      </c>
      <c r="B129" s="59">
        <f>IF(H129&lt;$B$1,"VENCIDO","NA VALIDADE")</f>
        <v/>
      </c>
      <c r="C129" s="60" t="inlineStr">
        <is>
          <t>BASE OP</t>
        </is>
      </c>
      <c r="D129" s="61" t="inlineStr">
        <is>
          <t>BASE OPERACIONAL TUCANO</t>
        </is>
      </c>
      <c r="E129" s="62" t="inlineStr">
        <is>
          <t>TUCANO</t>
        </is>
      </c>
      <c r="F129" s="61" t="inlineStr">
        <is>
          <t>FEIRA DE  SANTANA</t>
        </is>
      </c>
      <c r="G129" s="60" t="inlineStr">
        <is>
          <t>BA</t>
        </is>
      </c>
      <c r="H129" s="119" t="n">
        <v>45474</v>
      </c>
      <c r="I129" s="119">
        <f>H129-180</f>
        <v/>
      </c>
      <c r="J129" s="60">
        <f>SUM(L129:AE129)</f>
        <v/>
      </c>
      <c r="K129" s="60">
        <f>SUM(AF129:AJ129)</f>
        <v/>
      </c>
      <c r="L129" s="60" t="n"/>
      <c r="M129" s="60" t="n"/>
      <c r="N129" s="60" t="n"/>
      <c r="O129" s="60" t="n"/>
      <c r="P129" s="60" t="n"/>
      <c r="Q129" s="60" t="n"/>
      <c r="R129" s="60" t="n"/>
      <c r="S129" s="60" t="n"/>
      <c r="T129" s="60" t="n"/>
      <c r="U129" s="60" t="n"/>
      <c r="V129" s="60" t="n">
        <v>1</v>
      </c>
      <c r="W129" s="60" t="n"/>
      <c r="X129" s="60" t="n"/>
      <c r="Y129" s="60" t="n"/>
      <c r="Z129" s="60" t="n"/>
      <c r="AA129" s="60" t="n"/>
      <c r="AB129" s="60" t="n"/>
      <c r="AC129" s="60" t="n"/>
      <c r="AD129" s="60" t="n"/>
      <c r="AE129" s="60" t="n"/>
      <c r="AF129" s="60" t="n"/>
      <c r="AG129" s="60" t="n"/>
      <c r="AH129" s="60" t="n"/>
      <c r="AI129" s="60" t="n"/>
      <c r="AJ129" s="60" t="n"/>
      <c r="AK129" s="120">
        <f>IF(L129&gt;0,L129*90.44,0)+IF(M129&gt;0,M129*348.12,0)+IF(N129&gt;0,N129*151.63,0)+IF(O129&gt;0,O129*197.82,0)+IF(P129&gt;0,P129*244.09,0)+IF(Q129&gt;0,Q129*315.35,0)+IF(R129&gt;0,R129*1067.3,0)+IF(T129&gt;0,T129*567.47,0)+IF(U129&gt;0,U129*151.63,0)+IF(V129&gt;0,V129*197.84,0)+IF(W129&gt;0,W129*470.51,0)+IF(X129&gt;0,X129*701.69,0)+IF(Z129&gt;0,Z129*151.63,0)+IF(AA129&gt;0,AA129*197.84)+IF(AB129&gt;0,AB129*308.4,0)+IF(AC129&gt;0,AC129*496.16,0)</f>
        <v/>
      </c>
    </row>
    <row r="130">
      <c r="A130" s="58" t="inlineStr">
        <is>
          <t>SIM</t>
        </is>
      </c>
      <c r="B130" s="59">
        <f>IF(H130&lt;$B$1,"VENCIDO","NA VALIDADE")</f>
        <v/>
      </c>
      <c r="C130" s="60" t="inlineStr">
        <is>
          <t>BASE OP</t>
        </is>
      </c>
      <c r="D130" s="61" t="inlineStr">
        <is>
          <t>BASE OPERACIONAL UAUÁ</t>
        </is>
      </c>
      <c r="E130" s="62" t="inlineStr">
        <is>
          <t>UAUÁ</t>
        </is>
      </c>
      <c r="F130" s="61" t="inlineStr">
        <is>
          <t>FEIRA DE  SANTANA</t>
        </is>
      </c>
      <c r="G130" s="60" t="inlineStr">
        <is>
          <t>BA</t>
        </is>
      </c>
      <c r="H130" s="119" t="n">
        <v>45352</v>
      </c>
      <c r="I130" s="119">
        <f>H130-180</f>
        <v/>
      </c>
      <c r="J130" s="60">
        <f>SUM(L130:AE130)</f>
        <v/>
      </c>
      <c r="K130" s="60">
        <f>SUM(AF130:AJ130)</f>
        <v/>
      </c>
      <c r="L130" s="60" t="n"/>
      <c r="M130" s="60" t="n"/>
      <c r="N130" s="60" t="n"/>
      <c r="O130" s="60" t="n"/>
      <c r="P130" s="60" t="n"/>
      <c r="Q130" s="60" t="n"/>
      <c r="R130" s="60" t="n"/>
      <c r="S130" s="60" t="n"/>
      <c r="T130" s="60" t="n"/>
      <c r="U130" s="60" t="n"/>
      <c r="V130" s="60" t="n">
        <v>2</v>
      </c>
      <c r="W130" s="60" t="n"/>
      <c r="X130" s="60" t="n"/>
      <c r="Y130" s="60" t="n"/>
      <c r="Z130" s="60" t="n"/>
      <c r="AA130" s="60" t="n"/>
      <c r="AB130" s="60" t="n"/>
      <c r="AC130" s="60" t="n"/>
      <c r="AD130" s="60" t="n"/>
      <c r="AE130" s="60" t="n"/>
      <c r="AF130" s="60" t="n"/>
      <c r="AG130" s="60" t="n"/>
      <c r="AH130" s="60" t="n"/>
      <c r="AI130" s="60" t="n"/>
      <c r="AJ130" s="60" t="n"/>
      <c r="AK130" s="120">
        <f>IF(L130&gt;0,L130*90.44,0)+IF(M130&gt;0,M130*348.12,0)+IF(N130&gt;0,N130*151.63,0)+IF(O130&gt;0,O130*197.82,0)+IF(P130&gt;0,P130*244.09,0)+IF(Q130&gt;0,Q130*315.35,0)+IF(R130&gt;0,R130*1067.3,0)+IF(T130&gt;0,T130*567.47,0)+IF(U130&gt;0,U130*151.63,0)+IF(V130&gt;0,V130*197.84,0)+IF(W130&gt;0,W130*470.51,0)+IF(X130&gt;0,X130*701.69,0)+IF(Z130&gt;0,Z130*151.63,0)+IF(AA130&gt;0,AA130*197.84)+IF(AB130&gt;0,AB130*308.4,0)+IF(AC130&gt;0,AC130*496.16,0)</f>
        <v/>
      </c>
    </row>
    <row r="131" hidden="1">
      <c r="A131" s="58" t="inlineStr">
        <is>
          <t>SIM</t>
        </is>
      </c>
      <c r="B131" s="59">
        <f>IF(H131&lt;$B$1,"VENCIDO","NA VALIDADE")</f>
        <v/>
      </c>
      <c r="C131" s="60" t="inlineStr">
        <is>
          <t>BASE OP</t>
        </is>
      </c>
      <c r="D131" s="61" t="inlineStr">
        <is>
          <t>BASE OPERACIONAL UBAITABA</t>
        </is>
      </c>
      <c r="E131" s="62" t="inlineStr">
        <is>
          <t>UBAITABA</t>
        </is>
      </c>
      <c r="F131" s="61" t="inlineStr">
        <is>
          <t>ILHÉUS</t>
        </is>
      </c>
      <c r="G131" s="60" t="inlineStr">
        <is>
          <t>BA</t>
        </is>
      </c>
      <c r="H131" s="119" t="n">
        <v>45505</v>
      </c>
      <c r="I131" s="119">
        <f>H131-180</f>
        <v/>
      </c>
      <c r="J131" s="60">
        <f>SUM(L131:AE131)</f>
        <v/>
      </c>
      <c r="K131" s="60">
        <f>SUM(AF131:AJ131)</f>
        <v/>
      </c>
      <c r="L131" s="60" t="n"/>
      <c r="M131" s="60" t="n"/>
      <c r="N131" s="60" t="n"/>
      <c r="O131" s="60" t="n">
        <v>1</v>
      </c>
      <c r="P131" s="60" t="n"/>
      <c r="Q131" s="60" t="n"/>
      <c r="R131" s="60" t="n"/>
      <c r="S131" s="60" t="n"/>
      <c r="T131" s="60" t="n"/>
      <c r="U131" s="60" t="n"/>
      <c r="V131" s="60" t="n"/>
      <c r="W131" s="60" t="n"/>
      <c r="X131" s="60" t="n"/>
      <c r="Y131" s="60" t="n"/>
      <c r="Z131" s="60" t="n"/>
      <c r="AA131" s="60" t="n"/>
      <c r="AB131" s="60" t="n"/>
      <c r="AC131" s="60" t="n"/>
      <c r="AD131" s="60" t="n"/>
      <c r="AE131" s="60" t="n"/>
      <c r="AF131" s="60" t="n"/>
      <c r="AG131" s="60" t="n"/>
      <c r="AH131" s="60" t="n"/>
      <c r="AI131" s="60" t="n"/>
      <c r="AJ131" s="60" t="n"/>
      <c r="AK131" s="120">
        <f>IF(L131&gt;0,L131*90.44,0)+IF(M131&gt;0,M131*348.12,0)+IF(N131&gt;0,N131*151.63,0)+IF(O131&gt;0,O131*197.82,0)+IF(P131&gt;0,P131*244.09,0)+IF(Q131&gt;0,Q131*315.35,0)+IF(R131&gt;0,R131*1067.3,0)+IF(T131&gt;0,T131*567.47,0)+IF(U131&gt;0,U131*151.63,0)+IF(V131&gt;0,V131*197.84,0)+IF(W131&gt;0,W131*470.51,0)+IF(X131&gt;0,X131*701.69,0)+IF(Z131&gt;0,Z131*151.63,0)+IF(AA131&gt;0,AA131*197.84)+IF(AB131&gt;0,AB131*308.4,0)+IF(AC131&gt;0,AC131*496.16,0)</f>
        <v/>
      </c>
    </row>
    <row r="132" hidden="1">
      <c r="A132" s="58" t="inlineStr">
        <is>
          <t>SIM</t>
        </is>
      </c>
      <c r="B132" s="59">
        <f>IF(H132&lt;$B$1,"VENCIDO","NA VALIDADE")</f>
        <v/>
      </c>
      <c r="C132" s="60" t="inlineStr">
        <is>
          <t>BASE OP</t>
        </is>
      </c>
      <c r="D132" s="61" t="inlineStr">
        <is>
          <t>BASE OPERACIONAL URUÇUCA</t>
        </is>
      </c>
      <c r="E132" s="62" t="inlineStr">
        <is>
          <t>URUÇUCA</t>
        </is>
      </c>
      <c r="F132" s="61" t="inlineStr">
        <is>
          <t>ILHÉUS</t>
        </is>
      </c>
      <c r="G132" s="60" t="inlineStr">
        <is>
          <t>BA</t>
        </is>
      </c>
      <c r="H132" s="119" t="n">
        <v>45413</v>
      </c>
      <c r="I132" s="119">
        <f>H132-180</f>
        <v/>
      </c>
      <c r="J132" s="60">
        <f>SUM(L132:AE132)</f>
        <v/>
      </c>
      <c r="K132" s="60">
        <f>SUM(AF132:AJ132)</f>
        <v/>
      </c>
      <c r="L132" s="60" t="n"/>
      <c r="M132" s="60" t="n"/>
      <c r="N132" s="60" t="n"/>
      <c r="O132" s="60" t="n"/>
      <c r="P132" s="60" t="n"/>
      <c r="Q132" s="60" t="n"/>
      <c r="R132" s="60" t="n"/>
      <c r="S132" s="60" t="n"/>
      <c r="T132" s="60" t="n"/>
      <c r="U132" s="60" t="n"/>
      <c r="V132" s="60" t="n">
        <v>1</v>
      </c>
      <c r="W132" s="60" t="n"/>
      <c r="X132" s="60" t="n"/>
      <c r="Y132" s="60" t="n"/>
      <c r="Z132" s="60" t="n"/>
      <c r="AA132" s="60" t="n">
        <v>1</v>
      </c>
      <c r="AB132" s="60" t="n"/>
      <c r="AC132" s="60" t="n"/>
      <c r="AD132" s="60" t="n"/>
      <c r="AE132" s="60" t="n"/>
      <c r="AF132" s="60" t="n"/>
      <c r="AG132" s="60" t="n"/>
      <c r="AH132" s="60" t="n"/>
      <c r="AI132" s="60" t="n"/>
      <c r="AJ132" s="60" t="n"/>
      <c r="AK132" s="120">
        <f>IF(L132&gt;0,L132*90.44,0)+IF(M132&gt;0,M132*348.12,0)+IF(N132&gt;0,N132*151.63,0)+IF(O132&gt;0,O132*197.82,0)+IF(P132&gt;0,P132*244.09,0)+IF(Q132&gt;0,Q132*315.35,0)+IF(R132&gt;0,R132*1067.3,0)+IF(T132&gt;0,T132*567.47,0)+IF(U132&gt;0,U132*151.63,0)+IF(V132&gt;0,V132*197.84,0)+IF(W132&gt;0,W132*470.51,0)+IF(X132&gt;0,X132*701.69,0)+IF(Z132&gt;0,Z132*151.63,0)+IF(AA132&gt;0,AA132*197.84)+IF(AB132&gt;0,AB132*308.4,0)+IF(AC132&gt;0,AC132*496.16,0)</f>
        <v/>
      </c>
    </row>
    <row r="133" hidden="1">
      <c r="A133" s="58" t="inlineStr">
        <is>
          <t>SIM</t>
        </is>
      </c>
      <c r="B133" s="59">
        <f>IF(H133&lt;$B$1,"VENCIDO","NA VALIDADE")</f>
        <v/>
      </c>
      <c r="C133" s="60" t="inlineStr">
        <is>
          <t>BASE OP</t>
        </is>
      </c>
      <c r="D133" s="61" t="inlineStr">
        <is>
          <t>BASE OPERACIONAL UTINGA</t>
        </is>
      </c>
      <c r="E133" s="62" t="inlineStr">
        <is>
          <t>UTINGA</t>
        </is>
      </c>
      <c r="F133" s="61" t="inlineStr">
        <is>
          <t>VITÓRIA DA CONQUISTA</t>
        </is>
      </c>
      <c r="G133" s="60" t="inlineStr">
        <is>
          <t>BA</t>
        </is>
      </c>
      <c r="H133" s="119" t="n">
        <v>45352</v>
      </c>
      <c r="I133" s="119">
        <f>H133-180</f>
        <v/>
      </c>
      <c r="J133" s="60">
        <f>SUM(L133:AE133)</f>
        <v/>
      </c>
      <c r="K133" s="60">
        <f>SUM(AF133:AJ133)</f>
        <v/>
      </c>
      <c r="L133" s="60" t="n"/>
      <c r="M133" s="60" t="n"/>
      <c r="N133" s="60" t="n"/>
      <c r="O133" s="60" t="n">
        <v>2</v>
      </c>
      <c r="P133" s="60" t="n"/>
      <c r="Q133" s="60" t="n"/>
      <c r="R133" s="60" t="n"/>
      <c r="S133" s="60" t="n"/>
      <c r="T133" s="60" t="n"/>
      <c r="U133" s="60" t="n"/>
      <c r="V133" s="60" t="n"/>
      <c r="W133" s="60" t="n"/>
      <c r="X133" s="60" t="n"/>
      <c r="Y133" s="60" t="n"/>
      <c r="Z133" s="60" t="n"/>
      <c r="AA133" s="60" t="n"/>
      <c r="AB133" s="60" t="n"/>
      <c r="AC133" s="60" t="n"/>
      <c r="AD133" s="60" t="n"/>
      <c r="AE133" s="60" t="n"/>
      <c r="AF133" s="60" t="n"/>
      <c r="AG133" s="60" t="n"/>
      <c r="AH133" s="60" t="n"/>
      <c r="AI133" s="60" t="n"/>
      <c r="AJ133" s="60" t="n"/>
      <c r="AK133" s="120">
        <f>IF(L133&gt;0,L133*90.44,0)+IF(M133&gt;0,M133*348.12,0)+IF(N133&gt;0,N133*151.63,0)+IF(O133&gt;0,O133*197.82,0)+IF(P133&gt;0,P133*244.09,0)+IF(Q133&gt;0,Q133*315.35,0)+IF(R133&gt;0,R133*1067.3,0)+IF(T133&gt;0,T133*567.47,0)+IF(U133&gt;0,U133*151.63,0)+IF(V133&gt;0,V133*197.84,0)+IF(W133&gt;0,W133*470.51,0)+IF(X133&gt;0,X133*701.69,0)+IF(Z133&gt;0,Z133*151.63,0)+IF(AA133&gt;0,AA133*197.84)+IF(AB133&gt;0,AB133*308.4,0)+IF(AC133&gt;0,AC133*496.16,0)</f>
        <v/>
      </c>
    </row>
    <row r="134">
      <c r="A134" s="58" t="inlineStr">
        <is>
          <t>SIM</t>
        </is>
      </c>
      <c r="B134" s="59">
        <f>IF(H134&lt;$B$1,"VENCIDO","NA VALIDADE")</f>
        <v/>
      </c>
      <c r="C134" s="60" t="inlineStr">
        <is>
          <t>BASE OP</t>
        </is>
      </c>
      <c r="D134" s="61" t="inlineStr">
        <is>
          <t>BASE OPERACIONAL VALENTE</t>
        </is>
      </c>
      <c r="E134" s="62" t="inlineStr">
        <is>
          <t>VALENTE</t>
        </is>
      </c>
      <c r="F134" s="61" t="inlineStr">
        <is>
          <t>FEIRA DE  SANTANA</t>
        </is>
      </c>
      <c r="G134" s="60" t="inlineStr">
        <is>
          <t>BA</t>
        </is>
      </c>
      <c r="H134" s="119" t="n">
        <v>45505</v>
      </c>
      <c r="I134" s="119">
        <f>H134-180</f>
        <v/>
      </c>
      <c r="J134" s="60">
        <f>SUM(L134:AE134)</f>
        <v/>
      </c>
      <c r="K134" s="60">
        <f>SUM(AF134:AJ134)</f>
        <v/>
      </c>
      <c r="L134" s="60" t="n"/>
      <c r="M134" s="60" t="n"/>
      <c r="N134" s="60" t="n"/>
      <c r="O134" s="60" t="n"/>
      <c r="P134" s="60" t="n"/>
      <c r="Q134" s="60" t="n"/>
      <c r="R134" s="60" t="n"/>
      <c r="S134" s="60" t="n"/>
      <c r="T134" s="60" t="n"/>
      <c r="U134" s="60" t="n"/>
      <c r="V134" s="60" t="n">
        <v>1</v>
      </c>
      <c r="W134" s="60" t="n"/>
      <c r="X134" s="60" t="n"/>
      <c r="Y134" s="60" t="n"/>
      <c r="Z134" s="60" t="n"/>
      <c r="AA134" s="60" t="n"/>
      <c r="AB134" s="60" t="n"/>
      <c r="AC134" s="60" t="n"/>
      <c r="AD134" s="60" t="n"/>
      <c r="AE134" s="60" t="n"/>
      <c r="AF134" s="60" t="n"/>
      <c r="AG134" s="60" t="n"/>
      <c r="AH134" s="60" t="n"/>
      <c r="AI134" s="60" t="n"/>
      <c r="AJ134" s="60" t="n"/>
      <c r="AK134" s="120">
        <f>IF(L134&gt;0,L134*90.44,0)+IF(M134&gt;0,M134*348.12,0)+IF(N134&gt;0,N134*151.63,0)+IF(O134&gt;0,O134*197.82,0)+IF(P134&gt;0,P134*244.09,0)+IF(Q134&gt;0,Q134*315.35,0)+IF(R134&gt;0,R134*1067.3,0)+IF(T134&gt;0,T134*567.47,0)+IF(U134&gt;0,U134*151.63,0)+IF(V134&gt;0,V134*197.84,0)+IF(W134&gt;0,W134*470.51,0)+IF(X134&gt;0,X134*701.69,0)+IF(Z134&gt;0,Z134*151.63,0)+IF(AA134&gt;0,AA134*197.84)+IF(AB134&gt;0,AB134*308.4,0)+IF(AC134&gt;0,AC134*496.16,0)</f>
        <v/>
      </c>
    </row>
    <row r="135">
      <c r="A135" s="58" t="inlineStr">
        <is>
          <t>SIM</t>
        </is>
      </c>
      <c r="B135" s="59">
        <f>IF(H135&lt;$B$1,"VENCIDO","NA VALIDADE")</f>
        <v/>
      </c>
      <c r="C135" s="60" t="inlineStr">
        <is>
          <t>BASE OP</t>
        </is>
      </c>
      <c r="D135" s="61" t="inlineStr">
        <is>
          <t>BASE OPERACIONAL XIQUE-XIQUE</t>
        </is>
      </c>
      <c r="E135" s="62" t="inlineStr">
        <is>
          <t>XIQUE-XIQUE</t>
        </is>
      </c>
      <c r="F135" s="61" t="inlineStr">
        <is>
          <t>FEIRA DE  SANTANA</t>
        </is>
      </c>
      <c r="G135" s="60" t="inlineStr">
        <is>
          <t>BA</t>
        </is>
      </c>
      <c r="H135" s="119" t="n">
        <v>45505</v>
      </c>
      <c r="I135" s="119">
        <f>H135-180</f>
        <v/>
      </c>
      <c r="J135" s="60">
        <f>SUM(L135:AE135)</f>
        <v/>
      </c>
      <c r="K135" s="60">
        <f>SUM(AF135:AJ135)</f>
        <v/>
      </c>
      <c r="L135" s="60" t="n"/>
      <c r="M135" s="60" t="n"/>
      <c r="N135" s="60" t="n"/>
      <c r="O135" s="60" t="n"/>
      <c r="P135" s="60" t="n"/>
      <c r="Q135" s="60" t="n"/>
      <c r="R135" s="60" t="n"/>
      <c r="S135" s="60" t="n"/>
      <c r="T135" s="60" t="n"/>
      <c r="U135" s="60" t="n"/>
      <c r="V135" s="60" t="n">
        <v>1</v>
      </c>
      <c r="W135" s="60" t="n"/>
      <c r="X135" s="60" t="n"/>
      <c r="Y135" s="60" t="n"/>
      <c r="Z135" s="60" t="n"/>
      <c r="AA135" s="60" t="n"/>
      <c r="AB135" s="60" t="n"/>
      <c r="AC135" s="60" t="n"/>
      <c r="AD135" s="60" t="n"/>
      <c r="AE135" s="60" t="n"/>
      <c r="AF135" s="60" t="n"/>
      <c r="AG135" s="60" t="n"/>
      <c r="AH135" s="60" t="n"/>
      <c r="AI135" s="60" t="n"/>
      <c r="AJ135" s="60" t="n"/>
      <c r="AK135" s="120">
        <f>IF(L135&gt;0,L135*90.44,0)+IF(M135&gt;0,M135*348.12,0)+IF(N135&gt;0,N135*151.63,0)+IF(O135&gt;0,O135*197.82,0)+IF(P135&gt;0,P135*244.09,0)+IF(Q135&gt;0,Q135*315.35,0)+IF(R135&gt;0,R135*1067.3,0)+IF(T135&gt;0,T135*567.47,0)+IF(U135&gt;0,U135*151.63,0)+IF(V135&gt;0,V135*197.84,0)+IF(W135&gt;0,W135*470.51,0)+IF(X135&gt;0,X135*701.69,0)+IF(Z135&gt;0,Z135*151.63,0)+IF(AA135&gt;0,AA135*197.84)+IF(AB135&gt;0,AB135*308.4,0)+IF(AC135&gt;0,AC135*496.16,0)</f>
        <v/>
      </c>
    </row>
    <row r="136">
      <c r="A136" s="58" t="inlineStr">
        <is>
          <t>SIM</t>
        </is>
      </c>
      <c r="B136" s="59">
        <f>IF(H136&lt;$B$1,"VENCIDO","NA VALIDADE")</f>
        <v/>
      </c>
      <c r="C136" s="60" t="inlineStr">
        <is>
          <t>EDIFICIO</t>
        </is>
      </c>
      <c r="D136" s="61" t="inlineStr">
        <is>
          <t>EDIFÍCIO SEDE COELBA</t>
        </is>
      </c>
      <c r="E136" s="62" t="inlineStr">
        <is>
          <t>SALVADOR</t>
        </is>
      </c>
      <c r="F136" s="61" t="inlineStr">
        <is>
          <t>FEIRA DE  SANTANA</t>
        </is>
      </c>
      <c r="G136" s="60" t="inlineStr">
        <is>
          <t>BA</t>
        </is>
      </c>
      <c r="H136" s="119" t="n">
        <v>45413</v>
      </c>
      <c r="I136" s="119" t="n">
        <v>45413</v>
      </c>
      <c r="J136" s="60">
        <f>SUM(L136:AE136)</f>
        <v/>
      </c>
      <c r="K136" s="60">
        <f>SUM(AF136:AJ136)</f>
        <v/>
      </c>
      <c r="L136" s="60" t="n">
        <v>111</v>
      </c>
      <c r="M136" s="60" t="n">
        <v>6</v>
      </c>
      <c r="N136" s="60" t="n"/>
      <c r="O136" s="60" t="n">
        <v>1</v>
      </c>
      <c r="P136" s="60" t="n"/>
      <c r="Q136" s="60" t="n">
        <v>3</v>
      </c>
      <c r="R136" s="60" t="n">
        <v>1</v>
      </c>
      <c r="S136" s="60" t="n"/>
      <c r="T136" s="60" t="n"/>
      <c r="U136" s="60" t="n"/>
      <c r="V136" s="60" t="n">
        <v>75</v>
      </c>
      <c r="W136" s="60" t="n">
        <v>1</v>
      </c>
      <c r="X136" s="60" t="n"/>
      <c r="Y136" s="60" t="n"/>
      <c r="Z136" s="60" t="n"/>
      <c r="AA136" s="60" t="n">
        <v>94</v>
      </c>
      <c r="AB136" s="60" t="n">
        <v>1</v>
      </c>
      <c r="AC136" s="60" t="n"/>
      <c r="AD136" s="60" t="n"/>
      <c r="AE136" s="60" t="n"/>
      <c r="AF136" s="60" t="n"/>
      <c r="AG136" s="60" t="n"/>
      <c r="AH136" s="60" t="n"/>
      <c r="AI136" s="60" t="n"/>
      <c r="AJ136" s="60" t="n"/>
      <c r="AK136" s="120">
        <f>IF(L136&gt;0,L136*90.44,0)+IF(M136&gt;0,M136*348.12,0)+IF(N136&gt;0,N136*151.63,0)+IF(O136&gt;0,O136*197.82,0)+IF(P136&gt;0,P136*244.09,0)+IF(Q136&gt;0,Q136*315.35,0)+IF(R136&gt;0,R136*1067.3,0)+IF(T136&gt;0,T136*567.47,0)+IF(U136&gt;0,U136*151.63,0)+IF(V136&gt;0,V136*197.84,0)+IF(W136&gt;0,W136*470.51,0)+IF(X136&gt;0,X136*701.69,0)+IF(Z136&gt;0,Z136*151.63,0)+IF(AA136&gt;0,AA136*197.84)+IF(AB136&gt;0,AB136*308.4,0)+IF(AC136&gt;0,AC136*496.16,0)</f>
        <v/>
      </c>
    </row>
    <row r="137">
      <c r="A137" s="58" t="inlineStr">
        <is>
          <t>SIM</t>
        </is>
      </c>
      <c r="B137" s="59">
        <f>IF(H137&lt;$B$1,"VENCIDO","NA VALIDADE")</f>
        <v/>
      </c>
      <c r="C137" s="60" t="inlineStr">
        <is>
          <t>ESTAÇÃO REP</t>
        </is>
      </c>
      <c r="D137" s="61" t="inlineStr">
        <is>
          <t>ESTAÇÃO REPETIDORA ALAGOINHAS</t>
        </is>
      </c>
      <c r="E137" s="62" t="inlineStr">
        <is>
          <t>ALAGOINHAS</t>
        </is>
      </c>
      <c r="F137" s="61" t="inlineStr">
        <is>
          <t>FEIRA DE  SANTANA</t>
        </is>
      </c>
      <c r="G137" s="60" t="inlineStr">
        <is>
          <t>BA</t>
        </is>
      </c>
      <c r="H137" s="119" t="n">
        <v>45323</v>
      </c>
      <c r="I137" s="119" t="n">
        <v>45323</v>
      </c>
      <c r="J137" s="60" t="n">
        <v>2</v>
      </c>
      <c r="K137" s="60">
        <f>SUM(AF137:AJ137)</f>
        <v/>
      </c>
      <c r="L137" s="60" t="n"/>
      <c r="M137" s="60" t="n"/>
      <c r="N137" s="60" t="n"/>
      <c r="O137" s="60" t="n"/>
      <c r="P137" s="60" t="n"/>
      <c r="Q137" s="60" t="n">
        <v>1</v>
      </c>
      <c r="R137" s="60" t="n"/>
      <c r="S137" s="60" t="n"/>
      <c r="T137" s="60" t="n"/>
      <c r="U137" s="60" t="n"/>
      <c r="V137" s="60" t="n"/>
      <c r="W137" s="60" t="n"/>
      <c r="X137" s="60" t="n"/>
      <c r="Y137" s="60" t="n"/>
      <c r="Z137" s="60" t="n"/>
      <c r="AA137" s="60" t="n">
        <v>1</v>
      </c>
      <c r="AB137" s="60" t="n"/>
      <c r="AC137" s="60" t="n"/>
      <c r="AD137" s="60" t="n"/>
      <c r="AE137" s="60" t="n"/>
      <c r="AF137" s="60" t="n"/>
      <c r="AG137" s="60" t="n"/>
      <c r="AH137" s="60" t="n"/>
      <c r="AI137" s="60" t="n"/>
      <c r="AJ137" s="60" t="n"/>
      <c r="AK137" s="120">
        <f>IF(L137&gt;0,L137*90.44,0)+IF(M137&gt;0,M137*348.12,0)+IF(N137&gt;0,N137*151.63,0)+IF(O137&gt;0,O137*197.82,0)+IF(P137&gt;0,P137*244.09,0)+IF(Q137&gt;0,Q137*315.35,0)+IF(R137&gt;0,R137*1067.3,0)+IF(T137&gt;0,T137*567.47,0)+IF(U137&gt;0,U137*151.63,0)+IF(V137&gt;0,V137*197.84,0)+IF(W137&gt;0,W137*470.51,0)+IF(X137&gt;0,X137*701.69,0)+IF(Z137&gt;0,Z137*151.63,0)+IF(AA137&gt;0,AA137*197.84)+IF(AB137&gt;0,AB137*308.4,0)+IF(AC137&gt;0,AC137*496.16,0)</f>
        <v/>
      </c>
    </row>
    <row r="138" hidden="1">
      <c r="A138" s="58" t="inlineStr">
        <is>
          <t>SIM</t>
        </is>
      </c>
      <c r="B138" s="59">
        <f>IF(H138&lt;$B$1,"VENCIDO","NA VALIDADE")</f>
        <v/>
      </c>
      <c r="C138" s="60" t="inlineStr">
        <is>
          <t>ESTAÇÃO REP</t>
        </is>
      </c>
      <c r="D138" s="61" t="inlineStr">
        <is>
          <t>ESTAÇÃO REPETIDORA BARREIRAS</t>
        </is>
      </c>
      <c r="E138" s="62" t="inlineStr">
        <is>
          <t>BARREIRAS</t>
        </is>
      </c>
      <c r="F138" s="61" t="inlineStr">
        <is>
          <t>VITÓRIA DA CONQUISTA</t>
        </is>
      </c>
      <c r="G138" s="60" t="inlineStr">
        <is>
          <t>BA</t>
        </is>
      </c>
      <c r="H138" s="119" t="n">
        <v>45536</v>
      </c>
      <c r="I138" s="119">
        <f>H138-180</f>
        <v/>
      </c>
      <c r="J138" s="60">
        <f>SUM(L138:AE138)</f>
        <v/>
      </c>
      <c r="K138" s="60">
        <f>SUM(AF138:AJ138)</f>
        <v/>
      </c>
      <c r="L138" s="60" t="n"/>
      <c r="M138" s="60" t="n"/>
      <c r="N138" s="60" t="n"/>
      <c r="O138" s="60" t="n"/>
      <c r="P138" s="60" t="n"/>
      <c r="Q138" s="60" t="n"/>
      <c r="R138" s="60" t="n"/>
      <c r="S138" s="60" t="n"/>
      <c r="T138" s="60" t="n"/>
      <c r="U138" s="60" t="n"/>
      <c r="V138" s="60" t="n"/>
      <c r="W138" s="60" t="n"/>
      <c r="X138" s="60" t="n"/>
      <c r="Y138" s="60" t="n"/>
      <c r="Z138" s="60" t="n"/>
      <c r="AA138" s="60" t="n">
        <v>1</v>
      </c>
      <c r="AB138" s="60" t="n"/>
      <c r="AC138" s="60" t="n"/>
      <c r="AD138" s="60" t="n"/>
      <c r="AE138" s="60" t="n"/>
      <c r="AF138" s="60" t="n"/>
      <c r="AG138" s="60" t="n"/>
      <c r="AH138" s="60" t="n"/>
      <c r="AI138" s="60" t="n"/>
      <c r="AJ138" s="60" t="n"/>
      <c r="AK138" s="120">
        <f>IF(L138&gt;0,L138*90.44,0)+IF(M138&gt;0,M138*348.12,0)+IF(N138&gt;0,N138*151.63,0)+IF(O138&gt;0,O138*197.82,0)+IF(P138&gt;0,P138*244.09,0)+IF(Q138&gt;0,Q138*315.35,0)+IF(R138&gt;0,R138*1067.3,0)+IF(T138&gt;0,T138*567.47,0)+IF(U138&gt;0,U138*151.63,0)+IF(V138&gt;0,V138*197.84,0)+IF(W138&gt;0,W138*470.51,0)+IF(X138&gt;0,X138*701.69,0)+IF(Z138&gt;0,Z138*151.63,0)+IF(AA138&gt;0,AA138*197.84)+IF(AB138&gt;0,AB138*308.4,0)+IF(AC138&gt;0,AC138*496.16,0)</f>
        <v/>
      </c>
    </row>
    <row r="139" hidden="1">
      <c r="A139" s="58" t="n"/>
      <c r="B139" s="59">
        <f>IF(H139&lt;$B$1,"VENCIDO","NA VALIDADE")</f>
        <v/>
      </c>
      <c r="C139" s="60" t="inlineStr">
        <is>
          <t>ESTAÇÃO REP</t>
        </is>
      </c>
      <c r="D139" s="61" t="inlineStr">
        <is>
          <t>ESTAÇÃO REPETIDORA BOA NOVA</t>
        </is>
      </c>
      <c r="E139" s="62" t="inlineStr">
        <is>
          <t>BOA NOVA</t>
        </is>
      </c>
      <c r="F139" s="61" t="inlineStr">
        <is>
          <t>VITÓRIA DA CONQUISTA</t>
        </is>
      </c>
      <c r="G139" s="60" t="inlineStr">
        <is>
          <t>BA</t>
        </is>
      </c>
      <c r="H139" s="119" t="n">
        <v>45444</v>
      </c>
      <c r="I139" s="119" t="n">
        <v>45444</v>
      </c>
      <c r="J139" s="60">
        <f>SUM(L139:AE139)</f>
        <v/>
      </c>
      <c r="K139" s="60">
        <f>SUM(AF139:AJ139)</f>
        <v/>
      </c>
      <c r="L139" s="60" t="n"/>
      <c r="M139" s="60" t="n"/>
      <c r="N139" s="60" t="n"/>
      <c r="O139" s="60" t="n"/>
      <c r="P139" s="60" t="n"/>
      <c r="Q139" s="60" t="n"/>
      <c r="R139" s="60" t="n"/>
      <c r="S139" s="60" t="n"/>
      <c r="T139" s="60" t="n"/>
      <c r="U139" s="60" t="n"/>
      <c r="V139" s="60" t="n"/>
      <c r="W139" s="60" t="n"/>
      <c r="X139" s="60" t="n"/>
      <c r="Y139" s="60" t="n"/>
      <c r="Z139" s="60" t="n"/>
      <c r="AA139" s="60" t="n">
        <v>1</v>
      </c>
      <c r="AB139" s="60" t="n"/>
      <c r="AC139" s="60" t="n"/>
      <c r="AD139" s="60" t="n"/>
      <c r="AE139" s="60" t="n"/>
      <c r="AF139" s="60" t="n"/>
      <c r="AG139" s="60" t="n"/>
      <c r="AH139" s="60" t="n"/>
      <c r="AI139" s="60" t="n"/>
      <c r="AJ139" s="60" t="n"/>
      <c r="AK139" s="120">
        <f>IF(L139&gt;0,L139*90.44,0)+IF(M139&gt;0,M139*348.12,0)+IF(N139&gt;0,N139*151.63,0)+IF(O139&gt;0,O139*197.82,0)+IF(P139&gt;0,P139*244.09,0)+IF(Q139&gt;0,Q139*315.35,0)+IF(R139&gt;0,R139*1067.3,0)+IF(T139&gt;0,T139*567.47,0)+IF(U139&gt;0,U139*151.63,0)+IF(V139&gt;0,V139*197.84,0)+IF(W139&gt;0,W139*470.51,0)+IF(X139&gt;0,X139*701.69,0)+IF(Z139&gt;0,Z139*151.63,0)+IF(AA139&gt;0,AA139*197.84)+IF(AB139&gt;0,AB139*308.4,0)+IF(AC139&gt;0,AC139*496.16,0)</f>
        <v/>
      </c>
    </row>
    <row r="140" hidden="1">
      <c r="A140" s="58" t="n"/>
      <c r="B140" s="59">
        <f>IF(H140&lt;$B$1,"VENCIDO","NA VALIDADE")</f>
        <v/>
      </c>
      <c r="C140" s="60" t="inlineStr">
        <is>
          <t>ESTAÇÃO REP</t>
        </is>
      </c>
      <c r="D140" s="61" t="inlineStr">
        <is>
          <t>ESTAÇÃO REPETIDORA BRUMADO</t>
        </is>
      </c>
      <c r="E140" s="62" t="inlineStr">
        <is>
          <t>BRUMADO</t>
        </is>
      </c>
      <c r="F140" s="61" t="inlineStr">
        <is>
          <t>VITÓRIA DA CONQUISTA</t>
        </is>
      </c>
      <c r="G140" s="60" t="inlineStr">
        <is>
          <t>BA</t>
        </is>
      </c>
      <c r="H140" s="119" t="n">
        <v>45474</v>
      </c>
      <c r="I140" s="119">
        <f>H140-180</f>
        <v/>
      </c>
      <c r="J140" s="60">
        <f>SUM(L140:AE140)</f>
        <v/>
      </c>
      <c r="K140" s="60">
        <f>SUM(AF140:AJ140)</f>
        <v/>
      </c>
      <c r="L140" s="60" t="n"/>
      <c r="M140" s="60" t="n"/>
      <c r="N140" s="60" t="n"/>
      <c r="O140" s="60" t="n"/>
      <c r="P140" s="60" t="n"/>
      <c r="Q140" s="60" t="n"/>
      <c r="R140" s="60" t="n"/>
      <c r="S140" s="60" t="n"/>
      <c r="T140" s="60" t="n"/>
      <c r="U140" s="60" t="n"/>
      <c r="V140" s="60" t="n"/>
      <c r="W140" s="60" t="n"/>
      <c r="X140" s="60" t="n"/>
      <c r="Y140" s="60" t="n"/>
      <c r="Z140" s="60" t="n"/>
      <c r="AA140" s="60" t="n">
        <v>1</v>
      </c>
      <c r="AB140" s="60" t="n"/>
      <c r="AC140" s="60" t="n"/>
      <c r="AD140" s="60" t="n"/>
      <c r="AE140" s="60" t="n"/>
      <c r="AF140" s="60" t="n"/>
      <c r="AG140" s="60" t="n"/>
      <c r="AH140" s="60" t="n"/>
      <c r="AI140" s="60" t="n"/>
      <c r="AJ140" s="60" t="n"/>
      <c r="AK140" s="120">
        <f>IF(L140&gt;0,L140*90.44,0)+IF(M140&gt;0,M140*348.12,0)+IF(N140&gt;0,N140*151.63,0)+IF(O140&gt;0,O140*197.82,0)+IF(P140&gt;0,P140*244.09,0)+IF(Q140&gt;0,Q140*315.35,0)+IF(R140&gt;0,R140*1067.3,0)+IF(T140&gt;0,T140*567.47,0)+IF(U140&gt;0,U140*151.63,0)+IF(V140&gt;0,V140*197.84,0)+IF(W140&gt;0,W140*470.51,0)+IF(X140&gt;0,X140*701.69,0)+IF(Z140&gt;0,Z140*151.63,0)+IF(AA140&gt;0,AA140*197.84)+IF(AB140&gt;0,AB140*308.4,0)+IF(AC140&gt;0,AC140*496.16,0)</f>
        <v/>
      </c>
    </row>
    <row r="141" hidden="1">
      <c r="A141" s="58" t="n"/>
      <c r="B141" s="59">
        <f>IF(H141&lt;$B$1,"VENCIDO","NA VALIDADE")</f>
        <v/>
      </c>
      <c r="C141" s="60" t="inlineStr">
        <is>
          <t>ESTAÇÃO REP</t>
        </is>
      </c>
      <c r="D141" s="61" t="inlineStr">
        <is>
          <t>ESTAÇÃO REPETIDORA BUERAREMA</t>
        </is>
      </c>
      <c r="E141" s="62" t="inlineStr">
        <is>
          <t>BUERAREMA</t>
        </is>
      </c>
      <c r="F141" s="61" t="inlineStr">
        <is>
          <t>ILHÉUS</t>
        </is>
      </c>
      <c r="G141" s="60" t="inlineStr">
        <is>
          <t>BA</t>
        </is>
      </c>
      <c r="H141" s="119" t="n">
        <v>45597</v>
      </c>
      <c r="I141" s="119">
        <f>H141-180</f>
        <v/>
      </c>
      <c r="J141" s="60">
        <f>SUM(L141:AE141)</f>
        <v/>
      </c>
      <c r="K141" s="60">
        <f>SUM(AF141:AJ141)</f>
        <v/>
      </c>
      <c r="L141" s="60" t="n"/>
      <c r="M141" s="60" t="n"/>
      <c r="N141" s="60" t="n"/>
      <c r="O141" s="60" t="n"/>
      <c r="P141" s="60" t="n"/>
      <c r="Q141" s="60" t="n"/>
      <c r="R141" s="60" t="n"/>
      <c r="S141" s="60" t="n"/>
      <c r="T141" s="60" t="n"/>
      <c r="U141" s="60" t="n"/>
      <c r="V141" s="60" t="n"/>
      <c r="W141" s="60" t="n"/>
      <c r="X141" s="60" t="n"/>
      <c r="Y141" s="60" t="n"/>
      <c r="Z141" s="60" t="n"/>
      <c r="AA141" s="60" t="n">
        <v>1</v>
      </c>
      <c r="AB141" s="60" t="n"/>
      <c r="AC141" s="60" t="n"/>
      <c r="AD141" s="60" t="n"/>
      <c r="AE141" s="60" t="n"/>
      <c r="AF141" s="60" t="n"/>
      <c r="AG141" s="60" t="n"/>
      <c r="AH141" s="60" t="n"/>
      <c r="AI141" s="60" t="n"/>
      <c r="AJ141" s="60" t="n"/>
      <c r="AK141" s="120">
        <f>IF(L141&gt;0,L141*90.44,0)+IF(M141&gt;0,M141*348.12,0)+IF(N141&gt;0,N141*151.63,0)+IF(O141&gt;0,O141*197.82,0)+IF(P141&gt;0,P141*244.09,0)+IF(Q141&gt;0,Q141*315.35,0)+IF(R141&gt;0,R141*1067.3,0)+IF(T141&gt;0,T141*567.47,0)+IF(U141&gt;0,U141*151.63,0)+IF(V141&gt;0,V141*197.84,0)+IF(W141&gt;0,W141*470.51,0)+IF(X141&gt;0,X141*701.69,0)+IF(Z141&gt;0,Z141*151.63,0)+IF(AA141&gt;0,AA141*197.84)+IF(AB141&gt;0,AB141*308.4,0)+IF(AC141&gt;0,AC141*496.16,0)</f>
        <v/>
      </c>
    </row>
    <row r="142">
      <c r="A142" s="58" t="inlineStr">
        <is>
          <t>SIM</t>
        </is>
      </c>
      <c r="B142" s="59">
        <f>IF(H142&lt;$B$1,"VENCIDO","NA VALIDADE")</f>
        <v/>
      </c>
      <c r="C142" s="60" t="inlineStr">
        <is>
          <t>ESTAÇÃO REP</t>
        </is>
      </c>
      <c r="D142" s="61" t="inlineStr">
        <is>
          <t>ESTAÇÃO REPETIDORA CABULA</t>
        </is>
      </c>
      <c r="E142" s="62" t="inlineStr">
        <is>
          <t>SALVADOR</t>
        </is>
      </c>
      <c r="F142" s="61" t="inlineStr">
        <is>
          <t>FEIRA DE  SANTANA</t>
        </is>
      </c>
      <c r="G142" s="60" t="inlineStr">
        <is>
          <t>BA</t>
        </is>
      </c>
      <c r="H142" s="119" t="n">
        <v>45566</v>
      </c>
      <c r="I142" s="119">
        <f>H142-180</f>
        <v/>
      </c>
      <c r="J142" s="60">
        <f>SUM(L142:AE142)</f>
        <v/>
      </c>
      <c r="K142" s="60">
        <f>SUM(AF142:AJ142)</f>
        <v/>
      </c>
      <c r="L142" s="60" t="n"/>
      <c r="M142" s="60" t="n"/>
      <c r="N142" s="60" t="n"/>
      <c r="O142" s="60" t="n"/>
      <c r="P142" s="60" t="n"/>
      <c r="Q142" s="60" t="n"/>
      <c r="R142" s="60" t="n"/>
      <c r="S142" s="60" t="n"/>
      <c r="T142" s="60" t="n"/>
      <c r="U142" s="60" t="n"/>
      <c r="V142" s="60" t="n"/>
      <c r="W142" s="60" t="n"/>
      <c r="X142" s="60" t="n"/>
      <c r="Y142" s="60" t="n"/>
      <c r="Z142" s="60" t="n"/>
      <c r="AA142" s="60" t="n">
        <v>1</v>
      </c>
      <c r="AB142" s="60" t="n"/>
      <c r="AC142" s="60" t="n"/>
      <c r="AD142" s="60" t="n"/>
      <c r="AE142" s="60" t="n"/>
      <c r="AF142" s="60" t="n"/>
      <c r="AG142" s="60" t="n"/>
      <c r="AH142" s="60" t="n"/>
      <c r="AI142" s="60" t="n"/>
      <c r="AJ142" s="60" t="n"/>
      <c r="AK142" s="120">
        <f>IF(L142&gt;0,L142*90.44,0)+IF(M142&gt;0,M142*348.12,0)+IF(N142&gt;0,N142*151.63,0)+IF(O142&gt;0,O142*197.82,0)+IF(P142&gt;0,P142*244.09,0)+IF(Q142&gt;0,Q142*315.35,0)+IF(R142&gt;0,R142*1067.3,0)+IF(T142&gt;0,T142*567.47,0)+IF(U142&gt;0,U142*151.63,0)+IF(V142&gt;0,V142*197.84,0)+IF(W142&gt;0,W142*470.51,0)+IF(X142&gt;0,X142*701.69,0)+IF(Z142&gt;0,Z142*151.63,0)+IF(AA142&gt;0,AA142*197.84)+IF(AB142&gt;0,AB142*308.4,0)+IF(AC142&gt;0,AC142*496.16,0)</f>
        <v/>
      </c>
    </row>
    <row r="143">
      <c r="A143" s="58" t="inlineStr">
        <is>
          <t>rota</t>
        </is>
      </c>
      <c r="B143" s="59">
        <f>IF(H143&lt;$B$1,"VENCIDO","NA VALIDADE")</f>
        <v/>
      </c>
      <c r="C143" s="60" t="inlineStr">
        <is>
          <t>ESTAÇÃO REP</t>
        </is>
      </c>
      <c r="D143" s="61" t="inlineStr">
        <is>
          <t>ESTAÇÃO REPETIDORA CANAL</t>
        </is>
      </c>
      <c r="E143" s="62" t="inlineStr">
        <is>
          <t>MACAJUBA</t>
        </is>
      </c>
      <c r="F143" s="61" t="inlineStr">
        <is>
          <t>FEIRA DE  SANTANA</t>
        </is>
      </c>
      <c r="G143" s="60" t="inlineStr">
        <is>
          <t>BA</t>
        </is>
      </c>
      <c r="H143" s="119" t="n">
        <v>45292</v>
      </c>
      <c r="I143" s="119">
        <f>H143-180</f>
        <v/>
      </c>
      <c r="J143" s="60">
        <f>SUM(L143:AE143)</f>
        <v/>
      </c>
      <c r="K143" s="60">
        <f>SUM(AF143:AJ143)</f>
        <v/>
      </c>
      <c r="L143" s="60" t="n"/>
      <c r="M143" s="60" t="n"/>
      <c r="N143" s="60" t="n"/>
      <c r="O143" s="60" t="n">
        <v>1</v>
      </c>
      <c r="P143" s="60" t="n"/>
      <c r="Q143" s="60" t="n"/>
      <c r="R143" s="60" t="n"/>
      <c r="S143" s="60" t="n"/>
      <c r="T143" s="60" t="n"/>
      <c r="U143" s="60" t="n"/>
      <c r="V143" s="60" t="n"/>
      <c r="W143" s="60" t="n"/>
      <c r="X143" s="60" t="n"/>
      <c r="Y143" s="60" t="n"/>
      <c r="Z143" s="60" t="n"/>
      <c r="AA143" s="60" t="n"/>
      <c r="AB143" s="60" t="n"/>
      <c r="AC143" s="60" t="n"/>
      <c r="AD143" s="60" t="n"/>
      <c r="AE143" s="60" t="n"/>
      <c r="AF143" s="60" t="n"/>
      <c r="AG143" s="60" t="n"/>
      <c r="AH143" s="60" t="n"/>
      <c r="AI143" s="60" t="n"/>
      <c r="AJ143" s="60" t="n"/>
      <c r="AK143" s="120">
        <f>IF(L143&gt;0,L143*90.44,0)+IF(M143&gt;0,M143*348.12,0)+IF(N143&gt;0,N143*151.63,0)+IF(O143&gt;0,O143*197.82,0)+IF(P143&gt;0,P143*244.09,0)+IF(Q143&gt;0,Q143*315.35,0)+IF(R143&gt;0,R143*1067.3,0)+IF(T143&gt;0,T143*567.47,0)+IF(U143&gt;0,U143*151.63,0)+IF(V143&gt;0,V143*197.84,0)+IF(W143&gt;0,W143*470.51,0)+IF(X143&gt;0,X143*701.69,0)+IF(Z143&gt;0,Z143*151.63,0)+IF(AA143&gt;0,AA143*197.84)+IF(AB143&gt;0,AB143*308.4,0)+IF(AC143&gt;0,AC143*496.16,0)</f>
        <v/>
      </c>
    </row>
    <row r="144">
      <c r="A144" s="58" t="inlineStr">
        <is>
          <t>SIM</t>
        </is>
      </c>
      <c r="B144" s="59">
        <f>IF(H144&lt;$B$1,"VENCIDO","NA VALIDADE")</f>
        <v/>
      </c>
      <c r="C144" s="60" t="inlineStr">
        <is>
          <t>ESTAÇÃO REP</t>
        </is>
      </c>
      <c r="D144" s="61" t="inlineStr">
        <is>
          <t>ESTAÇÃO REPETIDORA CORAÇÃO DE MARIA</t>
        </is>
      </c>
      <c r="E144" s="62" t="inlineStr">
        <is>
          <t>CORAÇÃO DE MARIA</t>
        </is>
      </c>
      <c r="F144" s="61" t="inlineStr">
        <is>
          <t>FEIRA DE  SANTANA</t>
        </is>
      </c>
      <c r="G144" s="60" t="inlineStr">
        <is>
          <t>BA</t>
        </is>
      </c>
      <c r="H144" s="119" t="n">
        <v>45505</v>
      </c>
      <c r="I144" s="119">
        <f>H144-180</f>
        <v/>
      </c>
      <c r="J144" s="60">
        <f>SUM(L144:AE144)</f>
        <v/>
      </c>
      <c r="K144" s="60">
        <f>SUM(AF144:AJ144)</f>
        <v/>
      </c>
      <c r="L144" s="60" t="n"/>
      <c r="M144" s="60" t="n"/>
      <c r="N144" s="60" t="n"/>
      <c r="O144" s="60" t="n">
        <v>1</v>
      </c>
      <c r="P144" s="60" t="n"/>
      <c r="Q144" s="60" t="n"/>
      <c r="R144" s="60" t="n"/>
      <c r="S144" s="60" t="n"/>
      <c r="T144" s="60" t="n"/>
      <c r="U144" s="60" t="n"/>
      <c r="V144" s="60" t="n"/>
      <c r="W144" s="60" t="n"/>
      <c r="X144" s="60" t="n"/>
      <c r="Y144" s="60" t="n"/>
      <c r="Z144" s="60" t="n"/>
      <c r="AA144" s="60" t="n"/>
      <c r="AB144" s="60" t="n"/>
      <c r="AC144" s="60" t="n"/>
      <c r="AD144" s="60" t="n"/>
      <c r="AE144" s="60" t="n"/>
      <c r="AF144" s="60" t="n"/>
      <c r="AG144" s="60" t="n"/>
      <c r="AH144" s="60" t="n"/>
      <c r="AI144" s="60" t="n"/>
      <c r="AJ144" s="60" t="n"/>
      <c r="AK144" s="120">
        <f>IF(L144&gt;0,L144*90.44,0)+IF(M144&gt;0,M144*348.12,0)+IF(N144&gt;0,N144*151.63,0)+IF(O144&gt;0,O144*197.82,0)+IF(P144&gt;0,P144*244.09,0)+IF(Q144&gt;0,Q144*315.35,0)+IF(R144&gt;0,R144*1067.3,0)+IF(T144&gt;0,T144*567.47,0)+IF(U144&gt;0,U144*151.63,0)+IF(V144&gt;0,V144*197.84,0)+IF(W144&gt;0,W144*470.51,0)+IF(X144&gt;0,X144*701.69,0)+IF(Z144&gt;0,Z144*151.63,0)+IF(AA144&gt;0,AA144*197.84)+IF(AB144&gt;0,AB144*308.4,0)+IF(AC144&gt;0,AC144*496.16,0)</f>
        <v/>
      </c>
    </row>
    <row r="145" hidden="1">
      <c r="A145" s="58" t="inlineStr">
        <is>
          <t>SIM</t>
        </is>
      </c>
      <c r="B145" s="59">
        <f>IF(H145&lt;$B$1,"VENCIDO","NA VALIDADE")</f>
        <v/>
      </c>
      <c r="C145" s="60" t="inlineStr">
        <is>
          <t>ESTAÇÃO REP</t>
        </is>
      </c>
      <c r="D145" s="61" t="inlineStr">
        <is>
          <t>ESTAÇÃO REPETIDORA CORRENTINA</t>
        </is>
      </c>
      <c r="E145" s="62" t="inlineStr">
        <is>
          <t>CORRENTINA</t>
        </is>
      </c>
      <c r="F145" s="61" t="inlineStr">
        <is>
          <t>VITÓRIA DA CONQUISTA</t>
        </is>
      </c>
      <c r="G145" s="60" t="inlineStr">
        <is>
          <t>BA</t>
        </is>
      </c>
      <c r="H145" s="119" t="n">
        <v>45536</v>
      </c>
      <c r="I145" s="119">
        <f>H145-180</f>
        <v/>
      </c>
      <c r="J145" s="60">
        <f>SUM(L145:AE145)</f>
        <v/>
      </c>
      <c r="K145" s="60">
        <f>SUM(AF145:AJ145)</f>
        <v/>
      </c>
      <c r="L145" s="60" t="n"/>
      <c r="M145" s="60" t="n"/>
      <c r="N145" s="60" t="n"/>
      <c r="O145" s="60" t="n"/>
      <c r="P145" s="60" t="n"/>
      <c r="Q145" s="60" t="n"/>
      <c r="R145" s="60" t="n"/>
      <c r="S145" s="60" t="n"/>
      <c r="T145" s="60" t="n"/>
      <c r="U145" s="60" t="n"/>
      <c r="V145" s="60" t="n"/>
      <c r="W145" s="60" t="n"/>
      <c r="X145" s="60" t="n"/>
      <c r="Y145" s="60" t="n"/>
      <c r="Z145" s="60" t="n"/>
      <c r="AA145" s="60" t="n">
        <v>1</v>
      </c>
      <c r="AB145" s="60" t="n"/>
      <c r="AC145" s="60" t="n"/>
      <c r="AD145" s="60" t="n"/>
      <c r="AE145" s="60" t="n"/>
      <c r="AF145" s="60" t="n"/>
      <c r="AG145" s="60" t="n"/>
      <c r="AH145" s="60" t="n"/>
      <c r="AI145" s="60" t="n"/>
      <c r="AJ145" s="60" t="n"/>
      <c r="AK145" s="120">
        <f>IF(L145&gt;0,L145*90.44,0)+IF(M145&gt;0,M145*348.12,0)+IF(N145&gt;0,N145*151.63,0)+IF(O145&gt;0,O145*197.82,0)+IF(P145&gt;0,P145*244.09,0)+IF(Q145&gt;0,Q145*315.35,0)+IF(R145&gt;0,R145*1067.3,0)+IF(T145&gt;0,T145*567.47,0)+IF(U145&gt;0,U145*151.63,0)+IF(V145&gt;0,V145*197.84,0)+IF(W145&gt;0,W145*470.51,0)+IF(X145&gt;0,X145*701.69,0)+IF(Z145&gt;0,Z145*151.63,0)+IF(AA145&gt;0,AA145*197.84)+IF(AB145&gt;0,AB145*308.4,0)+IF(AC145&gt;0,AC145*496.16,0)</f>
        <v/>
      </c>
    </row>
    <row r="146" hidden="1">
      <c r="A146" s="58" t="inlineStr">
        <is>
          <t>SIM</t>
        </is>
      </c>
      <c r="B146" s="59">
        <f>IF(H146&lt;$B$1,"VENCIDO","NA VALIDADE")</f>
        <v/>
      </c>
      <c r="C146" s="60" t="inlineStr">
        <is>
          <t>ESTAÇÃO REP</t>
        </is>
      </c>
      <c r="D146" s="61" t="inlineStr">
        <is>
          <t>ESTAÇÃO REPETIDORA ENCRUZILHADA</t>
        </is>
      </c>
      <c r="E146" s="62" t="inlineStr">
        <is>
          <t>ENCRUZILHADA</t>
        </is>
      </c>
      <c r="F146" s="61" t="inlineStr">
        <is>
          <t>VITÓRIA DA CONQUISTA</t>
        </is>
      </c>
      <c r="G146" s="60" t="inlineStr">
        <is>
          <t>BA</t>
        </is>
      </c>
      <c r="H146" s="119" t="n">
        <v>45536</v>
      </c>
      <c r="I146" s="119">
        <f>H146-180</f>
        <v/>
      </c>
      <c r="J146" s="60">
        <f>SUM(L146:AE146)</f>
        <v/>
      </c>
      <c r="K146" s="60">
        <f>SUM(AF146:AJ146)</f>
        <v/>
      </c>
      <c r="L146" s="60" t="n"/>
      <c r="M146" s="60" t="n"/>
      <c r="N146" s="60" t="n"/>
      <c r="O146" s="60" t="n"/>
      <c r="P146" s="60" t="n"/>
      <c r="Q146" s="60" t="n"/>
      <c r="R146" s="60" t="n"/>
      <c r="S146" s="60" t="n"/>
      <c r="T146" s="60" t="n"/>
      <c r="U146" s="60" t="n"/>
      <c r="V146" s="60" t="n"/>
      <c r="W146" s="60" t="n"/>
      <c r="X146" s="60" t="n"/>
      <c r="Y146" s="60" t="n"/>
      <c r="Z146" s="60" t="n"/>
      <c r="AA146" s="60" t="n">
        <v>1</v>
      </c>
      <c r="AB146" s="60" t="n"/>
      <c r="AC146" s="60" t="n"/>
      <c r="AD146" s="60" t="n"/>
      <c r="AE146" s="60" t="n"/>
      <c r="AF146" s="60" t="n"/>
      <c r="AG146" s="60" t="n"/>
      <c r="AH146" s="60" t="n"/>
      <c r="AI146" s="60" t="n"/>
      <c r="AJ146" s="60" t="n"/>
      <c r="AK146" s="120">
        <f>IF(L146&gt;0,L146*90.44,0)+IF(M146&gt;0,M146*348.12,0)+IF(N146&gt;0,N146*151.63,0)+IF(O146&gt;0,O146*197.82,0)+IF(P146&gt;0,P146*244.09,0)+IF(Q146&gt;0,Q146*315.35,0)+IF(R146&gt;0,R146*1067.3,0)+IF(T146&gt;0,T146*567.47,0)+IF(U146&gt;0,U146*151.63,0)+IF(V146&gt;0,V146*197.84,0)+IF(W146&gt;0,W146*470.51,0)+IF(X146&gt;0,X146*701.69,0)+IF(Z146&gt;0,Z146*151.63,0)+IF(AA146&gt;0,AA146*197.84)+IF(AB146&gt;0,AB146*308.4,0)+IF(AC146&gt;0,AC146*496.16,0)</f>
        <v/>
      </c>
    </row>
    <row r="147" hidden="1">
      <c r="A147" s="58" t="inlineStr">
        <is>
          <t>SIM</t>
        </is>
      </c>
      <c r="B147" s="59">
        <f>IF(H147&lt;$B$1,"VENCIDO","NA VALIDADE")</f>
        <v/>
      </c>
      <c r="C147" s="60" t="inlineStr">
        <is>
          <t>ESTAÇÃO REP</t>
        </is>
      </c>
      <c r="D147" s="61" t="inlineStr">
        <is>
          <t>ESTAÇÃO REPETIDORA POÇOES</t>
        </is>
      </c>
      <c r="E147" s="62" t="inlineStr">
        <is>
          <t>POÇOÊS</t>
        </is>
      </c>
      <c r="F147" s="61" t="inlineStr">
        <is>
          <t>VITÓRIA DA CONQUISTA</t>
        </is>
      </c>
      <c r="G147" s="60" t="inlineStr">
        <is>
          <t>BA</t>
        </is>
      </c>
      <c r="H147" s="119" t="n">
        <v>45444</v>
      </c>
      <c r="I147" s="119" t="n">
        <v>45444</v>
      </c>
      <c r="J147" s="60">
        <f>SUM(L147:AE147)</f>
        <v/>
      </c>
      <c r="K147" s="60">
        <f>SUM(AF147:AJ147)</f>
        <v/>
      </c>
      <c r="L147" s="60" t="n"/>
      <c r="M147" s="60" t="n"/>
      <c r="N147" s="60" t="n"/>
      <c r="O147" s="60" t="n"/>
      <c r="P147" s="60" t="n"/>
      <c r="Q147" s="60" t="n"/>
      <c r="R147" s="60" t="n"/>
      <c r="S147" s="60" t="n"/>
      <c r="T147" s="60" t="n"/>
      <c r="U147" s="60" t="n"/>
      <c r="V147" s="60" t="n"/>
      <c r="W147" s="60" t="n"/>
      <c r="X147" s="60" t="n"/>
      <c r="Y147" s="60" t="n"/>
      <c r="Z147" s="60" t="n"/>
      <c r="AA147" s="60" t="n">
        <v>1</v>
      </c>
      <c r="AB147" s="60" t="n"/>
      <c r="AC147" s="60" t="n"/>
      <c r="AD147" s="60" t="n"/>
      <c r="AE147" s="60" t="n"/>
      <c r="AF147" s="60" t="n"/>
      <c r="AG147" s="60" t="n"/>
      <c r="AH147" s="60" t="n"/>
      <c r="AI147" s="60" t="n"/>
      <c r="AJ147" s="60" t="n"/>
      <c r="AK147" s="120">
        <f>IF(L147&gt;0,L147*90.44,0)+IF(M147&gt;0,M147*348.12,0)+IF(N147&gt;0,N147*151.63,0)+IF(O147&gt;0,O147*197.82,0)+IF(P147&gt;0,P147*244.09,0)+IF(Q147&gt;0,Q147*315.35,0)+IF(R147&gt;0,R147*1067.3,0)+IF(T147&gt;0,T147*567.47,0)+IF(U147&gt;0,U147*151.63,0)+IF(V147&gt;0,V147*197.84,0)+IF(W147&gt;0,W147*470.51,0)+IF(X147&gt;0,X147*701.69,0)+IF(Z147&gt;0,Z147*151.63,0)+IF(AA147&gt;0,AA147*197.84)+IF(AB147&gt;0,AB147*308.4,0)+IF(AC147&gt;0,AC147*496.16,0)</f>
        <v/>
      </c>
    </row>
    <row r="148" hidden="1">
      <c r="A148" s="58" t="inlineStr">
        <is>
          <t>SIM</t>
        </is>
      </c>
      <c r="B148" s="59">
        <f>IF(H148&lt;$B$1,"VENCIDO","NA VALIDADE")</f>
        <v/>
      </c>
      <c r="C148" s="60" t="inlineStr">
        <is>
          <t>ESTAÇÃO REP</t>
        </is>
      </c>
      <c r="D148" s="61" t="inlineStr">
        <is>
          <t>ESTAÇÃO REPETIDORA FLORESTA AZUL</t>
        </is>
      </c>
      <c r="E148" s="62" t="inlineStr">
        <is>
          <t>FLORESTA AZUL</t>
        </is>
      </c>
      <c r="F148" s="61" t="inlineStr">
        <is>
          <t>ILHÉUS</t>
        </is>
      </c>
      <c r="G148" s="60" t="inlineStr">
        <is>
          <t>BA</t>
        </is>
      </c>
      <c r="H148" s="119" t="n">
        <v>45597</v>
      </c>
      <c r="I148" s="119">
        <f>H148-180</f>
        <v/>
      </c>
      <c r="J148" s="60">
        <f>SUM(L148:AE148)</f>
        <v/>
      </c>
      <c r="K148" s="60">
        <f>SUM(AF148:AJ148)</f>
        <v/>
      </c>
      <c r="L148" s="60" t="n"/>
      <c r="M148" s="60" t="n"/>
      <c r="N148" s="60" t="n"/>
      <c r="O148" s="60" t="n"/>
      <c r="P148" s="60" t="n"/>
      <c r="Q148" s="60" t="n"/>
      <c r="R148" s="60" t="n"/>
      <c r="S148" s="60" t="n"/>
      <c r="T148" s="60" t="n"/>
      <c r="U148" s="60" t="n"/>
      <c r="V148" s="60" t="n"/>
      <c r="W148" s="60" t="n"/>
      <c r="X148" s="60" t="n"/>
      <c r="Y148" s="60" t="n"/>
      <c r="Z148" s="60" t="n"/>
      <c r="AA148" s="60" t="n">
        <v>1</v>
      </c>
      <c r="AB148" s="60" t="n"/>
      <c r="AC148" s="60" t="n"/>
      <c r="AD148" s="60" t="n"/>
      <c r="AE148" s="60" t="n"/>
      <c r="AF148" s="60" t="n"/>
      <c r="AG148" s="60" t="n"/>
      <c r="AH148" s="60" t="n"/>
      <c r="AI148" s="60" t="n"/>
      <c r="AJ148" s="60" t="n"/>
      <c r="AK148" s="120">
        <f>IF(L148&gt;0,L148*90.44,0)+IF(M148&gt;0,M148*348.12,0)+IF(N148&gt;0,N148*151.63,0)+IF(O148&gt;0,O148*197.82,0)+IF(P148&gt;0,P148*244.09,0)+IF(Q148&gt;0,Q148*315.35,0)+IF(R148&gt;0,R148*1067.3,0)+IF(T148&gt;0,T148*567.47,0)+IF(U148&gt;0,U148*151.63,0)+IF(V148&gt;0,V148*197.84,0)+IF(W148&gt;0,W148*470.51,0)+IF(X148&gt;0,X148*701.69,0)+IF(Z148&gt;0,Z148*151.63,0)+IF(AA148&gt;0,AA148*197.84)+IF(AB148&gt;0,AB148*308.4,0)+IF(AC148&gt;0,AC148*496.16,0)</f>
        <v/>
      </c>
    </row>
    <row r="149" hidden="1">
      <c r="A149" s="58" t="inlineStr">
        <is>
          <t>SIM</t>
        </is>
      </c>
      <c r="B149" s="59">
        <f>IF(H149&lt;$B$1,"VENCIDO","NA VALIDADE")</f>
        <v/>
      </c>
      <c r="C149" s="60" t="inlineStr">
        <is>
          <t>ESTAÇÃO REP</t>
        </is>
      </c>
      <c r="D149" s="61" t="inlineStr">
        <is>
          <t>ESTAÇÃO REPETIDORA GMT VITÓRIA DA CONQUISTA</t>
        </is>
      </c>
      <c r="E149" s="62" t="inlineStr">
        <is>
          <t>VITÓRIA DA CONQUISTA</t>
        </is>
      </c>
      <c r="F149" s="61" t="inlineStr">
        <is>
          <t>VITÓRIA DA CONQUISTA</t>
        </is>
      </c>
      <c r="G149" s="60" t="inlineStr">
        <is>
          <t>BA</t>
        </is>
      </c>
      <c r="H149" s="119" t="n">
        <v>45444</v>
      </c>
      <c r="I149" s="119" t="n">
        <v>45444</v>
      </c>
      <c r="J149" s="60">
        <f>SUM(L149:AE149)</f>
        <v/>
      </c>
      <c r="K149" s="60">
        <f>SUM(AF149:AJ149)</f>
        <v/>
      </c>
      <c r="L149" s="60" t="n"/>
      <c r="M149" s="60" t="n"/>
      <c r="N149" s="60" t="n"/>
      <c r="O149" s="60" t="n"/>
      <c r="P149" s="60" t="n"/>
      <c r="Q149" s="60" t="n"/>
      <c r="R149" s="60" t="n"/>
      <c r="S149" s="60" t="n"/>
      <c r="T149" s="60" t="n"/>
      <c r="U149" s="60" t="n"/>
      <c r="V149" s="60" t="n"/>
      <c r="W149" s="60" t="n"/>
      <c r="X149" s="60" t="n"/>
      <c r="Y149" s="60" t="n"/>
      <c r="Z149" s="60" t="n"/>
      <c r="AA149" s="60" t="n">
        <v>1</v>
      </c>
      <c r="AB149" s="60" t="n"/>
      <c r="AC149" s="60" t="n"/>
      <c r="AD149" s="60" t="n"/>
      <c r="AE149" s="60" t="n"/>
      <c r="AF149" s="60" t="n"/>
      <c r="AG149" s="60" t="n"/>
      <c r="AH149" s="60" t="n"/>
      <c r="AI149" s="60" t="n"/>
      <c r="AJ149" s="60" t="n"/>
      <c r="AK149" s="120">
        <f>IF(L149&gt;0,L149*90.44,0)+IF(M149&gt;0,M149*348.12,0)+IF(N149&gt;0,N149*151.63,0)+IF(O149&gt;0,O149*197.82,0)+IF(P149&gt;0,P149*244.09,0)+IF(Q149&gt;0,Q149*315.35,0)+IF(R149&gt;0,R149*1067.3,0)+IF(T149&gt;0,T149*567.47,0)+IF(U149&gt;0,U149*151.63,0)+IF(V149&gt;0,V149*197.84,0)+IF(W149&gt;0,W149*470.51,0)+IF(X149&gt;0,X149*701.69,0)+IF(Z149&gt;0,Z149*151.63,0)+IF(AA149&gt;0,AA149*197.84)+IF(AB149&gt;0,AB149*308.4,0)+IF(AC149&gt;0,AC149*496.16,0)</f>
        <v/>
      </c>
    </row>
    <row r="150">
      <c r="A150" s="58" t="inlineStr">
        <is>
          <t>SIM</t>
        </is>
      </c>
      <c r="B150" s="59">
        <f>IF(H150&lt;$B$1,"VENCIDO","NA VALIDADE")</f>
        <v/>
      </c>
      <c r="C150" s="60" t="inlineStr">
        <is>
          <t>ESTAÇÃO REP</t>
        </is>
      </c>
      <c r="D150" s="61" t="inlineStr">
        <is>
          <t>ESTAÇÃO REPETIDORA IBIQUERA</t>
        </is>
      </c>
      <c r="E150" s="62" t="inlineStr">
        <is>
          <t>IBIQUERA</t>
        </is>
      </c>
      <c r="F150" s="61" t="inlineStr">
        <is>
          <t>FEIRA DE  SANTANA</t>
        </is>
      </c>
      <c r="G150" s="60" t="inlineStr">
        <is>
          <t>BA</t>
        </is>
      </c>
      <c r="H150" s="119" t="n">
        <v>45474</v>
      </c>
      <c r="I150" s="119">
        <f>H150-180</f>
        <v/>
      </c>
      <c r="J150" s="60" t="n">
        <v>1</v>
      </c>
      <c r="K150" s="60">
        <f>SUM(AF150:AJ150)</f>
        <v/>
      </c>
      <c r="L150" s="60" t="n"/>
      <c r="M150" s="60" t="n"/>
      <c r="N150" s="60" t="n"/>
      <c r="O150" s="60" t="n"/>
      <c r="P150" s="60" t="n"/>
      <c r="Q150" s="60" t="n"/>
      <c r="R150" s="60" t="n"/>
      <c r="S150" s="60" t="n"/>
      <c r="T150" s="60" t="n"/>
      <c r="U150" s="60" t="n"/>
      <c r="V150" s="60" t="n"/>
      <c r="W150" s="60" t="n"/>
      <c r="X150" s="60" t="n"/>
      <c r="Y150" s="60" t="n"/>
      <c r="Z150" s="60" t="n"/>
      <c r="AA150" s="60" t="n">
        <v>1</v>
      </c>
      <c r="AB150" s="60" t="n"/>
      <c r="AC150" s="60" t="n"/>
      <c r="AD150" s="60" t="n"/>
      <c r="AE150" s="60" t="n"/>
      <c r="AF150" s="60" t="n"/>
      <c r="AG150" s="60" t="n"/>
      <c r="AH150" s="60" t="n"/>
      <c r="AI150" s="60" t="n"/>
      <c r="AJ150" s="60" t="n"/>
      <c r="AK150" s="120">
        <f>IF(L150&gt;0,L150*90.44,0)+IF(M150&gt;0,M150*348.12,0)+IF(N150&gt;0,N150*151.63,0)+IF(O150&gt;0,O150*197.82,0)+IF(P150&gt;0,P150*244.09,0)+IF(Q150&gt;0,Q150*315.35,0)+IF(R150&gt;0,R150*1067.3,0)+IF(T150&gt;0,T150*567.47,0)+IF(U150&gt;0,U150*151.63,0)+IF(V150&gt;0,V150*197.84,0)+IF(W150&gt;0,W150*470.51,0)+IF(X150&gt;0,X150*701.69,0)+IF(Z150&gt;0,Z150*151.63,0)+IF(AA150&gt;0,AA150*197.84)+IF(AB150&gt;0,AB150*308.4,0)+IF(AC150&gt;0,AC150*496.16,0)</f>
        <v/>
      </c>
    </row>
    <row r="151">
      <c r="A151" s="58" t="inlineStr">
        <is>
          <t>SIM</t>
        </is>
      </c>
      <c r="B151" s="59">
        <f>IF(H151&lt;$B$1,"VENCIDO","NA VALIDADE")</f>
        <v/>
      </c>
      <c r="C151" s="60" t="inlineStr">
        <is>
          <t>ESTAÇÃO REP</t>
        </is>
      </c>
      <c r="D151" s="61" t="inlineStr">
        <is>
          <t>ESTAÇÃO REPETIDORA ITABERABA</t>
        </is>
      </c>
      <c r="E151" s="62" t="inlineStr">
        <is>
          <t>ITABERABA</t>
        </is>
      </c>
      <c r="F151" s="61" t="inlineStr">
        <is>
          <t>FEIRA DE  SANTANA</t>
        </is>
      </c>
      <c r="G151" s="60" t="inlineStr">
        <is>
          <t>BA</t>
        </is>
      </c>
      <c r="H151" s="119" t="n">
        <v>45566</v>
      </c>
      <c r="I151" s="119">
        <f>H151-180</f>
        <v/>
      </c>
      <c r="J151" s="60">
        <f>SUM(L151:AE151)</f>
        <v/>
      </c>
      <c r="K151" s="60">
        <f>SUM(AF151:AJ151)</f>
        <v/>
      </c>
      <c r="L151" s="60" t="n"/>
      <c r="M151" s="60" t="n"/>
      <c r="N151" s="60" t="n"/>
      <c r="O151" s="60" t="n">
        <v>1</v>
      </c>
      <c r="P151" s="60" t="n"/>
      <c r="Q151" s="60" t="n"/>
      <c r="R151" s="60" t="n"/>
      <c r="S151" s="60" t="n"/>
      <c r="T151" s="60" t="n"/>
      <c r="U151" s="60" t="n"/>
      <c r="V151" s="60" t="n"/>
      <c r="W151" s="60" t="n"/>
      <c r="X151" s="60" t="n"/>
      <c r="Y151" s="60" t="n"/>
      <c r="Z151" s="60" t="n"/>
      <c r="AA151" s="60" t="n"/>
      <c r="AB151" s="60" t="n"/>
      <c r="AC151" s="60" t="n"/>
      <c r="AD151" s="60" t="n"/>
      <c r="AE151" s="60" t="n"/>
      <c r="AF151" s="60" t="n"/>
      <c r="AG151" s="60" t="n"/>
      <c r="AH151" s="60" t="n"/>
      <c r="AI151" s="60" t="n"/>
      <c r="AJ151" s="60" t="n"/>
      <c r="AK151" s="120">
        <f>IF(L151&gt;0,L151*90.44,0)+IF(M151&gt;0,M151*348.12,0)+IF(N151&gt;0,N151*151.63,0)+IF(O151&gt;0,O151*197.82,0)+IF(P151&gt;0,P151*244.09,0)+IF(Q151&gt;0,Q151*315.35,0)+IF(R151&gt;0,R151*1067.3,0)+IF(T151&gt;0,T151*567.47,0)+IF(U151&gt;0,U151*151.63,0)+IF(V151&gt;0,V151*197.84,0)+IF(W151&gt;0,W151*470.51,0)+IF(X151&gt;0,X151*701.69,0)+IF(Z151&gt;0,Z151*151.63,0)+IF(AA151&gt;0,AA151*197.84)+IF(AB151&gt;0,AB151*308.4,0)+IF(AC151&gt;0,AC151*496.16,0)</f>
        <v/>
      </c>
    </row>
    <row r="152" hidden="1">
      <c r="A152" s="58" t="inlineStr">
        <is>
          <t>VITÓRIA 06/12</t>
        </is>
      </c>
      <c r="B152" s="59">
        <f>IF(H152&lt;$B$1,"VENCIDO","NA VALIDADE")</f>
        <v/>
      </c>
      <c r="C152" s="60" t="inlineStr">
        <is>
          <t>SUBESTAÇÃO</t>
        </is>
      </c>
      <c r="D152" s="61" t="inlineStr">
        <is>
          <t>SE CAMACÃ</t>
        </is>
      </c>
      <c r="E152" s="62" t="inlineStr">
        <is>
          <t>CAMACÃ</t>
        </is>
      </c>
      <c r="F152" s="61" t="inlineStr">
        <is>
          <t>ILHÉUS</t>
        </is>
      </c>
      <c r="G152" s="60" t="inlineStr">
        <is>
          <t>BA</t>
        </is>
      </c>
      <c r="H152" s="119" t="n">
        <v>45536</v>
      </c>
      <c r="I152" s="119">
        <f>H152-180</f>
        <v/>
      </c>
      <c r="J152" s="60">
        <f>SUM(L152:AE152)</f>
        <v/>
      </c>
      <c r="K152" s="60">
        <f>SUM(AF152:AJ152)</f>
        <v/>
      </c>
      <c r="L152" s="60" t="n"/>
      <c r="M152" s="60" t="n"/>
      <c r="N152" s="60" t="n"/>
      <c r="O152" s="60" t="n"/>
      <c r="P152" s="60" t="n"/>
      <c r="Q152" s="60" t="n">
        <v>1</v>
      </c>
      <c r="R152" s="60" t="n"/>
      <c r="S152" s="60" t="n"/>
      <c r="T152" s="60" t="n">
        <v>1</v>
      </c>
      <c r="U152" s="60" t="n"/>
      <c r="V152" s="60" t="n"/>
      <c r="W152" s="60" t="n"/>
      <c r="X152" s="60" t="n"/>
      <c r="Y152" s="60" t="n"/>
      <c r="Z152" s="60" t="n"/>
      <c r="AA152" s="60" t="n">
        <v>1</v>
      </c>
      <c r="AB152" s="60" t="n"/>
      <c r="AC152" s="60" t="n"/>
      <c r="AD152" s="60" t="n"/>
      <c r="AE152" s="60" t="n"/>
      <c r="AF152" s="60" t="n"/>
      <c r="AG152" s="60" t="n"/>
      <c r="AH152" s="60" t="n"/>
      <c r="AI152" s="60" t="n"/>
      <c r="AJ152" s="60" t="n"/>
      <c r="AK152" s="120">
        <f>IF(L152&gt;0,L152*90.44,0)+IF(M152&gt;0,M152*348.12,0)+IF(N152&gt;0,N152*151.63,0)+IF(O152&gt;0,O152*197.82,0)+IF(P152&gt;0,P152*244.09,0)+IF(Q152&gt;0,Q152*315.35,0)+IF(R152&gt;0,R152*1067.3,0)+IF(T152&gt;0,T152*567.47,0)+IF(U152&gt;0,U152*151.63,0)+IF(V152&gt;0,V152*197.84,0)+IF(W152&gt;0,W152*470.51,0)+IF(X152&gt;0,X152*701.69,0)+IF(Z152&gt;0,Z152*151.63,0)+IF(AA152&gt;0,AA152*197.84)+IF(AB152&gt;0,AB152*308.4,0)+IF(AC152&gt;0,AC152*496.16,0)</f>
        <v/>
      </c>
    </row>
    <row r="153" hidden="1">
      <c r="A153" s="58" t="n"/>
      <c r="B153" s="59">
        <f>IF(H153&lt;$B$1,"VENCIDO","NA VALIDADE")</f>
        <v/>
      </c>
      <c r="C153" s="60" t="inlineStr">
        <is>
          <t>SUBESTAÇÃO</t>
        </is>
      </c>
      <c r="D153" s="61" t="inlineStr">
        <is>
          <t>SE CANAVIEIRAS</t>
        </is>
      </c>
      <c r="E153" s="62" t="inlineStr">
        <is>
          <t>CANAVIEIRAS</t>
        </is>
      </c>
      <c r="F153" s="61" t="inlineStr">
        <is>
          <t>ILHÉUS</t>
        </is>
      </c>
      <c r="G153" s="60" t="inlineStr">
        <is>
          <t>BA</t>
        </is>
      </c>
      <c r="H153" s="119" t="n">
        <v>45597</v>
      </c>
      <c r="I153" s="119">
        <f>H153-180</f>
        <v/>
      </c>
      <c r="J153" s="60">
        <f>SUM(L153:AE153)</f>
        <v/>
      </c>
      <c r="K153" s="60">
        <f>SUM(AF153:AJ153)</f>
        <v/>
      </c>
      <c r="L153" s="60" t="n"/>
      <c r="M153" s="60" t="n"/>
      <c r="N153" s="60" t="n"/>
      <c r="O153" s="60" t="n"/>
      <c r="P153" s="60" t="n"/>
      <c r="Q153" s="60" t="n">
        <v>2</v>
      </c>
      <c r="R153" s="60" t="n"/>
      <c r="S153" s="60" t="n"/>
      <c r="T153" s="60" t="n">
        <v>1</v>
      </c>
      <c r="U153" s="60" t="n"/>
      <c r="V153" s="60" t="n"/>
      <c r="W153" s="60" t="n"/>
      <c r="X153" s="60" t="n"/>
      <c r="Y153" s="60" t="n"/>
      <c r="Z153" s="60" t="n"/>
      <c r="AA153" s="60" t="n"/>
      <c r="AB153" s="60" t="n"/>
      <c r="AC153" s="60" t="n"/>
      <c r="AD153" s="60" t="n"/>
      <c r="AE153" s="60" t="n"/>
      <c r="AF153" s="60" t="n"/>
      <c r="AG153" s="60" t="n"/>
      <c r="AH153" s="60" t="n"/>
      <c r="AI153" s="60" t="n"/>
      <c r="AJ153" s="60" t="n"/>
      <c r="AK153" s="120">
        <f>IF(L153&gt;0,L153*90.44,0)+IF(M153&gt;0,M153*348.12,0)+IF(N153&gt;0,N153*151.63,0)+IF(O153&gt;0,O153*197.82,0)+IF(P153&gt;0,P153*244.09,0)+IF(Q153&gt;0,Q153*315.35,0)+IF(R153&gt;0,R153*1067.3,0)+IF(T153&gt;0,T153*567.47,0)+IF(U153&gt;0,U153*151.63,0)+IF(V153&gt;0,V153*197.84,0)+IF(W153&gt;0,W153*470.51,0)+IF(X153&gt;0,X153*701.69,0)+IF(Z153&gt;0,Z153*151.63,0)+IF(AA153&gt;0,AA153*197.84)+IF(AB153&gt;0,AB153*308.4,0)+IF(AC153&gt;0,AC153*496.16,0)</f>
        <v/>
      </c>
    </row>
    <row r="154" hidden="1">
      <c r="A154" s="58" t="inlineStr">
        <is>
          <t>SIM</t>
        </is>
      </c>
      <c r="B154" s="59">
        <f>IF(H154&lt;$B$1,"VENCIDO","NA VALIDADE")</f>
        <v/>
      </c>
      <c r="C154" s="60" t="inlineStr">
        <is>
          <t>ESTAÇÃO REP</t>
        </is>
      </c>
      <c r="D154" s="61" t="inlineStr">
        <is>
          <t>ESTAÇÃO REPETIDORA ITAPETINGA</t>
        </is>
      </c>
      <c r="E154" s="62" t="inlineStr">
        <is>
          <t>ITAPETINGA</t>
        </is>
      </c>
      <c r="F154" s="61" t="inlineStr">
        <is>
          <t>VITÓRIA DA CONQUISTA</t>
        </is>
      </c>
      <c r="G154" s="60" t="inlineStr">
        <is>
          <t>BA</t>
        </is>
      </c>
      <c r="H154" s="119" t="n">
        <v>45444</v>
      </c>
      <c r="I154" s="119" t="n">
        <v>45444</v>
      </c>
      <c r="J154" s="60">
        <f>SUM(L154:AE154)</f>
        <v/>
      </c>
      <c r="K154" s="60">
        <f>SUM(AF154:AJ154)</f>
        <v/>
      </c>
      <c r="L154" s="60" t="n"/>
      <c r="M154" s="60" t="n"/>
      <c r="N154" s="60" t="n"/>
      <c r="O154" s="60" t="n"/>
      <c r="P154" s="60" t="n"/>
      <c r="Q154" s="60" t="n"/>
      <c r="R154" s="60" t="n"/>
      <c r="S154" s="60" t="n"/>
      <c r="T154" s="60" t="n"/>
      <c r="U154" s="60" t="n"/>
      <c r="V154" s="60" t="n"/>
      <c r="W154" s="60" t="n"/>
      <c r="X154" s="60" t="n"/>
      <c r="Y154" s="60" t="n"/>
      <c r="Z154" s="60" t="n"/>
      <c r="AA154" s="60" t="n">
        <v>1</v>
      </c>
      <c r="AB154" s="60" t="n"/>
      <c r="AC154" s="60" t="n"/>
      <c r="AD154" s="60" t="n"/>
      <c r="AE154" s="60" t="n"/>
      <c r="AF154" s="60" t="n"/>
      <c r="AG154" s="60" t="n"/>
      <c r="AH154" s="60" t="n"/>
      <c r="AI154" s="60" t="n"/>
      <c r="AJ154" s="60" t="n"/>
      <c r="AK154" s="120">
        <f>IF(L154&gt;0,L154*90.44,0)+IF(M154&gt;0,M154*348.12,0)+IF(N154&gt;0,N154*151.63,0)+IF(O154&gt;0,O154*197.82,0)+IF(P154&gt;0,P154*244.09,0)+IF(Q154&gt;0,Q154*315.35,0)+IF(R154&gt;0,R154*1067.3,0)+IF(T154&gt;0,T154*567.47,0)+IF(U154&gt;0,U154*151.63,0)+IF(V154&gt;0,V154*197.84,0)+IF(W154&gt;0,W154*470.51,0)+IF(X154&gt;0,X154*701.69,0)+IF(Z154&gt;0,Z154*151.63,0)+IF(AA154&gt;0,AA154*197.84)+IF(AB154&gt;0,AB154*308.4,0)+IF(AC154&gt;0,AC154*496.16,0)</f>
        <v/>
      </c>
    </row>
    <row r="155" hidden="1">
      <c r="A155" s="58" t="n"/>
      <c r="B155" s="59">
        <f>IF(H155&lt;$B$1,"VENCIDO","NA VALIDADE")</f>
        <v/>
      </c>
      <c r="C155" s="60" t="inlineStr">
        <is>
          <t>ESTAÇÃO REP</t>
        </is>
      </c>
      <c r="D155" s="61" t="inlineStr">
        <is>
          <t>ESTAÇÃO REPETIDORA ITARANTIN</t>
        </is>
      </c>
      <c r="E155" s="62" t="inlineStr">
        <is>
          <t>ITARANTIM</t>
        </is>
      </c>
      <c r="F155" s="61" t="inlineStr">
        <is>
          <t>VITÓRIA DA CONQUISTA</t>
        </is>
      </c>
      <c r="G155" s="60" t="inlineStr">
        <is>
          <t>BA</t>
        </is>
      </c>
      <c r="H155" s="119" t="n">
        <v>45444</v>
      </c>
      <c r="I155" s="119">
        <f>H155-180</f>
        <v/>
      </c>
      <c r="J155" s="60">
        <f>SUM(L155:AE155)</f>
        <v/>
      </c>
      <c r="K155" s="60">
        <f>SUM(AF155:AJ155)</f>
        <v/>
      </c>
      <c r="L155" s="60" t="n"/>
      <c r="M155" s="60" t="n"/>
      <c r="N155" s="60" t="n"/>
      <c r="O155" s="60" t="n">
        <v>1</v>
      </c>
      <c r="P155" s="60" t="n"/>
      <c r="Q155" s="60" t="n"/>
      <c r="R155" s="60" t="n"/>
      <c r="S155" s="60" t="n"/>
      <c r="T155" s="60" t="n"/>
      <c r="U155" s="60" t="n"/>
      <c r="V155" s="60" t="n"/>
      <c r="W155" s="60" t="n"/>
      <c r="X155" s="60" t="n"/>
      <c r="Y155" s="60" t="n"/>
      <c r="Z155" s="60" t="n"/>
      <c r="AA155" s="60" t="n"/>
      <c r="AB155" s="60" t="n"/>
      <c r="AC155" s="60" t="n"/>
      <c r="AD155" s="60" t="n"/>
      <c r="AE155" s="60" t="n"/>
      <c r="AF155" s="60" t="n"/>
      <c r="AG155" s="60" t="n"/>
      <c r="AH155" s="60" t="n"/>
      <c r="AI155" s="60" t="n"/>
      <c r="AJ155" s="60" t="n"/>
      <c r="AK155" s="120">
        <f>IF(L155&gt;0,L155*90.44,0)+IF(M155&gt;0,M155*348.12,0)+IF(N155&gt;0,N155*151.63,0)+IF(O155&gt;0,O155*197.82,0)+IF(P155&gt;0,P155*244.09,0)+IF(Q155&gt;0,Q155*315.35,0)+IF(R155&gt;0,R155*1067.3,0)+IF(T155&gt;0,T155*567.47,0)+IF(U155&gt;0,U155*151.63,0)+IF(V155&gt;0,V155*197.84,0)+IF(W155&gt;0,W155*470.51,0)+IF(X155&gt;0,X155*701.69,0)+IF(Z155&gt;0,Z155*151.63,0)+IF(AA155&gt;0,AA155*197.84)+IF(AB155&gt;0,AB155*308.4,0)+IF(AC155&gt;0,AC155*496.16,0)</f>
        <v/>
      </c>
    </row>
    <row r="156" hidden="1">
      <c r="A156" s="58" t="inlineStr">
        <is>
          <t>FEIRA 06/12</t>
        </is>
      </c>
      <c r="B156" s="59">
        <f>IF(H156&lt;$B$1,"VENCIDO","NA VALIDADE")</f>
        <v/>
      </c>
      <c r="C156" s="60" t="inlineStr">
        <is>
          <t>ESTAÇÃO REP</t>
        </is>
      </c>
      <c r="D156" s="61" t="inlineStr">
        <is>
          <t>ESTAÇÃO REPETIDORA ITUBERÁ</t>
        </is>
      </c>
      <c r="E156" s="62" t="inlineStr">
        <is>
          <t>ITUBERÁ</t>
        </is>
      </c>
      <c r="F156" s="61" t="inlineStr">
        <is>
          <t>ILHÉUS</t>
        </is>
      </c>
      <c r="G156" s="60" t="inlineStr">
        <is>
          <t>BA</t>
        </is>
      </c>
      <c r="H156" s="119" t="n">
        <v>45444</v>
      </c>
      <c r="I156" s="119">
        <f>H156-180</f>
        <v/>
      </c>
      <c r="J156" s="60">
        <f>SUM(L156:AE156)</f>
        <v/>
      </c>
      <c r="K156" s="60">
        <f>SUM(AF156:AJ156)</f>
        <v/>
      </c>
      <c r="L156" s="60" t="n"/>
      <c r="M156" s="60" t="n"/>
      <c r="N156" s="60" t="n"/>
      <c r="O156" s="60" t="n"/>
      <c r="P156" s="60" t="n"/>
      <c r="Q156" s="60" t="n"/>
      <c r="R156" s="60" t="n"/>
      <c r="S156" s="60" t="n"/>
      <c r="T156" s="60" t="n"/>
      <c r="U156" s="60" t="n"/>
      <c r="V156" s="60" t="n">
        <v>1</v>
      </c>
      <c r="W156" s="60" t="n"/>
      <c r="X156" s="60" t="n"/>
      <c r="Y156" s="60" t="n"/>
      <c r="Z156" s="60" t="n"/>
      <c r="AA156" s="60" t="n"/>
      <c r="AB156" s="60" t="n"/>
      <c r="AC156" s="60" t="n"/>
      <c r="AD156" s="60" t="n"/>
      <c r="AE156" s="60" t="n"/>
      <c r="AF156" s="60" t="n"/>
      <c r="AG156" s="60" t="n"/>
      <c r="AH156" s="60" t="n"/>
      <c r="AI156" s="60" t="n"/>
      <c r="AJ156" s="60" t="n"/>
      <c r="AK156" s="120">
        <f>IF(L156&gt;0,L156*90.44,0)+IF(M156&gt;0,M156*348.12,0)+IF(N156&gt;0,N156*151.63,0)+IF(O156&gt;0,O156*197.82,0)+IF(P156&gt;0,P156*244.09,0)+IF(Q156&gt;0,Q156*315.35,0)+IF(R156&gt;0,R156*1067.3,0)+IF(T156&gt;0,T156*567.47,0)+IF(U156&gt;0,U156*151.63,0)+IF(V156&gt;0,V156*197.84,0)+IF(W156&gt;0,W156*470.51,0)+IF(X156&gt;0,X156*701.69,0)+IF(Z156&gt;0,Z156*151.63,0)+IF(AA156&gt;0,AA156*197.84)+IF(AB156&gt;0,AB156*308.4,0)+IF(AC156&gt;0,AC156*496.16,0)</f>
        <v/>
      </c>
    </row>
    <row r="157" hidden="1">
      <c r="A157" s="58" t="n"/>
      <c r="B157" s="59">
        <f>IF(H157&lt;$B$1,"VENCIDO","NA VALIDADE")</f>
        <v/>
      </c>
      <c r="C157" s="60" t="inlineStr">
        <is>
          <t>ESTAÇÃO REP</t>
        </is>
      </c>
      <c r="D157" s="61" t="inlineStr">
        <is>
          <t>ESTAÇÃO REPETIDORA JEQUIÉ I</t>
        </is>
      </c>
      <c r="E157" s="62" t="inlineStr">
        <is>
          <t>JEQUIÉ</t>
        </is>
      </c>
      <c r="F157" s="61" t="inlineStr">
        <is>
          <t>VITÓRIA DA CONQUISTA</t>
        </is>
      </c>
      <c r="G157" s="60" t="inlineStr">
        <is>
          <t>BA</t>
        </is>
      </c>
      <c r="H157" s="119" t="n">
        <v>45566</v>
      </c>
      <c r="I157" s="119" t="n">
        <v>45383</v>
      </c>
      <c r="J157" s="60">
        <f>SUM(L157:AE157)</f>
        <v/>
      </c>
      <c r="K157" s="60">
        <f>SUM(AF157:AJ157)</f>
        <v/>
      </c>
      <c r="L157" s="60" t="n"/>
      <c r="M157" s="60" t="n"/>
      <c r="N157" s="60" t="n"/>
      <c r="O157" s="60" t="n"/>
      <c r="P157" s="60" t="n"/>
      <c r="Q157" s="60" t="n"/>
      <c r="R157" s="60" t="n"/>
      <c r="S157" s="60" t="n"/>
      <c r="T157" s="60" t="n"/>
      <c r="U157" s="60" t="n"/>
      <c r="V157" s="60" t="n"/>
      <c r="W157" s="60" t="n"/>
      <c r="X157" s="60" t="n"/>
      <c r="Y157" s="60" t="n"/>
      <c r="Z157" s="60" t="n"/>
      <c r="AA157" s="60" t="n">
        <v>1</v>
      </c>
      <c r="AB157" s="60" t="n"/>
      <c r="AC157" s="60" t="n"/>
      <c r="AD157" s="60" t="n"/>
      <c r="AE157" s="60" t="n"/>
      <c r="AF157" s="60" t="n"/>
      <c r="AG157" s="60" t="n"/>
      <c r="AH157" s="60" t="n"/>
      <c r="AI157" s="60" t="n"/>
      <c r="AJ157" s="60" t="n"/>
      <c r="AK157" s="120">
        <f>IF(L157&gt;0,L157*90.44,0)+IF(M157&gt;0,M157*348.12,0)+IF(N157&gt;0,N157*151.63,0)+IF(O157&gt;0,O157*197.82,0)+IF(P157&gt;0,P157*244.09,0)+IF(Q157&gt;0,Q157*315.35,0)+IF(R157&gt;0,R157*1067.3,0)+IF(T157&gt;0,T157*567.47,0)+IF(U157&gt;0,U157*151.63,0)+IF(V157&gt;0,V157*197.84,0)+IF(W157&gt;0,W157*470.51,0)+IF(X157&gt;0,X157*701.69,0)+IF(Z157&gt;0,Z157*151.63,0)+IF(AA157&gt;0,AA157*197.84)+IF(AB157&gt;0,AB157*308.4,0)+IF(AC157&gt;0,AC157*496.16,0)</f>
        <v/>
      </c>
    </row>
    <row r="158">
      <c r="A158" s="58" t="inlineStr">
        <is>
          <t>SIM</t>
        </is>
      </c>
      <c r="B158" s="59">
        <f>IF(H158&lt;$B$1,"VENCIDO","NA VALIDADE")</f>
        <v/>
      </c>
      <c r="C158" s="60" t="inlineStr">
        <is>
          <t>ESTAÇÃO REP</t>
        </is>
      </c>
      <c r="D158" s="61" t="inlineStr">
        <is>
          <t>ESTAÇÃO REPETIDORA LAPÃO</t>
        </is>
      </c>
      <c r="E158" s="62" t="inlineStr">
        <is>
          <t>LAPÃO</t>
        </is>
      </c>
      <c r="F158" s="61" t="inlineStr">
        <is>
          <t>FEIRA DE  SANTANA</t>
        </is>
      </c>
      <c r="G158" s="60" t="inlineStr">
        <is>
          <t>BA</t>
        </is>
      </c>
      <c r="H158" s="119" t="n">
        <v>45323</v>
      </c>
      <c r="I158" s="119" t="n">
        <v>45323</v>
      </c>
      <c r="J158" s="60">
        <f>SUM(L158:AE158)</f>
        <v/>
      </c>
      <c r="K158" s="60">
        <f>SUM(AF158:AJ158)</f>
        <v/>
      </c>
      <c r="L158" s="60" t="n"/>
      <c r="M158" s="60" t="n"/>
      <c r="N158" s="60" t="n"/>
      <c r="O158" s="60" t="n"/>
      <c r="P158" s="60" t="n"/>
      <c r="Q158" s="60" t="n"/>
      <c r="R158" s="60" t="n"/>
      <c r="S158" s="60" t="n"/>
      <c r="T158" s="60" t="n"/>
      <c r="U158" s="60" t="n"/>
      <c r="V158" s="60" t="n"/>
      <c r="W158" s="60" t="n"/>
      <c r="X158" s="60" t="n"/>
      <c r="Y158" s="60" t="n"/>
      <c r="Z158" s="60" t="n"/>
      <c r="AA158" s="60" t="n">
        <v>1</v>
      </c>
      <c r="AB158" s="60" t="n"/>
      <c r="AC158" s="60" t="n"/>
      <c r="AD158" s="60" t="n"/>
      <c r="AE158" s="60" t="n"/>
      <c r="AF158" s="60" t="n"/>
      <c r="AG158" s="60" t="n"/>
      <c r="AH158" s="60" t="n"/>
      <c r="AI158" s="60" t="n"/>
      <c r="AJ158" s="60" t="n"/>
      <c r="AK158" s="120">
        <f>IF(L158&gt;0,L158*90.44,0)+IF(M158&gt;0,M158*348.12,0)+IF(N158&gt;0,N158*151.63,0)+IF(O158&gt;0,O158*197.82,0)+IF(P158&gt;0,P158*244.09,0)+IF(Q158&gt;0,Q158*315.35,0)+IF(R158&gt;0,R158*1067.3,0)+IF(T158&gt;0,T158*567.47,0)+IF(U158&gt;0,U158*151.63,0)+IF(V158&gt;0,V158*197.84,0)+IF(W158&gt;0,W158*470.51,0)+IF(X158&gt;0,X158*701.69,0)+IF(Z158&gt;0,Z158*151.63,0)+IF(AA158&gt;0,AA158*197.84)+IF(AB158&gt;0,AB158*308.4,0)+IF(AC158&gt;0,AC158*496.16,0)</f>
        <v/>
      </c>
    </row>
    <row r="159">
      <c r="A159" s="58" t="n"/>
      <c r="B159" s="59">
        <f>IF(H159&lt;$B$1,"VENCIDO","NA VALIDADE")</f>
        <v/>
      </c>
      <c r="C159" s="60" t="inlineStr">
        <is>
          <t>ESTAÇÃO REP</t>
        </is>
      </c>
      <c r="D159" s="61" t="inlineStr">
        <is>
          <t>ESTAÇÃO REPETIDORA MACAJUBA</t>
        </is>
      </c>
      <c r="E159" s="62" t="inlineStr">
        <is>
          <t>MACAJUBA</t>
        </is>
      </c>
      <c r="F159" s="61" t="inlineStr">
        <is>
          <t>FEIRA DE  SANTANA</t>
        </is>
      </c>
      <c r="G159" s="60" t="inlineStr">
        <is>
          <t>BA</t>
        </is>
      </c>
      <c r="H159" s="119" t="n">
        <v>45505</v>
      </c>
      <c r="I159" s="119">
        <f>H159-180</f>
        <v/>
      </c>
      <c r="J159" s="60">
        <f>SUM(L159:AE159)</f>
        <v/>
      </c>
      <c r="K159" s="60">
        <f>SUM(AF159:AJ159)</f>
        <v/>
      </c>
      <c r="L159" s="60" t="n"/>
      <c r="M159" s="60" t="n"/>
      <c r="N159" s="60" t="n"/>
      <c r="O159" s="60" t="n">
        <v>1</v>
      </c>
      <c r="P159" s="60" t="n"/>
      <c r="Q159" s="60" t="n"/>
      <c r="R159" s="60" t="n"/>
      <c r="S159" s="60" t="n"/>
      <c r="T159" s="60" t="n"/>
      <c r="U159" s="60" t="n"/>
      <c r="V159" s="60" t="n"/>
      <c r="W159" s="60" t="n"/>
      <c r="X159" s="60" t="n"/>
      <c r="Y159" s="60" t="n"/>
      <c r="Z159" s="60" t="n"/>
      <c r="AA159" s="60" t="n"/>
      <c r="AB159" s="60" t="n"/>
      <c r="AC159" s="60" t="n"/>
      <c r="AD159" s="60" t="n"/>
      <c r="AE159" s="60" t="n"/>
      <c r="AF159" s="60" t="n"/>
      <c r="AG159" s="60" t="n"/>
      <c r="AH159" s="60" t="n"/>
      <c r="AI159" s="60" t="n"/>
      <c r="AJ159" s="60" t="n"/>
      <c r="AK159" s="120">
        <f>IF(L159&gt;0,L159*90.44,0)+IF(M159&gt;0,M159*348.12,0)+IF(N159&gt;0,N159*151.63,0)+IF(O159&gt;0,O159*197.82,0)+IF(P159&gt;0,P159*244.09,0)+IF(Q159&gt;0,Q159*315.35,0)+IF(R159&gt;0,R159*1067.3,0)+IF(T159&gt;0,T159*567.47,0)+IF(U159&gt;0,U159*151.63,0)+IF(V159&gt;0,V159*197.84,0)+IF(W159&gt;0,W159*470.51,0)+IF(X159&gt;0,X159*701.69,0)+IF(Z159&gt;0,Z159*151.63,0)+IF(AA159&gt;0,AA159*197.84)+IF(AB159&gt;0,AB159*308.4,0)+IF(AC159&gt;0,AC159*496.16,0)</f>
        <v/>
      </c>
    </row>
    <row r="160" hidden="1">
      <c r="A160" s="58" t="inlineStr">
        <is>
          <t>rota</t>
        </is>
      </c>
      <c r="B160" s="59">
        <f>IF(H160&lt;$B$1,"VENCIDO","NA VALIDADE")</f>
        <v/>
      </c>
      <c r="C160" s="60" t="inlineStr">
        <is>
          <t>ESTAÇÃO REP</t>
        </is>
      </c>
      <c r="D160" s="61" t="inlineStr">
        <is>
          <t>ESTAÇÃO REPETIDORA MAETINGA</t>
        </is>
      </c>
      <c r="E160" s="62" t="inlineStr">
        <is>
          <t>MAETINGA</t>
        </is>
      </c>
      <c r="F160" s="61" t="inlineStr">
        <is>
          <t>VITÓRIA DA CONQUISTA</t>
        </is>
      </c>
      <c r="G160" s="60" t="inlineStr">
        <is>
          <t>BA</t>
        </is>
      </c>
      <c r="H160" s="119" t="n">
        <v>45536</v>
      </c>
      <c r="I160" s="119">
        <f>H160-180</f>
        <v/>
      </c>
      <c r="J160" s="60">
        <f>SUM(L160:AE160)</f>
        <v/>
      </c>
      <c r="K160" s="60">
        <f>SUM(AF160:AJ160)</f>
        <v/>
      </c>
      <c r="L160" s="60" t="n"/>
      <c r="M160" s="60" t="n"/>
      <c r="N160" s="60" t="n"/>
      <c r="O160" s="60" t="n"/>
      <c r="P160" s="60" t="n"/>
      <c r="Q160" s="60" t="n"/>
      <c r="R160" s="60" t="n"/>
      <c r="S160" s="60" t="n"/>
      <c r="T160" s="60" t="n"/>
      <c r="U160" s="60" t="n"/>
      <c r="V160" s="60" t="n"/>
      <c r="W160" s="60" t="n"/>
      <c r="X160" s="60" t="n"/>
      <c r="Y160" s="60" t="n"/>
      <c r="Z160" s="60" t="n"/>
      <c r="AA160" s="60" t="n">
        <v>1</v>
      </c>
      <c r="AB160" s="60" t="n"/>
      <c r="AC160" s="60" t="n"/>
      <c r="AD160" s="60" t="n"/>
      <c r="AE160" s="60" t="n"/>
      <c r="AF160" s="60" t="n"/>
      <c r="AG160" s="60" t="n"/>
      <c r="AH160" s="60" t="n"/>
      <c r="AI160" s="60" t="n"/>
      <c r="AJ160" s="60" t="n"/>
      <c r="AK160" s="120">
        <f>IF(L160&gt;0,L160*90.44,0)+IF(M160&gt;0,M160*348.12,0)+IF(N160&gt;0,N160*151.63,0)+IF(O160&gt;0,O160*197.82,0)+IF(P160&gt;0,P160*244.09,0)+IF(Q160&gt;0,Q160*315.35,0)+IF(R160&gt;0,R160*1067.3,0)+IF(T160&gt;0,T160*567.47,0)+IF(U160&gt;0,U160*151.63,0)+IF(V160&gt;0,V160*197.84,0)+IF(W160&gt;0,W160*470.51,0)+IF(X160&gt;0,X160*701.69,0)+IF(Z160&gt;0,Z160*151.63,0)+IF(AA160&gt;0,AA160*197.84)+IF(AB160&gt;0,AB160*308.4,0)+IF(AC160&gt;0,AC160*496.16,0)</f>
        <v/>
      </c>
    </row>
    <row r="161">
      <c r="A161" s="58" t="inlineStr">
        <is>
          <t>SIM</t>
        </is>
      </c>
      <c r="B161" s="59">
        <f>IF(H161&lt;$B$1,"VENCIDO","NA VALIDADE")</f>
        <v/>
      </c>
      <c r="C161" s="60" t="inlineStr">
        <is>
          <t>ESTAÇÃO REP</t>
        </is>
      </c>
      <c r="D161" s="61" t="inlineStr">
        <is>
          <t>ESTAÇÃO REPETIDORA MONTE SANTO</t>
        </is>
      </c>
      <c r="E161" s="62" t="inlineStr">
        <is>
          <t>MONTE SANTO</t>
        </is>
      </c>
      <c r="F161" s="61" t="inlineStr">
        <is>
          <t>FEIRA DE  SANTANA</t>
        </is>
      </c>
      <c r="G161" s="60" t="inlineStr">
        <is>
          <t>BA</t>
        </is>
      </c>
      <c r="H161" s="119" t="n">
        <v>45566</v>
      </c>
      <c r="I161" s="119">
        <f>H161-180</f>
        <v/>
      </c>
      <c r="J161" s="60">
        <f>SUM(L161:AE161)</f>
        <v/>
      </c>
      <c r="K161" s="60">
        <f>SUM(AF161:AJ161)</f>
        <v/>
      </c>
      <c r="L161" s="60" t="n"/>
      <c r="M161" s="60" t="n"/>
      <c r="N161" s="60" t="n"/>
      <c r="O161" s="60" t="n"/>
      <c r="P161" s="60" t="n"/>
      <c r="Q161" s="60" t="n">
        <v>1</v>
      </c>
      <c r="R161" s="60" t="n"/>
      <c r="S161" s="60" t="n"/>
      <c r="T161" s="60" t="n"/>
      <c r="U161" s="60" t="n"/>
      <c r="V161" s="60" t="n"/>
      <c r="W161" s="60" t="n"/>
      <c r="X161" s="60" t="n"/>
      <c r="Y161" s="60" t="n"/>
      <c r="Z161" s="60" t="n"/>
      <c r="AA161" s="60" t="n">
        <v>1</v>
      </c>
      <c r="AB161" s="60" t="n"/>
      <c r="AC161" s="60" t="n"/>
      <c r="AD161" s="60" t="n"/>
      <c r="AE161" s="60" t="n"/>
      <c r="AF161" s="60" t="n"/>
      <c r="AG161" s="60" t="n"/>
      <c r="AH161" s="60" t="n"/>
      <c r="AI161" s="60" t="n"/>
      <c r="AJ161" s="60" t="n"/>
      <c r="AK161" s="120">
        <f>IF(L161&gt;0,L161*90.44,0)+IF(M161&gt;0,M161*348.12,0)+IF(N161&gt;0,N161*151.63,0)+IF(O161&gt;0,O161*197.82,0)+IF(P161&gt;0,P161*244.09,0)+IF(Q161&gt;0,Q161*315.35,0)+IF(R161&gt;0,R161*1067.3,0)+IF(T161&gt;0,T161*567.47,0)+IF(U161&gt;0,U161*151.63,0)+IF(V161&gt;0,V161*197.84,0)+IF(W161&gt;0,W161*470.51,0)+IF(X161&gt;0,X161*701.69,0)+IF(Z161&gt;0,Z161*151.63,0)+IF(AA161&gt;0,AA161*197.84)+IF(AB161&gt;0,AB161*308.4,0)+IF(AC161&gt;0,AC161*496.16,0)</f>
        <v/>
      </c>
    </row>
    <row r="162">
      <c r="A162" s="58" t="inlineStr">
        <is>
          <t>SIM</t>
        </is>
      </c>
      <c r="B162" s="59">
        <f>IF(H162&lt;$B$1,"VENCIDO","NA VALIDADE")</f>
        <v/>
      </c>
      <c r="C162" s="60" t="inlineStr">
        <is>
          <t>SUBESTAÇÃO</t>
        </is>
      </c>
      <c r="D162" s="61" t="inlineStr">
        <is>
          <t>ESTAÇÃO REPETIDORA MORRO DAS FLORES</t>
        </is>
      </c>
      <c r="E162" s="62" t="inlineStr">
        <is>
          <t>ITABERABA</t>
        </is>
      </c>
      <c r="F162" s="61" t="inlineStr">
        <is>
          <t>FEIRA DE  SANTANA</t>
        </is>
      </c>
      <c r="G162" s="60" t="inlineStr">
        <is>
          <t>BA</t>
        </is>
      </c>
      <c r="H162" s="119" t="n">
        <v>45323</v>
      </c>
      <c r="I162" s="119">
        <f>H162-180</f>
        <v/>
      </c>
      <c r="J162" s="60">
        <f>SUM(L162:AE162)</f>
        <v/>
      </c>
      <c r="K162" s="60">
        <f>SUM(AF162:AJ162)</f>
        <v/>
      </c>
      <c r="L162" s="60" t="n"/>
      <c r="M162" s="60" t="n"/>
      <c r="N162" s="60" t="n"/>
      <c r="O162" s="60" t="n">
        <v>1</v>
      </c>
      <c r="P162" s="60" t="n"/>
      <c r="Q162" s="60" t="n"/>
      <c r="R162" s="60" t="n"/>
      <c r="S162" s="60" t="n"/>
      <c r="T162" s="60" t="n"/>
      <c r="U162" s="60" t="n"/>
      <c r="V162" s="60" t="n"/>
      <c r="W162" s="60" t="n"/>
      <c r="X162" s="60" t="n"/>
      <c r="Y162" s="60" t="n"/>
      <c r="Z162" s="60" t="n"/>
      <c r="AA162" s="60" t="n"/>
      <c r="AB162" s="60" t="n"/>
      <c r="AC162" s="60" t="n"/>
      <c r="AD162" s="60" t="n"/>
      <c r="AE162" s="60" t="n"/>
      <c r="AF162" s="60" t="n"/>
      <c r="AG162" s="60" t="n"/>
      <c r="AH162" s="60" t="n"/>
      <c r="AI162" s="60" t="n"/>
      <c r="AJ162" s="60" t="n"/>
      <c r="AK162" s="120">
        <f>IF(L162&gt;0,L162*90.44,0)+IF(M162&gt;0,M162*348.12,0)+IF(N162&gt;0,N162*151.63,0)+IF(O162&gt;0,O162*197.82,0)+IF(P162&gt;0,P162*244.09,0)+IF(Q162&gt;0,Q162*315.35,0)+IF(R162&gt;0,R162*1067.3,0)+IF(T162&gt;0,T162*567.47,0)+IF(U162&gt;0,U162*151.63,0)+IF(V162&gt;0,V162*197.84,0)+IF(W162&gt;0,W162*470.51,0)+IF(X162&gt;0,X162*701.69,0)+IF(Z162&gt;0,Z162*151.63,0)+IF(AA162&gt;0,AA162*197.84)+IF(AB162&gt;0,AB162*308.4,0)+IF(AC162&gt;0,AC162*496.16,0)</f>
        <v/>
      </c>
    </row>
    <row r="163">
      <c r="A163" s="58" t="inlineStr">
        <is>
          <t>SIM</t>
        </is>
      </c>
      <c r="B163" s="59">
        <f>IF(H163&lt;$B$1,"VENCIDO","NA VALIDADE")</f>
        <v/>
      </c>
      <c r="C163" s="60" t="inlineStr">
        <is>
          <t>SUBESTAÇÃO</t>
        </is>
      </c>
      <c r="D163" s="61" t="inlineStr">
        <is>
          <t>ESTAÇÃO REPETIDORA MORRO PAI INACIO</t>
        </is>
      </c>
      <c r="E163" s="62" t="inlineStr">
        <is>
          <t>RUY BARBOSA</t>
        </is>
      </c>
      <c r="F163" s="61" t="inlineStr">
        <is>
          <t>FEIRA DE  SANTANA</t>
        </is>
      </c>
      <c r="G163" s="60" t="inlineStr">
        <is>
          <t>BA</t>
        </is>
      </c>
      <c r="H163" s="119" t="n">
        <v>45323</v>
      </c>
      <c r="I163" s="119" t="n">
        <v>45323</v>
      </c>
      <c r="J163" s="60" t="n">
        <v>1</v>
      </c>
      <c r="K163" s="60">
        <f>SUM(AF163:AJ163)</f>
        <v/>
      </c>
      <c r="L163" s="60" t="n"/>
      <c r="M163" s="60" t="n"/>
      <c r="N163" s="60" t="n"/>
      <c r="O163" s="60" t="n"/>
      <c r="P163" s="60" t="n"/>
      <c r="Q163" s="60" t="n"/>
      <c r="R163" s="60" t="n"/>
      <c r="S163" s="60" t="n"/>
      <c r="T163" s="60" t="n"/>
      <c r="U163" s="60" t="n"/>
      <c r="V163" s="60" t="n"/>
      <c r="W163" s="60" t="n"/>
      <c r="X163" s="60" t="n"/>
      <c r="Y163" s="60" t="n"/>
      <c r="Z163" s="60" t="n"/>
      <c r="AA163" s="60" t="n">
        <v>1</v>
      </c>
      <c r="AB163" s="60" t="n"/>
      <c r="AC163" s="60" t="n"/>
      <c r="AD163" s="60" t="n"/>
      <c r="AE163" s="60" t="n"/>
      <c r="AF163" s="60" t="n"/>
      <c r="AG163" s="60" t="n"/>
      <c r="AH163" s="60" t="n"/>
      <c r="AI163" s="60" t="n"/>
      <c r="AJ163" s="60" t="n"/>
      <c r="AK163" s="120">
        <f>IF(L163&gt;0,L163*90.44,0)+IF(M163&gt;0,M163*348.12,0)+IF(N163&gt;0,N163*151.63,0)+IF(O163&gt;0,O163*197.82,0)+IF(P163&gt;0,P163*244.09,0)+IF(Q163&gt;0,Q163*315.35,0)+IF(R163&gt;0,R163*1067.3,0)+IF(T163&gt;0,T163*567.47,0)+IF(U163&gt;0,U163*151.63,0)+IF(V163&gt;0,V163*197.84,0)+IF(W163&gt;0,W163*470.51,0)+IF(X163&gt;0,X163*701.69,0)+IF(Z163&gt;0,Z163*151.63,0)+IF(AA163&gt;0,AA163*197.84)+IF(AB163&gt;0,AB163*308.4,0)+IF(AC163&gt;0,AC163*496.16,0)</f>
        <v/>
      </c>
    </row>
    <row r="164" hidden="1">
      <c r="A164" s="58" t="n"/>
      <c r="B164" s="59">
        <f>IF(H164&lt;$B$1,"VENCIDO","NA VALIDADE")</f>
        <v/>
      </c>
      <c r="C164" s="60" t="inlineStr">
        <is>
          <t>ESTAÇÃO REP</t>
        </is>
      </c>
      <c r="D164" s="61" t="inlineStr">
        <is>
          <t>ESTAÇÃO REPETIDORA PALMEIRAS</t>
        </is>
      </c>
      <c r="E164" s="62" t="inlineStr">
        <is>
          <t>PALMEIRAS</t>
        </is>
      </c>
      <c r="F164" s="61" t="inlineStr">
        <is>
          <t>VITÓRIA DA CONQUISTA</t>
        </is>
      </c>
      <c r="G164" s="60" t="inlineStr">
        <is>
          <t>BA</t>
        </is>
      </c>
      <c r="H164" s="119" t="n">
        <v>45444</v>
      </c>
      <c r="I164" s="119" t="n">
        <v>45444</v>
      </c>
      <c r="J164" s="60">
        <f>SUM(L164:AE164)</f>
        <v/>
      </c>
      <c r="K164" s="60">
        <f>SUM(AF164:AJ164)</f>
        <v/>
      </c>
      <c r="L164" s="60" t="n"/>
      <c r="M164" s="60" t="n"/>
      <c r="N164" s="60" t="n"/>
      <c r="O164" s="60" t="n"/>
      <c r="P164" s="60" t="n"/>
      <c r="Q164" s="60" t="n"/>
      <c r="R164" s="60" t="n"/>
      <c r="S164" s="60" t="n"/>
      <c r="T164" s="60" t="n"/>
      <c r="U164" s="60" t="n"/>
      <c r="V164" s="60" t="n"/>
      <c r="W164" s="60" t="n"/>
      <c r="X164" s="60" t="n"/>
      <c r="Y164" s="60" t="n"/>
      <c r="Z164" s="60" t="n"/>
      <c r="AA164" s="60" t="n">
        <v>1</v>
      </c>
      <c r="AB164" s="60" t="n"/>
      <c r="AC164" s="60" t="n"/>
      <c r="AD164" s="60" t="n"/>
      <c r="AE164" s="60" t="n"/>
      <c r="AF164" s="60" t="n"/>
      <c r="AG164" s="60" t="n"/>
      <c r="AH164" s="60" t="n"/>
      <c r="AI164" s="60" t="n"/>
      <c r="AJ164" s="60" t="n"/>
      <c r="AK164" s="120">
        <f>IF(L164&gt;0,L164*90.44,0)+IF(M164&gt;0,M164*348.12,0)+IF(N164&gt;0,N164*151.63,0)+IF(O164&gt;0,O164*197.82,0)+IF(P164&gt;0,P164*244.09,0)+IF(Q164&gt;0,Q164*315.35,0)+IF(R164&gt;0,R164*1067.3,0)+IF(T164&gt;0,T164*567.47,0)+IF(U164&gt;0,U164*151.63,0)+IF(V164&gt;0,V164*197.84,0)+IF(W164&gt;0,W164*470.51,0)+IF(X164&gt;0,X164*701.69,0)+IF(Z164&gt;0,Z164*151.63,0)+IF(AA164&gt;0,AA164*197.84)+IF(AB164&gt;0,AB164*308.4,0)+IF(AC164&gt;0,AC164*496.16,0)</f>
        <v/>
      </c>
    </row>
    <row r="165" hidden="1">
      <c r="A165" s="58" t="n"/>
      <c r="B165" s="59">
        <f>IF(H165&lt;$B$1,"VENCIDO","NA VALIDADE")</f>
        <v/>
      </c>
      <c r="C165" s="60" t="inlineStr">
        <is>
          <t>ESTAÇÃO REP</t>
        </is>
      </c>
      <c r="D165" s="61" t="inlineStr">
        <is>
          <t>ESTAÇÃO REPETIDORA PLANALTO</t>
        </is>
      </c>
      <c r="E165" s="62" t="inlineStr">
        <is>
          <t>PLANALTO</t>
        </is>
      </c>
      <c r="F165" s="61" t="inlineStr">
        <is>
          <t>VITÓRIA DA CONQUISTA</t>
        </is>
      </c>
      <c r="G165" s="60" t="inlineStr">
        <is>
          <t>BA</t>
        </is>
      </c>
      <c r="H165" s="119" t="n">
        <v>45444</v>
      </c>
      <c r="I165" s="119" t="n">
        <v>45444</v>
      </c>
      <c r="J165" s="60">
        <f>SUM(L165:AE165)</f>
        <v/>
      </c>
      <c r="K165" s="60">
        <f>SUM(AF165:AJ165)</f>
        <v/>
      </c>
      <c r="L165" s="60" t="n"/>
      <c r="M165" s="60" t="n"/>
      <c r="N165" s="60" t="n"/>
      <c r="O165" s="60" t="n"/>
      <c r="P165" s="60" t="n"/>
      <c r="Q165" s="60" t="n"/>
      <c r="R165" s="60" t="n"/>
      <c r="S165" s="60" t="n"/>
      <c r="T165" s="60" t="n"/>
      <c r="U165" s="60" t="n"/>
      <c r="V165" s="60" t="n"/>
      <c r="W165" s="60" t="n"/>
      <c r="X165" s="60" t="n"/>
      <c r="Y165" s="60" t="n"/>
      <c r="Z165" s="60" t="n"/>
      <c r="AA165" s="60" t="n">
        <v>1</v>
      </c>
      <c r="AB165" s="60" t="n"/>
      <c r="AC165" s="60" t="n"/>
      <c r="AD165" s="60" t="n"/>
      <c r="AE165" s="60" t="n"/>
      <c r="AF165" s="60" t="n"/>
      <c r="AG165" s="60" t="n"/>
      <c r="AH165" s="60" t="n"/>
      <c r="AI165" s="60" t="n"/>
      <c r="AJ165" s="60" t="n"/>
      <c r="AK165" s="120">
        <f>IF(L165&gt;0,L165*90.44,0)+IF(M165&gt;0,M165*348.12,0)+IF(N165&gt;0,N165*151.63,0)+IF(O165&gt;0,O165*197.82,0)+IF(P165&gt;0,P165*244.09,0)+IF(Q165&gt;0,Q165*315.35,0)+IF(R165&gt;0,R165*1067.3,0)+IF(T165&gt;0,T165*567.47,0)+IF(U165&gt;0,U165*151.63,0)+IF(V165&gt;0,V165*197.84,0)+IF(W165&gt;0,W165*470.51,0)+IF(X165&gt;0,X165*701.69,0)+IF(Z165&gt;0,Z165*151.63,0)+IF(AA165&gt;0,AA165*197.84)+IF(AB165&gt;0,AB165*308.4,0)+IF(AC165&gt;0,AC165*496.16,0)</f>
        <v/>
      </c>
    </row>
    <row r="166" hidden="1">
      <c r="A166" s="58" t="inlineStr">
        <is>
          <t>SIM</t>
        </is>
      </c>
      <c r="B166" s="59">
        <f>IF(H166&lt;$B$1,"VENCIDO","NA VALIDADE")</f>
        <v/>
      </c>
      <c r="C166" s="60" t="inlineStr">
        <is>
          <t>ESTAÇÃO REP</t>
        </is>
      </c>
      <c r="D166" s="61" t="inlineStr">
        <is>
          <t>ESTAÇÃO REPETIDORA BARRA DA ESTIVA</t>
        </is>
      </c>
      <c r="E166" s="62" t="inlineStr">
        <is>
          <t>BARRA DA ESTIVA</t>
        </is>
      </c>
      <c r="F166" s="61" t="inlineStr">
        <is>
          <t>VITÓRIA DA CONQUISTA</t>
        </is>
      </c>
      <c r="G166" s="60" t="inlineStr">
        <is>
          <t>BA</t>
        </is>
      </c>
      <c r="H166" s="119" t="n">
        <v>45536</v>
      </c>
      <c r="I166" s="119">
        <f>H166-180</f>
        <v/>
      </c>
      <c r="J166" s="60">
        <f>SUM(L166:AE166)</f>
        <v/>
      </c>
      <c r="K166" s="60">
        <f>SUM(AF166:AJ166)</f>
        <v/>
      </c>
      <c r="L166" s="60" t="n"/>
      <c r="M166" s="60" t="n"/>
      <c r="N166" s="60" t="n"/>
      <c r="O166" s="60" t="n"/>
      <c r="P166" s="60" t="n"/>
      <c r="Q166" s="60" t="n"/>
      <c r="R166" s="60" t="n"/>
      <c r="S166" s="60" t="n"/>
      <c r="T166" s="60" t="n"/>
      <c r="U166" s="60" t="n"/>
      <c r="V166" s="60" t="n"/>
      <c r="W166" s="60" t="n"/>
      <c r="X166" s="60" t="n"/>
      <c r="Y166" s="60" t="n"/>
      <c r="Z166" s="60" t="n"/>
      <c r="AA166" s="60" t="n">
        <v>1</v>
      </c>
      <c r="AB166" s="60" t="n"/>
      <c r="AC166" s="60" t="n"/>
      <c r="AD166" s="60" t="n"/>
      <c r="AE166" s="60" t="n"/>
      <c r="AF166" s="60" t="n"/>
      <c r="AG166" s="60" t="n"/>
      <c r="AH166" s="60" t="n"/>
      <c r="AI166" s="60" t="n"/>
      <c r="AJ166" s="60" t="n"/>
      <c r="AK166" s="120">
        <f>IF(L166&gt;0,L166*90.44,0)+IF(M166&gt;0,M166*348.12,0)+IF(N166&gt;0,N166*151.63,0)+IF(O166&gt;0,O166*197.82,0)+IF(P166&gt;0,P166*244.09,0)+IF(Q166&gt;0,Q166*315.35,0)+IF(R166&gt;0,R166*1067.3,0)+IF(T166&gt;0,T166*567.47,0)+IF(U166&gt;0,U166*151.63,0)+IF(V166&gt;0,V166*197.84,0)+IF(W166&gt;0,W166*470.51,0)+IF(X166&gt;0,X166*701.69,0)+IF(Z166&gt;0,Z166*151.63,0)+IF(AA166&gt;0,AA166*197.84)+IF(AB166&gt;0,AB166*308.4,0)+IF(AC166&gt;0,AC166*496.16,0)</f>
        <v/>
      </c>
    </row>
    <row r="167" hidden="1">
      <c r="A167" s="58" t="inlineStr">
        <is>
          <t>rota</t>
        </is>
      </c>
      <c r="B167" s="59">
        <f>IF(H167&lt;$B$1,"VENCIDO","NA VALIDADE")</f>
        <v/>
      </c>
      <c r="C167" s="60" t="inlineStr">
        <is>
          <t>ESTAÇÃO REP</t>
        </is>
      </c>
      <c r="D167" s="61" t="inlineStr">
        <is>
          <t>ESTAÇÃO REPETIDORA REPETIDORA FAZENDA PÉ DO ALTO</t>
        </is>
      </c>
      <c r="E167" s="62" t="inlineStr">
        <is>
          <t>PÉ DO ALTO</t>
        </is>
      </c>
      <c r="F167" s="61" t="inlineStr">
        <is>
          <t>VITÓRIA DA CONQUISTA</t>
        </is>
      </c>
      <c r="G167" s="60" t="inlineStr">
        <is>
          <t>BA</t>
        </is>
      </c>
      <c r="H167" s="119" t="n">
        <v>45597</v>
      </c>
      <c r="I167" s="119">
        <f>H167-180</f>
        <v/>
      </c>
      <c r="J167" s="60">
        <f>SUM(L167:AE167)</f>
        <v/>
      </c>
      <c r="K167" s="60">
        <f>SUM(AF167:AJ167)</f>
        <v/>
      </c>
      <c r="L167" s="60" t="n"/>
      <c r="M167" s="60" t="n"/>
      <c r="N167" s="60" t="n"/>
      <c r="O167" s="60" t="n"/>
      <c r="P167" s="60" t="n"/>
      <c r="Q167" s="60" t="n"/>
      <c r="R167" s="60" t="n"/>
      <c r="S167" s="60" t="n"/>
      <c r="T167" s="60" t="n"/>
      <c r="U167" s="60" t="n"/>
      <c r="V167" s="60" t="n"/>
      <c r="W167" s="60" t="n"/>
      <c r="X167" s="60" t="n"/>
      <c r="Y167" s="60" t="n"/>
      <c r="Z167" s="60" t="n"/>
      <c r="AA167" s="60" t="n">
        <v>1</v>
      </c>
      <c r="AB167" s="60" t="n"/>
      <c r="AC167" s="60" t="n"/>
      <c r="AD167" s="60" t="n"/>
      <c r="AE167" s="60" t="n"/>
      <c r="AF167" s="60" t="n"/>
      <c r="AG167" s="60" t="n"/>
      <c r="AH167" s="60" t="n"/>
      <c r="AI167" s="60" t="n"/>
      <c r="AJ167" s="60" t="n"/>
      <c r="AK167" s="120">
        <f>IF(L167&gt;0,L167*90.44,0)+IF(M167&gt;0,M167*348.12,0)+IF(N167&gt;0,N167*151.63,0)+IF(O167&gt;0,O167*197.82,0)+IF(P167&gt;0,P167*244.09,0)+IF(Q167&gt;0,Q167*315.35,0)+IF(R167&gt;0,R167*1067.3,0)+IF(T167&gt;0,T167*567.47,0)+IF(U167&gt;0,U167*151.63,0)+IF(V167&gt;0,V167*197.84,0)+IF(W167&gt;0,W167*470.51,0)+IF(X167&gt;0,X167*701.69,0)+IF(Z167&gt;0,Z167*151.63,0)+IF(AA167&gt;0,AA167*197.84)+IF(AB167&gt;0,AB167*308.4,0)+IF(AC167&gt;0,AC167*496.16,0)</f>
        <v/>
      </c>
    </row>
    <row r="168" hidden="1">
      <c r="A168" s="58" t="inlineStr">
        <is>
          <t>SIM</t>
        </is>
      </c>
      <c r="B168" s="59">
        <f>IF(H168&lt;$B$1,"VENCIDO","NA VALIDADE")</f>
        <v/>
      </c>
      <c r="C168" s="60" t="inlineStr">
        <is>
          <t>ESTAÇÃO REP</t>
        </is>
      </c>
      <c r="D168" s="61" t="inlineStr">
        <is>
          <t>ESTAÇÃO REPETIDORA REPETIDORA GARRAFÃO</t>
        </is>
      </c>
      <c r="E168" s="62" t="inlineStr">
        <is>
          <t>PLANALTO</t>
        </is>
      </c>
      <c r="F168" s="61" t="inlineStr">
        <is>
          <t>VITÓRIA DA CONQUISTA</t>
        </is>
      </c>
      <c r="G168" s="60" t="inlineStr">
        <is>
          <t>BA</t>
        </is>
      </c>
      <c r="H168" s="119" t="n">
        <v>45566</v>
      </c>
      <c r="I168" s="119">
        <f>H168-180</f>
        <v/>
      </c>
      <c r="J168" s="60">
        <f>SUM(L168:AE168)</f>
        <v/>
      </c>
      <c r="K168" s="60">
        <f>SUM(AF168:AJ168)</f>
        <v/>
      </c>
      <c r="L168" s="60" t="n"/>
      <c r="M168" s="60" t="n"/>
      <c r="N168" s="60" t="n"/>
      <c r="O168" s="60" t="n"/>
      <c r="P168" s="60" t="n"/>
      <c r="Q168" s="60" t="n"/>
      <c r="R168" s="60" t="n"/>
      <c r="S168" s="60" t="n"/>
      <c r="T168" s="60" t="n"/>
      <c r="U168" s="60" t="n"/>
      <c r="V168" s="60" t="n"/>
      <c r="W168" s="60" t="n"/>
      <c r="X168" s="60" t="n"/>
      <c r="Y168" s="60" t="n"/>
      <c r="Z168" s="60" t="n"/>
      <c r="AA168" s="60" t="n">
        <v>1</v>
      </c>
      <c r="AB168" s="60" t="n"/>
      <c r="AC168" s="60" t="n"/>
      <c r="AD168" s="60" t="n"/>
      <c r="AE168" s="60" t="n"/>
      <c r="AF168" s="60" t="n"/>
      <c r="AG168" s="60" t="n"/>
      <c r="AH168" s="60" t="n"/>
      <c r="AI168" s="60" t="n"/>
      <c r="AJ168" s="60" t="n"/>
      <c r="AK168" s="120">
        <f>IF(L168&gt;0,L168*90.44,0)+IF(M168&gt;0,M168*348.12,0)+IF(N168&gt;0,N168*151.63,0)+IF(O168&gt;0,O168*197.82,0)+IF(P168&gt;0,P168*244.09,0)+IF(Q168&gt;0,Q168*315.35,0)+IF(R168&gt;0,R168*1067.3,0)+IF(T168&gt;0,T168*567.47,0)+IF(U168&gt;0,U168*151.63,0)+IF(V168&gt;0,V168*197.84,0)+IF(W168&gt;0,W168*470.51,0)+IF(X168&gt;0,X168*701.69,0)+IF(Z168&gt;0,Z168*151.63,0)+IF(AA168&gt;0,AA168*197.84)+IF(AB168&gt;0,AB168*308.4,0)+IF(AC168&gt;0,AC168*496.16,0)</f>
        <v/>
      </c>
    </row>
    <row r="169" hidden="1">
      <c r="A169" s="58" t="inlineStr">
        <is>
          <t>SIM</t>
        </is>
      </c>
      <c r="B169" s="59">
        <f>IF(H169&lt;$B$1,"VENCIDO","NA VALIDADE")</f>
        <v/>
      </c>
      <c r="C169" s="60" t="inlineStr">
        <is>
          <t>ESTAÇÃO REP</t>
        </is>
      </c>
      <c r="D169" s="61" t="inlineStr">
        <is>
          <t>ESTAÇÃO REPETIDORA REPETIDORA JAGUAQUARA</t>
        </is>
      </c>
      <c r="E169" s="62" t="inlineStr">
        <is>
          <t>JAGUAQUARA</t>
        </is>
      </c>
      <c r="F169" s="61" t="inlineStr">
        <is>
          <t>VITÓRIA DA CONQUISTA</t>
        </is>
      </c>
      <c r="G169" s="60" t="inlineStr">
        <is>
          <t>BA</t>
        </is>
      </c>
      <c r="H169" s="119" t="n">
        <v>45474</v>
      </c>
      <c r="I169" s="119">
        <f>H169-180</f>
        <v/>
      </c>
      <c r="J169" s="60">
        <f>SUM(L169:AE169)</f>
        <v/>
      </c>
      <c r="K169" s="60">
        <f>SUM(AF169:AJ169)</f>
        <v/>
      </c>
      <c r="L169" s="60" t="n"/>
      <c r="M169" s="60" t="n"/>
      <c r="N169" s="60" t="n"/>
      <c r="O169" s="60" t="n"/>
      <c r="P169" s="60" t="n"/>
      <c r="Q169" s="60" t="n"/>
      <c r="R169" s="60" t="n"/>
      <c r="S169" s="60" t="n"/>
      <c r="T169" s="60" t="n"/>
      <c r="U169" s="60" t="n"/>
      <c r="V169" s="60" t="n"/>
      <c r="W169" s="60" t="n"/>
      <c r="X169" s="60" t="n"/>
      <c r="Y169" s="60" t="n"/>
      <c r="Z169" s="60" t="n"/>
      <c r="AA169" s="60" t="n">
        <v>1</v>
      </c>
      <c r="AB169" s="60" t="n"/>
      <c r="AC169" s="60" t="n"/>
      <c r="AD169" s="60" t="n"/>
      <c r="AE169" s="60" t="n"/>
      <c r="AF169" s="60" t="n"/>
      <c r="AG169" s="60" t="n"/>
      <c r="AH169" s="60" t="n"/>
      <c r="AI169" s="60" t="n"/>
      <c r="AJ169" s="60" t="n"/>
      <c r="AK169" s="120">
        <f>IF(L169&gt;0,L169*90.44,0)+IF(M169&gt;0,M169*348.12,0)+IF(N169&gt;0,N169*151.63,0)+IF(O169&gt;0,O169*197.82,0)+IF(P169&gt;0,P169*244.09,0)+IF(Q169&gt;0,Q169*315.35,0)+IF(R169&gt;0,R169*1067.3,0)+IF(T169&gt;0,T169*567.47,0)+IF(U169&gt;0,U169*151.63,0)+IF(V169&gt;0,V169*197.84,0)+IF(W169&gt;0,W169*470.51,0)+IF(X169&gt;0,X169*701.69,0)+IF(Z169&gt;0,Z169*151.63,0)+IF(AA169&gt;0,AA169*197.84)+IF(AB169&gt;0,AB169*308.4,0)+IF(AC169&gt;0,AC169*496.16,0)</f>
        <v/>
      </c>
    </row>
    <row r="170" hidden="1">
      <c r="A170" s="58" t="inlineStr">
        <is>
          <t>SIM</t>
        </is>
      </c>
      <c r="B170" s="59">
        <f>IF(H170&lt;$B$1,"VENCIDO","NA VALIDADE")</f>
        <v/>
      </c>
      <c r="C170" s="60" t="inlineStr">
        <is>
          <t>ESTAÇÃO REP</t>
        </is>
      </c>
      <c r="D170" s="61" t="inlineStr">
        <is>
          <t>ESTAÇÃO REPETIDORA REPETIDORA MAGNESITA</t>
        </is>
      </c>
      <c r="E170" s="62" t="inlineStr">
        <is>
          <t>BRUMADO</t>
        </is>
      </c>
      <c r="F170" s="61" t="inlineStr">
        <is>
          <t>VITÓRIA DA CONQUISTA</t>
        </is>
      </c>
      <c r="G170" s="60" t="inlineStr">
        <is>
          <t>BA</t>
        </is>
      </c>
      <c r="H170" s="119" t="n">
        <v>45352</v>
      </c>
      <c r="I170" s="119" t="n">
        <v>45352</v>
      </c>
      <c r="J170" s="60">
        <f>SUM(L170:AE170)</f>
        <v/>
      </c>
      <c r="K170" s="60">
        <f>SUM(AF170:AJ170)</f>
        <v/>
      </c>
      <c r="L170" s="60" t="n"/>
      <c r="M170" s="60" t="n"/>
      <c r="N170" s="60" t="n"/>
      <c r="O170" s="60" t="n"/>
      <c r="P170" s="60" t="n"/>
      <c r="Q170" s="60" t="n"/>
      <c r="R170" s="60" t="n"/>
      <c r="S170" s="60" t="n"/>
      <c r="T170" s="60" t="n"/>
      <c r="U170" s="60" t="n"/>
      <c r="V170" s="60" t="n"/>
      <c r="W170" s="60" t="n"/>
      <c r="X170" s="60" t="n"/>
      <c r="Y170" s="60" t="n"/>
      <c r="Z170" s="60" t="n"/>
      <c r="AA170" s="60" t="n">
        <v>1</v>
      </c>
      <c r="AB170" s="60" t="n"/>
      <c r="AC170" s="60" t="n"/>
      <c r="AD170" s="60" t="n"/>
      <c r="AE170" s="60" t="n"/>
      <c r="AF170" s="60" t="n"/>
      <c r="AG170" s="60" t="n"/>
      <c r="AH170" s="60" t="n"/>
      <c r="AI170" s="60" t="n"/>
      <c r="AJ170" s="60" t="n"/>
      <c r="AK170" s="120">
        <f>IF(L170&gt;0,L170*90.44,0)+IF(M170&gt;0,M170*348.12,0)+IF(N170&gt;0,N170*151.63,0)+IF(O170&gt;0,O170*197.82,0)+IF(P170&gt;0,P170*244.09,0)+IF(Q170&gt;0,Q170*315.35,0)+IF(R170&gt;0,R170*1067.3,0)+IF(T170&gt;0,T170*567.47,0)+IF(U170&gt;0,U170*151.63,0)+IF(V170&gt;0,V170*197.84,0)+IF(W170&gt;0,W170*470.51,0)+IF(X170&gt;0,X170*701.69,0)+IF(Z170&gt;0,Z170*151.63,0)+IF(AA170&gt;0,AA170*197.84)+IF(AB170&gt;0,AB170*308.4,0)+IF(AC170&gt;0,AC170*496.16,0)</f>
        <v/>
      </c>
    </row>
    <row r="171" hidden="1">
      <c r="A171" s="58" t="inlineStr">
        <is>
          <t>SIM</t>
        </is>
      </c>
      <c r="B171" s="59">
        <f>IF(H171&lt;$B$1,"VENCIDO","NA VALIDADE")</f>
        <v/>
      </c>
      <c r="C171" s="60" t="inlineStr">
        <is>
          <t>SUBESTAÇÃO</t>
        </is>
      </c>
      <c r="D171" s="61" t="inlineStr">
        <is>
          <t>SE CAMAMU</t>
        </is>
      </c>
      <c r="E171" s="62" t="inlineStr">
        <is>
          <t>CAMAMU</t>
        </is>
      </c>
      <c r="F171" s="61" t="inlineStr">
        <is>
          <t>ILHÉUS</t>
        </is>
      </c>
      <c r="G171" s="60" t="inlineStr">
        <is>
          <t>BA</t>
        </is>
      </c>
      <c r="H171" s="119" t="n">
        <v>45566</v>
      </c>
      <c r="I171" s="119">
        <f>H171-180</f>
        <v/>
      </c>
      <c r="J171" s="60">
        <f>SUM(L171:AE171)</f>
        <v/>
      </c>
      <c r="K171" s="60">
        <f>SUM(AF171:AJ171)</f>
        <v/>
      </c>
      <c r="L171" s="60" t="n"/>
      <c r="M171" s="60" t="n"/>
      <c r="N171" s="60" t="n"/>
      <c r="O171" s="60" t="n"/>
      <c r="P171" s="60" t="n"/>
      <c r="Q171" s="60" t="n">
        <v>5</v>
      </c>
      <c r="R171" s="60" t="n"/>
      <c r="S171" s="60" t="n"/>
      <c r="T171" s="60" t="n"/>
      <c r="U171" s="60" t="n"/>
      <c r="V171" s="60" t="n"/>
      <c r="W171" s="60" t="n"/>
      <c r="X171" s="60" t="n"/>
      <c r="Y171" s="60" t="n"/>
      <c r="Z171" s="60" t="n"/>
      <c r="AA171" s="60" t="n">
        <v>1</v>
      </c>
      <c r="AB171" s="60" t="n"/>
      <c r="AC171" s="60" t="n"/>
      <c r="AD171" s="60" t="n"/>
      <c r="AE171" s="60" t="n"/>
      <c r="AF171" s="60" t="n"/>
      <c r="AG171" s="60" t="n"/>
      <c r="AH171" s="60" t="n"/>
      <c r="AI171" s="60" t="n"/>
      <c r="AJ171" s="60" t="n"/>
      <c r="AK171" s="120">
        <f>IF(L171&gt;0,L171*90.44,0)+IF(M171&gt;0,M171*348.12,0)+IF(N171&gt;0,N171*151.63,0)+IF(O171&gt;0,O171*197.82,0)+IF(P171&gt;0,P171*244.09,0)+IF(Q171&gt;0,Q171*315.35,0)+IF(R171&gt;0,R171*1067.3,0)+IF(T171&gt;0,T171*567.47,0)+IF(U171&gt;0,U171*151.63,0)+IF(V171&gt;0,V171*197.84,0)+IF(W171&gt;0,W171*470.51,0)+IF(X171&gt;0,X171*701.69,0)+IF(Z171&gt;0,Z171*151.63,0)+IF(AA171&gt;0,AA171*197.84)+IF(AB171&gt;0,AB171*308.4,0)+IF(AC171&gt;0,AC171*496.16,0)</f>
        <v/>
      </c>
    </row>
    <row r="172" hidden="1">
      <c r="A172" s="58" t="n"/>
      <c r="B172" s="59">
        <f>IF(H172&lt;$B$1,"VENCIDO","NA VALIDADE")</f>
        <v/>
      </c>
      <c r="C172" s="60" t="inlineStr">
        <is>
          <t>ESTAÇÃO REP</t>
        </is>
      </c>
      <c r="D172" s="61" t="inlineStr">
        <is>
          <t>ESTAÇÃO REPETIDORA ORIENTE</t>
        </is>
      </c>
      <c r="E172" s="62" t="inlineStr">
        <is>
          <t>POÇOÊS</t>
        </is>
      </c>
      <c r="F172" s="61" t="inlineStr">
        <is>
          <t>VITÓRIA DA CONQUISTA</t>
        </is>
      </c>
      <c r="G172" s="60" t="inlineStr">
        <is>
          <t>BA</t>
        </is>
      </c>
      <c r="H172" s="119" t="n">
        <v>45627</v>
      </c>
      <c r="I172" s="119">
        <f>H172-180</f>
        <v/>
      </c>
      <c r="J172" s="60">
        <f>SUM(L172:AE172)</f>
        <v/>
      </c>
      <c r="K172" s="60">
        <f>SUM(AF172:AJ172)</f>
        <v/>
      </c>
      <c r="L172" s="60" t="n"/>
      <c r="M172" s="60" t="n"/>
      <c r="N172" s="60" t="n"/>
      <c r="O172" s="60" t="n"/>
      <c r="P172" s="60" t="n"/>
      <c r="Q172" s="60" t="n"/>
      <c r="R172" s="60" t="n"/>
      <c r="S172" s="60" t="n"/>
      <c r="T172" s="60" t="n"/>
      <c r="U172" s="60" t="n"/>
      <c r="V172" s="60" t="n"/>
      <c r="W172" s="60" t="n"/>
      <c r="X172" s="60" t="n"/>
      <c r="Y172" s="60" t="n"/>
      <c r="Z172" s="60" t="n"/>
      <c r="AA172" s="60" t="n">
        <v>1</v>
      </c>
      <c r="AB172" s="60" t="n"/>
      <c r="AC172" s="60" t="n"/>
      <c r="AD172" s="60" t="n"/>
      <c r="AE172" s="60" t="n"/>
      <c r="AF172" s="60" t="n"/>
      <c r="AG172" s="60" t="n"/>
      <c r="AH172" s="60" t="n"/>
      <c r="AI172" s="60" t="n"/>
      <c r="AJ172" s="60" t="n"/>
      <c r="AK172" s="120">
        <f>IF(L172&gt;0,L172*90.44,0)+IF(M172&gt;0,M172*348.12,0)+IF(N172&gt;0,N172*151.63,0)+IF(O172&gt;0,O172*197.82,0)+IF(P172&gt;0,P172*244.09,0)+IF(Q172&gt;0,Q172*315.35,0)+IF(R172&gt;0,R172*1067.3,0)+IF(T172&gt;0,T172*567.47,0)+IF(U172&gt;0,U172*151.63,0)+IF(V172&gt;0,V172*197.84,0)+IF(W172&gt;0,W172*470.51,0)+IF(X172&gt;0,X172*701.69,0)+IF(Z172&gt;0,Z172*151.63,0)+IF(AA172&gt;0,AA172*197.84)+IF(AB172&gt;0,AB172*308.4,0)+IF(AC172&gt;0,AC172*496.16,0)</f>
        <v/>
      </c>
    </row>
    <row r="173" hidden="1">
      <c r="A173" s="58" t="inlineStr">
        <is>
          <t>SIM</t>
        </is>
      </c>
      <c r="B173" s="59">
        <f>IF(H173&lt;$B$1,"VENCIDO","NA VALIDADE")</f>
        <v/>
      </c>
      <c r="C173" s="60" t="inlineStr">
        <is>
          <t>ESTAÇÃO REP</t>
        </is>
      </c>
      <c r="D173" s="61" t="inlineStr">
        <is>
          <t>ESTAÇÃO REPETIDORA  PARAFUSO</t>
        </is>
      </c>
      <c r="E173" s="62" t="inlineStr">
        <is>
          <t>PLANALTO</t>
        </is>
      </c>
      <c r="F173" s="61" t="inlineStr">
        <is>
          <t>VITÓRIA DA CONQUISTA</t>
        </is>
      </c>
      <c r="G173" s="60" t="inlineStr">
        <is>
          <t>BA</t>
        </is>
      </c>
      <c r="H173" s="119" t="n">
        <v>45444</v>
      </c>
      <c r="I173" s="119" t="n">
        <v>45444</v>
      </c>
      <c r="J173" s="60">
        <f>SUM(L173:AE173)</f>
        <v/>
      </c>
      <c r="K173" s="60">
        <f>SUM(AF173:AJ173)</f>
        <v/>
      </c>
      <c r="L173" s="60" t="n"/>
      <c r="M173" s="60" t="n"/>
      <c r="N173" s="60" t="n"/>
      <c r="O173" s="60" t="n"/>
      <c r="P173" s="60" t="n"/>
      <c r="Q173" s="60" t="n"/>
      <c r="R173" s="60" t="n"/>
      <c r="S173" s="60" t="n"/>
      <c r="T173" s="60" t="n"/>
      <c r="U173" s="60" t="n"/>
      <c r="V173" s="60" t="n"/>
      <c r="W173" s="60" t="n"/>
      <c r="X173" s="60" t="n"/>
      <c r="Y173" s="60" t="n"/>
      <c r="Z173" s="60" t="n"/>
      <c r="AA173" s="60" t="n">
        <v>1</v>
      </c>
      <c r="AB173" s="60" t="n"/>
      <c r="AC173" s="60" t="n"/>
      <c r="AD173" s="60" t="n"/>
      <c r="AE173" s="60" t="n"/>
      <c r="AF173" s="60" t="n"/>
      <c r="AG173" s="60" t="n"/>
      <c r="AH173" s="60" t="n"/>
      <c r="AI173" s="60" t="n"/>
      <c r="AJ173" s="60" t="n"/>
      <c r="AK173" s="120">
        <f>IF(L173&gt;0,L173*90.44,0)+IF(M173&gt;0,M173*348.12,0)+IF(N173&gt;0,N173*151.63,0)+IF(O173&gt;0,O173*197.82,0)+IF(P173&gt;0,P173*244.09,0)+IF(Q173&gt;0,Q173*315.35,0)+IF(R173&gt;0,R173*1067.3,0)+IF(T173&gt;0,T173*567.47,0)+IF(U173&gt;0,U173*151.63,0)+IF(V173&gt;0,V173*197.84,0)+IF(W173&gt;0,W173*470.51,0)+IF(X173&gt;0,X173*701.69,0)+IF(Z173&gt;0,Z173*151.63,0)+IF(AA173&gt;0,AA173*197.84)+IF(AB173&gt;0,AB173*308.4,0)+IF(AC173&gt;0,AC173*496.16,0)</f>
        <v/>
      </c>
    </row>
    <row r="174" hidden="1">
      <c r="A174" s="58" t="inlineStr">
        <is>
          <t>SIM</t>
        </is>
      </c>
      <c r="B174" s="59">
        <f>IF(H174&lt;$B$1,"VENCIDO","NA VALIDADE")</f>
        <v/>
      </c>
      <c r="C174" s="60" t="inlineStr">
        <is>
          <t>ESTAÇÃO REP</t>
        </is>
      </c>
      <c r="D174" s="61" t="inlineStr">
        <is>
          <t>ESTAÇÃO REPETIDORA RIACHO DE SANTANA</t>
        </is>
      </c>
      <c r="E174" s="62" t="inlineStr">
        <is>
          <t>RIACHO DE SANTANA</t>
        </is>
      </c>
      <c r="F174" s="61" t="inlineStr">
        <is>
          <t>VITÓRIA DA CONQUISTA</t>
        </is>
      </c>
      <c r="G174" s="60" t="inlineStr">
        <is>
          <t>BA</t>
        </is>
      </c>
      <c r="H174" s="119" t="n">
        <v>45323</v>
      </c>
      <c r="I174" s="119">
        <f>H174-180</f>
        <v/>
      </c>
      <c r="J174" s="60">
        <f>SUM(L174:AE174)</f>
        <v/>
      </c>
      <c r="K174" s="60">
        <f>SUM(AF174:AJ174)</f>
        <v/>
      </c>
      <c r="L174" s="60" t="n"/>
      <c r="M174" s="60" t="n"/>
      <c r="N174" s="60" t="n"/>
      <c r="O174" s="60" t="n"/>
      <c r="P174" s="60" t="n"/>
      <c r="Q174" s="60" t="n"/>
      <c r="R174" s="60" t="n"/>
      <c r="S174" s="60" t="n"/>
      <c r="T174" s="60" t="n"/>
      <c r="U174" s="60" t="n"/>
      <c r="V174" s="60" t="n"/>
      <c r="W174" s="60" t="n"/>
      <c r="X174" s="60" t="n"/>
      <c r="Y174" s="60" t="n"/>
      <c r="Z174" s="60" t="n"/>
      <c r="AA174" s="60" t="n">
        <v>1</v>
      </c>
      <c r="AB174" s="60" t="n"/>
      <c r="AC174" s="60" t="n"/>
      <c r="AD174" s="60" t="n"/>
      <c r="AE174" s="60" t="n"/>
      <c r="AF174" s="60" t="n"/>
      <c r="AG174" s="60" t="n"/>
      <c r="AH174" s="60" t="n"/>
      <c r="AI174" s="60" t="n"/>
      <c r="AJ174" s="60" t="n"/>
      <c r="AK174" s="120">
        <f>IF(L174&gt;0,L174*90.44,0)+IF(M174&gt;0,M174*348.12,0)+IF(N174&gt;0,N174*151.63,0)+IF(O174&gt;0,O174*197.82,0)+IF(P174&gt;0,P174*244.09,0)+IF(Q174&gt;0,Q174*315.35,0)+IF(R174&gt;0,R174*1067.3,0)+IF(T174&gt;0,T174*567.47,0)+IF(U174&gt;0,U174*151.63,0)+IF(V174&gt;0,V174*197.84,0)+IF(W174&gt;0,W174*470.51,0)+IF(X174&gt;0,X174*701.69,0)+IF(Z174&gt;0,Z174*151.63,0)+IF(AA174&gt;0,AA174*197.84)+IF(AB174&gt;0,AB174*308.4,0)+IF(AC174&gt;0,AC174*496.16,0)</f>
        <v/>
      </c>
    </row>
    <row r="175" hidden="1">
      <c r="A175" s="58" t="n"/>
      <c r="B175" s="59">
        <f>IF(H175&lt;$B$1,"VENCIDO","NA VALIDADE")</f>
        <v/>
      </c>
      <c r="C175" s="60" t="inlineStr">
        <is>
          <t>ESTAÇÃO REP</t>
        </is>
      </c>
      <c r="D175" s="61" t="inlineStr">
        <is>
          <t>ESTAÇÃO REPETIDORA SALA TELECOM SE JEQUIÉ II</t>
        </is>
      </c>
      <c r="E175" s="62" t="inlineStr">
        <is>
          <t>JEQUIÉ</t>
        </is>
      </c>
      <c r="F175" s="61" t="inlineStr">
        <is>
          <t>VITÓRIA DA CONQUISTA</t>
        </is>
      </c>
      <c r="G175" s="60" t="inlineStr">
        <is>
          <t>BA</t>
        </is>
      </c>
      <c r="H175" s="119" t="n">
        <v>45566</v>
      </c>
      <c r="I175" s="119" t="n">
        <v>45566</v>
      </c>
      <c r="J175" s="60">
        <f>SUM(L175:AE175)</f>
        <v/>
      </c>
      <c r="K175" s="60">
        <f>SUM(AF175:AJ175)</f>
        <v/>
      </c>
      <c r="L175" s="60" t="n"/>
      <c r="M175" s="60" t="n"/>
      <c r="N175" s="60" t="n"/>
      <c r="O175" s="60" t="n"/>
      <c r="P175" s="60" t="n"/>
      <c r="Q175" s="60" t="n"/>
      <c r="R175" s="60" t="n"/>
      <c r="S175" s="60" t="n"/>
      <c r="T175" s="60" t="n"/>
      <c r="U175" s="60" t="n"/>
      <c r="V175" s="60" t="n"/>
      <c r="W175" s="60" t="n"/>
      <c r="X175" s="60" t="n"/>
      <c r="Y175" s="60" t="n"/>
      <c r="Z175" s="60" t="n"/>
      <c r="AA175" s="60" t="n">
        <v>1</v>
      </c>
      <c r="AB175" s="60" t="n"/>
      <c r="AC175" s="60" t="n"/>
      <c r="AD175" s="60" t="n"/>
      <c r="AE175" s="60" t="n"/>
      <c r="AF175" s="60" t="n"/>
      <c r="AG175" s="60" t="n"/>
      <c r="AH175" s="60" t="n"/>
      <c r="AI175" s="60" t="n"/>
      <c r="AJ175" s="60" t="n"/>
      <c r="AK175" s="120">
        <f>IF(L175&gt;0,L175*90.44,0)+IF(M175&gt;0,M175*348.12,0)+IF(N175&gt;0,N175*151.63,0)+IF(O175&gt;0,O175*197.82,0)+IF(P175&gt;0,P175*244.09,0)+IF(Q175&gt;0,Q175*315.35,0)+IF(R175&gt;0,R175*1067.3,0)+IF(T175&gt;0,T175*567.47,0)+IF(U175&gt;0,U175*151.63,0)+IF(V175&gt;0,V175*197.84,0)+IF(W175&gt;0,W175*470.51,0)+IF(X175&gt;0,X175*701.69,0)+IF(Z175&gt;0,Z175*151.63,0)+IF(AA175&gt;0,AA175*197.84)+IF(AB175&gt;0,AB175*308.4,0)+IF(AC175&gt;0,AC175*496.16,0)</f>
        <v/>
      </c>
    </row>
    <row r="176">
      <c r="A176" s="58" t="n"/>
      <c r="B176" s="59">
        <f>IF(H176&lt;$B$1,"VENCIDO","NA VALIDADE")</f>
        <v/>
      </c>
      <c r="C176" s="60" t="inlineStr">
        <is>
          <t>ESTAÇÃO REP</t>
        </is>
      </c>
      <c r="D176" s="61" t="inlineStr">
        <is>
          <t>ESTAÇÃO REPETIDORA SANTA TEREZINHA</t>
        </is>
      </c>
      <c r="E176" s="62" t="inlineStr">
        <is>
          <t>SANTA TEREZINHA</t>
        </is>
      </c>
      <c r="F176" s="61" t="inlineStr">
        <is>
          <t>FEIRA DE  SANTANA</t>
        </is>
      </c>
      <c r="G176" s="60" t="inlineStr">
        <is>
          <t>BA</t>
        </is>
      </c>
      <c r="H176" s="119" t="n">
        <v>45474</v>
      </c>
      <c r="I176" s="119">
        <f>H176-180</f>
        <v/>
      </c>
      <c r="J176" s="60">
        <f>SUM(L176:AE176)</f>
        <v/>
      </c>
      <c r="K176" s="60">
        <f>SUM(AF176:AJ176)</f>
        <v/>
      </c>
      <c r="L176" s="60" t="n"/>
      <c r="M176" s="60" t="n"/>
      <c r="N176" s="60" t="n"/>
      <c r="O176" s="60" t="n">
        <v>1</v>
      </c>
      <c r="P176" s="60" t="n"/>
      <c r="Q176" s="60" t="n"/>
      <c r="R176" s="60" t="n"/>
      <c r="S176" s="60" t="n"/>
      <c r="T176" s="60" t="n"/>
      <c r="U176" s="60" t="n"/>
      <c r="V176" s="60" t="n"/>
      <c r="W176" s="60" t="n"/>
      <c r="X176" s="60" t="n"/>
      <c r="Y176" s="60" t="n"/>
      <c r="Z176" s="60" t="n"/>
      <c r="AA176" s="60" t="n"/>
      <c r="AB176" s="60" t="n"/>
      <c r="AC176" s="60" t="n"/>
      <c r="AD176" s="60" t="n"/>
      <c r="AE176" s="60" t="n"/>
      <c r="AF176" s="60" t="n"/>
      <c r="AG176" s="60" t="n"/>
      <c r="AH176" s="60" t="n"/>
      <c r="AI176" s="60" t="n"/>
      <c r="AJ176" s="60" t="n"/>
      <c r="AK176" s="120">
        <f>IF(L176&gt;0,L176*90.44,0)+IF(M176&gt;0,M176*348.12,0)+IF(N176&gt;0,N176*151.63,0)+IF(O176&gt;0,O176*197.82,0)+IF(P176&gt;0,P176*244.09,0)+IF(Q176&gt;0,Q176*315.35,0)+IF(R176&gt;0,R176*1067.3,0)+IF(T176&gt;0,T176*567.47,0)+IF(U176&gt;0,U176*151.63,0)+IF(V176&gt;0,V176*197.84,0)+IF(W176&gt;0,W176*470.51,0)+IF(X176&gt;0,X176*701.69,0)+IF(Z176&gt;0,Z176*151.63,0)+IF(AA176&gt;0,AA176*197.84)+IF(AB176&gt;0,AB176*308.4,0)+IF(AC176&gt;0,AC176*496.16,0)</f>
        <v/>
      </c>
    </row>
    <row r="177">
      <c r="A177" s="58" t="inlineStr">
        <is>
          <t>SIM</t>
        </is>
      </c>
      <c r="B177" s="59">
        <f>IF(H177&lt;$B$1,"VENCIDO","NA VALIDADE")</f>
        <v/>
      </c>
      <c r="C177" s="60" t="inlineStr">
        <is>
          <t>ESTAÇÃO REP</t>
        </is>
      </c>
      <c r="D177" s="61" t="inlineStr">
        <is>
          <t>ESTAÇÃO REPETIDORA SENHOR DO BONFIM</t>
        </is>
      </c>
      <c r="E177" s="62" t="inlineStr">
        <is>
          <t>SENHOR DO BONFIM</t>
        </is>
      </c>
      <c r="F177" s="61" t="inlineStr">
        <is>
          <t>FEIRA DE  SANTANA</t>
        </is>
      </c>
      <c r="G177" s="60" t="inlineStr">
        <is>
          <t>BA</t>
        </is>
      </c>
      <c r="H177" s="119" t="n">
        <v>45292</v>
      </c>
      <c r="I177" s="119" t="n">
        <v>45292</v>
      </c>
      <c r="J177" s="60">
        <f>SUM(L177:AE177)</f>
        <v/>
      </c>
      <c r="K177" s="60">
        <f>SUM(AF177:AJ177)</f>
        <v/>
      </c>
      <c r="L177" s="60" t="n"/>
      <c r="M177" s="60" t="n"/>
      <c r="N177" s="60" t="n"/>
      <c r="O177" s="60" t="n"/>
      <c r="P177" s="60" t="n"/>
      <c r="Q177" s="60" t="n"/>
      <c r="R177" s="60" t="n"/>
      <c r="S177" s="60" t="n"/>
      <c r="T177" s="60" t="n"/>
      <c r="U177" s="60" t="n"/>
      <c r="V177" s="60" t="n"/>
      <c r="W177" s="60" t="n"/>
      <c r="X177" s="60" t="n"/>
      <c r="Y177" s="60" t="n"/>
      <c r="Z177" s="60" t="n"/>
      <c r="AA177" s="60" t="n">
        <v>1</v>
      </c>
      <c r="AB177" s="60" t="n"/>
      <c r="AC177" s="60" t="n"/>
      <c r="AD177" s="60" t="n"/>
      <c r="AE177" s="60" t="n"/>
      <c r="AF177" s="60" t="n"/>
      <c r="AG177" s="60" t="n"/>
      <c r="AH177" s="60" t="n"/>
      <c r="AI177" s="60" t="n"/>
      <c r="AJ177" s="60" t="n"/>
      <c r="AK177" s="120">
        <f>IF(L177&gt;0,L177*90.44,0)+IF(M177&gt;0,M177*348.12,0)+IF(N177&gt;0,N177*151.63,0)+IF(O177&gt;0,O177*197.82,0)+IF(P177&gt;0,P177*244.09,0)+IF(Q177&gt;0,Q177*315.35,0)+IF(R177&gt;0,R177*1067.3,0)+IF(T177&gt;0,T177*567.47,0)+IF(U177&gt;0,U177*151.63,0)+IF(V177&gt;0,V177*197.84,0)+IF(W177&gt;0,W177*470.51,0)+IF(X177&gt;0,X177*701.69,0)+IF(Z177&gt;0,Z177*151.63,0)+IF(AA177&gt;0,AA177*197.84)+IF(AB177&gt;0,AB177*308.4,0)+IF(AC177&gt;0,AC177*496.16,0)</f>
        <v/>
      </c>
    </row>
    <row r="178">
      <c r="A178" s="58" t="n"/>
      <c r="B178" s="59">
        <f>IF(H178&lt;$B$1,"VENCIDO","NA VALIDADE")</f>
        <v/>
      </c>
      <c r="C178" s="60" t="inlineStr">
        <is>
          <t>ESTAÇÃO REP</t>
        </is>
      </c>
      <c r="D178" s="61" t="inlineStr">
        <is>
          <t>ESTAÇÃO REPETIDORA SERRINHA</t>
        </is>
      </c>
      <c r="E178" s="62" t="inlineStr">
        <is>
          <t>SERRINHA</t>
        </is>
      </c>
      <c r="F178" s="61" t="inlineStr">
        <is>
          <t>FEIRA DE  SANTANA</t>
        </is>
      </c>
      <c r="G178" s="60" t="inlineStr">
        <is>
          <t>BA</t>
        </is>
      </c>
      <c r="H178" s="119" t="n">
        <v>45536</v>
      </c>
      <c r="I178" s="119">
        <f>H178-180</f>
        <v/>
      </c>
      <c r="J178" s="60">
        <f>SUM(L178:AE178)</f>
        <v/>
      </c>
      <c r="K178" s="60">
        <f>SUM(AF178:AJ178)</f>
        <v/>
      </c>
      <c r="L178" s="60" t="n"/>
      <c r="M178" s="60" t="n"/>
      <c r="N178" s="60" t="n"/>
      <c r="O178" s="60" t="n"/>
      <c r="P178" s="60" t="n"/>
      <c r="Q178" s="60" t="n">
        <v>1</v>
      </c>
      <c r="R178" s="60" t="n"/>
      <c r="S178" s="60" t="n"/>
      <c r="T178" s="60" t="n"/>
      <c r="U178" s="60" t="n"/>
      <c r="V178" s="60" t="n"/>
      <c r="W178" s="60" t="n"/>
      <c r="X178" s="60" t="n"/>
      <c r="Y178" s="60" t="n"/>
      <c r="Z178" s="60" t="n"/>
      <c r="AA178" s="60" t="n">
        <v>1</v>
      </c>
      <c r="AB178" s="60" t="n"/>
      <c r="AC178" s="60" t="n"/>
      <c r="AD178" s="60" t="n"/>
      <c r="AE178" s="60" t="n"/>
      <c r="AF178" s="60" t="n"/>
      <c r="AG178" s="60" t="n"/>
      <c r="AH178" s="60" t="n"/>
      <c r="AI178" s="60" t="n"/>
      <c r="AJ178" s="60" t="n"/>
      <c r="AK178" s="120">
        <f>IF(L178&gt;0,L178*90.44,0)+IF(M178&gt;0,M178*348.12,0)+IF(N178&gt;0,N178*151.63,0)+IF(O178&gt;0,O178*197.82,0)+IF(P178&gt;0,P178*244.09,0)+IF(Q178&gt;0,Q178*315.35,0)+IF(R178&gt;0,R178*1067.3,0)+IF(T178&gt;0,T178*567.47,0)+IF(U178&gt;0,U178*151.63,0)+IF(V178&gt;0,V178*197.84,0)+IF(W178&gt;0,W178*470.51,0)+IF(X178&gt;0,X178*701.69,0)+IF(Z178&gt;0,Z178*151.63,0)+IF(AA178&gt;0,AA178*197.84)+IF(AB178&gt;0,AB178*308.4,0)+IF(AC178&gt;0,AC178*496.16,0)</f>
        <v/>
      </c>
    </row>
    <row r="179" hidden="1">
      <c r="A179" s="58" t="n"/>
      <c r="B179" s="59">
        <f>IF(H179&lt;$B$1,"VENCIDO","NA VALIDADE")</f>
        <v/>
      </c>
      <c r="C179" s="60" t="inlineStr">
        <is>
          <t>ESTAÇÃO REP</t>
        </is>
      </c>
      <c r="D179" s="61" t="inlineStr">
        <is>
          <t>ESTAÇÃO REPETIDORA SIT SE VITORIA DA CONQUISTA</t>
        </is>
      </c>
      <c r="E179" s="62" t="inlineStr">
        <is>
          <t>VITÓRIA DA CONQUISTA</t>
        </is>
      </c>
      <c r="F179" s="61" t="inlineStr">
        <is>
          <t>VITÓRIA DA CONQUISTA</t>
        </is>
      </c>
      <c r="G179" s="60" t="inlineStr">
        <is>
          <t>BA</t>
        </is>
      </c>
      <c r="H179" s="119" t="n">
        <v>45444</v>
      </c>
      <c r="I179" s="119" t="n">
        <v>45444</v>
      </c>
      <c r="J179" s="60">
        <f>SUM(L179:AE179)</f>
        <v/>
      </c>
      <c r="K179" s="60">
        <f>SUM(AF179:AJ179)</f>
        <v/>
      </c>
      <c r="L179" s="60" t="n"/>
      <c r="M179" s="60" t="n"/>
      <c r="N179" s="60" t="n"/>
      <c r="O179" s="60" t="n"/>
      <c r="P179" s="60" t="n"/>
      <c r="Q179" s="60" t="n"/>
      <c r="R179" s="60" t="n"/>
      <c r="S179" s="60" t="n"/>
      <c r="T179" s="60" t="n"/>
      <c r="U179" s="60" t="n"/>
      <c r="V179" s="60" t="n"/>
      <c r="W179" s="60" t="n"/>
      <c r="X179" s="60" t="n"/>
      <c r="Y179" s="60" t="n"/>
      <c r="Z179" s="60" t="n"/>
      <c r="AA179" s="60" t="n">
        <v>1</v>
      </c>
      <c r="AB179" s="60" t="n"/>
      <c r="AC179" s="60" t="n"/>
      <c r="AD179" s="60" t="n"/>
      <c r="AE179" s="60" t="n"/>
      <c r="AF179" s="60" t="n"/>
      <c r="AG179" s="60" t="n"/>
      <c r="AH179" s="60" t="n"/>
      <c r="AI179" s="60" t="n"/>
      <c r="AJ179" s="60" t="n"/>
      <c r="AK179" s="120">
        <f>IF(L179&gt;0,L179*90.44,0)+IF(M179&gt;0,M179*348.12,0)+IF(N179&gt;0,N179*151.63,0)+IF(O179&gt;0,O179*197.82,0)+IF(P179&gt;0,P179*244.09,0)+IF(Q179&gt;0,Q179*315.35,0)+IF(R179&gt;0,R179*1067.3,0)+IF(T179&gt;0,T179*567.47,0)+IF(U179&gt;0,U179*151.63,0)+IF(V179&gt;0,V179*197.84,0)+IF(W179&gt;0,W179*470.51,0)+IF(X179&gt;0,X179*701.69,0)+IF(Z179&gt;0,Z179*151.63,0)+IF(AA179&gt;0,AA179*197.84)+IF(AB179&gt;0,AB179*308.4,0)+IF(AC179&gt;0,AC179*496.16,0)</f>
        <v/>
      </c>
    </row>
    <row r="180" hidden="1">
      <c r="A180" s="58" t="n"/>
      <c r="B180" s="59">
        <f>IF(H180&lt;$B$1,"VENCIDO","NA VALIDADE")</f>
        <v/>
      </c>
      <c r="C180" s="60" t="inlineStr">
        <is>
          <t>SUBESTAÇÃO</t>
        </is>
      </c>
      <c r="D180" s="61" t="inlineStr">
        <is>
          <t>SE GANDÚ</t>
        </is>
      </c>
      <c r="E180" s="62" t="inlineStr">
        <is>
          <t>GANDÚ</t>
        </is>
      </c>
      <c r="F180" s="61" t="inlineStr">
        <is>
          <t>ILHÉUS</t>
        </is>
      </c>
      <c r="G180" s="60" t="inlineStr">
        <is>
          <t>BA</t>
        </is>
      </c>
      <c r="H180" s="119" t="n">
        <v>45566</v>
      </c>
      <c r="I180" s="119">
        <f>H180-180</f>
        <v/>
      </c>
      <c r="J180" s="60">
        <f>SUM(L180:AE180)</f>
        <v/>
      </c>
      <c r="K180" s="60">
        <f>SUM(AF180:AJ180)</f>
        <v/>
      </c>
      <c r="L180" s="60" t="n"/>
      <c r="M180" s="60" t="n"/>
      <c r="N180" s="60" t="n"/>
      <c r="O180" s="60" t="n"/>
      <c r="P180" s="60" t="n"/>
      <c r="Q180" s="60" t="n">
        <v>1</v>
      </c>
      <c r="R180" s="60" t="n"/>
      <c r="S180" s="60" t="n"/>
      <c r="T180" s="60" t="n"/>
      <c r="U180" s="60" t="n"/>
      <c r="V180" s="60" t="n"/>
      <c r="W180" s="60" t="n"/>
      <c r="X180" s="60" t="n"/>
      <c r="Y180" s="60" t="n"/>
      <c r="Z180" s="60" t="n"/>
      <c r="AA180" s="60" t="n">
        <v>1</v>
      </c>
      <c r="AB180" s="60" t="n"/>
      <c r="AC180" s="60" t="n"/>
      <c r="AD180" s="60" t="n"/>
      <c r="AE180" s="60" t="n"/>
      <c r="AF180" s="60" t="n"/>
      <c r="AG180" s="60" t="n"/>
      <c r="AH180" s="60" t="n"/>
      <c r="AI180" s="60" t="n"/>
      <c r="AJ180" s="60" t="n"/>
      <c r="AK180" s="120">
        <f>IF(L180&gt;0,L180*90.44,0)+IF(M180&gt;0,M180*348.12,0)+IF(N180&gt;0,N180*151.63,0)+IF(O180&gt;0,O180*197.82,0)+IF(P180&gt;0,P180*244.09,0)+IF(Q180&gt;0,Q180*315.35,0)+IF(R180&gt;0,R180*1067.3,0)+IF(T180&gt;0,T180*567.47,0)+IF(U180&gt;0,U180*151.63,0)+IF(V180&gt;0,V180*197.84,0)+IF(W180&gt;0,W180*470.51,0)+IF(X180&gt;0,X180*701.69,0)+IF(Z180&gt;0,Z180*151.63,0)+IF(AA180&gt;0,AA180*197.84)+IF(AB180&gt;0,AB180*308.4,0)+IF(AC180&gt;0,AC180*496.16,0)</f>
        <v/>
      </c>
    </row>
    <row r="181" hidden="1">
      <c r="A181" s="58" t="inlineStr">
        <is>
          <t>1 DEZ VI</t>
        </is>
      </c>
      <c r="B181" s="59">
        <f>IF(H181&lt;$B$1,"VENCIDO","NA VALIDADE")</f>
        <v/>
      </c>
      <c r="C181" s="60" t="inlineStr">
        <is>
          <t>SUBESTAÇÃO</t>
        </is>
      </c>
      <c r="D181" s="61" t="inlineStr">
        <is>
          <t>SE MORRO DE SÃO PAULO</t>
        </is>
      </c>
      <c r="E181" s="62" t="inlineStr">
        <is>
          <t>MORRO DE SÃO PAULO</t>
        </is>
      </c>
      <c r="F181" s="61" t="inlineStr">
        <is>
          <t>ILHÉUS</t>
        </is>
      </c>
      <c r="G181" s="60" t="inlineStr">
        <is>
          <t>BA</t>
        </is>
      </c>
      <c r="H181" s="119" t="n">
        <v>45597</v>
      </c>
      <c r="I181" s="119">
        <f>H181-180</f>
        <v/>
      </c>
      <c r="J181" s="60">
        <f>SUM(L181:AE181)</f>
        <v/>
      </c>
      <c r="K181" s="60">
        <f>SUM(AF181:AJ181)</f>
        <v/>
      </c>
      <c r="L181" s="60" t="n"/>
      <c r="M181" s="60" t="n"/>
      <c r="N181" s="60" t="n"/>
      <c r="O181" s="60" t="n"/>
      <c r="P181" s="60" t="n"/>
      <c r="Q181" s="60" t="n">
        <v>1</v>
      </c>
      <c r="R181" s="60" t="n"/>
      <c r="S181" s="60" t="n"/>
      <c r="T181" s="60" t="n"/>
      <c r="U181" s="60" t="n"/>
      <c r="V181" s="60" t="n"/>
      <c r="W181" s="60" t="n"/>
      <c r="X181" s="60" t="n"/>
      <c r="Y181" s="60" t="n"/>
      <c r="Z181" s="60" t="n"/>
      <c r="AA181" s="60" t="n">
        <v>1</v>
      </c>
      <c r="AB181" s="60" t="n"/>
      <c r="AC181" s="60" t="n"/>
      <c r="AD181" s="60" t="n"/>
      <c r="AE181" s="60" t="n"/>
      <c r="AF181" s="60" t="n"/>
      <c r="AG181" s="60" t="n"/>
      <c r="AH181" s="60" t="n"/>
      <c r="AI181" s="60" t="n"/>
      <c r="AJ181" s="60" t="n"/>
      <c r="AK181" s="120">
        <f>IF(L181&gt;0,L181*90.44,0)+IF(M181&gt;0,M181*348.12,0)+IF(N181&gt;0,N181*151.63,0)+IF(O181&gt;0,O181*197.82,0)+IF(P181&gt;0,P181*244.09,0)+IF(Q181&gt;0,Q181*315.35,0)+IF(R181&gt;0,R181*1067.3,0)+IF(T181&gt;0,T181*567.47,0)+IF(U181&gt;0,U181*151.63,0)+IF(V181&gt;0,V181*197.84,0)+IF(W181&gt;0,W181*470.51,0)+IF(X181&gt;0,X181*701.69,0)+IF(Z181&gt;0,Z181*151.63,0)+IF(AA181&gt;0,AA181*197.84)+IF(AB181&gt;0,AB181*308.4,0)+IF(AC181&gt;0,AC181*496.16,0)</f>
        <v/>
      </c>
    </row>
    <row r="182" hidden="1">
      <c r="A182" s="58" t="inlineStr">
        <is>
          <t>1 DEZ VI</t>
        </is>
      </c>
      <c r="B182" s="59">
        <f>IF(H182&lt;$B$1,"VENCIDO","NA VALIDADE")</f>
        <v/>
      </c>
      <c r="C182" s="60" t="inlineStr">
        <is>
          <t>SUBESTAÇÃO</t>
        </is>
      </c>
      <c r="D182" s="61" t="inlineStr">
        <is>
          <t>SE VALENÇA</t>
        </is>
      </c>
      <c r="E182" s="62" t="inlineStr">
        <is>
          <t>VALENÇA</t>
        </is>
      </c>
      <c r="F182" s="61" t="inlineStr">
        <is>
          <t>ILHÉUS</t>
        </is>
      </c>
      <c r="G182" s="60" t="inlineStr">
        <is>
          <t>BA</t>
        </is>
      </c>
      <c r="H182" s="119" t="n">
        <v>45474</v>
      </c>
      <c r="I182" s="119">
        <f>H182-180</f>
        <v/>
      </c>
      <c r="J182" s="60">
        <f>SUM(L182:AE182)</f>
        <v/>
      </c>
      <c r="K182" s="60">
        <f>SUM(AF182:AJ182)</f>
        <v/>
      </c>
      <c r="L182" s="60" t="n"/>
      <c r="M182" s="60" t="n"/>
      <c r="N182" s="60" t="n"/>
      <c r="O182" s="60" t="n"/>
      <c r="P182" s="60" t="n"/>
      <c r="Q182" s="60" t="n">
        <v>1</v>
      </c>
      <c r="R182" s="60" t="n"/>
      <c r="S182" s="60" t="n"/>
      <c r="T182" s="60" t="n"/>
      <c r="U182" s="60" t="n"/>
      <c r="V182" s="60" t="n"/>
      <c r="W182" s="60" t="n"/>
      <c r="X182" s="60" t="n"/>
      <c r="Y182" s="60" t="n"/>
      <c r="Z182" s="60" t="n"/>
      <c r="AA182" s="60" t="n">
        <v>1</v>
      </c>
      <c r="AB182" s="60" t="n"/>
      <c r="AC182" s="60" t="n"/>
      <c r="AD182" s="60" t="n"/>
      <c r="AE182" s="60" t="n"/>
      <c r="AF182" s="60" t="n"/>
      <c r="AG182" s="60" t="n"/>
      <c r="AH182" s="60" t="n"/>
      <c r="AI182" s="60" t="n"/>
      <c r="AJ182" s="60" t="n"/>
      <c r="AK182" s="120">
        <f>IF(L182&gt;0,L182*90.44,0)+IF(M182&gt;0,M182*348.12,0)+IF(N182&gt;0,N182*151.63,0)+IF(O182&gt;0,O182*197.82,0)+IF(P182&gt;0,P182*244.09,0)+IF(Q182&gt;0,Q182*315.35,0)+IF(R182&gt;0,R182*1067.3,0)+IF(T182&gt;0,T182*567.47,0)+IF(U182&gt;0,U182*151.63,0)+IF(V182&gt;0,V182*197.84,0)+IF(W182&gt;0,W182*470.51,0)+IF(X182&gt;0,X182*701.69,0)+IF(Z182&gt;0,Z182*151.63,0)+IF(AA182&gt;0,AA182*197.84)+IF(AB182&gt;0,AB182*308.4,0)+IF(AC182&gt;0,AC182*496.16,0)</f>
        <v/>
      </c>
    </row>
    <row r="183" hidden="1">
      <c r="A183" s="58" t="n"/>
      <c r="B183" s="59">
        <f>IF(H183&lt;$B$1,"VENCIDO","NA VALIDADE")</f>
        <v/>
      </c>
      <c r="C183" s="60" t="inlineStr">
        <is>
          <t>ESTAÇÃO REP</t>
        </is>
      </c>
      <c r="D183" s="61" t="inlineStr">
        <is>
          <t>ESTAÇÃO REPETIDORA VTC VITÓRIA DA CONQUISTA</t>
        </is>
      </c>
      <c r="E183" s="62" t="inlineStr">
        <is>
          <t>VITÓRIA DA CONQUISTA</t>
        </is>
      </c>
      <c r="F183" s="61" t="inlineStr">
        <is>
          <t>VITÓRIA DA CONQUISTA</t>
        </is>
      </c>
      <c r="G183" s="60" t="inlineStr">
        <is>
          <t>BA</t>
        </is>
      </c>
      <c r="H183" s="119" t="n">
        <v>45444</v>
      </c>
      <c r="I183" s="119" t="n">
        <v>45444</v>
      </c>
      <c r="J183" s="60">
        <f>SUM(L183:AE183)</f>
        <v/>
      </c>
      <c r="K183" s="60">
        <f>SUM(AF183:AJ183)</f>
        <v/>
      </c>
      <c r="L183" s="60" t="n"/>
      <c r="M183" s="60" t="n"/>
      <c r="N183" s="60" t="n"/>
      <c r="O183" s="60" t="n"/>
      <c r="P183" s="60" t="n"/>
      <c r="Q183" s="60" t="n"/>
      <c r="R183" s="60" t="n"/>
      <c r="S183" s="60" t="n"/>
      <c r="T183" s="60" t="n"/>
      <c r="U183" s="60" t="n"/>
      <c r="V183" s="60" t="n"/>
      <c r="W183" s="60" t="n"/>
      <c r="X183" s="60" t="n"/>
      <c r="Y183" s="60" t="n"/>
      <c r="Z183" s="60" t="n"/>
      <c r="AA183" s="60" t="n">
        <v>1</v>
      </c>
      <c r="AB183" s="60" t="n"/>
      <c r="AC183" s="60" t="n"/>
      <c r="AD183" s="60" t="n"/>
      <c r="AE183" s="60" t="n"/>
      <c r="AF183" s="60" t="n"/>
      <c r="AG183" s="60" t="n"/>
      <c r="AH183" s="60" t="n"/>
      <c r="AI183" s="60" t="n"/>
      <c r="AJ183" s="60" t="n"/>
      <c r="AK183" s="120">
        <f>IF(L183&gt;0,L183*90.44,0)+IF(M183&gt;0,M183*348.12,0)+IF(N183&gt;0,N183*151.63,0)+IF(O183&gt;0,O183*197.82,0)+IF(P183&gt;0,P183*244.09,0)+IF(Q183&gt;0,Q183*315.35,0)+IF(R183&gt;0,R183*1067.3,0)+IF(T183&gt;0,T183*567.47,0)+IF(U183&gt;0,U183*151.63,0)+IF(V183&gt;0,V183*197.84,0)+IF(W183&gt;0,W183*470.51,0)+IF(X183&gt;0,X183*701.69,0)+IF(Z183&gt;0,Z183*151.63,0)+IF(AA183&gt;0,AA183*197.84)+IF(AB183&gt;0,AB183*308.4,0)+IF(AC183&gt;0,AC183*496.16,0)</f>
        <v/>
      </c>
    </row>
    <row r="184">
      <c r="A184" s="58" t="inlineStr">
        <is>
          <t>SIM</t>
        </is>
      </c>
      <c r="B184" s="59">
        <f>IF(H184&lt;$B$1,"VENCIDO","NA VALIDADE")</f>
        <v/>
      </c>
      <c r="C184" s="60" t="inlineStr">
        <is>
          <t>MUSEU</t>
        </is>
      </c>
      <c r="D184" s="61" t="inlineStr">
        <is>
          <t>MUSEU / LOJA DE ATENDIMENTO</t>
        </is>
      </c>
      <c r="E184" s="62" t="inlineStr">
        <is>
          <t>SALVADOR</t>
        </is>
      </c>
      <c r="F184" s="61" t="inlineStr">
        <is>
          <t>FEIRA DE  SANTANA</t>
        </is>
      </c>
      <c r="G184" s="60" t="inlineStr">
        <is>
          <t>BA</t>
        </is>
      </c>
      <c r="H184" s="119" t="n">
        <v>45505</v>
      </c>
      <c r="I184" s="119">
        <f>H184-180</f>
        <v/>
      </c>
      <c r="J184" s="60">
        <f>SUM(L184:AE184)</f>
        <v/>
      </c>
      <c r="K184" s="60">
        <f>SUM(AF184:AJ184)</f>
        <v/>
      </c>
      <c r="L184" s="60" t="n"/>
      <c r="M184" s="60" t="n"/>
      <c r="N184" s="60" t="n"/>
      <c r="O184" s="60" t="n"/>
      <c r="P184" s="60" t="n"/>
      <c r="Q184" s="60" t="n"/>
      <c r="R184" s="60" t="n"/>
      <c r="S184" s="60" t="n"/>
      <c r="T184" s="60" t="n"/>
      <c r="U184" s="60" t="n"/>
      <c r="V184" s="60" t="n">
        <v>15</v>
      </c>
      <c r="W184" s="60" t="n"/>
      <c r="X184" s="60" t="n"/>
      <c r="Y184" s="60" t="n"/>
      <c r="Z184" s="60" t="n"/>
      <c r="AA184" s="60" t="n">
        <v>6</v>
      </c>
      <c r="AB184" s="60" t="n"/>
      <c r="AC184" s="60" t="n"/>
      <c r="AD184" s="60" t="n"/>
      <c r="AE184" s="60" t="n"/>
      <c r="AF184" s="60" t="n"/>
      <c r="AG184" s="60" t="n">
        <v>10</v>
      </c>
      <c r="AH184" s="60" t="n"/>
      <c r="AI184" s="60" t="n"/>
      <c r="AJ184" s="60" t="n"/>
      <c r="AK184" s="120">
        <f>IF(L184&gt;0,L184*90.44,0)+IF(M184&gt;0,M184*348.12,0)+IF(N184&gt;0,N184*151.63,0)+IF(O184&gt;0,O184*197.82,0)+IF(P184&gt;0,P184*244.09,0)+IF(Q184&gt;0,Q184*315.35,0)+IF(R184&gt;0,R184*1067.3,0)+IF(T184&gt;0,T184*567.47,0)+IF(U184&gt;0,U184*151.63,0)+IF(V184&gt;0,V184*197.84,0)+IF(W184&gt;0,W184*470.51,0)+IF(X184&gt;0,X184*701.69,0)+IF(Z184&gt;0,Z184*151.63,0)+IF(AA184&gt;0,AA184*197.84)+IF(AB184&gt;0,AB184*308.4,0)+IF(AC184&gt;0,AC184*496.16,0)</f>
        <v/>
      </c>
    </row>
    <row r="185" hidden="1">
      <c r="A185" s="58" t="inlineStr">
        <is>
          <t>VITÓRIA 06/12</t>
        </is>
      </c>
      <c r="B185" s="59">
        <f>IF(H185&lt;$B$1,"VENCIDO","NA VALIDADE")</f>
        <v/>
      </c>
      <c r="C185" s="60" t="inlineStr">
        <is>
          <t>SUBESTAÇÃO</t>
        </is>
      </c>
      <c r="D185" s="61" t="inlineStr">
        <is>
          <t>SE ABAIRA</t>
        </is>
      </c>
      <c r="E185" s="62" t="inlineStr">
        <is>
          <t>ABAÍRA</t>
        </is>
      </c>
      <c r="F185" s="61" t="inlineStr">
        <is>
          <t>VITÓRIA DA CONQUISTA</t>
        </is>
      </c>
      <c r="G185" s="60" t="inlineStr">
        <is>
          <t>BA</t>
        </is>
      </c>
      <c r="H185" s="119" t="n">
        <v>45292</v>
      </c>
      <c r="I185" s="119" t="n">
        <v>45292</v>
      </c>
      <c r="J185" s="60">
        <f>SUM(L185:AE185)</f>
        <v/>
      </c>
      <c r="K185" s="60">
        <f>SUM(AF185:AJ185)</f>
        <v/>
      </c>
      <c r="L185" s="60" t="n"/>
      <c r="M185" s="60" t="n"/>
      <c r="N185" s="60" t="n"/>
      <c r="O185" s="60" t="n"/>
      <c r="P185" s="60" t="n"/>
      <c r="Q185" s="60" t="n">
        <v>1</v>
      </c>
      <c r="R185" s="60" t="n"/>
      <c r="S185" s="60" t="n"/>
      <c r="T185" s="60" t="n"/>
      <c r="U185" s="60" t="n"/>
      <c r="V185" s="60" t="n"/>
      <c r="W185" s="60" t="n"/>
      <c r="X185" s="60" t="n"/>
      <c r="Y185" s="60" t="n"/>
      <c r="Z185" s="60" t="n"/>
      <c r="AA185" s="60" t="n">
        <v>1</v>
      </c>
      <c r="AB185" s="60" t="n"/>
      <c r="AC185" s="60" t="n"/>
      <c r="AD185" s="60" t="n"/>
      <c r="AE185" s="60" t="n"/>
      <c r="AF185" s="60" t="n"/>
      <c r="AG185" s="60" t="n"/>
      <c r="AH185" s="60" t="n"/>
      <c r="AI185" s="60" t="n"/>
      <c r="AJ185" s="60" t="n"/>
      <c r="AK185" s="120">
        <f>IF(L185&gt;0,L185*90.44,0)+IF(M185&gt;0,M185*348.12,0)+IF(N185&gt;0,N185*151.63,0)+IF(O185&gt;0,O185*197.82,0)+IF(P185&gt;0,P185*244.09,0)+IF(Q185&gt;0,Q185*315.35,0)+IF(R185&gt;0,R185*1067.3,0)+IF(T185&gt;0,T185*567.47,0)+IF(U185&gt;0,U185*151.63,0)+IF(V185&gt;0,V185*197.84,0)+IF(W185&gt;0,W185*470.51,0)+IF(X185&gt;0,X185*701.69,0)+IF(Z185&gt;0,Z185*151.63,0)+IF(AA185&gt;0,AA185*197.84)+IF(AB185&gt;0,AB185*308.4,0)+IF(AC185&gt;0,AC185*496.16,0)</f>
        <v/>
      </c>
    </row>
    <row r="186">
      <c r="A186" s="58" t="n"/>
      <c r="B186" s="59">
        <f>IF(H186&lt;$B$1,"VENCIDO","NA VALIDADE")</f>
        <v/>
      </c>
      <c r="C186" s="60" t="inlineStr">
        <is>
          <t>SUBESTAÇÃO</t>
        </is>
      </c>
      <c r="D186" s="61" t="inlineStr">
        <is>
          <t>SE AGUAS CLARAS</t>
        </is>
      </c>
      <c r="E186" s="62" t="inlineStr">
        <is>
          <t>SALVADOR</t>
        </is>
      </c>
      <c r="F186" s="61" t="inlineStr">
        <is>
          <t>FEIRA DE  SANTANA</t>
        </is>
      </c>
      <c r="G186" s="60" t="inlineStr">
        <is>
          <t>BA</t>
        </is>
      </c>
      <c r="H186" s="119" t="n">
        <v>45323</v>
      </c>
      <c r="I186" s="119" t="n">
        <v>45323</v>
      </c>
      <c r="J186" s="60">
        <f>SUM(L186:AE186)</f>
        <v/>
      </c>
      <c r="K186" s="60">
        <f>SUM(AF186:AJ186)</f>
        <v/>
      </c>
      <c r="L186" s="60" t="n"/>
      <c r="M186" s="60" t="n"/>
      <c r="N186" s="60" t="n"/>
      <c r="O186" s="60" t="n"/>
      <c r="P186" s="60" t="n">
        <v>1</v>
      </c>
      <c r="Q186" s="60" t="n">
        <v>2</v>
      </c>
      <c r="R186" s="60" t="n"/>
      <c r="S186" s="60" t="n"/>
      <c r="T186" s="60" t="n">
        <v>1</v>
      </c>
      <c r="U186" s="60" t="n"/>
      <c r="V186" s="60" t="n"/>
      <c r="W186" s="60" t="n"/>
      <c r="X186" s="60" t="n"/>
      <c r="Y186" s="60" t="n"/>
      <c r="Z186" s="60" t="n"/>
      <c r="AA186" s="60" t="n">
        <v>1</v>
      </c>
      <c r="AB186" s="60" t="n"/>
      <c r="AC186" s="60" t="n"/>
      <c r="AD186" s="60" t="n"/>
      <c r="AE186" s="60" t="n"/>
      <c r="AF186" s="60" t="n"/>
      <c r="AG186" s="60" t="n"/>
      <c r="AH186" s="60" t="n"/>
      <c r="AI186" s="60" t="n"/>
      <c r="AJ186" s="60" t="n"/>
      <c r="AK186" s="120">
        <f>IF(L186&gt;0,L186*90.44,0)+IF(M186&gt;0,M186*348.12,0)+IF(N186&gt;0,N186*151.63,0)+IF(O186&gt;0,O186*197.82,0)+IF(P186&gt;0,P186*244.09,0)+IF(Q186&gt;0,Q186*315.35,0)+IF(R186&gt;0,R186*1067.3,0)+IF(T186&gt;0,T186*567.47,0)+IF(U186&gt;0,U186*151.63,0)+IF(V186&gt;0,V186*197.84,0)+IF(W186&gt;0,W186*470.51,0)+IF(X186&gt;0,X186*701.69,0)+IF(Z186&gt;0,Z186*151.63,0)+IF(AA186&gt;0,AA186*197.84)+IF(AB186&gt;0,AB186*308.4,0)+IF(AC186&gt;0,AC186*496.16,0)</f>
        <v/>
      </c>
    </row>
    <row r="187" hidden="1">
      <c r="A187" s="58" t="inlineStr">
        <is>
          <t>SIM</t>
        </is>
      </c>
      <c r="B187" s="59">
        <f>IF(H187&lt;$B$1,"VENCIDO","NA VALIDADE")</f>
        <v/>
      </c>
      <c r="C187" s="60" t="inlineStr">
        <is>
          <t>SUBESTAÇÃO</t>
        </is>
      </c>
      <c r="D187" s="61" t="inlineStr">
        <is>
          <t>SE ÁGUAS BELAS</t>
        </is>
      </c>
      <c r="E187" s="62" t="inlineStr">
        <is>
          <t>ÁGUAS BELAS</t>
        </is>
      </c>
      <c r="F187" s="61" t="inlineStr">
        <is>
          <t>VITÓRIA DA CONQUISTA</t>
        </is>
      </c>
      <c r="G187" s="60" t="inlineStr">
        <is>
          <t>BA</t>
        </is>
      </c>
      <c r="H187" s="119" t="n">
        <v>45292</v>
      </c>
      <c r="I187" s="119" t="n">
        <v>45292</v>
      </c>
      <c r="J187" s="60">
        <f>SUM(L187:AE187)</f>
        <v/>
      </c>
      <c r="K187" s="60">
        <f>SUM(AF187:AJ187)</f>
        <v/>
      </c>
      <c r="L187" s="60" t="n"/>
      <c r="M187" s="60" t="n"/>
      <c r="N187" s="60" t="n"/>
      <c r="O187" s="60" t="n"/>
      <c r="P187" s="60" t="n"/>
      <c r="Q187" s="60" t="n">
        <v>3</v>
      </c>
      <c r="R187" s="60" t="n"/>
      <c r="S187" s="60" t="n"/>
      <c r="T187" s="60" t="n"/>
      <c r="U187" s="60" t="n"/>
      <c r="V187" s="60" t="n"/>
      <c r="W187" s="60" t="n"/>
      <c r="X187" s="60" t="n"/>
      <c r="Y187" s="60" t="n"/>
      <c r="Z187" s="60" t="n"/>
      <c r="AA187" s="60" t="n">
        <v>1</v>
      </c>
      <c r="AB187" s="60" t="n"/>
      <c r="AC187" s="60" t="n"/>
      <c r="AD187" s="60" t="n"/>
      <c r="AE187" s="60" t="n"/>
      <c r="AF187" s="60" t="n"/>
      <c r="AG187" s="60" t="n"/>
      <c r="AH187" s="60" t="n"/>
      <c r="AI187" s="60" t="n"/>
      <c r="AJ187" s="60" t="n"/>
      <c r="AK187" s="120">
        <f>IF(L187&gt;0,L187*90.44,0)+IF(M187&gt;0,M187*348.12,0)+IF(N187&gt;0,N187*151.63,0)+IF(O187&gt;0,O187*197.82,0)+IF(P187&gt;0,P187*244.09,0)+IF(Q187&gt;0,Q187*315.35,0)+IF(R187&gt;0,R187*1067.3,0)+IF(T187&gt;0,T187*567.47,0)+IF(U187&gt;0,U187*151.63,0)+IF(V187&gt;0,V187*197.84,0)+IF(W187&gt;0,W187*470.51,0)+IF(X187&gt;0,X187*701.69,0)+IF(Z187&gt;0,Z187*151.63,0)+IF(AA187&gt;0,AA187*197.84)+IF(AB187&gt;0,AB187*308.4,0)+IF(AC187&gt;0,AC187*496.16,0)</f>
        <v/>
      </c>
    </row>
    <row r="188" hidden="1">
      <c r="A188" s="58" t="inlineStr">
        <is>
          <t>SIM</t>
        </is>
      </c>
      <c r="B188" s="59">
        <f>IF(H188&lt;$B$1,"VENCIDO","NA VALIDADE")</f>
        <v/>
      </c>
      <c r="C188" s="60" t="inlineStr">
        <is>
          <t>SUBESTAÇÃO</t>
        </is>
      </c>
      <c r="D188" s="61" t="inlineStr">
        <is>
          <t>SE AGROVILLA 10</t>
        </is>
      </c>
      <c r="E188" s="62" t="inlineStr">
        <is>
          <t>SERRA DO RAMALHO</t>
        </is>
      </c>
      <c r="F188" s="61" t="inlineStr">
        <is>
          <t>VITÓRIA DA CONQUISTA</t>
        </is>
      </c>
      <c r="G188" s="60" t="inlineStr">
        <is>
          <t>BA</t>
        </is>
      </c>
      <c r="H188" s="119" t="n">
        <v>45444</v>
      </c>
      <c r="I188" s="119" t="n">
        <v>45444</v>
      </c>
      <c r="J188" s="60">
        <f>SUM(L188:AE188)</f>
        <v/>
      </c>
      <c r="K188" s="60">
        <f>SUM(AF188:AJ188)</f>
        <v/>
      </c>
      <c r="L188" s="60" t="n"/>
      <c r="M188" s="60" t="n"/>
      <c r="N188" s="60" t="n"/>
      <c r="O188" s="60" t="n"/>
      <c r="P188" s="60" t="n"/>
      <c r="Q188" s="60" t="n">
        <v>1</v>
      </c>
      <c r="R188" s="60" t="n"/>
      <c r="S188" s="60" t="n"/>
      <c r="T188" s="60" t="n"/>
      <c r="U188" s="60" t="n"/>
      <c r="V188" s="60" t="n"/>
      <c r="W188" s="60" t="n"/>
      <c r="X188" s="60" t="n"/>
      <c r="Y188" s="60" t="n"/>
      <c r="Z188" s="60" t="n"/>
      <c r="AA188" s="60" t="n">
        <v>1</v>
      </c>
      <c r="AB188" s="60" t="n"/>
      <c r="AC188" s="60" t="n"/>
      <c r="AD188" s="60" t="n"/>
      <c r="AE188" s="60" t="n"/>
      <c r="AF188" s="60" t="n"/>
      <c r="AG188" s="60" t="n"/>
      <c r="AH188" s="60" t="n"/>
      <c r="AI188" s="60" t="n"/>
      <c r="AJ188" s="60" t="n"/>
      <c r="AK188" s="120">
        <f>IF(L188&gt;0,L188*90.44,0)+IF(M188&gt;0,M188*348.12,0)+IF(N188&gt;0,N188*151.63,0)+IF(O188&gt;0,O188*197.82,0)+IF(P188&gt;0,P188*244.09,0)+IF(Q188&gt;0,Q188*315.35,0)+IF(R188&gt;0,R188*1067.3,0)+IF(T188&gt;0,T188*567.47,0)+IF(U188&gt;0,U188*151.63,0)+IF(V188&gt;0,V188*197.84,0)+IF(W188&gt;0,W188*470.51,0)+IF(X188&gt;0,X188*701.69,0)+IF(Z188&gt;0,Z188*151.63,0)+IF(AA188&gt;0,AA188*197.84)+IF(AB188&gt;0,AB188*308.4,0)+IF(AC188&gt;0,AC188*496.16,0)</f>
        <v/>
      </c>
    </row>
    <row r="189">
      <c r="A189" s="58" t="inlineStr">
        <is>
          <t>rota</t>
        </is>
      </c>
      <c r="B189" s="59">
        <f>IF(H189&lt;$B$1,"VENCIDO","NA VALIDADE")</f>
        <v/>
      </c>
      <c r="C189" s="60" t="inlineStr">
        <is>
          <t>SUBESTAÇÃO</t>
        </is>
      </c>
      <c r="D189" s="61" t="inlineStr">
        <is>
          <t xml:space="preserve">SE ALAGOINHAS </t>
        </is>
      </c>
      <c r="E189" s="62" t="inlineStr">
        <is>
          <t>ALAGOINHAS</t>
        </is>
      </c>
      <c r="F189" s="61" t="inlineStr">
        <is>
          <t>FEIRA DE  SANTANA</t>
        </is>
      </c>
      <c r="G189" s="60" t="inlineStr">
        <is>
          <t>BA</t>
        </is>
      </c>
      <c r="H189" s="119" t="n">
        <v>45566</v>
      </c>
      <c r="I189" s="119">
        <f>H189-180</f>
        <v/>
      </c>
      <c r="J189" s="60">
        <f>SUM(L189:AE189)</f>
        <v/>
      </c>
      <c r="K189" s="60">
        <f>SUM(AF189:AJ189)</f>
        <v/>
      </c>
      <c r="L189" s="60" t="n"/>
      <c r="M189" s="60" t="n"/>
      <c r="N189" s="60" t="n"/>
      <c r="O189" s="60" t="n"/>
      <c r="P189" s="60" t="n"/>
      <c r="Q189" s="60" t="n">
        <v>3</v>
      </c>
      <c r="R189" s="60" t="n"/>
      <c r="S189" s="60" t="n"/>
      <c r="T189" s="60" t="n">
        <v>1</v>
      </c>
      <c r="U189" s="60" t="n"/>
      <c r="V189" s="60" t="n"/>
      <c r="W189" s="60" t="n"/>
      <c r="X189" s="60" t="n"/>
      <c r="Y189" s="60" t="n"/>
      <c r="Z189" s="60" t="n"/>
      <c r="AA189" s="60" t="n">
        <v>1</v>
      </c>
      <c r="AB189" s="60" t="n"/>
      <c r="AC189" s="60" t="n"/>
      <c r="AD189" s="60" t="n"/>
      <c r="AE189" s="60" t="n"/>
      <c r="AF189" s="60" t="n"/>
      <c r="AG189" s="60" t="n"/>
      <c r="AH189" s="60" t="n"/>
      <c r="AI189" s="60" t="n"/>
      <c r="AJ189" s="60" t="n"/>
      <c r="AK189" s="120">
        <f>IF(L189&gt;0,L189*90.44,0)+IF(M189&gt;0,M189*348.12,0)+IF(N189&gt;0,N189*151.63,0)+IF(O189&gt;0,O189*197.82,0)+IF(P189&gt;0,P189*244.09,0)+IF(Q189&gt;0,Q189*315.35,0)+IF(R189&gt;0,R189*1067.3,0)+IF(T189&gt;0,T189*567.47,0)+IF(U189&gt;0,U189*151.63,0)+IF(V189&gt;0,V189*197.84,0)+IF(W189&gt;0,W189*470.51,0)+IF(X189&gt;0,X189*701.69,0)+IF(Z189&gt;0,Z189*151.63,0)+IF(AA189&gt;0,AA189*197.84)+IF(AB189&gt;0,AB189*308.4,0)+IF(AC189&gt;0,AC189*496.16,0)</f>
        <v/>
      </c>
    </row>
    <row r="190" hidden="1">
      <c r="A190" s="58" t="n"/>
      <c r="B190" s="59">
        <f>IF(H190&lt;$B$1,"VENCIDO","NA VALIDADE")</f>
        <v/>
      </c>
      <c r="C190" s="60" t="inlineStr">
        <is>
          <t>UTD</t>
        </is>
      </c>
      <c r="D190" s="61" t="inlineStr">
        <is>
          <t>UTD TEIXEIRA DE FREITAS</t>
        </is>
      </c>
      <c r="E190" s="62" t="inlineStr">
        <is>
          <t>TEIXEIRA DE FREITAS</t>
        </is>
      </c>
      <c r="F190" s="61" t="inlineStr">
        <is>
          <t>ILHÉUS</t>
        </is>
      </c>
      <c r="G190" s="60" t="inlineStr">
        <is>
          <t>BA</t>
        </is>
      </c>
      <c r="H190" s="119" t="n">
        <v>45413</v>
      </c>
      <c r="I190" s="119">
        <f>H190-180</f>
        <v/>
      </c>
      <c r="J190" s="60">
        <f>SUM(L190:AE190)</f>
        <v/>
      </c>
      <c r="K190" s="60">
        <f>SUM(AF190:AJ190)</f>
        <v/>
      </c>
      <c r="L190" s="60" t="n">
        <v>2</v>
      </c>
      <c r="M190" s="60" t="n"/>
      <c r="N190" s="60" t="n"/>
      <c r="O190" s="60" t="n"/>
      <c r="P190" s="60" t="n"/>
      <c r="Q190" s="60" t="n">
        <v>2</v>
      </c>
      <c r="R190" s="60" t="n"/>
      <c r="S190" s="60" t="n"/>
      <c r="T190" s="60" t="n"/>
      <c r="U190" s="60" t="n"/>
      <c r="V190" s="60" t="n"/>
      <c r="W190" s="60" t="n"/>
      <c r="X190" s="60" t="n"/>
      <c r="Y190" s="60" t="n"/>
      <c r="Z190" s="60" t="n"/>
      <c r="AA190" s="60" t="n"/>
      <c r="AB190" s="60" t="n"/>
      <c r="AC190" s="60" t="n"/>
      <c r="AD190" s="60" t="n"/>
      <c r="AE190" s="60" t="n"/>
      <c r="AF190" s="60" t="n"/>
      <c r="AG190" s="60" t="n"/>
      <c r="AH190" s="60" t="n"/>
      <c r="AI190" s="60" t="n"/>
      <c r="AJ190" s="60" t="n"/>
      <c r="AK190" s="120">
        <f>IF(L190&gt;0,L190*90.44,0)+IF(M190&gt;0,M190*348.12,0)+IF(N190&gt;0,N190*151.63,0)+IF(O190&gt;0,O190*197.82,0)+IF(P190&gt;0,P190*244.09,0)+IF(Q190&gt;0,Q190*315.35,0)+IF(R190&gt;0,R190*1067.3,0)+IF(T190&gt;0,T190*567.47,0)+IF(U190&gt;0,U190*151.63,0)+IF(V190&gt;0,V190*197.84,0)+IF(W190&gt;0,W190*470.51,0)+IF(X190&gt;0,X190*701.69,0)+IF(Z190&gt;0,Z190*151.63,0)+IF(AA190&gt;0,AA190*197.84)+IF(AB190&gt;0,AB190*308.4,0)+IF(AC190&gt;0,AC190*496.16,0)</f>
        <v/>
      </c>
    </row>
    <row r="191">
      <c r="A191" s="58" t="inlineStr">
        <is>
          <t>SIM</t>
        </is>
      </c>
      <c r="B191" s="59">
        <f>IF(H191&lt;$B$1,"VENCIDO","NA VALIDADE")</f>
        <v/>
      </c>
      <c r="C191" s="60" t="inlineStr">
        <is>
          <t>SUBESTAÇÃO</t>
        </is>
      </c>
      <c r="D191" s="61" t="inlineStr">
        <is>
          <t>SE AMARALINA</t>
        </is>
      </c>
      <c r="E191" s="62" t="inlineStr">
        <is>
          <t>SALVADOR</t>
        </is>
      </c>
      <c r="F191" s="61" t="inlineStr">
        <is>
          <t>FEIRA DE  SANTANA</t>
        </is>
      </c>
      <c r="G191" s="60" t="inlineStr">
        <is>
          <t>BA</t>
        </is>
      </c>
      <c r="H191" s="119" t="n">
        <v>45323</v>
      </c>
      <c r="I191" s="119" t="n">
        <v>45323</v>
      </c>
      <c r="J191" s="60">
        <f>SUM(L191:AE191)</f>
        <v/>
      </c>
      <c r="K191" s="60">
        <f>SUM(AF191:AJ191)</f>
        <v/>
      </c>
      <c r="L191" s="60" t="n"/>
      <c r="M191" s="60" t="n"/>
      <c r="N191" s="60" t="n"/>
      <c r="O191" s="60" t="n"/>
      <c r="P191" s="60" t="n"/>
      <c r="Q191" s="60" t="n">
        <v>2</v>
      </c>
      <c r="R191" s="60" t="n"/>
      <c r="S191" s="60" t="n"/>
      <c r="T191" s="60" t="n"/>
      <c r="U191" s="60" t="n"/>
      <c r="V191" s="60" t="n"/>
      <c r="W191" s="60" t="n"/>
      <c r="X191" s="60" t="n"/>
      <c r="Y191" s="60" t="n"/>
      <c r="Z191" s="60" t="n">
        <v>3</v>
      </c>
      <c r="AA191" s="60" t="n"/>
      <c r="AB191" s="60" t="n"/>
      <c r="AC191" s="60" t="n"/>
      <c r="AD191" s="60" t="n"/>
      <c r="AE191" s="60" t="n"/>
      <c r="AF191" s="60" t="n"/>
      <c r="AG191" s="60" t="n"/>
      <c r="AH191" s="60" t="n"/>
      <c r="AI191" s="60" t="n"/>
      <c r="AJ191" s="60" t="n"/>
      <c r="AK191" s="120">
        <f>IF(L191&gt;0,L191*90.44,0)+IF(M191&gt;0,M191*348.12,0)+IF(N191&gt;0,N191*151.63,0)+IF(O191&gt;0,O191*197.82,0)+IF(P191&gt;0,P191*244.09,0)+IF(Q191&gt;0,Q191*315.35,0)+IF(R191&gt;0,R191*1067.3,0)+IF(T191&gt;0,T191*567.47,0)+IF(U191&gt;0,U191*151.63,0)+IF(V191&gt;0,V191*197.84,0)+IF(W191&gt;0,W191*470.51,0)+IF(X191&gt;0,X191*701.69,0)+IF(Z191&gt;0,Z191*151.63,0)+IF(AA191&gt;0,AA191*197.84)+IF(AB191&gt;0,AB191*308.4,0)+IF(AC191&gt;0,AC191*496.16,0)</f>
        <v/>
      </c>
    </row>
    <row r="192" hidden="1">
      <c r="A192" s="58" t="inlineStr">
        <is>
          <t>SIM</t>
        </is>
      </c>
      <c r="B192" s="59">
        <f>IF(H192&lt;$B$1,"VENCIDO","NA VALIDADE")</f>
        <v/>
      </c>
      <c r="C192" s="60" t="inlineStr">
        <is>
          <t>SUBESTAÇÃO</t>
        </is>
      </c>
      <c r="D192" s="61" t="inlineStr">
        <is>
          <t>SE AMARGOSA</t>
        </is>
      </c>
      <c r="E192" s="62" t="inlineStr">
        <is>
          <t>AMARGOSA</t>
        </is>
      </c>
      <c r="F192" s="61" t="inlineStr">
        <is>
          <t>VITÓRIA DA CONQUISTA</t>
        </is>
      </c>
      <c r="G192" s="60" t="inlineStr">
        <is>
          <t>BA</t>
        </is>
      </c>
      <c r="H192" s="119" t="n">
        <v>45352</v>
      </c>
      <c r="I192" s="119" t="n">
        <v>45352</v>
      </c>
      <c r="J192" s="60">
        <f>SUM(L192:AE192)</f>
        <v/>
      </c>
      <c r="K192" s="60">
        <f>SUM(AF192:AJ192)</f>
        <v/>
      </c>
      <c r="L192" s="60" t="n"/>
      <c r="M192" s="60" t="n"/>
      <c r="N192" s="60" t="n"/>
      <c r="O192" s="60" t="n"/>
      <c r="P192" s="60" t="n"/>
      <c r="Q192" s="60" t="n">
        <v>1</v>
      </c>
      <c r="R192" s="60" t="n"/>
      <c r="S192" s="60" t="n"/>
      <c r="T192" s="60" t="n"/>
      <c r="U192" s="60" t="n"/>
      <c r="V192" s="60" t="n"/>
      <c r="W192" s="60" t="n"/>
      <c r="X192" s="60" t="n"/>
      <c r="Y192" s="60" t="n"/>
      <c r="Z192" s="60" t="n"/>
      <c r="AA192" s="60" t="n">
        <v>1</v>
      </c>
      <c r="AB192" s="60" t="n"/>
      <c r="AC192" s="60" t="n"/>
      <c r="AD192" s="60" t="n"/>
      <c r="AE192" s="60" t="n"/>
      <c r="AF192" s="60" t="n"/>
      <c r="AG192" s="60" t="n"/>
      <c r="AH192" s="60" t="n"/>
      <c r="AI192" s="60" t="n"/>
      <c r="AJ192" s="60" t="n"/>
      <c r="AK192" s="120">
        <f>IF(L192&gt;0,L192*90.44,0)+IF(M192&gt;0,M192*348.12,0)+IF(N192&gt;0,N192*151.63,0)+IF(O192&gt;0,O192*197.82,0)+IF(P192&gt;0,P192*244.09,0)+IF(Q192&gt;0,Q192*315.35,0)+IF(R192&gt;0,R192*1067.3,0)+IF(T192&gt;0,T192*567.47,0)+IF(U192&gt;0,U192*151.63,0)+IF(V192&gt;0,V192*197.84,0)+IF(W192&gt;0,W192*470.51,0)+IF(X192&gt;0,X192*701.69,0)+IF(Z192&gt;0,Z192*151.63,0)+IF(AA192&gt;0,AA192*197.84)+IF(AB192&gt;0,AB192*308.4,0)+IF(AC192&gt;0,AC192*496.16,0)</f>
        <v/>
      </c>
    </row>
    <row r="193">
      <c r="A193" s="58" t="inlineStr">
        <is>
          <t>SIM</t>
        </is>
      </c>
      <c r="B193" s="59">
        <f>IF(H193&lt;$B$1,"VENCIDO","NA VALIDADE")</f>
        <v/>
      </c>
      <c r="C193" s="60" t="inlineStr">
        <is>
          <t>SUBESTAÇÃO</t>
        </is>
      </c>
      <c r="D193" s="61" t="inlineStr">
        <is>
          <t>SE AMELIA RODRIGUES</t>
        </is>
      </c>
      <c r="E193" s="62" t="inlineStr">
        <is>
          <t>AMELIA RODRIGUES</t>
        </is>
      </c>
      <c r="F193" s="61" t="inlineStr">
        <is>
          <t>FEIRA DE  SANTANA</t>
        </is>
      </c>
      <c r="G193" s="60" t="inlineStr">
        <is>
          <t>BA</t>
        </is>
      </c>
      <c r="H193" s="119" t="n">
        <v>45352</v>
      </c>
      <c r="I193" s="119" t="n">
        <v>45352</v>
      </c>
      <c r="J193" s="60">
        <f>SUM(L193:AE193)</f>
        <v/>
      </c>
      <c r="K193" s="60">
        <f>SUM(AF193:AJ193)</f>
        <v/>
      </c>
      <c r="L193" s="60" t="n"/>
      <c r="M193" s="60" t="n"/>
      <c r="N193" s="60" t="n"/>
      <c r="O193" s="60" t="n"/>
      <c r="P193" s="60" t="n"/>
      <c r="Q193" s="60" t="n">
        <v>3</v>
      </c>
      <c r="R193" s="60" t="n"/>
      <c r="S193" s="60" t="n"/>
      <c r="T193" s="60" t="n">
        <v>1</v>
      </c>
      <c r="U193" s="60" t="n"/>
      <c r="V193" s="60" t="n"/>
      <c r="W193" s="60" t="n"/>
      <c r="X193" s="60" t="n"/>
      <c r="Y193" s="60" t="n"/>
      <c r="Z193" s="60" t="n"/>
      <c r="AA193" s="60" t="n">
        <v>1</v>
      </c>
      <c r="AB193" s="60" t="n"/>
      <c r="AC193" s="60" t="n"/>
      <c r="AD193" s="60" t="n"/>
      <c r="AE193" s="60" t="n"/>
      <c r="AF193" s="60" t="n"/>
      <c r="AG193" s="60" t="n"/>
      <c r="AH193" s="60" t="n"/>
      <c r="AI193" s="60" t="n"/>
      <c r="AJ193" s="60" t="n"/>
      <c r="AK193" s="120">
        <f>IF(L193&gt;0,L193*90.44,0)+IF(M193&gt;0,M193*348.12,0)+IF(N193&gt;0,N193*151.63,0)+IF(O193&gt;0,O193*197.82,0)+IF(P193&gt;0,P193*244.09,0)+IF(Q193&gt;0,Q193*315.35,0)+IF(R193&gt;0,R193*1067.3,0)+IF(T193&gt;0,T193*567.47,0)+IF(U193&gt;0,U193*151.63,0)+IF(V193&gt;0,V193*197.84,0)+IF(W193&gt;0,W193*470.51,0)+IF(X193&gt;0,X193*701.69,0)+IF(Z193&gt;0,Z193*151.63,0)+IF(AA193&gt;0,AA193*197.84)+IF(AB193&gt;0,AB193*308.4,0)+IF(AC193&gt;0,AC193*496.16,0)</f>
        <v/>
      </c>
    </row>
    <row r="194">
      <c r="A194" s="58" t="inlineStr">
        <is>
          <t>VITÓRIA 06/12</t>
        </is>
      </c>
      <c r="B194" s="59">
        <f>IF(H194&lt;$B$1,"VENCIDO","NA VALIDADE")</f>
        <v/>
      </c>
      <c r="C194" s="60" t="inlineStr">
        <is>
          <t>SUBESTAÇÃO</t>
        </is>
      </c>
      <c r="D194" s="61" t="inlineStr">
        <is>
          <t xml:space="preserve">SE AMERICA DOURADA I </t>
        </is>
      </c>
      <c r="E194" s="62" t="inlineStr">
        <is>
          <t>AMERICA DOURADA</t>
        </is>
      </c>
      <c r="F194" s="61" t="inlineStr">
        <is>
          <t>FEIRA DE  SANTANA</t>
        </is>
      </c>
      <c r="G194" s="60" t="inlineStr">
        <is>
          <t>BA</t>
        </is>
      </c>
      <c r="H194" s="119" t="n">
        <v>45474</v>
      </c>
      <c r="I194" s="119">
        <f>H194-180</f>
        <v/>
      </c>
      <c r="J194" s="60">
        <f>SUM(L194:AE194)</f>
        <v/>
      </c>
      <c r="K194" s="60">
        <f>SUM(AF194:AJ194)</f>
        <v/>
      </c>
      <c r="L194" s="60" t="n"/>
      <c r="M194" s="60" t="n"/>
      <c r="N194" s="60" t="n"/>
      <c r="O194" s="60" t="n"/>
      <c r="P194" s="60" t="n"/>
      <c r="Q194" s="60" t="n">
        <v>1</v>
      </c>
      <c r="R194" s="60" t="n"/>
      <c r="S194" s="60" t="n"/>
      <c r="T194" s="60" t="n"/>
      <c r="U194" s="60" t="n"/>
      <c r="V194" s="60" t="n"/>
      <c r="W194" s="60" t="n"/>
      <c r="X194" s="60" t="n"/>
      <c r="Y194" s="60" t="n"/>
      <c r="Z194" s="60" t="n"/>
      <c r="AA194" s="60" t="n"/>
      <c r="AB194" s="60" t="n"/>
      <c r="AC194" s="60" t="n"/>
      <c r="AD194" s="60" t="n"/>
      <c r="AE194" s="60" t="n"/>
      <c r="AF194" s="60" t="n"/>
      <c r="AG194" s="60" t="n"/>
      <c r="AH194" s="60" t="n"/>
      <c r="AI194" s="60" t="n"/>
      <c r="AJ194" s="60" t="n"/>
      <c r="AK194" s="120">
        <f>IF(L194&gt;0,L194*90.44,0)+IF(M194&gt;0,M194*348.12,0)+IF(N194&gt;0,N194*151.63,0)+IF(O194&gt;0,O194*197.82,0)+IF(P194&gt;0,P194*244.09,0)+IF(Q194&gt;0,Q194*315.35,0)+IF(R194&gt;0,R194*1067.3,0)+IF(T194&gt;0,T194*567.47,0)+IF(U194&gt;0,U194*151.63,0)+IF(V194&gt;0,V194*197.84,0)+IF(W194&gt;0,W194*470.51,0)+IF(X194&gt;0,X194*701.69,0)+IF(Z194&gt;0,Z194*151.63,0)+IF(AA194&gt;0,AA194*197.84)+IF(AB194&gt;0,AB194*308.4,0)+IF(AC194&gt;0,AC194*496.16,0)</f>
        <v/>
      </c>
    </row>
    <row r="195">
      <c r="A195" s="58" t="n"/>
      <c r="B195" s="59">
        <f>IF(H195&lt;$B$1,"VENCIDO","NA VALIDADE")</f>
        <v/>
      </c>
      <c r="C195" s="60" t="inlineStr">
        <is>
          <t>SUBESTAÇÃO</t>
        </is>
      </c>
      <c r="D195" s="61" t="inlineStr">
        <is>
          <t>SE AMERICA DOURADA II</t>
        </is>
      </c>
      <c r="E195" s="62" t="inlineStr">
        <is>
          <t>AMERICA DOURADA</t>
        </is>
      </c>
      <c r="F195" s="61" t="inlineStr">
        <is>
          <t>FEIRA DE  SANTANA</t>
        </is>
      </c>
      <c r="G195" s="60" t="inlineStr">
        <is>
          <t>BA</t>
        </is>
      </c>
      <c r="H195" s="119" t="n">
        <v>45323</v>
      </c>
      <c r="I195" s="119" t="n">
        <v>45323</v>
      </c>
      <c r="J195" s="60">
        <f>SUM(L195:AE195)</f>
        <v/>
      </c>
      <c r="K195" s="60">
        <f>SUM(AF195:AJ195)</f>
        <v/>
      </c>
      <c r="L195" s="60" t="n"/>
      <c r="M195" s="60" t="n"/>
      <c r="N195" s="60" t="n"/>
      <c r="O195" s="60" t="n"/>
      <c r="P195" s="60" t="n"/>
      <c r="Q195" s="60" t="n">
        <v>2</v>
      </c>
      <c r="R195" s="60" t="n"/>
      <c r="S195" s="60" t="n"/>
      <c r="T195" s="60" t="n"/>
      <c r="U195" s="60" t="n"/>
      <c r="V195" s="60" t="n"/>
      <c r="W195" s="60" t="n"/>
      <c r="X195" s="60" t="n"/>
      <c r="Y195" s="60" t="n"/>
      <c r="Z195" s="60" t="n"/>
      <c r="AA195" s="60" t="n">
        <v>2</v>
      </c>
      <c r="AB195" s="60" t="n"/>
      <c r="AC195" s="60" t="n"/>
      <c r="AD195" s="60" t="n"/>
      <c r="AE195" s="60" t="n"/>
      <c r="AF195" s="60" t="n"/>
      <c r="AG195" s="60" t="n"/>
      <c r="AH195" s="60" t="n"/>
      <c r="AI195" s="60" t="n"/>
      <c r="AJ195" s="60" t="n"/>
      <c r="AK195" s="120">
        <f>IF(L195&gt;0,L195*90.44,0)+IF(M195&gt;0,M195*348.12,0)+IF(N195&gt;0,N195*151.63,0)+IF(O195&gt;0,O195*197.82,0)+IF(P195&gt;0,P195*244.09,0)+IF(Q195&gt;0,Q195*315.35,0)+IF(R195&gt;0,R195*1067.3,0)+IF(T195&gt;0,T195*567.47,0)+IF(U195&gt;0,U195*151.63,0)+IF(V195&gt;0,V195*197.84,0)+IF(W195&gt;0,W195*470.51,0)+IF(X195&gt;0,X195*701.69,0)+IF(Z195&gt;0,Z195*151.63,0)+IF(AA195&gt;0,AA195*197.84)+IF(AB195&gt;0,AB195*308.4,0)+IF(AC195&gt;0,AC195*496.16,0)</f>
        <v/>
      </c>
    </row>
    <row r="196" hidden="1">
      <c r="A196" s="58" t="n"/>
      <c r="B196" s="59">
        <f>IF(H196&lt;$B$1,"VENCIDO","NA VALIDADE")</f>
        <v/>
      </c>
      <c r="C196" s="60" t="inlineStr">
        <is>
          <t>SUBESTAÇÃO</t>
        </is>
      </c>
      <c r="D196" s="61" t="inlineStr">
        <is>
          <t>SE ANAGÉ</t>
        </is>
      </c>
      <c r="E196" s="62" t="inlineStr">
        <is>
          <t>ANAGÉ</t>
        </is>
      </c>
      <c r="F196" s="61" t="inlineStr">
        <is>
          <t>VITÓRIA DA CONQUISTA</t>
        </is>
      </c>
      <c r="G196" s="60" t="inlineStr">
        <is>
          <t>BA</t>
        </is>
      </c>
      <c r="H196" s="119" t="n">
        <v>45383</v>
      </c>
      <c r="I196" s="119" t="n">
        <v>45383</v>
      </c>
      <c r="J196" s="60">
        <f>SUM(L196:AE196)</f>
        <v/>
      </c>
      <c r="K196" s="60">
        <f>SUM(AF196:AJ196)</f>
        <v/>
      </c>
      <c r="L196" s="60" t="n"/>
      <c r="M196" s="60" t="n"/>
      <c r="N196" s="60" t="n"/>
      <c r="O196" s="60" t="n"/>
      <c r="P196" s="60" t="n"/>
      <c r="Q196" s="60" t="n">
        <v>1</v>
      </c>
      <c r="R196" s="60" t="n"/>
      <c r="S196" s="60" t="n"/>
      <c r="T196" s="60" t="n"/>
      <c r="U196" s="60" t="n"/>
      <c r="V196" s="60" t="n"/>
      <c r="W196" s="60" t="n"/>
      <c r="X196" s="60" t="n"/>
      <c r="Y196" s="60" t="n"/>
      <c r="Z196" s="60" t="n"/>
      <c r="AA196" s="60" t="n">
        <v>1</v>
      </c>
      <c r="AB196" s="60" t="n"/>
      <c r="AC196" s="60" t="n"/>
      <c r="AD196" s="60" t="n"/>
      <c r="AE196" s="60" t="n"/>
      <c r="AF196" s="60" t="n"/>
      <c r="AG196" s="60" t="n"/>
      <c r="AH196" s="60" t="n"/>
      <c r="AI196" s="60" t="n"/>
      <c r="AJ196" s="60" t="n"/>
      <c r="AK196" s="120">
        <f>IF(L196&gt;0,L196*90.44,0)+IF(M196&gt;0,M196*348.12,0)+IF(N196&gt;0,N196*151.63,0)+IF(O196&gt;0,O196*197.82,0)+IF(P196&gt;0,P196*244.09,0)+IF(Q196&gt;0,Q196*315.35,0)+IF(R196&gt;0,R196*1067.3,0)+IF(T196&gt;0,T196*567.47,0)+IF(U196&gt;0,U196*151.63,0)+IF(V196&gt;0,V196*197.84,0)+IF(W196&gt;0,W196*470.51,0)+IF(X196&gt;0,X196*701.69,0)+IF(Z196&gt;0,Z196*151.63,0)+IF(AA196&gt;0,AA196*197.84)+IF(AB196&gt;0,AB196*308.4,0)+IF(AC196&gt;0,AC196*496.16,0)</f>
        <v/>
      </c>
    </row>
    <row r="197" hidden="1">
      <c r="A197" s="58" t="inlineStr">
        <is>
          <t>SIM</t>
        </is>
      </c>
      <c r="B197" s="59">
        <f>IF(H197&lt;$B$1,"VENCIDO","NA VALIDADE")</f>
        <v/>
      </c>
      <c r="C197" s="60" t="inlineStr">
        <is>
          <t>SUBESTAÇÃO</t>
        </is>
      </c>
      <c r="D197" s="61" t="inlineStr">
        <is>
          <t>SE ANDARAÍ</t>
        </is>
      </c>
      <c r="E197" s="62" t="inlineStr">
        <is>
          <t>ANDARAÍ</t>
        </is>
      </c>
      <c r="F197" s="61" t="inlineStr">
        <is>
          <t>VITÓRIA DA CONQUISTA</t>
        </is>
      </c>
      <c r="G197" s="60" t="inlineStr">
        <is>
          <t>BA</t>
        </is>
      </c>
      <c r="H197" s="119" t="n">
        <v>45444</v>
      </c>
      <c r="I197" s="119" t="n">
        <v>45444</v>
      </c>
      <c r="J197" s="60">
        <f>SUM(L197:AE197)</f>
        <v/>
      </c>
      <c r="K197" s="60">
        <f>SUM(AF197:AJ197)</f>
        <v/>
      </c>
      <c r="L197" s="60" t="n"/>
      <c r="M197" s="60" t="n"/>
      <c r="N197" s="60" t="n"/>
      <c r="O197" s="60" t="n"/>
      <c r="P197" s="60" t="n"/>
      <c r="Q197" s="60" t="n">
        <v>1</v>
      </c>
      <c r="R197" s="60" t="n"/>
      <c r="S197" s="60" t="n"/>
      <c r="T197" s="60" t="n"/>
      <c r="U197" s="60" t="n"/>
      <c r="V197" s="60" t="n"/>
      <c r="W197" s="60" t="n"/>
      <c r="X197" s="60" t="n"/>
      <c r="Y197" s="60" t="n"/>
      <c r="Z197" s="60" t="n"/>
      <c r="AA197" s="60" t="n">
        <v>1</v>
      </c>
      <c r="AB197" s="60" t="n"/>
      <c r="AC197" s="60" t="n"/>
      <c r="AD197" s="60" t="n"/>
      <c r="AE197" s="60" t="n"/>
      <c r="AF197" s="60" t="n"/>
      <c r="AG197" s="60" t="n"/>
      <c r="AH197" s="60" t="n"/>
      <c r="AI197" s="60" t="n"/>
      <c r="AJ197" s="60" t="n"/>
      <c r="AK197" s="120">
        <f>IF(L197&gt;0,L197*90.44,0)+IF(M197&gt;0,M197*348.12,0)+IF(N197&gt;0,N197*151.63,0)+IF(O197&gt;0,O197*197.82,0)+IF(P197&gt;0,P197*244.09,0)+IF(Q197&gt;0,Q197*315.35,0)+IF(R197&gt;0,R197*1067.3,0)+IF(T197&gt;0,T197*567.47,0)+IF(U197&gt;0,U197*151.63,0)+IF(V197&gt;0,V197*197.84,0)+IF(W197&gt;0,W197*470.51,0)+IF(X197&gt;0,X197*701.69,0)+IF(Z197&gt;0,Z197*151.63,0)+IF(AA197&gt;0,AA197*197.84)+IF(AB197&gt;0,AB197*308.4,0)+IF(AC197&gt;0,AC197*496.16,0)</f>
        <v/>
      </c>
    </row>
    <row r="198">
      <c r="A198" s="58" t="n"/>
      <c r="B198" s="59">
        <f>IF(H198&lt;$B$1,"VENCIDO","NA VALIDADE")</f>
        <v/>
      </c>
      <c r="C198" s="60" t="inlineStr">
        <is>
          <t>SUBESTAÇÃO</t>
        </is>
      </c>
      <c r="D198" s="61" t="inlineStr">
        <is>
          <t>SE ANGELICA</t>
        </is>
      </c>
      <c r="E198" s="62" t="inlineStr">
        <is>
          <t>SÃO GONÇALO DOS CAMPOS</t>
        </is>
      </c>
      <c r="F198" s="61" t="inlineStr">
        <is>
          <t>FEIRA DE  SANTANA</t>
        </is>
      </c>
      <c r="G198" s="60" t="inlineStr">
        <is>
          <t>BA</t>
        </is>
      </c>
      <c r="H198" s="119" t="n">
        <v>45444</v>
      </c>
      <c r="I198" s="119" t="n">
        <v>45444</v>
      </c>
      <c r="J198" s="60">
        <f>SUM(L198:AE198)</f>
        <v/>
      </c>
      <c r="K198" s="60">
        <f>SUM(AF198:AJ198)</f>
        <v/>
      </c>
      <c r="L198" s="60" t="n"/>
      <c r="M198" s="60" t="n"/>
      <c r="N198" s="60" t="n"/>
      <c r="O198" s="60" t="n"/>
      <c r="P198" s="60" t="n"/>
      <c r="Q198" s="60" t="n">
        <v>1</v>
      </c>
      <c r="R198" s="60" t="n"/>
      <c r="S198" s="60" t="n"/>
      <c r="T198" s="60" t="n"/>
      <c r="U198" s="60" t="n"/>
      <c r="V198" s="60" t="n"/>
      <c r="W198" s="60" t="n"/>
      <c r="X198" s="60" t="n"/>
      <c r="Y198" s="60" t="n"/>
      <c r="Z198" s="60" t="n"/>
      <c r="AA198" s="60" t="n">
        <v>1</v>
      </c>
      <c r="AB198" s="60" t="n"/>
      <c r="AC198" s="60" t="n"/>
      <c r="AD198" s="60" t="n"/>
      <c r="AE198" s="60" t="n"/>
      <c r="AF198" s="60" t="n"/>
      <c r="AG198" s="60" t="n"/>
      <c r="AH198" s="60" t="n"/>
      <c r="AI198" s="60" t="n"/>
      <c r="AJ198" s="60" t="n"/>
      <c r="AK198" s="120">
        <f>IF(L198&gt;0,L198*90.44,0)+IF(M198&gt;0,M198*348.12,0)+IF(N198&gt;0,N198*151.63,0)+IF(O198&gt;0,O198*197.82,0)+IF(P198&gt;0,P198*244.09,0)+IF(Q198&gt;0,Q198*315.35,0)+IF(R198&gt;0,R198*1067.3,0)+IF(T198&gt;0,T198*567.47,0)+IF(U198&gt;0,U198*151.63,0)+IF(V198&gt;0,V198*197.84,0)+IF(W198&gt;0,W198*470.51,0)+IF(X198&gt;0,X198*701.69,0)+IF(Z198&gt;0,Z198*151.63,0)+IF(AA198&gt;0,AA198*197.84)+IF(AB198&gt;0,AB198*308.4,0)+IF(AC198&gt;0,AC198*496.16,0)</f>
        <v/>
      </c>
    </row>
    <row r="199" hidden="1">
      <c r="A199" s="58" t="n"/>
      <c r="B199" s="59">
        <f>IF(H199&lt;$B$1,"VENCIDO","NA VALIDADE")</f>
        <v/>
      </c>
      <c r="C199" s="60" t="inlineStr">
        <is>
          <t>SUBESTAÇÃO</t>
        </is>
      </c>
      <c r="D199" s="61" t="inlineStr">
        <is>
          <t>SE ANGICAL</t>
        </is>
      </c>
      <c r="E199" s="62" t="inlineStr">
        <is>
          <t>ANGICAL</t>
        </is>
      </c>
      <c r="F199" s="61" t="inlineStr">
        <is>
          <t>VITÓRIA DA CONQUISTA</t>
        </is>
      </c>
      <c r="G199" s="60" t="inlineStr">
        <is>
          <t>BA</t>
        </is>
      </c>
      <c r="H199" s="119" t="n">
        <v>45627</v>
      </c>
      <c r="I199" s="119">
        <f>H199-180</f>
        <v/>
      </c>
      <c r="J199" s="60">
        <f>SUM(L199:AE199)</f>
        <v/>
      </c>
      <c r="K199" s="60">
        <f>SUM(AF199:AJ199)</f>
        <v/>
      </c>
      <c r="L199" s="60" t="n"/>
      <c r="M199" s="60" t="n"/>
      <c r="N199" s="60" t="n"/>
      <c r="O199" s="60" t="n"/>
      <c r="P199" s="60" t="n"/>
      <c r="Q199" s="60" t="n">
        <v>3</v>
      </c>
      <c r="R199" s="60" t="n"/>
      <c r="S199" s="60" t="n"/>
      <c r="T199" s="60" t="n">
        <v>1</v>
      </c>
      <c r="U199" s="60" t="n"/>
      <c r="V199" s="60" t="n"/>
      <c r="W199" s="60" t="n"/>
      <c r="X199" s="60" t="n"/>
      <c r="Y199" s="60" t="n"/>
      <c r="Z199" s="60" t="n"/>
      <c r="AA199" s="60" t="n">
        <v>1</v>
      </c>
      <c r="AB199" s="60" t="n"/>
      <c r="AC199" s="60" t="n"/>
      <c r="AD199" s="60" t="n"/>
      <c r="AE199" s="60" t="n"/>
      <c r="AF199" s="60" t="n"/>
      <c r="AG199" s="60" t="n"/>
      <c r="AH199" s="60" t="n"/>
      <c r="AI199" s="60" t="n"/>
      <c r="AJ199" s="60" t="n"/>
      <c r="AK199" s="120">
        <f>IF(L199&gt;0,L199*90.44,0)+IF(M199&gt;0,M199*348.12,0)+IF(N199&gt;0,N199*151.63,0)+IF(O199&gt;0,O199*197.82,0)+IF(P199&gt;0,P199*244.09,0)+IF(Q199&gt;0,Q199*315.35,0)+IF(R199&gt;0,R199*1067.3,0)+IF(T199&gt;0,T199*567.47,0)+IF(U199&gt;0,U199*151.63,0)+IF(V199&gt;0,V199*197.84,0)+IF(W199&gt;0,W199*470.51,0)+IF(X199&gt;0,X199*701.69,0)+IF(Z199&gt;0,Z199*151.63,0)+IF(AA199&gt;0,AA199*197.84)+IF(AB199&gt;0,AB199*308.4,0)+IF(AC199&gt;0,AC199*496.16,0)</f>
        <v/>
      </c>
    </row>
    <row r="200" hidden="1">
      <c r="A200" s="58" t="n"/>
      <c r="B200" s="59">
        <f>IF(H200&lt;$B$1,"VENCIDO","NA VALIDADE")</f>
        <v/>
      </c>
      <c r="C200" s="60" t="inlineStr">
        <is>
          <t>SUBESTAÇÃO</t>
        </is>
      </c>
      <c r="D200" s="61" t="inlineStr">
        <is>
          <t>SE RIO DO ALGODÃO ( BR 020 LUIZ EDUARDO MAG )</t>
        </is>
      </c>
      <c r="E200" s="62" t="inlineStr">
        <is>
          <t>SÃO DESIDÉRIO</t>
        </is>
      </c>
      <c r="F200" s="61" t="inlineStr">
        <is>
          <t>VITÓRIA DA CONQUISTA</t>
        </is>
      </c>
      <c r="G200" s="60" t="inlineStr">
        <is>
          <t>BA</t>
        </is>
      </c>
      <c r="H200" s="119" t="n">
        <v>45323</v>
      </c>
      <c r="I200" s="119" t="n">
        <v>45323</v>
      </c>
      <c r="J200" s="60">
        <f>SUM(L200:AE200)</f>
        <v/>
      </c>
      <c r="K200" s="60">
        <f>SUM(AF200:AJ200)</f>
        <v/>
      </c>
      <c r="L200" s="60" t="n"/>
      <c r="M200" s="60" t="n"/>
      <c r="N200" s="60" t="n"/>
      <c r="O200" s="60" t="n"/>
      <c r="P200" s="60" t="n"/>
      <c r="Q200" s="60" t="n">
        <v>5</v>
      </c>
      <c r="R200" s="60" t="n"/>
      <c r="S200" s="60" t="n"/>
      <c r="T200" s="60" t="n"/>
      <c r="U200" s="60" t="n"/>
      <c r="V200" s="60" t="n"/>
      <c r="W200" s="60" t="n"/>
      <c r="X200" s="60" t="n"/>
      <c r="Y200" s="60" t="n"/>
      <c r="Z200" s="60" t="n"/>
      <c r="AA200" s="60" t="n">
        <v>1</v>
      </c>
      <c r="AB200" s="60" t="n"/>
      <c r="AC200" s="60" t="n"/>
      <c r="AD200" s="60" t="n"/>
      <c r="AE200" s="60" t="n"/>
      <c r="AF200" s="60" t="n"/>
      <c r="AG200" s="60" t="n"/>
      <c r="AH200" s="60" t="n"/>
      <c r="AI200" s="60" t="n"/>
      <c r="AJ200" s="60" t="n"/>
      <c r="AK200" s="120">
        <f>IF(L200&gt;0,L200*90.44,0)+IF(M200&gt;0,M200*348.12,0)+IF(N200&gt;0,N200*151.63,0)+IF(O200&gt;0,O200*197.82,0)+IF(P200&gt;0,P200*244.09,0)+IF(Q200&gt;0,Q200*315.35,0)+IF(R200&gt;0,R200*1067.3,0)+IF(T200&gt;0,T200*567.47,0)+IF(U200&gt;0,U200*151.63,0)+IF(V200&gt;0,V200*197.84,0)+IF(W200&gt;0,W200*470.51,0)+IF(X200&gt;0,X200*701.69,0)+IF(Z200&gt;0,Z200*151.63,0)+IF(AA200&gt;0,AA200*197.84)+IF(AB200&gt;0,AB200*308.4,0)+IF(AC200&gt;0,AC200*496.16,0)</f>
        <v/>
      </c>
    </row>
    <row r="201" hidden="1">
      <c r="A201" s="58" t="n"/>
      <c r="B201" s="59">
        <f>IF(H201&lt;$B$1,"VENCIDO","NA VALIDADE")</f>
        <v/>
      </c>
      <c r="C201" s="60" t="inlineStr">
        <is>
          <t>SUBESTAÇÃO</t>
        </is>
      </c>
      <c r="D201" s="61" t="inlineStr">
        <is>
          <t>SE RIO DO OURO (BR 242/459 FORMOSA DO RIO PRETO )</t>
        </is>
      </c>
      <c r="E201" s="62" t="inlineStr">
        <is>
          <t>FORMOSA DO RIO PRETO</t>
        </is>
      </c>
      <c r="F201" s="61" t="inlineStr">
        <is>
          <t>VITÓRIA DA CONQUISTA</t>
        </is>
      </c>
      <c r="G201" s="60" t="inlineStr">
        <is>
          <t>BA</t>
        </is>
      </c>
      <c r="H201" s="119" t="n">
        <v>45323</v>
      </c>
      <c r="I201" s="119" t="n">
        <v>45323</v>
      </c>
      <c r="J201" s="60">
        <f>SUM(L201:AE201)</f>
        <v/>
      </c>
      <c r="K201" s="60">
        <f>SUM(AF201:AJ201)</f>
        <v/>
      </c>
      <c r="L201" s="60" t="n"/>
      <c r="M201" s="60" t="n"/>
      <c r="N201" s="60" t="n"/>
      <c r="O201" s="60" t="n"/>
      <c r="P201" s="60" t="n"/>
      <c r="Q201" s="60" t="n">
        <v>5</v>
      </c>
      <c r="R201" s="60" t="n"/>
      <c r="S201" s="60" t="n"/>
      <c r="T201" s="60" t="n">
        <v>2</v>
      </c>
      <c r="U201" s="60" t="n"/>
      <c r="V201" s="60" t="n"/>
      <c r="W201" s="60" t="n"/>
      <c r="X201" s="60" t="n"/>
      <c r="Y201" s="60" t="n"/>
      <c r="Z201" s="60" t="n"/>
      <c r="AA201" s="60" t="n">
        <v>1</v>
      </c>
      <c r="AB201" s="60" t="n"/>
      <c r="AC201" s="60" t="n"/>
      <c r="AD201" s="60" t="n"/>
      <c r="AE201" s="60" t="n"/>
      <c r="AF201" s="60" t="n"/>
      <c r="AG201" s="60" t="n"/>
      <c r="AH201" s="60" t="n"/>
      <c r="AI201" s="60" t="n"/>
      <c r="AJ201" s="60" t="n"/>
      <c r="AK201" s="120">
        <f>IF(L201&gt;0,L201*90.44,0)+IF(M201&gt;0,M201*348.12,0)+IF(N201&gt;0,N201*151.63,0)+IF(O201&gt;0,O201*197.82,0)+IF(P201&gt;0,P201*244.09,0)+IF(Q201&gt;0,Q201*315.35,0)+IF(R201&gt;0,R201*1067.3,0)+IF(T201&gt;0,T201*567.47,0)+IF(U201&gt;0,U201*151.63,0)+IF(V201&gt;0,V201*197.84,0)+IF(W201&gt;0,W201*470.51,0)+IF(X201&gt;0,X201*701.69,0)+IF(Z201&gt;0,Z201*151.63,0)+IF(AA201&gt;0,AA201*197.84)+IF(AB201&gt;0,AB201*308.4,0)+IF(AC201&gt;0,AC201*496.16,0)</f>
        <v/>
      </c>
    </row>
    <row r="202" hidden="1">
      <c r="A202" s="58" t="inlineStr">
        <is>
          <t>rota</t>
        </is>
      </c>
      <c r="B202" s="59">
        <f>IF(H202&lt;$B$1,"VENCIDO","NA VALIDADE")</f>
        <v/>
      </c>
      <c r="C202" s="60" t="inlineStr">
        <is>
          <t>SUBESTAÇÃO</t>
        </is>
      </c>
      <c r="D202" s="61" t="inlineStr">
        <is>
          <t>SE RIO GUARÁ ( FAZENDA TABULEIRO - CORRENTINA)</t>
        </is>
      </c>
      <c r="E202" s="62" t="inlineStr">
        <is>
          <t>CORRENTINA</t>
        </is>
      </c>
      <c r="F202" s="61" t="inlineStr">
        <is>
          <t>VITÓRIA DA CONQUISTA</t>
        </is>
      </c>
      <c r="G202" s="60" t="inlineStr">
        <is>
          <t>BA</t>
        </is>
      </c>
      <c r="H202" s="119" t="n">
        <v>45292</v>
      </c>
      <c r="I202" s="119" t="n">
        <v>45292</v>
      </c>
      <c r="J202" s="60">
        <f>SUM(L202:AE202)</f>
        <v/>
      </c>
      <c r="K202" s="60">
        <f>SUM(AF202:AJ202)</f>
        <v/>
      </c>
      <c r="L202" s="60" t="n"/>
      <c r="M202" s="60" t="n"/>
      <c r="N202" s="60" t="n"/>
      <c r="O202" s="60" t="n"/>
      <c r="P202" s="60" t="n"/>
      <c r="Q202" s="60" t="n">
        <v>2</v>
      </c>
      <c r="R202" s="60" t="n"/>
      <c r="S202" s="60" t="n"/>
      <c r="T202" s="60" t="n">
        <v>2</v>
      </c>
      <c r="U202" s="60" t="n"/>
      <c r="V202" s="60" t="n"/>
      <c r="W202" s="60" t="n"/>
      <c r="X202" s="60" t="n"/>
      <c r="Y202" s="60" t="n"/>
      <c r="Z202" s="60" t="n"/>
      <c r="AA202" s="60" t="n">
        <v>2</v>
      </c>
      <c r="AB202" s="60" t="n"/>
      <c r="AC202" s="60" t="n"/>
      <c r="AD202" s="60" t="n"/>
      <c r="AE202" s="60" t="n"/>
      <c r="AF202" s="60" t="n"/>
      <c r="AG202" s="60" t="n"/>
      <c r="AH202" s="60" t="n"/>
      <c r="AI202" s="60" t="n"/>
      <c r="AJ202" s="60" t="n"/>
      <c r="AK202" s="120">
        <f>IF(L202&gt;0,L202*90.44,0)+IF(M202&gt;0,M202*348.12,0)+IF(N202&gt;0,N202*151.63,0)+IF(O202&gt;0,O202*197.82,0)+IF(P202&gt;0,P202*244.09,0)+IF(Q202&gt;0,Q202*315.35,0)+IF(R202&gt;0,R202*1067.3,0)+IF(T202&gt;0,T202*567.47,0)+IF(U202&gt;0,U202*151.63,0)+IF(V202&gt;0,V202*197.84,0)+IF(W202&gt;0,W202*470.51,0)+IF(X202&gt;0,X202*701.69,0)+IF(Z202&gt;0,Z202*151.63,0)+IF(AA202&gt;0,AA202*197.84)+IF(AB202&gt;0,AB202*308.4,0)+IF(AC202&gt;0,AC202*496.16,0)</f>
        <v/>
      </c>
    </row>
    <row r="203" hidden="1">
      <c r="A203" s="58" t="n"/>
      <c r="B203" s="59">
        <f>IF(H203&lt;$B$1,"VENCIDO","NA VALIDADE")</f>
        <v/>
      </c>
      <c r="C203" s="60" t="inlineStr">
        <is>
          <t>SUBESTAÇÃO</t>
        </is>
      </c>
      <c r="D203" s="61" t="inlineStr">
        <is>
          <t>SE RIO GRANDE III (BR 463 FAZENDA OURO BRANCO)</t>
        </is>
      </c>
      <c r="E203" s="62" t="inlineStr">
        <is>
          <t>SÃO DESIDÉRIO</t>
        </is>
      </c>
      <c r="F203" s="61" t="inlineStr">
        <is>
          <t>VITÓRIA DA CONQUISTA</t>
        </is>
      </c>
      <c r="G203" s="60" t="inlineStr">
        <is>
          <t>BA</t>
        </is>
      </c>
      <c r="H203" s="119" t="n">
        <v>45383</v>
      </c>
      <c r="I203" s="119" t="n">
        <v>45383</v>
      </c>
      <c r="J203" s="60">
        <f>SUM(L203:AE203)</f>
        <v/>
      </c>
      <c r="K203" s="60">
        <f>SUM(AF203:AJ203)</f>
        <v/>
      </c>
      <c r="L203" s="60" t="n"/>
      <c r="M203" s="60" t="n"/>
      <c r="N203" s="60" t="n"/>
      <c r="O203" s="60" t="n"/>
      <c r="P203" s="60" t="n"/>
      <c r="Q203" s="60" t="n">
        <v>4</v>
      </c>
      <c r="R203" s="60" t="n"/>
      <c r="S203" s="60" t="n"/>
      <c r="T203" s="60" t="n">
        <v>2</v>
      </c>
      <c r="U203" s="60" t="n"/>
      <c r="V203" s="60" t="n"/>
      <c r="W203" s="60" t="n"/>
      <c r="X203" s="60" t="n"/>
      <c r="Y203" s="60" t="n"/>
      <c r="Z203" s="60" t="n"/>
      <c r="AA203" s="60" t="n">
        <v>4</v>
      </c>
      <c r="AB203" s="60" t="n"/>
      <c r="AC203" s="60" t="n"/>
      <c r="AD203" s="60" t="n"/>
      <c r="AE203" s="60" t="n"/>
      <c r="AF203" s="60" t="n"/>
      <c r="AG203" s="60" t="n"/>
      <c r="AH203" s="60" t="n"/>
      <c r="AI203" s="60" t="n"/>
      <c r="AJ203" s="60" t="n"/>
      <c r="AK203" s="120">
        <f>IF(L203&gt;0,L203*90.44,0)+IF(M203&gt;0,M203*348.12,0)+IF(N203&gt;0,N203*151.63,0)+IF(O203&gt;0,O203*197.82,0)+IF(P203&gt;0,P203*244.09,0)+IF(Q203&gt;0,Q203*315.35,0)+IF(R203&gt;0,R203*1067.3,0)+IF(T203&gt;0,T203*567.47,0)+IF(U203&gt;0,U203*151.63,0)+IF(V203&gt;0,V203*197.84,0)+IF(W203&gt;0,W203*470.51,0)+IF(X203&gt;0,X203*701.69,0)+IF(Z203&gt;0,Z203*151.63,0)+IF(AA203&gt;0,AA203*197.84)+IF(AB203&gt;0,AB203*308.4,0)+IF(AC203&gt;0,AC203*496.16,0)</f>
        <v/>
      </c>
    </row>
    <row r="204" hidden="1">
      <c r="A204" s="58" t="inlineStr">
        <is>
          <t>VITÓRIA 06/12</t>
        </is>
      </c>
      <c r="B204" s="59">
        <f>IF(H204&lt;$B$1,"VENCIDO","NA VALIDADE")</f>
        <v/>
      </c>
      <c r="C204" s="60" t="inlineStr">
        <is>
          <t>SUBESTAÇÃO</t>
        </is>
      </c>
      <c r="D204" s="61" t="inlineStr">
        <is>
          <t>SE ITAGUARI ( FAZENDA PORTELA,COCOS-BA )</t>
        </is>
      </c>
      <c r="E204" s="62" t="inlineStr">
        <is>
          <t>COCOS</t>
        </is>
      </c>
      <c r="F204" s="61" t="inlineStr">
        <is>
          <t>VITÓRIA DA CONQUISTA</t>
        </is>
      </c>
      <c r="G204" s="60" t="inlineStr">
        <is>
          <t>BA</t>
        </is>
      </c>
      <c r="H204" s="119" t="n">
        <v>45413</v>
      </c>
      <c r="I204" s="119" t="n">
        <v>45413</v>
      </c>
      <c r="J204" s="60">
        <f>SUM(L204:AE204)</f>
        <v/>
      </c>
      <c r="K204" s="60">
        <f>SUM(AF204:AJ204)</f>
        <v/>
      </c>
      <c r="L204" s="60" t="n"/>
      <c r="M204" s="60" t="n"/>
      <c r="N204" s="60" t="n"/>
      <c r="O204" s="60" t="n"/>
      <c r="P204" s="60" t="n"/>
      <c r="Q204" s="60" t="n">
        <v>10</v>
      </c>
      <c r="R204" s="60" t="n"/>
      <c r="S204" s="60" t="n"/>
      <c r="T204" s="60" t="n">
        <v>2</v>
      </c>
      <c r="U204" s="60" t="n"/>
      <c r="V204" s="60" t="n"/>
      <c r="W204" s="60" t="n"/>
      <c r="X204" s="60" t="n"/>
      <c r="Y204" s="60" t="n"/>
      <c r="Z204" s="60" t="n"/>
      <c r="AA204" s="60" t="n">
        <v>2</v>
      </c>
      <c r="AB204" s="60" t="n"/>
      <c r="AC204" s="60" t="n"/>
      <c r="AD204" s="60" t="n"/>
      <c r="AE204" s="60" t="n"/>
      <c r="AF204" s="60" t="n"/>
      <c r="AG204" s="60" t="n"/>
      <c r="AH204" s="60" t="n"/>
      <c r="AI204" s="60" t="n"/>
      <c r="AJ204" s="60" t="n"/>
      <c r="AK204" s="120">
        <f>IF(L204&gt;0,L204*90.44,0)+IF(M204&gt;0,M204*348.12,0)+IF(N204&gt;0,N204*151.63,0)+IF(O204&gt;0,O204*197.82,0)+IF(P204&gt;0,P204*244.09,0)+IF(Q204&gt;0,Q204*315.35,0)+IF(R204&gt;0,R204*1067.3,0)+IF(T204&gt;0,T204*567.47,0)+IF(U204&gt;0,U204*151.63,0)+IF(V204&gt;0,V204*197.84,0)+IF(W204&gt;0,W204*470.51,0)+IF(X204&gt;0,X204*701.69,0)+IF(Z204&gt;0,Z204*151.63,0)+IF(AA204&gt;0,AA204*197.84)+IF(AB204&gt;0,AB204*308.4,0)+IF(AC204&gt;0,AC204*496.16,0)</f>
        <v/>
      </c>
    </row>
    <row r="205">
      <c r="A205" s="58" t="inlineStr">
        <is>
          <t>VITÓRIA 06/12</t>
        </is>
      </c>
      <c r="B205" s="59">
        <f>IF(H205&lt;$B$1,"VENCIDO","NA VALIDADE")</f>
        <v/>
      </c>
      <c r="C205" s="60" t="inlineStr">
        <is>
          <t>SUBESTAÇÃO</t>
        </is>
      </c>
      <c r="D205" s="61" t="inlineStr">
        <is>
          <t>SE ANGICO</t>
        </is>
      </c>
      <c r="E205" s="62" t="inlineStr">
        <is>
          <t>GLÓRIA</t>
        </is>
      </c>
      <c r="F205" s="61" t="inlineStr">
        <is>
          <t>FEIRA DE  SANTANA</t>
        </is>
      </c>
      <c r="G205" s="60" t="inlineStr">
        <is>
          <t>BA</t>
        </is>
      </c>
      <c r="H205" s="119" t="n">
        <v>45536</v>
      </c>
      <c r="I205" s="119">
        <f>H205-180</f>
        <v/>
      </c>
      <c r="J205" s="60">
        <f>SUM(L205:AE205)</f>
        <v/>
      </c>
      <c r="K205" s="60">
        <f>SUM(AF205:AJ205)</f>
        <v/>
      </c>
      <c r="L205" s="60" t="n"/>
      <c r="M205" s="60" t="n"/>
      <c r="N205" s="60" t="n"/>
      <c r="O205" s="60" t="n"/>
      <c r="P205" s="60" t="n">
        <v>2</v>
      </c>
      <c r="Q205" s="60" t="n">
        <v>2</v>
      </c>
      <c r="R205" s="60" t="n"/>
      <c r="S205" s="60" t="n"/>
      <c r="T205" s="60" t="n">
        <v>2</v>
      </c>
      <c r="U205" s="60" t="n"/>
      <c r="V205" s="60" t="n"/>
      <c r="W205" s="60" t="n"/>
      <c r="X205" s="60" t="n"/>
      <c r="Y205" s="60" t="n"/>
      <c r="Z205" s="60" t="n"/>
      <c r="AA205" s="60" t="n">
        <v>3</v>
      </c>
      <c r="AB205" s="60" t="n"/>
      <c r="AC205" s="60" t="n"/>
      <c r="AD205" s="60" t="n"/>
      <c r="AE205" s="60" t="n"/>
      <c r="AF205" s="60" t="n"/>
      <c r="AG205" s="60" t="n"/>
      <c r="AH205" s="60" t="n"/>
      <c r="AI205" s="60" t="n"/>
      <c r="AJ205" s="60" t="n"/>
      <c r="AK205" s="120">
        <f>IF(L205&gt;0,L205*90.44,0)+IF(M205&gt;0,M205*348.12,0)+IF(N205&gt;0,N205*151.63,0)+IF(O205&gt;0,O205*197.82,0)+IF(P205&gt;0,P205*244.09,0)+IF(Q205&gt;0,Q205*315.35,0)+IF(R205&gt;0,R205*1067.3,0)+IF(T205&gt;0,T205*567.47,0)+IF(U205&gt;0,U205*151.63,0)+IF(V205&gt;0,V205*197.84,0)+IF(W205&gt;0,W205*470.51,0)+IF(X205&gt;0,X205*701.69,0)+IF(Z205&gt;0,Z205*151.63,0)+IF(AA205&gt;0,AA205*197.84)+IF(AB205&gt;0,AB205*308.4,0)+IF(AC205&gt;0,AC205*496.16,0)</f>
        <v/>
      </c>
    </row>
    <row r="206">
      <c r="A206" s="58" t="inlineStr">
        <is>
          <t>SIM</t>
        </is>
      </c>
      <c r="B206" s="59">
        <f>IF(H206&lt;$B$1,"VENCIDO","NA VALIDADE")</f>
        <v/>
      </c>
      <c r="C206" s="60" t="inlineStr">
        <is>
          <t>SUBESTAÇÃO</t>
        </is>
      </c>
      <c r="D206" s="61" t="inlineStr">
        <is>
          <t>SE IRAQUARA</t>
        </is>
      </c>
      <c r="E206" s="62" t="inlineStr">
        <is>
          <t>IRAQUARA</t>
        </is>
      </c>
      <c r="F206" s="61" t="inlineStr">
        <is>
          <t>FEIRA DE  SANTANA</t>
        </is>
      </c>
      <c r="G206" s="60" t="inlineStr">
        <is>
          <t>BA</t>
        </is>
      </c>
      <c r="H206" s="119" t="n">
        <v>45292</v>
      </c>
      <c r="I206" s="119" t="n">
        <v>45292</v>
      </c>
      <c r="J206" s="60">
        <f>SUM(L206:AE206)</f>
        <v/>
      </c>
      <c r="K206" s="60">
        <f>SUM(AF206:AJ206)</f>
        <v/>
      </c>
      <c r="L206" s="60" t="n"/>
      <c r="M206" s="60" t="n"/>
      <c r="N206" s="60" t="n"/>
      <c r="O206" s="60" t="n"/>
      <c r="P206" s="60" t="n"/>
      <c r="Q206" s="60" t="n">
        <v>1</v>
      </c>
      <c r="R206" s="60" t="n"/>
      <c r="S206" s="60" t="n"/>
      <c r="T206" s="60" t="n"/>
      <c r="U206" s="60" t="n"/>
      <c r="V206" s="60" t="n"/>
      <c r="W206" s="60" t="n"/>
      <c r="X206" s="60" t="n"/>
      <c r="Y206" s="60" t="n"/>
      <c r="Z206" s="60" t="n"/>
      <c r="AA206" s="60" t="n">
        <v>1</v>
      </c>
      <c r="AB206" s="60" t="n"/>
      <c r="AC206" s="60" t="n"/>
      <c r="AD206" s="60" t="n"/>
      <c r="AE206" s="60" t="n"/>
      <c r="AF206" s="60" t="n"/>
      <c r="AG206" s="60" t="n"/>
      <c r="AH206" s="60" t="n"/>
      <c r="AI206" s="60" t="n"/>
      <c r="AJ206" s="60" t="n"/>
      <c r="AK206" s="120">
        <f>IF(L206&gt;0,L206*90.44,0)+IF(M206&gt;0,M206*348.12,0)+IF(N206&gt;0,N206*151.63,0)+IF(O206&gt;0,O206*197.82,0)+IF(P206&gt;0,P206*244.09,0)+IF(Q206&gt;0,Q206*315.35,0)+IF(R206&gt;0,R206*1067.3,0)+IF(T206&gt;0,T206*567.47,0)+IF(U206&gt;0,U206*151.63,0)+IF(V206&gt;0,V206*197.84,0)+IF(W206&gt;0,W206*470.51,0)+IF(X206&gt;0,X206*701.69,0)+IF(Z206&gt;0,Z206*151.63,0)+IF(AA206&gt;0,AA206*197.84)+IF(AB206&gt;0,AB206*308.4,0)+IF(AC206&gt;0,AC206*496.16,0)</f>
        <v/>
      </c>
    </row>
    <row r="207">
      <c r="A207" s="58" t="n"/>
      <c r="B207" s="59">
        <f>IF(H207&lt;$B$1,"VENCIDO","NA VALIDADE")</f>
        <v/>
      </c>
      <c r="C207" s="60" t="inlineStr">
        <is>
          <t>SUBESTAÇÃO</t>
        </is>
      </c>
      <c r="D207" s="61" t="inlineStr">
        <is>
          <t>SE ARAÇAS</t>
        </is>
      </c>
      <c r="E207" s="62" t="inlineStr">
        <is>
          <t>ARAÇAS</t>
        </is>
      </c>
      <c r="F207" s="61" t="inlineStr">
        <is>
          <t>FEIRA DE  SANTANA</t>
        </is>
      </c>
      <c r="G207" s="60" t="inlineStr">
        <is>
          <t>BA</t>
        </is>
      </c>
      <c r="H207" s="119" t="n">
        <v>45536</v>
      </c>
      <c r="I207" s="119">
        <f>H207-180</f>
        <v/>
      </c>
      <c r="J207" s="60">
        <f>SUM(L207:AE207)</f>
        <v/>
      </c>
      <c r="K207" s="60">
        <f>SUM(AF207:AJ207)</f>
        <v/>
      </c>
      <c r="L207" s="60" t="n"/>
      <c r="M207" s="60" t="n"/>
      <c r="N207" s="60" t="n"/>
      <c r="O207" s="60" t="n"/>
      <c r="P207" s="60" t="n"/>
      <c r="Q207" s="60" t="n">
        <v>2</v>
      </c>
      <c r="R207" s="60" t="n"/>
      <c r="S207" s="60" t="n"/>
      <c r="T207" s="60" t="n">
        <v>1</v>
      </c>
      <c r="U207" s="60" t="n"/>
      <c r="V207" s="60" t="n">
        <v>2</v>
      </c>
      <c r="W207" s="60" t="n"/>
      <c r="X207" s="60" t="n"/>
      <c r="Y207" s="60" t="n"/>
      <c r="Z207" s="60" t="n"/>
      <c r="AA207" s="60" t="n"/>
      <c r="AB207" s="60" t="n"/>
      <c r="AC207" s="60" t="n"/>
      <c r="AD207" s="60" t="n"/>
      <c r="AE207" s="60" t="n"/>
      <c r="AF207" s="60" t="n"/>
      <c r="AG207" s="60" t="n"/>
      <c r="AH207" s="60" t="n"/>
      <c r="AI207" s="60" t="n"/>
      <c r="AJ207" s="60" t="n"/>
      <c r="AK207" s="120">
        <f>IF(L207&gt;0,L207*90.44,0)+IF(M207&gt;0,M207*348.12,0)+IF(N207&gt;0,N207*151.63,0)+IF(O207&gt;0,O207*197.82,0)+IF(P207&gt;0,P207*244.09,0)+IF(Q207&gt;0,Q207*315.35,0)+IF(R207&gt;0,R207*1067.3,0)+IF(T207&gt;0,T207*567.47,0)+IF(U207&gt;0,U207*151.63,0)+IF(V207&gt;0,V207*197.84,0)+IF(W207&gt;0,W207*470.51,0)+IF(X207&gt;0,X207*701.69,0)+IF(Z207&gt;0,Z207*151.63,0)+IF(AA207&gt;0,AA207*197.84)+IF(AB207&gt;0,AB207*308.4,0)+IF(AC207&gt;0,AC207*496.16,0)</f>
        <v/>
      </c>
    </row>
    <row r="208">
      <c r="A208" s="58" t="inlineStr">
        <is>
          <t>FEIRA 06/12</t>
        </is>
      </c>
      <c r="B208" s="59">
        <f>IF(H208&lt;$B$1,"VENCIDO","NA VALIDADE")</f>
        <v/>
      </c>
      <c r="C208" s="60" t="inlineStr">
        <is>
          <t>SUBESTAÇÃO</t>
        </is>
      </c>
      <c r="D208" s="61" t="inlineStr">
        <is>
          <t>SE AREMBEPE</t>
        </is>
      </c>
      <c r="E208" s="62" t="inlineStr">
        <is>
          <t>CAMAÇARI</t>
        </is>
      </c>
      <c r="F208" s="61" t="inlineStr">
        <is>
          <t>FEIRA DE  SANTANA</t>
        </is>
      </c>
      <c r="G208" s="60" t="inlineStr">
        <is>
          <t>BA</t>
        </is>
      </c>
      <c r="H208" s="119" t="n">
        <v>45444</v>
      </c>
      <c r="I208" s="119" t="n">
        <v>45444</v>
      </c>
      <c r="J208" s="60">
        <f>SUM(L208:AE208)</f>
        <v/>
      </c>
      <c r="K208" s="60">
        <f>SUM(AF208:AJ208)</f>
        <v/>
      </c>
      <c r="L208" s="60" t="n"/>
      <c r="M208" s="60" t="n"/>
      <c r="N208" s="60" t="n"/>
      <c r="O208" s="60" t="n"/>
      <c r="P208" s="60" t="n"/>
      <c r="Q208" s="60" t="n">
        <v>1</v>
      </c>
      <c r="R208" s="60" t="n"/>
      <c r="S208" s="60" t="n"/>
      <c r="T208" s="60" t="n"/>
      <c r="U208" s="60" t="n"/>
      <c r="V208" s="60" t="n"/>
      <c r="W208" s="60" t="n"/>
      <c r="X208" s="60" t="n"/>
      <c r="Y208" s="60" t="n"/>
      <c r="Z208" s="60" t="n"/>
      <c r="AA208" s="60" t="n">
        <v>1</v>
      </c>
      <c r="AB208" s="60" t="n"/>
      <c r="AC208" s="60" t="n"/>
      <c r="AD208" s="60" t="n"/>
      <c r="AE208" s="60" t="n"/>
      <c r="AF208" s="60" t="n"/>
      <c r="AG208" s="60" t="n"/>
      <c r="AH208" s="60" t="n"/>
      <c r="AI208" s="60" t="n"/>
      <c r="AJ208" s="60" t="n"/>
      <c r="AK208" s="120">
        <f>IF(L208&gt;0,L208*90.44,0)+IF(M208&gt;0,M208*348.12,0)+IF(N208&gt;0,N208*151.63,0)+IF(O208&gt;0,O208*197.82,0)+IF(P208&gt;0,P208*244.09,0)+IF(Q208&gt;0,Q208*315.35,0)+IF(R208&gt;0,R208*1067.3,0)+IF(T208&gt;0,T208*567.47,0)+IF(U208&gt;0,U208*151.63,0)+IF(V208&gt;0,V208*197.84,0)+IF(W208&gt;0,W208*470.51,0)+IF(X208&gt;0,X208*701.69,0)+IF(Z208&gt;0,Z208*151.63,0)+IF(AA208&gt;0,AA208*197.84)+IF(AB208&gt;0,AB208*308.4,0)+IF(AC208&gt;0,AC208*496.16,0)</f>
        <v/>
      </c>
    </row>
    <row r="209">
      <c r="A209" s="58" t="inlineStr">
        <is>
          <t>1 DEZ VI</t>
        </is>
      </c>
      <c r="B209" s="59">
        <f>IF(H209&lt;$B$1,"VENCIDO","NA VALIDADE")</f>
        <v/>
      </c>
      <c r="C209" s="60" t="inlineStr">
        <is>
          <t>SUBESTAÇÃO</t>
        </is>
      </c>
      <c r="D209" s="61" t="inlineStr">
        <is>
          <t>SE ASA SUL</t>
        </is>
      </c>
      <c r="E209" s="62" t="inlineStr">
        <is>
          <t>IRECÊ</t>
        </is>
      </c>
      <c r="F209" s="61" t="inlineStr">
        <is>
          <t>FEIRA DE  SANTANA</t>
        </is>
      </c>
      <c r="G209" s="60" t="inlineStr">
        <is>
          <t>BA</t>
        </is>
      </c>
      <c r="H209" s="119" t="n">
        <v>45323</v>
      </c>
      <c r="I209" s="119" t="n">
        <v>45323</v>
      </c>
      <c r="J209" s="60">
        <f>SUM(L209:AE209)</f>
        <v/>
      </c>
      <c r="K209" s="60">
        <f>SUM(AF209:AJ209)</f>
        <v/>
      </c>
      <c r="L209" s="60" t="n"/>
      <c r="M209" s="60" t="n"/>
      <c r="N209" s="60" t="n"/>
      <c r="O209" s="60" t="n"/>
      <c r="P209" s="60" t="n">
        <v>2</v>
      </c>
      <c r="Q209" s="60" t="n">
        <v>11</v>
      </c>
      <c r="R209" s="60" t="n"/>
      <c r="S209" s="60" t="n"/>
      <c r="T209" s="60" t="n">
        <v>3</v>
      </c>
      <c r="U209" s="60" t="n"/>
      <c r="V209" s="60" t="n"/>
      <c r="W209" s="60" t="n"/>
      <c r="X209" s="60" t="n"/>
      <c r="Y209" s="60" t="n"/>
      <c r="Z209" s="60" t="n"/>
      <c r="AA209" s="60" t="n">
        <v>1</v>
      </c>
      <c r="AB209" s="60" t="n"/>
      <c r="AC209" s="60" t="n"/>
      <c r="AD209" s="60" t="n"/>
      <c r="AE209" s="60" t="n"/>
      <c r="AF209" s="60" t="n"/>
      <c r="AG209" s="60" t="n"/>
      <c r="AH209" s="60" t="n"/>
      <c r="AI209" s="60" t="n"/>
      <c r="AJ209" s="60" t="n"/>
      <c r="AK209" s="120">
        <f>IF(L209&gt;0,L209*90.44,0)+IF(M209&gt;0,M209*348.12,0)+IF(N209&gt;0,N209*151.63,0)+IF(O209&gt;0,O209*197.82,0)+IF(P209&gt;0,P209*244.09,0)+IF(Q209&gt;0,Q209*315.35,0)+IF(R209&gt;0,R209*1067.3,0)+IF(T209&gt;0,T209*567.47,0)+IF(U209&gt;0,U209*151.63,0)+IF(V209&gt;0,V209*197.84,0)+IF(W209&gt;0,W209*470.51,0)+IF(X209&gt;0,X209*701.69,0)+IF(Z209&gt;0,Z209*151.63,0)+IF(AA209&gt;0,AA209*197.84)+IF(AB209&gt;0,AB209*308.4,0)+IF(AC209&gt;0,AC209*496.16,0)</f>
        <v/>
      </c>
    </row>
    <row r="210">
      <c r="A210" s="58" t="inlineStr">
        <is>
          <t>1 DEZ CABO</t>
        </is>
      </c>
      <c r="B210" s="59">
        <f>IF(H210&lt;$B$1,"VENCIDO","NA VALIDADE")</f>
        <v/>
      </c>
      <c r="C210" s="60" t="inlineStr">
        <is>
          <t>SUBESTAÇÃO</t>
        </is>
      </c>
      <c r="D210" s="61" t="inlineStr">
        <is>
          <t>SE ABRANTES</t>
        </is>
      </c>
      <c r="E210" s="62" t="inlineStr">
        <is>
          <t>CAMAÇARI</t>
        </is>
      </c>
      <c r="F210" s="61" t="inlineStr">
        <is>
          <t>FEIRA DE  SANTANA</t>
        </is>
      </c>
      <c r="G210" s="60" t="inlineStr">
        <is>
          <t>BA</t>
        </is>
      </c>
      <c r="H210" s="119" t="n">
        <v>45292</v>
      </c>
      <c r="I210" s="119" t="n">
        <v>45292</v>
      </c>
      <c r="J210" s="60">
        <f>SUM(L210:AE210)</f>
        <v/>
      </c>
      <c r="K210" s="60">
        <f>SUM(AF210:AJ210)</f>
        <v/>
      </c>
      <c r="L210" s="60" t="n"/>
      <c r="M210" s="60" t="n"/>
      <c r="N210" s="60" t="n"/>
      <c r="O210" s="60" t="n"/>
      <c r="P210" s="60" t="n"/>
      <c r="Q210" s="60" t="n">
        <v>2</v>
      </c>
      <c r="R210" s="60" t="n"/>
      <c r="S210" s="60" t="n"/>
      <c r="T210" s="60" t="n">
        <v>1</v>
      </c>
      <c r="U210" s="60" t="n"/>
      <c r="V210" s="60" t="n"/>
      <c r="W210" s="60" t="n"/>
      <c r="X210" s="60" t="n"/>
      <c r="Y210" s="60" t="n"/>
      <c r="Z210" s="60" t="n"/>
      <c r="AA210" s="60" t="n">
        <v>2</v>
      </c>
      <c r="AB210" s="60" t="n"/>
      <c r="AC210" s="60" t="n"/>
      <c r="AD210" s="60" t="n"/>
      <c r="AE210" s="60" t="n"/>
      <c r="AF210" s="60" t="n"/>
      <c r="AG210" s="60" t="n"/>
      <c r="AH210" s="60" t="n"/>
      <c r="AI210" s="60" t="n"/>
      <c r="AJ210" s="60" t="n"/>
      <c r="AK210" s="120">
        <f>IF(L210&gt;0,L210*90.44,0)+IF(M210&gt;0,M210*348.12,0)+IF(N210&gt;0,N210*151.63,0)+IF(O210&gt;0,O210*197.82,0)+IF(P210&gt;0,P210*244.09,0)+IF(Q210&gt;0,Q210*315.35,0)+IF(R210&gt;0,R210*1067.3,0)+IF(T210&gt;0,T210*567.47,0)+IF(U210&gt;0,U210*151.63,0)+IF(V210&gt;0,V210*197.84,0)+IF(W210&gt;0,W210*470.51,0)+IF(X210&gt;0,X210*701.69,0)+IF(Z210&gt;0,Z210*151.63,0)+IF(AA210&gt;0,AA210*197.84)+IF(AB210&gt;0,AB210*308.4,0)+IF(AC210&gt;0,AC210*496.16,0)</f>
        <v/>
      </c>
    </row>
    <row r="211">
      <c r="A211" s="58" t="inlineStr">
        <is>
          <t>VITÓRIA 06/12</t>
        </is>
      </c>
      <c r="B211" s="59">
        <f>IF(H211&lt;$B$1,"VENCIDO","NA VALIDADE")</f>
        <v/>
      </c>
      <c r="C211" s="60" t="inlineStr">
        <is>
          <t>SUBESTAÇÃO</t>
        </is>
      </c>
      <c r="D211" s="61" t="inlineStr">
        <is>
          <t>SE ASA BRANCA</t>
        </is>
      </c>
      <c r="E211" s="62" t="inlineStr">
        <is>
          <t>FEIRA DE SANTANA</t>
        </is>
      </c>
      <c r="F211" s="61" t="inlineStr">
        <is>
          <t>FEIRA DE  SANTANA</t>
        </is>
      </c>
      <c r="G211" s="60" t="inlineStr">
        <is>
          <t>BA</t>
        </is>
      </c>
      <c r="H211" s="119" t="n">
        <v>45536</v>
      </c>
      <c r="I211" s="119">
        <f>H211-180</f>
        <v/>
      </c>
      <c r="J211" s="60">
        <f>SUM(L211:AE211)</f>
        <v/>
      </c>
      <c r="K211" s="60">
        <f>SUM(AF211:AJ211)</f>
        <v/>
      </c>
      <c r="L211" s="60" t="n"/>
      <c r="M211" s="60" t="n"/>
      <c r="N211" s="60" t="n"/>
      <c r="O211" s="60" t="n"/>
      <c r="P211" s="60" t="n"/>
      <c r="Q211" s="60" t="n">
        <v>22</v>
      </c>
      <c r="R211" s="60" t="n"/>
      <c r="S211" s="60" t="n"/>
      <c r="T211" s="60" t="n">
        <v>5</v>
      </c>
      <c r="U211" s="60" t="n"/>
      <c r="V211" s="60" t="n"/>
      <c r="W211" s="60" t="n"/>
      <c r="X211" s="60" t="n"/>
      <c r="Y211" s="60" t="n"/>
      <c r="Z211" s="60" t="n"/>
      <c r="AA211" s="60" t="n"/>
      <c r="AB211" s="60" t="n"/>
      <c r="AC211" s="60" t="n"/>
      <c r="AD211" s="60" t="n"/>
      <c r="AE211" s="60" t="n"/>
      <c r="AF211" s="60" t="n"/>
      <c r="AG211" s="60" t="n"/>
      <c r="AH211" s="60" t="n"/>
      <c r="AI211" s="60" t="n"/>
      <c r="AJ211" s="60" t="n"/>
      <c r="AK211" s="120">
        <f>IF(L211&gt;0,L211*90.44,0)+IF(M211&gt;0,M211*348.12,0)+IF(N211&gt;0,N211*151.63,0)+IF(O211&gt;0,O211*197.82,0)+IF(P211&gt;0,P211*244.09,0)+IF(Q211&gt;0,Q211*315.35,0)+IF(R211&gt;0,R211*1067.3,0)+IF(T211&gt;0,T211*567.47,0)+IF(U211&gt;0,U211*151.63,0)+IF(V211&gt;0,V211*197.84,0)+IF(W211&gt;0,W211*470.51,0)+IF(X211&gt;0,X211*701.69,0)+IF(Z211&gt;0,Z211*151.63,0)+IF(AA211&gt;0,AA211*197.84)+IF(AB211&gt;0,AB211*308.4,0)+IF(AC211&gt;0,AC211*496.16,0)</f>
        <v/>
      </c>
    </row>
    <row r="212">
      <c r="A212" s="58" t="inlineStr">
        <is>
          <t>1 DEZ VI</t>
        </is>
      </c>
      <c r="B212" s="59">
        <f>IF(H212&lt;$B$1,"VENCIDO","NA VALIDADE")</f>
        <v/>
      </c>
      <c r="C212" s="60" t="inlineStr">
        <is>
          <t>SUBESTAÇÃO</t>
        </is>
      </c>
      <c r="D212" s="61" t="inlineStr">
        <is>
          <t>SE BAIXIO DE IRECÊ I</t>
        </is>
      </c>
      <c r="E212" s="62" t="inlineStr">
        <is>
          <t>IRECÊ</t>
        </is>
      </c>
      <c r="F212" s="61" t="inlineStr">
        <is>
          <t>FEIRA DE  SANTANA</t>
        </is>
      </c>
      <c r="G212" s="60" t="inlineStr">
        <is>
          <t>BA</t>
        </is>
      </c>
      <c r="H212" s="119" t="n">
        <v>45444</v>
      </c>
      <c r="I212" s="119" t="n">
        <v>45444</v>
      </c>
      <c r="J212" s="60">
        <f>SUM(L212:AE212)</f>
        <v/>
      </c>
      <c r="K212" s="60">
        <f>SUM(AF212:AJ212)</f>
        <v/>
      </c>
      <c r="L212" s="60" t="n"/>
      <c r="M212" s="60" t="n"/>
      <c r="N212" s="60" t="n"/>
      <c r="O212" s="60" t="n"/>
      <c r="P212" s="60" t="n">
        <v>1</v>
      </c>
      <c r="Q212" s="60" t="n">
        <v>4</v>
      </c>
      <c r="R212" s="60" t="n"/>
      <c r="S212" s="60" t="n"/>
      <c r="T212" s="60" t="n">
        <v>1</v>
      </c>
      <c r="U212" s="60" t="n"/>
      <c r="V212" s="60" t="n"/>
      <c r="W212" s="60" t="n"/>
      <c r="X212" s="60" t="n"/>
      <c r="Y212" s="60" t="n"/>
      <c r="Z212" s="60" t="n"/>
      <c r="AA212" s="60" t="n">
        <v>1</v>
      </c>
      <c r="AB212" s="60" t="n"/>
      <c r="AC212" s="60" t="n"/>
      <c r="AD212" s="60" t="n"/>
      <c r="AE212" s="60" t="n"/>
      <c r="AF212" s="60" t="n"/>
      <c r="AG212" s="60" t="n"/>
      <c r="AH212" s="60" t="n"/>
      <c r="AI212" s="60" t="n"/>
      <c r="AJ212" s="60" t="n"/>
      <c r="AK212" s="120">
        <f>IF(L212&gt;0,L212*90.44,0)+IF(M212&gt;0,M212*348.12,0)+IF(N212&gt;0,N212*151.63,0)+IF(O212&gt;0,O212*197.82,0)+IF(P212&gt;0,P212*244.09,0)+IF(Q212&gt;0,Q212*315.35,0)+IF(R212&gt;0,R212*1067.3,0)+IF(T212&gt;0,T212*567.47,0)+IF(U212&gt;0,U212*151.63,0)+IF(V212&gt;0,V212*197.84,0)+IF(W212&gt;0,W212*470.51,0)+IF(X212&gt;0,X212*701.69,0)+IF(Z212&gt;0,Z212*151.63,0)+IF(AA212&gt;0,AA212*197.84)+IF(AB212&gt;0,AB212*308.4,0)+IF(AC212&gt;0,AC212*496.16,0)</f>
        <v/>
      </c>
    </row>
    <row r="213">
      <c r="A213" s="58" t="n"/>
      <c r="B213" s="59">
        <f>IF(H213&lt;$B$1,"VENCIDO","NA VALIDADE")</f>
        <v/>
      </c>
      <c r="C213" s="60" t="inlineStr">
        <is>
          <t>SUBESTAÇÃO</t>
        </is>
      </c>
      <c r="D213" s="61" t="inlineStr">
        <is>
          <t>SE BAIXIO DE IRECÊ II</t>
        </is>
      </c>
      <c r="E213" s="62" t="inlineStr">
        <is>
          <t>ITAGUAÇU DA BAHIA</t>
        </is>
      </c>
      <c r="F213" s="61" t="inlineStr">
        <is>
          <t>FEIRA DE  SANTANA</t>
        </is>
      </c>
      <c r="G213" s="60" t="inlineStr">
        <is>
          <t>BA</t>
        </is>
      </c>
      <c r="H213" s="119" t="n">
        <v>45474</v>
      </c>
      <c r="I213" s="119">
        <f>H213-180</f>
        <v/>
      </c>
      <c r="J213" s="60">
        <f>SUM(L213:AE213)</f>
        <v/>
      </c>
      <c r="K213" s="60">
        <f>SUM(AF213:AJ213)</f>
        <v/>
      </c>
      <c r="L213" s="60" t="n"/>
      <c r="M213" s="60" t="n"/>
      <c r="N213" s="60" t="n"/>
      <c r="O213" s="60" t="n"/>
      <c r="P213" s="60" t="n"/>
      <c r="Q213" s="60" t="n">
        <v>1</v>
      </c>
      <c r="R213" s="60" t="n"/>
      <c r="S213" s="60" t="n"/>
      <c r="T213" s="60" t="n"/>
      <c r="U213" s="60" t="n"/>
      <c r="V213" s="60" t="n"/>
      <c r="W213" s="60" t="n"/>
      <c r="X213" s="60" t="n"/>
      <c r="Y213" s="60" t="n"/>
      <c r="Z213" s="60" t="n"/>
      <c r="AA213" s="60" t="n">
        <v>1</v>
      </c>
      <c r="AB213" s="60" t="n"/>
      <c r="AC213" s="60" t="n"/>
      <c r="AD213" s="60" t="n"/>
      <c r="AE213" s="60" t="n"/>
      <c r="AF213" s="60" t="n"/>
      <c r="AG213" s="60" t="n"/>
      <c r="AH213" s="60" t="n"/>
      <c r="AI213" s="60" t="n"/>
      <c r="AJ213" s="60" t="n"/>
      <c r="AK213" s="120">
        <f>IF(L213&gt;0,L213*90.44,0)+IF(M213&gt;0,M213*348.12,0)+IF(N213&gt;0,N213*151.63,0)+IF(O213&gt;0,O213*197.82,0)+IF(P213&gt;0,P213*244.09,0)+IF(Q213&gt;0,Q213*315.35,0)+IF(R213&gt;0,R213*1067.3,0)+IF(T213&gt;0,T213*567.47,0)+IF(U213&gt;0,U213*151.63,0)+IF(V213&gt;0,V213*197.84,0)+IF(W213&gt;0,W213*470.51,0)+IF(X213&gt;0,X213*701.69,0)+IF(Z213&gt;0,Z213*151.63,0)+IF(AA213&gt;0,AA213*197.84)+IF(AB213&gt;0,AB213*308.4,0)+IF(AC213&gt;0,AC213*496.16,0)</f>
        <v/>
      </c>
    </row>
    <row r="214">
      <c r="A214" s="58" t="n"/>
      <c r="B214" s="59">
        <f>IF(H214&lt;$B$1,"VENCIDO","NA VALIDADE")</f>
        <v/>
      </c>
      <c r="C214" s="60" t="inlineStr">
        <is>
          <t>SUBESTAÇÃO</t>
        </is>
      </c>
      <c r="D214" s="61" t="inlineStr">
        <is>
          <t>SE BAIXIO DE IRECÊ II</t>
        </is>
      </c>
      <c r="E214" s="62" t="inlineStr">
        <is>
          <t>IRECÊ</t>
        </is>
      </c>
      <c r="F214" s="61" t="inlineStr">
        <is>
          <t>FEIRA DE  SANTANA</t>
        </is>
      </c>
      <c r="G214" s="60" t="inlineStr">
        <is>
          <t>BA</t>
        </is>
      </c>
      <c r="H214" s="119" t="n">
        <v>45474</v>
      </c>
      <c r="I214" s="119">
        <f>H214-180</f>
        <v/>
      </c>
      <c r="J214" s="60">
        <f>SUM(L214:AE214)</f>
        <v/>
      </c>
      <c r="K214" s="60">
        <f>SUM(AF214:AJ214)</f>
        <v/>
      </c>
      <c r="L214" s="60" t="n"/>
      <c r="M214" s="60" t="n"/>
      <c r="N214" s="60" t="n"/>
      <c r="O214" s="60" t="n"/>
      <c r="P214" s="60" t="n"/>
      <c r="Q214" s="60" t="n">
        <v>1</v>
      </c>
      <c r="R214" s="60" t="n"/>
      <c r="S214" s="60" t="n"/>
      <c r="T214" s="60" t="n">
        <v>1</v>
      </c>
      <c r="U214" s="60" t="n"/>
      <c r="V214" s="60" t="n"/>
      <c r="W214" s="60" t="n"/>
      <c r="X214" s="60" t="n"/>
      <c r="Y214" s="60" t="n"/>
      <c r="Z214" s="60" t="n"/>
      <c r="AA214" s="60" t="n">
        <v>1</v>
      </c>
      <c r="AB214" s="60" t="n"/>
      <c r="AC214" s="60" t="n"/>
      <c r="AD214" s="60" t="n"/>
      <c r="AE214" s="60" t="n"/>
      <c r="AF214" s="60" t="n"/>
      <c r="AG214" s="60" t="n"/>
      <c r="AH214" s="60" t="n"/>
      <c r="AI214" s="60" t="n"/>
      <c r="AJ214" s="60" t="n"/>
      <c r="AK214" s="120">
        <f>IF(L214&gt;0,L214*90.44,0)+IF(M214&gt;0,M214*348.12,0)+IF(N214&gt;0,N214*151.63,0)+IF(O214&gt;0,O214*197.82,0)+IF(P214&gt;0,P214*244.09,0)+IF(Q214&gt;0,Q214*315.35,0)+IF(R214&gt;0,R214*1067.3,0)+IF(T214&gt;0,T214*567.47,0)+IF(U214&gt;0,U214*151.63,0)+IF(V214&gt;0,V214*197.84,0)+IF(W214&gt;0,W214*470.51,0)+IF(X214&gt;0,X214*701.69,0)+IF(Z214&gt;0,Z214*151.63,0)+IF(AA214&gt;0,AA214*197.84)+IF(AB214&gt;0,AB214*308.4,0)+IF(AC214&gt;0,AC214*496.16,0)</f>
        <v/>
      </c>
    </row>
    <row r="215">
      <c r="A215" s="58" t="inlineStr">
        <is>
          <t>SIM</t>
        </is>
      </c>
      <c r="B215" s="59">
        <f>IF(H215&lt;$B$1,"VENCIDO","NA VALIDADE")</f>
        <v/>
      </c>
      <c r="C215" s="60" t="inlineStr">
        <is>
          <t>SUBESTAÇÃO</t>
        </is>
      </c>
      <c r="D215" s="61" t="inlineStr">
        <is>
          <t>SE BAIXIO DE IRECÊ III</t>
        </is>
      </c>
      <c r="E215" s="62" t="inlineStr">
        <is>
          <t>IRECÊ</t>
        </is>
      </c>
      <c r="F215" s="61" t="inlineStr">
        <is>
          <t>FEIRA DE  SANTANA</t>
        </is>
      </c>
      <c r="G215" s="60" t="inlineStr">
        <is>
          <t>BA</t>
        </is>
      </c>
      <c r="H215" s="119" t="n">
        <v>45566</v>
      </c>
      <c r="I215" s="119">
        <f>H215-180</f>
        <v/>
      </c>
      <c r="J215" s="60">
        <f>SUM(L215:AE215)</f>
        <v/>
      </c>
      <c r="K215" s="60">
        <f>SUM(AF215:AJ215)</f>
        <v/>
      </c>
      <c r="L215" s="60" t="n"/>
      <c r="M215" s="60" t="n"/>
      <c r="N215" s="60" t="n"/>
      <c r="O215" s="60" t="n"/>
      <c r="P215" s="60" t="n"/>
      <c r="Q215" s="60" t="n">
        <v>5</v>
      </c>
      <c r="R215" s="60" t="n"/>
      <c r="S215" s="60" t="n"/>
      <c r="T215" s="60" t="n">
        <v>2</v>
      </c>
      <c r="U215" s="60" t="n"/>
      <c r="V215" s="60" t="n"/>
      <c r="W215" s="60" t="n"/>
      <c r="X215" s="60" t="n"/>
      <c r="Y215" s="60" t="n"/>
      <c r="Z215" s="60" t="n"/>
      <c r="AA215" s="60" t="n">
        <v>1</v>
      </c>
      <c r="AB215" s="60" t="n"/>
      <c r="AC215" s="60" t="n"/>
      <c r="AD215" s="60" t="n"/>
      <c r="AE215" s="60" t="n"/>
      <c r="AF215" s="60" t="n"/>
      <c r="AG215" s="60" t="n"/>
      <c r="AH215" s="60" t="n"/>
      <c r="AI215" s="60" t="n"/>
      <c r="AJ215" s="60" t="n"/>
      <c r="AK215" s="120">
        <f>IF(L215&gt;0,L215*90.44,0)+IF(M215&gt;0,M215*348.12,0)+IF(N215&gt;0,N215*151.63,0)+IF(O215&gt;0,O215*197.82,0)+IF(P215&gt;0,P215*244.09,0)+IF(Q215&gt;0,Q215*315.35,0)+IF(R215&gt;0,R215*1067.3,0)+IF(T215&gt;0,T215*567.47,0)+IF(U215&gt;0,U215*151.63,0)+IF(V215&gt;0,V215*197.84,0)+IF(W215&gt;0,W215*470.51,0)+IF(X215&gt;0,X215*701.69,0)+IF(Z215&gt;0,Z215*151.63,0)+IF(AA215&gt;0,AA215*197.84)+IF(AB215&gt;0,AB215*308.4,0)+IF(AC215&gt;0,AC215*496.16,0)</f>
        <v/>
      </c>
    </row>
    <row r="216" hidden="1">
      <c r="A216" s="58" t="inlineStr">
        <is>
          <t>SIM</t>
        </is>
      </c>
      <c r="B216" s="59">
        <f>IF(H216&lt;$B$1,"VENCIDO","NA VALIDADE")</f>
        <v/>
      </c>
      <c r="C216" s="60" t="inlineStr">
        <is>
          <t>SUBESTAÇÃO</t>
        </is>
      </c>
      <c r="D216" s="61" t="inlineStr">
        <is>
          <t>SE BARRA DO CHOÇA</t>
        </is>
      </c>
      <c r="E216" s="62" t="inlineStr">
        <is>
          <t>BARRA DO CHOÇA</t>
        </is>
      </c>
      <c r="F216" s="61" t="inlineStr">
        <is>
          <t>VITÓRIA DA CONQUISTA</t>
        </is>
      </c>
      <c r="G216" s="60" t="inlineStr">
        <is>
          <t>BA</t>
        </is>
      </c>
      <c r="H216" s="119" t="n">
        <v>45474</v>
      </c>
      <c r="I216" s="119">
        <f>H216-180</f>
        <v/>
      </c>
      <c r="J216" s="60">
        <f>SUM(L216:AE216)</f>
        <v/>
      </c>
      <c r="K216" s="60">
        <f>SUM(AF216:AJ216)</f>
        <v/>
      </c>
      <c r="L216" s="60" t="n"/>
      <c r="M216" s="60" t="n"/>
      <c r="N216" s="60" t="n"/>
      <c r="O216" s="60" t="n"/>
      <c r="P216" s="60" t="n"/>
      <c r="Q216" s="60" t="n">
        <v>5</v>
      </c>
      <c r="R216" s="60" t="n"/>
      <c r="S216" s="60" t="n"/>
      <c r="T216" s="60" t="n">
        <v>2</v>
      </c>
      <c r="U216" s="60" t="n"/>
      <c r="V216" s="60" t="n">
        <v>1</v>
      </c>
      <c r="W216" s="60" t="n"/>
      <c r="X216" s="60" t="n"/>
      <c r="Y216" s="60" t="n"/>
      <c r="Z216" s="60" t="n"/>
      <c r="AA216" s="60" t="n">
        <v>1</v>
      </c>
      <c r="AB216" s="60" t="n"/>
      <c r="AC216" s="60" t="n"/>
      <c r="AD216" s="60" t="n"/>
      <c r="AE216" s="60" t="n"/>
      <c r="AF216" s="60" t="n"/>
      <c r="AG216" s="60" t="n"/>
      <c r="AH216" s="60" t="n"/>
      <c r="AI216" s="60" t="n"/>
      <c r="AJ216" s="60" t="n"/>
      <c r="AK216" s="120">
        <f>IF(L216&gt;0,L216*90.44,0)+IF(M216&gt;0,M216*348.12,0)+IF(N216&gt;0,N216*151.63,0)+IF(O216&gt;0,O216*197.82,0)+IF(P216&gt;0,P216*244.09,0)+IF(Q216&gt;0,Q216*315.35,0)+IF(R216&gt;0,R216*1067.3,0)+IF(T216&gt;0,T216*567.47,0)+IF(U216&gt;0,U216*151.63,0)+IF(V216&gt;0,V216*197.84,0)+IF(W216&gt;0,W216*470.51,0)+IF(X216&gt;0,X216*701.69,0)+IF(Z216&gt;0,Z216*151.63,0)+IF(AA216&gt;0,AA216*197.84)+IF(AB216&gt;0,AB216*308.4,0)+IF(AC216&gt;0,AC216*496.16,0)</f>
        <v/>
      </c>
    </row>
    <row r="217">
      <c r="A217" s="58" t="inlineStr">
        <is>
          <t>SIM</t>
        </is>
      </c>
      <c r="B217" s="59">
        <f>IF(H217&lt;$B$1,"VENCIDO","NA VALIDADE")</f>
        <v/>
      </c>
      <c r="C217" s="60" t="inlineStr">
        <is>
          <t>SUBESTAÇÃO</t>
        </is>
      </c>
      <c r="D217" s="61" t="inlineStr">
        <is>
          <t>SE BARRA</t>
        </is>
      </c>
      <c r="E217" s="62" t="inlineStr">
        <is>
          <t>BARRA</t>
        </is>
      </c>
      <c r="F217" s="61" t="inlineStr">
        <is>
          <t>FEIRA DE  SANTANA</t>
        </is>
      </c>
      <c r="G217" s="60" t="inlineStr">
        <is>
          <t>BA</t>
        </is>
      </c>
      <c r="H217" s="119" t="n">
        <v>45474</v>
      </c>
      <c r="I217" s="119">
        <f>H217-180</f>
        <v/>
      </c>
      <c r="J217" s="60">
        <f>SUM(L217:AE217)</f>
        <v/>
      </c>
      <c r="K217" s="60">
        <f>SUM(AF217:AJ217)</f>
        <v/>
      </c>
      <c r="L217" s="60" t="n"/>
      <c r="M217" s="60" t="n"/>
      <c r="N217" s="60" t="n"/>
      <c r="O217" s="60" t="n">
        <v>1</v>
      </c>
      <c r="P217" s="60" t="n"/>
      <c r="Q217" s="60" t="n">
        <v>1</v>
      </c>
      <c r="R217" s="60" t="n"/>
      <c r="S217" s="60" t="n"/>
      <c r="T217" s="60" t="n"/>
      <c r="U217" s="60" t="n"/>
      <c r="V217" s="60" t="n"/>
      <c r="W217" s="60" t="n"/>
      <c r="X217" s="60" t="n"/>
      <c r="Y217" s="60" t="n"/>
      <c r="Z217" s="60" t="n"/>
      <c r="AA217" s="60" t="n">
        <v>2</v>
      </c>
      <c r="AB217" s="60" t="n"/>
      <c r="AC217" s="60" t="n"/>
      <c r="AD217" s="60" t="n"/>
      <c r="AE217" s="60" t="n"/>
      <c r="AF217" s="60" t="n"/>
      <c r="AG217" s="60" t="n"/>
      <c r="AH217" s="60" t="n"/>
      <c r="AI217" s="60" t="n"/>
      <c r="AJ217" s="60" t="n"/>
      <c r="AK217" s="120">
        <f>IF(L217&gt;0,L217*90.44,0)+IF(M217&gt;0,M217*348.12,0)+IF(N217&gt;0,N217*151.63,0)+IF(O217&gt;0,O217*197.82,0)+IF(P217&gt;0,P217*244.09,0)+IF(Q217&gt;0,Q217*315.35,0)+IF(R217&gt;0,R217*1067.3,0)+IF(T217&gt;0,T217*567.47,0)+IF(U217&gt;0,U217*151.63,0)+IF(V217&gt;0,V217*197.84,0)+IF(W217&gt;0,W217*470.51,0)+IF(X217&gt;0,X217*701.69,0)+IF(Z217&gt;0,Z217*151.63,0)+IF(AA217&gt;0,AA217*197.84)+IF(AB217&gt;0,AB217*308.4,0)+IF(AC217&gt;0,AC217*496.16,0)</f>
        <v/>
      </c>
    </row>
    <row r="218" hidden="1">
      <c r="A218" s="58" t="inlineStr">
        <is>
          <t>SIM</t>
        </is>
      </c>
      <c r="B218" s="59">
        <f>IF(H218&lt;$B$1,"VENCIDO","NA VALIDADE")</f>
        <v/>
      </c>
      <c r="C218" s="60" t="inlineStr">
        <is>
          <t>SUBESTAÇÃO</t>
        </is>
      </c>
      <c r="D218" s="61" t="inlineStr">
        <is>
          <t>SE BARRA DA ESTIVA</t>
        </is>
      </c>
      <c r="E218" s="62" t="inlineStr">
        <is>
          <t>BARRA DA ESTIVA</t>
        </is>
      </c>
      <c r="F218" s="61" t="inlineStr">
        <is>
          <t>VITÓRIA DA CONQUISTA</t>
        </is>
      </c>
      <c r="G218" s="60" t="inlineStr">
        <is>
          <t>BA</t>
        </is>
      </c>
      <c r="H218" s="119" t="n">
        <v>45352</v>
      </c>
      <c r="I218" s="119" t="n">
        <v>45352</v>
      </c>
      <c r="J218" s="60">
        <f>SUM(L218:AE218)</f>
        <v/>
      </c>
      <c r="K218" s="60">
        <f>SUM(AF218:AJ218)</f>
        <v/>
      </c>
      <c r="L218" s="60" t="n"/>
      <c r="M218" s="60" t="n"/>
      <c r="N218" s="60" t="n"/>
      <c r="O218" s="60" t="n"/>
      <c r="P218" s="60" t="n"/>
      <c r="Q218" s="60" t="n">
        <v>6</v>
      </c>
      <c r="R218" s="60" t="n"/>
      <c r="S218" s="60" t="n"/>
      <c r="T218" s="60" t="n">
        <v>1</v>
      </c>
      <c r="U218" s="60" t="n"/>
      <c r="V218" s="60" t="n"/>
      <c r="W218" s="60" t="n"/>
      <c r="X218" s="60" t="n"/>
      <c r="Y218" s="60" t="n"/>
      <c r="Z218" s="60" t="n"/>
      <c r="AA218" s="60" t="n">
        <v>2</v>
      </c>
      <c r="AB218" s="60" t="n"/>
      <c r="AC218" s="60" t="n"/>
      <c r="AD218" s="60" t="n"/>
      <c r="AE218" s="60" t="n"/>
      <c r="AF218" s="60" t="n"/>
      <c r="AG218" s="60" t="n"/>
      <c r="AH218" s="60" t="n"/>
      <c r="AI218" s="60" t="n"/>
      <c r="AJ218" s="60" t="n"/>
      <c r="AK218" s="120">
        <f>IF(L218&gt;0,L218*90.44,0)+IF(M218&gt;0,M218*348.12,0)+IF(N218&gt;0,N218*151.63,0)+IF(O218&gt;0,O218*197.82,0)+IF(P218&gt;0,P218*244.09,0)+IF(Q218&gt;0,Q218*315.35,0)+IF(R218&gt;0,R218*1067.3,0)+IF(T218&gt;0,T218*567.47,0)+IF(U218&gt;0,U218*151.63,0)+IF(V218&gt;0,V218*197.84,0)+IF(W218&gt;0,W218*470.51,0)+IF(X218&gt;0,X218*701.69,0)+IF(Z218&gt;0,Z218*151.63,0)+IF(AA218&gt;0,AA218*197.84)+IF(AB218&gt;0,AB218*308.4,0)+IF(AC218&gt;0,AC218*496.16,0)</f>
        <v/>
      </c>
    </row>
    <row r="219">
      <c r="A219" s="58" t="inlineStr">
        <is>
          <t>FEIRA 06/12</t>
        </is>
      </c>
      <c r="B219" s="59">
        <f>IF(H219&lt;$B$1,"VENCIDO","NA VALIDADE")</f>
        <v/>
      </c>
      <c r="C219" s="60" t="inlineStr">
        <is>
          <t>SUBESTAÇÃO</t>
        </is>
      </c>
      <c r="D219" s="61" t="inlineStr">
        <is>
          <t>SE BARRA GRANDE</t>
        </is>
      </c>
      <c r="E219" s="62" t="inlineStr">
        <is>
          <t>VERA CRUZ</t>
        </is>
      </c>
      <c r="F219" s="61" t="inlineStr">
        <is>
          <t>FEIRA DE  SANTANA</t>
        </is>
      </c>
      <c r="G219" s="60" t="inlineStr">
        <is>
          <t>BA</t>
        </is>
      </c>
      <c r="H219" s="119" t="n">
        <v>45536</v>
      </c>
      <c r="I219" s="119">
        <f>H219-180</f>
        <v/>
      </c>
      <c r="J219" s="60">
        <f>SUM(L219:AE219)</f>
        <v/>
      </c>
      <c r="K219" s="60">
        <f>SUM(AF219:AJ219)</f>
        <v/>
      </c>
      <c r="L219" s="60" t="n"/>
      <c r="M219" s="60" t="n"/>
      <c r="N219" s="60" t="n"/>
      <c r="O219" s="60" t="n"/>
      <c r="P219" s="60" t="n"/>
      <c r="Q219" s="60" t="n">
        <v>1</v>
      </c>
      <c r="R219" s="60" t="n"/>
      <c r="S219" s="60" t="n"/>
      <c r="T219" s="60" t="n"/>
      <c r="U219" s="60" t="n"/>
      <c r="V219" s="60" t="n"/>
      <c r="W219" s="60" t="n"/>
      <c r="X219" s="60" t="n"/>
      <c r="Y219" s="60" t="n"/>
      <c r="Z219" s="60" t="n"/>
      <c r="AA219" s="60" t="n">
        <v>1</v>
      </c>
      <c r="AB219" s="60" t="n"/>
      <c r="AC219" s="60" t="n"/>
      <c r="AD219" s="60" t="n"/>
      <c r="AE219" s="60" t="n"/>
      <c r="AF219" s="60" t="n"/>
      <c r="AG219" s="60" t="n"/>
      <c r="AH219" s="60" t="n"/>
      <c r="AI219" s="60" t="n"/>
      <c r="AJ219" s="60" t="n"/>
      <c r="AK219" s="120">
        <f>IF(L219&gt;0,L219*90.44,0)+IF(M219&gt;0,M219*348.12,0)+IF(N219&gt;0,N219*151.63,0)+IF(O219&gt;0,O219*197.82,0)+IF(P219&gt;0,P219*244.09,0)+IF(Q219&gt;0,Q219*315.35,0)+IF(R219&gt;0,R219*1067.3,0)+IF(T219&gt;0,T219*567.47,0)+IF(U219&gt;0,U219*151.63,0)+IF(V219&gt;0,V219*197.84,0)+IF(W219&gt;0,W219*470.51,0)+IF(X219&gt;0,X219*701.69,0)+IF(Z219&gt;0,Z219*151.63,0)+IF(AA219&gt;0,AA219*197.84)+IF(AB219&gt;0,AB219*308.4,0)+IF(AC219&gt;0,AC219*496.16,0)</f>
        <v/>
      </c>
    </row>
    <row r="220">
      <c r="A220" s="58" t="inlineStr">
        <is>
          <t>LEONIDAS</t>
        </is>
      </c>
      <c r="B220" s="59">
        <f>IF(H220&lt;$B$1,"VENCIDO","NA VALIDADE")</f>
        <v/>
      </c>
      <c r="C220" s="60" t="inlineStr">
        <is>
          <t>SUBESTAÇÃO</t>
        </is>
      </c>
      <c r="D220" s="61" t="inlineStr">
        <is>
          <t>SE ASSURUA</t>
        </is>
      </c>
      <c r="E220" s="62" t="inlineStr">
        <is>
          <t>BARRA</t>
        </is>
      </c>
      <c r="F220" s="61" t="inlineStr">
        <is>
          <t>FEIRA DE  SANTANA</t>
        </is>
      </c>
      <c r="G220" s="60" t="inlineStr">
        <is>
          <t>BA</t>
        </is>
      </c>
      <c r="H220" s="119" t="n">
        <v>45444</v>
      </c>
      <c r="I220" s="119" t="n">
        <v>45444</v>
      </c>
      <c r="J220" s="60">
        <f>SUM(L220:AE220)</f>
        <v/>
      </c>
      <c r="K220" s="60">
        <f>SUM(AF220:AJ220)</f>
        <v/>
      </c>
      <c r="L220" s="60" t="n"/>
      <c r="M220" s="60" t="n"/>
      <c r="N220" s="60" t="n"/>
      <c r="O220" s="60" t="n"/>
      <c r="P220" s="60" t="n"/>
      <c r="Q220" s="60" t="n">
        <v>3</v>
      </c>
      <c r="R220" s="60" t="n"/>
      <c r="S220" s="60" t="n"/>
      <c r="T220" s="60" t="n">
        <v>2</v>
      </c>
      <c r="U220" s="60" t="n"/>
      <c r="V220" s="60" t="n"/>
      <c r="W220" s="60" t="n"/>
      <c r="X220" s="60" t="n"/>
      <c r="Y220" s="60" t="n"/>
      <c r="Z220" s="60" t="n"/>
      <c r="AA220" s="60" t="n">
        <v>6</v>
      </c>
      <c r="AB220" s="60" t="n">
        <v>1</v>
      </c>
      <c r="AC220" s="60" t="n"/>
      <c r="AD220" s="60" t="n"/>
      <c r="AE220" s="60" t="n"/>
      <c r="AF220" s="60" t="n"/>
      <c r="AG220" s="60" t="n"/>
      <c r="AH220" s="60" t="n"/>
      <c r="AI220" s="60" t="n"/>
      <c r="AJ220" s="60" t="n"/>
      <c r="AK220" s="120">
        <f>IF(L220&gt;0,L220*90.44,0)+IF(M220&gt;0,M220*348.12,0)+IF(N220&gt;0,N220*151.63,0)+IF(O220&gt;0,O220*197.82,0)+IF(P220&gt;0,P220*244.09,0)+IF(Q220&gt;0,Q220*315.35,0)+IF(R220&gt;0,R220*1067.3,0)+IF(T220&gt;0,T220*567.47,0)+IF(U220&gt;0,U220*151.63,0)+IF(V220&gt;0,V220*197.84,0)+IF(W220&gt;0,W220*470.51,0)+IF(X220&gt;0,X220*701.69,0)+IF(Z220&gt;0,Z220*151.63,0)+IF(AA220&gt;0,AA220*197.84)+IF(AB220&gt;0,AB220*308.4,0)+IF(AC220&gt;0,AC220*496.16,0)</f>
        <v/>
      </c>
    </row>
    <row r="221" hidden="1">
      <c r="A221" s="58" t="inlineStr">
        <is>
          <t>SIM</t>
        </is>
      </c>
      <c r="B221" s="59">
        <f>IF(H221&lt;$B$1,"VENCIDO","NA VALIDADE")</f>
        <v/>
      </c>
      <c r="C221" s="60" t="inlineStr">
        <is>
          <t>SUBESTAÇÃO</t>
        </is>
      </c>
      <c r="D221" s="61" t="inlineStr">
        <is>
          <t>SE BARREIRAS</t>
        </is>
      </c>
      <c r="E221" s="62" t="inlineStr">
        <is>
          <t>BARREIRAS</t>
        </is>
      </c>
      <c r="F221" s="61" t="inlineStr">
        <is>
          <t>VITÓRIA DA CONQUISTA</t>
        </is>
      </c>
      <c r="G221" s="60" t="inlineStr">
        <is>
          <t>BA</t>
        </is>
      </c>
      <c r="H221" s="119" t="n">
        <v>45566</v>
      </c>
      <c r="I221" s="119">
        <f>H221-180</f>
        <v/>
      </c>
      <c r="J221" s="60">
        <f>SUM(L221:AE221)</f>
        <v/>
      </c>
      <c r="K221" s="60">
        <f>SUM(AF221:AJ221)</f>
        <v/>
      </c>
      <c r="L221" s="60" t="n"/>
      <c r="M221" s="60" t="n"/>
      <c r="N221" s="60" t="n"/>
      <c r="O221" s="60" t="n"/>
      <c r="P221" s="60" t="n">
        <v>1</v>
      </c>
      <c r="Q221" s="60" t="n"/>
      <c r="R221" s="60" t="n"/>
      <c r="S221" s="60" t="n"/>
      <c r="T221" s="60" t="n"/>
      <c r="U221" s="60" t="n"/>
      <c r="V221" s="60" t="n"/>
      <c r="W221" s="60" t="n"/>
      <c r="X221" s="60" t="n"/>
      <c r="Y221" s="60" t="n"/>
      <c r="Z221" s="60" t="n"/>
      <c r="AA221" s="60" t="n">
        <v>1</v>
      </c>
      <c r="AB221" s="60" t="n"/>
      <c r="AC221" s="60" t="n"/>
      <c r="AD221" s="60" t="n"/>
      <c r="AE221" s="60" t="n"/>
      <c r="AF221" s="60" t="n"/>
      <c r="AG221" s="60" t="n"/>
      <c r="AH221" s="60" t="n"/>
      <c r="AI221" s="60" t="n"/>
      <c r="AJ221" s="60" t="n"/>
      <c r="AK221" s="120">
        <f>IF(L221&gt;0,L221*90.44,0)+IF(M221&gt;0,M221*348.12,0)+IF(N221&gt;0,N221*151.63,0)+IF(O221&gt;0,O221*197.82,0)+IF(P221&gt;0,P221*244.09,0)+IF(Q221&gt;0,Q221*315.35,0)+IF(R221&gt;0,R221*1067.3,0)+IF(T221&gt;0,T221*567.47,0)+IF(U221&gt;0,U221*151.63,0)+IF(V221&gt;0,V221*197.84,0)+IF(W221&gt;0,W221*470.51,0)+IF(X221&gt;0,X221*701.69,0)+IF(Z221&gt;0,Z221*151.63,0)+IF(AA221&gt;0,AA221*197.84)+IF(AB221&gt;0,AB221*308.4,0)+IF(AC221&gt;0,AC221*496.16,0)</f>
        <v/>
      </c>
    </row>
    <row r="222" hidden="1">
      <c r="A222" s="58" t="inlineStr">
        <is>
          <t>VITÓRIA 06/12</t>
        </is>
      </c>
      <c r="B222" s="59">
        <f>IF(H222&lt;$B$1,"VENCIDO","NA VALIDADE")</f>
        <v/>
      </c>
      <c r="C222" s="60" t="inlineStr">
        <is>
          <t>SUBESTAÇÃO</t>
        </is>
      </c>
      <c r="D222" s="61" t="inlineStr">
        <is>
          <t>SE BARREIRAS NORTE</t>
        </is>
      </c>
      <c r="E222" s="62" t="inlineStr">
        <is>
          <t>BARREIRAS</t>
        </is>
      </c>
      <c r="F222" s="61" t="inlineStr">
        <is>
          <t>VITÓRIA DA CONQUISTA</t>
        </is>
      </c>
      <c r="G222" s="60" t="inlineStr">
        <is>
          <t>BA</t>
        </is>
      </c>
      <c r="H222" s="119" t="n">
        <v>45566</v>
      </c>
      <c r="I222" s="119">
        <f>H222-180</f>
        <v/>
      </c>
      <c r="J222" s="60">
        <f>SUM(L222:AE222)</f>
        <v/>
      </c>
      <c r="K222" s="60">
        <f>SUM(AF222:AJ222)</f>
        <v/>
      </c>
      <c r="L222" s="60" t="n"/>
      <c r="M222" s="60" t="n"/>
      <c r="N222" s="60" t="n"/>
      <c r="O222" s="60" t="n"/>
      <c r="P222" s="60" t="n"/>
      <c r="Q222" s="60" t="n">
        <v>2</v>
      </c>
      <c r="R222" s="60" t="n"/>
      <c r="S222" s="60" t="n"/>
      <c r="T222" s="60" t="n"/>
      <c r="U222" s="60" t="n"/>
      <c r="V222" s="60" t="n"/>
      <c r="W222" s="60" t="n"/>
      <c r="X222" s="60" t="n"/>
      <c r="Y222" s="60" t="n"/>
      <c r="Z222" s="60" t="n"/>
      <c r="AA222" s="60" t="n">
        <v>1</v>
      </c>
      <c r="AB222" s="60" t="n"/>
      <c r="AC222" s="60" t="n"/>
      <c r="AD222" s="60" t="n"/>
      <c r="AE222" s="60" t="n"/>
      <c r="AF222" s="60" t="n"/>
      <c r="AG222" s="60" t="n"/>
      <c r="AH222" s="60" t="n"/>
      <c r="AI222" s="60" t="n"/>
      <c r="AJ222" s="60" t="n"/>
      <c r="AK222" s="120">
        <f>IF(L222&gt;0,L222*90.44,0)+IF(M222&gt;0,M222*348.12,0)+IF(N222&gt;0,N222*151.63,0)+IF(O222&gt;0,O222*197.82,0)+IF(P222&gt;0,P222*244.09,0)+IF(Q222&gt;0,Q222*315.35,0)+IF(R222&gt;0,R222*1067.3,0)+IF(T222&gt;0,T222*567.47,0)+IF(U222&gt;0,U222*151.63,0)+IF(V222&gt;0,V222*197.84,0)+IF(W222&gt;0,W222*470.51,0)+IF(X222&gt;0,X222*701.69,0)+IF(Z222&gt;0,Z222*151.63,0)+IF(AA222&gt;0,AA222*197.84)+IF(AB222&gt;0,AB222*308.4,0)+IF(AC222&gt;0,AC222*496.16,0)</f>
        <v/>
      </c>
    </row>
    <row r="223">
      <c r="A223" s="58" t="inlineStr">
        <is>
          <t>SIM</t>
        </is>
      </c>
      <c r="B223" s="59">
        <f>IF(H223&lt;$B$1,"VENCIDO","NA VALIDADE")</f>
        <v/>
      </c>
      <c r="C223" s="60" t="inlineStr">
        <is>
          <t>SUBESTAÇÃO</t>
        </is>
      </c>
      <c r="D223" s="61" t="inlineStr">
        <is>
          <t>SE BARRO VERMELHO</t>
        </is>
      </c>
      <c r="E223" s="62" t="inlineStr">
        <is>
          <t>CURAÇÁ</t>
        </is>
      </c>
      <c r="F223" s="61" t="inlineStr">
        <is>
          <t>FEIRA DE  SANTANA</t>
        </is>
      </c>
      <c r="G223" s="60" t="inlineStr">
        <is>
          <t>BA</t>
        </is>
      </c>
      <c r="H223" s="119" t="n">
        <v>45323</v>
      </c>
      <c r="I223" s="119">
        <f>H223-180</f>
        <v/>
      </c>
      <c r="J223" s="60">
        <f>SUM(L223:AE223)</f>
        <v/>
      </c>
      <c r="K223" s="60">
        <f>SUM(AF223:AJ223)</f>
        <v/>
      </c>
      <c r="L223" s="60" t="n"/>
      <c r="M223" s="60" t="n"/>
      <c r="N223" s="60" t="n"/>
      <c r="O223" s="60" t="n"/>
      <c r="P223" s="60" t="n"/>
      <c r="Q223" s="60" t="n">
        <v>2</v>
      </c>
      <c r="R223" s="60" t="n"/>
      <c r="S223" s="60" t="n"/>
      <c r="T223" s="60" t="n">
        <v>1</v>
      </c>
      <c r="U223" s="60" t="n"/>
      <c r="V223" s="60" t="n"/>
      <c r="W223" s="60" t="n"/>
      <c r="X223" s="60" t="n"/>
      <c r="Y223" s="60" t="n"/>
      <c r="Z223" s="60" t="n"/>
      <c r="AA223" s="60" t="n"/>
      <c r="AB223" s="60" t="n"/>
      <c r="AC223" s="60" t="n"/>
      <c r="AD223" s="60" t="n"/>
      <c r="AE223" s="60" t="n"/>
      <c r="AF223" s="60" t="n"/>
      <c r="AG223" s="60" t="n"/>
      <c r="AH223" s="60" t="n"/>
      <c r="AI223" s="60" t="n"/>
      <c r="AJ223" s="60" t="n"/>
      <c r="AK223" s="120">
        <f>IF(L223&gt;0,L223*90.44,0)+IF(M223&gt;0,M223*348.12,0)+IF(N223&gt;0,N223*151.63,0)+IF(O223&gt;0,O223*197.82,0)+IF(P223&gt;0,P223*244.09,0)+IF(Q223&gt;0,Q223*315.35,0)+IF(R223&gt;0,R223*1067.3,0)+IF(T223&gt;0,T223*567.47,0)+IF(U223&gt;0,U223*151.63,0)+IF(V223&gt;0,V223*197.84,0)+IF(W223&gt;0,W223*470.51,0)+IF(X223&gt;0,X223*701.69,0)+IF(Z223&gt;0,Z223*151.63,0)+IF(AA223&gt;0,AA223*197.84)+IF(AB223&gt;0,AB223*308.4,0)+IF(AC223&gt;0,AC223*496.16,0)</f>
        <v/>
      </c>
    </row>
    <row r="224" hidden="1">
      <c r="A224" s="58" t="n"/>
      <c r="B224" s="59">
        <f>IF(H224&lt;$B$1,"VENCIDO","NA VALIDADE")</f>
        <v/>
      </c>
      <c r="C224" s="60" t="inlineStr">
        <is>
          <t>SUBESTAÇÃO</t>
        </is>
      </c>
      <c r="D224" s="61" t="inlineStr">
        <is>
          <t>SE BELMONTE - PORTO VERACEL</t>
        </is>
      </c>
      <c r="E224" s="62" t="inlineStr">
        <is>
          <t>BELMONTE</t>
        </is>
      </c>
      <c r="F224" s="61" t="inlineStr">
        <is>
          <t>ILHÉUS</t>
        </is>
      </c>
      <c r="G224" s="60" t="inlineStr">
        <is>
          <t>BA</t>
        </is>
      </c>
      <c r="H224" s="119" t="n">
        <v>45627</v>
      </c>
      <c r="I224" s="119">
        <f>H224-180</f>
        <v/>
      </c>
      <c r="J224" s="60">
        <f>SUM(L224:AE224)</f>
        <v/>
      </c>
      <c r="K224" s="60">
        <f>SUM(AF224:AJ224)</f>
        <v/>
      </c>
      <c r="L224" s="60" t="n"/>
      <c r="M224" s="60" t="n"/>
      <c r="N224" s="60" t="n"/>
      <c r="O224" s="60" t="n"/>
      <c r="P224" s="60" t="n"/>
      <c r="Q224" s="60" t="n">
        <v>3</v>
      </c>
      <c r="R224" s="60" t="n"/>
      <c r="S224" s="60" t="n"/>
      <c r="T224" s="60" t="n">
        <v>1</v>
      </c>
      <c r="U224" s="60" t="n"/>
      <c r="V224" s="60" t="n"/>
      <c r="W224" s="60" t="n"/>
      <c r="X224" s="60" t="n"/>
      <c r="Y224" s="60" t="n"/>
      <c r="Z224" s="60" t="n"/>
      <c r="AA224" s="60" t="n">
        <v>1</v>
      </c>
      <c r="AB224" s="60" t="n"/>
      <c r="AC224" s="60" t="n"/>
      <c r="AD224" s="60" t="n"/>
      <c r="AE224" s="60" t="n"/>
      <c r="AF224" s="60" t="n"/>
      <c r="AG224" s="60" t="n"/>
      <c r="AH224" s="60" t="n"/>
      <c r="AI224" s="60" t="n"/>
      <c r="AJ224" s="60" t="n"/>
      <c r="AK224" s="120">
        <f>IF(L224&gt;0,L224*90.44,0)+IF(M224&gt;0,M224*348.12,0)+IF(N224&gt;0,N224*151.63,0)+IF(O224&gt;0,O224*197.82,0)+IF(P224&gt;0,P224*244.09,0)+IF(Q224&gt;0,Q224*315.35,0)+IF(R224&gt;0,R224*1067.3,0)+IF(T224&gt;0,T224*567.47,0)+IF(U224&gt;0,U224*151.63,0)+IF(V224&gt;0,V224*197.84,0)+IF(W224&gt;0,W224*470.51,0)+IF(X224&gt;0,X224*701.69,0)+IF(Z224&gt;0,Z224*151.63,0)+IF(AA224&gt;0,AA224*197.84)+IF(AB224&gt;0,AB224*308.4,0)+IF(AC224&gt;0,AC224*496.16,0)</f>
        <v/>
      </c>
    </row>
    <row r="225">
      <c r="A225" s="58" t="inlineStr">
        <is>
          <t>SIM</t>
        </is>
      </c>
      <c r="B225" s="59">
        <f>IF(H225&lt;$B$1,"VENCIDO","NA VALIDADE")</f>
        <v/>
      </c>
      <c r="C225" s="60" t="inlineStr">
        <is>
          <t>SUBESTAÇÃO</t>
        </is>
      </c>
      <c r="D225" s="61" t="inlineStr">
        <is>
          <t>SE BERIBEIRA</t>
        </is>
      </c>
      <c r="E225" s="62" t="inlineStr">
        <is>
          <t>VERA CRUZ</t>
        </is>
      </c>
      <c r="F225" s="61" t="inlineStr">
        <is>
          <t>FEIRA DE  SANTANA</t>
        </is>
      </c>
      <c r="G225" s="60" t="inlineStr">
        <is>
          <t>BA</t>
        </is>
      </c>
      <c r="H225" s="119" t="n">
        <v>45536</v>
      </c>
      <c r="I225" s="119">
        <f>H225-180</f>
        <v/>
      </c>
      <c r="J225" s="60">
        <f>SUM(L225:AE225)</f>
        <v/>
      </c>
      <c r="K225" s="60">
        <f>SUM(AF225:AJ225)</f>
        <v/>
      </c>
      <c r="L225" s="60" t="n"/>
      <c r="M225" s="60" t="n"/>
      <c r="N225" s="60" t="n"/>
      <c r="O225" s="60" t="n"/>
      <c r="P225" s="60" t="n"/>
      <c r="Q225" s="60" t="n">
        <v>1</v>
      </c>
      <c r="R225" s="60" t="n"/>
      <c r="S225" s="60" t="n"/>
      <c r="T225" s="60" t="n"/>
      <c r="U225" s="60" t="n"/>
      <c r="V225" s="60" t="n"/>
      <c r="W225" s="60" t="n"/>
      <c r="X225" s="60" t="n"/>
      <c r="Y225" s="60" t="n"/>
      <c r="Z225" s="60" t="n"/>
      <c r="AA225" s="60" t="n">
        <v>1</v>
      </c>
      <c r="AB225" s="60" t="n"/>
      <c r="AC225" s="60" t="n"/>
      <c r="AD225" s="60" t="n"/>
      <c r="AE225" s="60" t="n"/>
      <c r="AF225" s="60" t="n"/>
      <c r="AG225" s="60" t="n"/>
      <c r="AH225" s="60" t="n"/>
      <c r="AI225" s="60" t="n"/>
      <c r="AJ225" s="60" t="n"/>
      <c r="AK225" s="120">
        <f>IF(L225&gt;0,L225*90.44,0)+IF(M225&gt;0,M225*348.12,0)+IF(N225&gt;0,N225*151.63,0)+IF(O225&gt;0,O225*197.82,0)+IF(P225&gt;0,P225*244.09,0)+IF(Q225&gt;0,Q225*315.35,0)+IF(R225&gt;0,R225*1067.3,0)+IF(T225&gt;0,T225*567.47,0)+IF(U225&gt;0,U225*151.63,0)+IF(V225&gt;0,V225*197.84,0)+IF(W225&gt;0,W225*470.51,0)+IF(X225&gt;0,X225*701.69,0)+IF(Z225&gt;0,Z225*151.63,0)+IF(AA225&gt;0,AA225*197.84)+IF(AB225&gt;0,AB225*308.4,0)+IF(AC225&gt;0,AC225*496.16,0)</f>
        <v/>
      </c>
    </row>
    <row r="226" hidden="1">
      <c r="A226" s="58" t="inlineStr">
        <is>
          <t>SIM</t>
        </is>
      </c>
      <c r="B226" s="59">
        <f>IF(H226&lt;$B$1,"VENCIDO","NA VALIDADE")</f>
        <v/>
      </c>
      <c r="C226" s="60" t="inlineStr">
        <is>
          <t>SUBESTAÇÃO</t>
        </is>
      </c>
      <c r="D226" s="61" t="inlineStr">
        <is>
          <t>SE BETANIA</t>
        </is>
      </c>
      <c r="E226" s="62" t="inlineStr">
        <is>
          <t>SANTA LUZIA</t>
        </is>
      </c>
      <c r="F226" s="61" t="inlineStr">
        <is>
          <t>ILHÉUS</t>
        </is>
      </c>
      <c r="G226" s="60" t="inlineStr">
        <is>
          <t>BA</t>
        </is>
      </c>
      <c r="H226" s="119" t="n">
        <v>45352</v>
      </c>
      <c r="I226" s="119">
        <f>H226-180</f>
        <v/>
      </c>
      <c r="J226" s="60">
        <f>SUM(L226:AE226)</f>
        <v/>
      </c>
      <c r="K226" s="60">
        <f>SUM(AF226:AJ226)</f>
        <v/>
      </c>
      <c r="L226" s="60" t="n"/>
      <c r="M226" s="60" t="n"/>
      <c r="N226" s="60" t="n"/>
      <c r="O226" s="60" t="n">
        <v>2</v>
      </c>
      <c r="P226" s="60" t="n">
        <v>3</v>
      </c>
      <c r="Q226" s="60" t="n"/>
      <c r="R226" s="60" t="n"/>
      <c r="S226" s="60" t="n"/>
      <c r="T226" s="60" t="n">
        <v>1</v>
      </c>
      <c r="U226" s="60" t="n"/>
      <c r="V226" s="60" t="n"/>
      <c r="W226" s="60" t="n"/>
      <c r="X226" s="60" t="n"/>
      <c r="Y226" s="60" t="n"/>
      <c r="Z226" s="60" t="n"/>
      <c r="AA226" s="60" t="n"/>
      <c r="AB226" s="60" t="n"/>
      <c r="AC226" s="60" t="n"/>
      <c r="AD226" s="60" t="n"/>
      <c r="AE226" s="60" t="n"/>
      <c r="AF226" s="60" t="n"/>
      <c r="AG226" s="60" t="n"/>
      <c r="AH226" s="60" t="n"/>
      <c r="AI226" s="60" t="n"/>
      <c r="AJ226" s="60" t="n"/>
      <c r="AK226" s="120">
        <f>IF(L226&gt;0,L226*90.44,0)+IF(M226&gt;0,M226*348.12,0)+IF(N226&gt;0,N226*151.63,0)+IF(O226&gt;0,O226*197.82,0)+IF(P226&gt;0,P226*244.09,0)+IF(Q226&gt;0,Q226*315.35,0)+IF(R226&gt;0,R226*1067.3,0)+IF(T226&gt;0,T226*567.47,0)+IF(U226&gt;0,U226*151.63,0)+IF(V226&gt;0,V226*197.84,0)+IF(W226&gt;0,W226*470.51,0)+IF(X226&gt;0,X226*701.69,0)+IF(Z226&gt;0,Z226*151.63,0)+IF(AA226&gt;0,AA226*197.84)+IF(AB226&gt;0,AB226*308.4,0)+IF(AC226&gt;0,AC226*496.16,0)</f>
        <v/>
      </c>
    </row>
    <row r="227">
      <c r="A227" s="58" t="inlineStr">
        <is>
          <t>SIM</t>
        </is>
      </c>
      <c r="B227" s="59">
        <f>IF(H227&lt;$B$1,"VENCIDO","NA VALIDADE")</f>
        <v/>
      </c>
      <c r="C227" s="60" t="inlineStr">
        <is>
          <t>SUBESTAÇÃO</t>
        </is>
      </c>
      <c r="D227" s="61" t="inlineStr">
        <is>
          <t>SE ARACI</t>
        </is>
      </c>
      <c r="E227" s="62" t="inlineStr">
        <is>
          <t>ARACI</t>
        </is>
      </c>
      <c r="F227" s="61" t="inlineStr">
        <is>
          <t>FEIRA DE  SANTANA</t>
        </is>
      </c>
      <c r="G227" s="60" t="inlineStr">
        <is>
          <t>BA</t>
        </is>
      </c>
      <c r="H227" s="119" t="n">
        <v>45323</v>
      </c>
      <c r="I227" s="119" t="n">
        <v>45323</v>
      </c>
      <c r="J227" s="60">
        <f>SUM(L227:AE227)</f>
        <v/>
      </c>
      <c r="K227" s="60">
        <f>SUM(AF227:AJ227)</f>
        <v/>
      </c>
      <c r="L227" s="60" t="n"/>
      <c r="M227" s="60" t="n"/>
      <c r="N227" s="60" t="n"/>
      <c r="O227" s="60" t="n"/>
      <c r="P227" s="60" t="n"/>
      <c r="Q227" s="60" t="n">
        <v>2</v>
      </c>
      <c r="R227" s="60" t="n"/>
      <c r="S227" s="60" t="n"/>
      <c r="T227" s="60" t="n">
        <v>1</v>
      </c>
      <c r="U227" s="60" t="n"/>
      <c r="V227" s="60" t="n"/>
      <c r="W227" s="60" t="n"/>
      <c r="X227" s="60" t="n"/>
      <c r="Y227" s="60" t="n"/>
      <c r="Z227" s="60" t="n"/>
      <c r="AA227" s="60" t="n">
        <v>6</v>
      </c>
      <c r="AB227" s="60" t="n"/>
      <c r="AC227" s="60" t="n"/>
      <c r="AD227" s="60" t="n"/>
      <c r="AE227" s="60" t="n"/>
      <c r="AF227" s="60" t="n"/>
      <c r="AG227" s="60" t="n"/>
      <c r="AH227" s="60" t="n"/>
      <c r="AI227" s="60" t="n"/>
      <c r="AJ227" s="60" t="n"/>
      <c r="AK227" s="120">
        <f>IF(L227&gt;0,L227*90.44,0)+IF(M227&gt;0,M227*348.12,0)+IF(N227&gt;0,N227*151.63,0)+IF(O227&gt;0,O227*197.82,0)+IF(P227&gt;0,P227*244.09,0)+IF(Q227&gt;0,Q227*315.35,0)+IF(R227&gt;0,R227*1067.3,0)+IF(T227&gt;0,T227*567.47,0)+IF(U227&gt;0,U227*151.63,0)+IF(V227&gt;0,V227*197.84,0)+IF(W227&gt;0,W227*470.51,0)+IF(X227&gt;0,X227*701.69,0)+IF(Z227&gt;0,Z227*151.63,0)+IF(AA227&gt;0,AA227*197.84)+IF(AB227&gt;0,AB227*308.4,0)+IF(AC227&gt;0,AC227*496.16,0)</f>
        <v/>
      </c>
    </row>
    <row r="228" hidden="1">
      <c r="A228" s="58" t="inlineStr">
        <is>
          <t>rota</t>
        </is>
      </c>
      <c r="B228" s="59">
        <f>IF(H228&lt;$B$1,"VENCIDO","NA VALIDADE")</f>
        <v/>
      </c>
      <c r="C228" s="60" t="inlineStr">
        <is>
          <t>SUBESTAÇÃO</t>
        </is>
      </c>
      <c r="D228" s="61" t="inlineStr">
        <is>
          <t xml:space="preserve">SE BOA VISTA DA TAPERA </t>
        </is>
      </c>
      <c r="E228" s="62" t="inlineStr">
        <is>
          <t>ENCRUZILHADA</t>
        </is>
      </c>
      <c r="F228" s="61" t="inlineStr">
        <is>
          <t>VITÓRIA DA CONQUISTA</t>
        </is>
      </c>
      <c r="G228" s="60" t="inlineStr">
        <is>
          <t>BA</t>
        </is>
      </c>
      <c r="H228" s="119" t="n">
        <v>45352</v>
      </c>
      <c r="I228" s="119" t="n">
        <v>45352</v>
      </c>
      <c r="J228" s="60">
        <f>SUM(L228:AE228)</f>
        <v/>
      </c>
      <c r="K228" s="60">
        <f>SUM(AF228:AJ228)</f>
        <v/>
      </c>
      <c r="L228" s="60" t="n"/>
      <c r="M228" s="60" t="n"/>
      <c r="N228" s="60" t="n"/>
      <c r="O228" s="60" t="n"/>
      <c r="P228" s="60" t="n"/>
      <c r="Q228" s="60" t="n">
        <v>3</v>
      </c>
      <c r="R228" s="60" t="n"/>
      <c r="S228" s="60" t="n"/>
      <c r="T228" s="60" t="n">
        <v>1</v>
      </c>
      <c r="U228" s="60" t="n"/>
      <c r="V228" s="60" t="n"/>
      <c r="W228" s="60" t="n"/>
      <c r="X228" s="60" t="n"/>
      <c r="Y228" s="60" t="n"/>
      <c r="Z228" s="60" t="n"/>
      <c r="AA228" s="60" t="n">
        <v>2</v>
      </c>
      <c r="AB228" s="60" t="n"/>
      <c r="AC228" s="60" t="n"/>
      <c r="AD228" s="60" t="n"/>
      <c r="AE228" s="60" t="n"/>
      <c r="AF228" s="60" t="n"/>
      <c r="AG228" s="60" t="n"/>
      <c r="AH228" s="60" t="n"/>
      <c r="AI228" s="60" t="n"/>
      <c r="AJ228" s="60" t="n"/>
      <c r="AK228" s="120">
        <f>IF(L228&gt;0,L228*90.44,0)+IF(M228&gt;0,M228*348.12,0)+IF(N228&gt;0,N228*151.63,0)+IF(O228&gt;0,O228*197.82,0)+IF(P228&gt;0,P228*244.09,0)+IF(Q228&gt;0,Q228*315.35,0)+IF(R228&gt;0,R228*1067.3,0)+IF(T228&gt;0,T228*567.47,0)+IF(U228&gt;0,U228*151.63,0)+IF(V228&gt;0,V228*197.84,0)+IF(W228&gt;0,W228*470.51,0)+IF(X228&gt;0,X228*701.69,0)+IF(Z228&gt;0,Z228*151.63,0)+IF(AA228&gt;0,AA228*197.84)+IF(AB228&gt;0,AB228*308.4,0)+IF(AC228&gt;0,AC228*496.16,0)</f>
        <v/>
      </c>
    </row>
    <row r="229" hidden="1">
      <c r="A229" s="58" t="n"/>
      <c r="B229" s="59">
        <f>IF(H229&lt;$B$1,"VENCIDO","NA VALIDADE")</f>
        <v/>
      </c>
      <c r="C229" s="60" t="inlineStr">
        <is>
          <t>SUBESTAÇÃO</t>
        </is>
      </c>
      <c r="D229" s="61" t="inlineStr">
        <is>
          <t>SE BOM JESUS DA LAPA</t>
        </is>
      </c>
      <c r="E229" s="62" t="inlineStr">
        <is>
          <t>BOM JESUS DA LAPA</t>
        </is>
      </c>
      <c r="F229" s="61" t="inlineStr">
        <is>
          <t>VITÓRIA DA CONQUISTA</t>
        </is>
      </c>
      <c r="G229" s="60" t="inlineStr">
        <is>
          <t>BA</t>
        </is>
      </c>
      <c r="H229" s="119" t="n">
        <v>45536</v>
      </c>
      <c r="I229" s="119">
        <f>H229-180</f>
        <v/>
      </c>
      <c r="J229" s="60">
        <f>SUM(L229:AE229)</f>
        <v/>
      </c>
      <c r="K229" s="60">
        <f>SUM(AF229:AJ229)</f>
        <v/>
      </c>
      <c r="L229" s="60" t="n"/>
      <c r="M229" s="60" t="n"/>
      <c r="N229" s="60" t="n"/>
      <c r="O229" s="60" t="n"/>
      <c r="P229" s="60" t="n"/>
      <c r="Q229" s="60" t="n">
        <v>2</v>
      </c>
      <c r="R229" s="60" t="n"/>
      <c r="S229" s="60" t="n"/>
      <c r="T229" s="60" t="n"/>
      <c r="U229" s="60" t="n"/>
      <c r="V229" s="60" t="n"/>
      <c r="W229" s="60" t="n"/>
      <c r="X229" s="60" t="n"/>
      <c r="Y229" s="60" t="n"/>
      <c r="Z229" s="60" t="n"/>
      <c r="AA229" s="60" t="n">
        <v>2</v>
      </c>
      <c r="AB229" s="60" t="n"/>
      <c r="AC229" s="60" t="n"/>
      <c r="AD229" s="60" t="n"/>
      <c r="AE229" s="60" t="n"/>
      <c r="AF229" s="60" t="n"/>
      <c r="AG229" s="60" t="n"/>
      <c r="AH229" s="60" t="n"/>
      <c r="AI229" s="60" t="n"/>
      <c r="AJ229" s="60" t="n"/>
      <c r="AK229" s="120">
        <f>IF(L229&gt;0,L229*90.44,0)+IF(M229&gt;0,M229*348.12,0)+IF(N229&gt;0,N229*151.63,0)+IF(O229&gt;0,O229*197.82,0)+IF(P229&gt;0,P229*244.09,0)+IF(Q229&gt;0,Q229*315.35,0)+IF(R229&gt;0,R229*1067.3,0)+IF(T229&gt;0,T229*567.47,0)+IF(U229&gt;0,U229*151.63,0)+IF(V229&gt;0,V229*197.84,0)+IF(W229&gt;0,W229*470.51,0)+IF(X229&gt;0,X229*701.69,0)+IF(Z229&gt;0,Z229*151.63,0)+IF(AA229&gt;0,AA229*197.84)+IF(AB229&gt;0,AB229*308.4,0)+IF(AC229&gt;0,AC229*496.16,0)</f>
        <v/>
      </c>
    </row>
    <row r="230" hidden="1">
      <c r="A230" s="58" t="n"/>
      <c r="B230" s="59">
        <f>IF(H230&lt;$B$1,"VENCIDO","NA VALIDADE")</f>
        <v/>
      </c>
      <c r="C230" s="60" t="inlineStr">
        <is>
          <t>SUBESTAÇÃO</t>
        </is>
      </c>
      <c r="D230" s="61" t="inlineStr">
        <is>
          <t>SE BONINAL I</t>
        </is>
      </c>
      <c r="E230" s="62" t="inlineStr">
        <is>
          <t>BONINAL</t>
        </is>
      </c>
      <c r="F230" s="61" t="inlineStr">
        <is>
          <t>VITÓRIA DA CONQUISTA</t>
        </is>
      </c>
      <c r="G230" s="60" t="inlineStr">
        <is>
          <t>BA</t>
        </is>
      </c>
      <c r="H230" s="119" t="n">
        <v>45444</v>
      </c>
      <c r="I230" s="119" t="n">
        <v>45444</v>
      </c>
      <c r="J230" s="60">
        <f>SUM(L230:AE230)</f>
        <v/>
      </c>
      <c r="K230" s="60">
        <f>SUM(AF230:AJ230)</f>
        <v/>
      </c>
      <c r="L230" s="60" t="n"/>
      <c r="M230" s="60" t="n"/>
      <c r="N230" s="60" t="n"/>
      <c r="O230" s="60" t="n">
        <v>1</v>
      </c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  <c r="Y230" s="60" t="n"/>
      <c r="Z230" s="60" t="n"/>
      <c r="AA230" s="60" t="n">
        <v>1</v>
      </c>
      <c r="AB230" s="60" t="n"/>
      <c r="AC230" s="60" t="n"/>
      <c r="AD230" s="60" t="n"/>
      <c r="AE230" s="60" t="n"/>
      <c r="AF230" s="60" t="n"/>
      <c r="AG230" s="60" t="n"/>
      <c r="AH230" s="60" t="n"/>
      <c r="AI230" s="60" t="n"/>
      <c r="AJ230" s="60" t="n"/>
      <c r="AK230" s="120">
        <f>IF(L230&gt;0,L230*90.44,0)+IF(M230&gt;0,M230*348.12,0)+IF(N230&gt;0,N230*151.63,0)+IF(O230&gt;0,O230*197.82,0)+IF(P230&gt;0,P230*244.09,0)+IF(Q230&gt;0,Q230*315.35,0)+IF(R230&gt;0,R230*1067.3,0)+IF(T230&gt;0,T230*567.47,0)+IF(U230&gt;0,U230*151.63,0)+IF(V230&gt;0,V230*197.84,0)+IF(W230&gt;0,W230*470.51,0)+IF(X230&gt;0,X230*701.69,0)+IF(Z230&gt;0,Z230*151.63,0)+IF(AA230&gt;0,AA230*197.84)+IF(AB230&gt;0,AB230*308.4,0)+IF(AC230&gt;0,AC230*496.16,0)</f>
        <v/>
      </c>
    </row>
    <row r="231" hidden="1">
      <c r="A231" s="58" t="inlineStr">
        <is>
          <t>rota</t>
        </is>
      </c>
      <c r="B231" s="59">
        <f>IF(H231&lt;$B$1,"VENCIDO","NA VALIDADE")</f>
        <v/>
      </c>
      <c r="C231" s="60" t="inlineStr">
        <is>
          <t>SUBESTAÇÃO</t>
        </is>
      </c>
      <c r="D231" s="61" t="inlineStr">
        <is>
          <t>SE BONINAL II</t>
        </is>
      </c>
      <c r="E231" s="62" t="inlineStr">
        <is>
          <t>BONINAL</t>
        </is>
      </c>
      <c r="F231" s="61" t="inlineStr">
        <is>
          <t>VITÓRIA DA CONQUISTA</t>
        </is>
      </c>
      <c r="G231" s="60" t="inlineStr">
        <is>
          <t>BA</t>
        </is>
      </c>
      <c r="H231" s="119" t="n">
        <v>45444</v>
      </c>
      <c r="I231" s="119" t="n">
        <v>45444</v>
      </c>
      <c r="J231" s="60">
        <f>SUM(L231:AE231)</f>
        <v/>
      </c>
      <c r="K231" s="60">
        <f>SUM(AF231:AJ231)</f>
        <v/>
      </c>
      <c r="L231" s="60" t="n"/>
      <c r="M231" s="60" t="n"/>
      <c r="N231" s="60" t="n"/>
      <c r="O231" s="60" t="n"/>
      <c r="P231" s="60" t="n"/>
      <c r="Q231" s="60" t="n"/>
      <c r="R231" s="60" t="n"/>
      <c r="S231" s="60" t="n"/>
      <c r="T231" s="60" t="n">
        <v>1</v>
      </c>
      <c r="U231" s="60" t="n"/>
      <c r="V231" s="60" t="n">
        <v>2</v>
      </c>
      <c r="W231" s="60" t="n"/>
      <c r="X231" s="60" t="n"/>
      <c r="Y231" s="60" t="n"/>
      <c r="Z231" s="60" t="n"/>
      <c r="AA231" s="60" t="n">
        <v>2</v>
      </c>
      <c r="AB231" s="60" t="n"/>
      <c r="AC231" s="60" t="n"/>
      <c r="AD231" s="60" t="n"/>
      <c r="AE231" s="60" t="n"/>
      <c r="AF231" s="60" t="n"/>
      <c r="AG231" s="60" t="n"/>
      <c r="AH231" s="60" t="n"/>
      <c r="AI231" s="60" t="n"/>
      <c r="AJ231" s="60" t="n"/>
      <c r="AK231" s="120">
        <f>IF(L231&gt;0,L231*90.44,0)+IF(M231&gt;0,M231*348.12,0)+IF(N231&gt;0,N231*151.63,0)+IF(O231&gt;0,O231*197.82,0)+IF(P231&gt;0,P231*244.09,0)+IF(Q231&gt;0,Q231*315.35,0)+IF(R231&gt;0,R231*1067.3,0)+IF(T231&gt;0,T231*567.47,0)+IF(U231&gt;0,U231*151.63,0)+IF(V231&gt;0,V231*197.84,0)+IF(W231&gt;0,W231*470.51,0)+IF(X231&gt;0,X231*701.69,0)+IF(Z231&gt;0,Z231*151.63,0)+IF(AA231&gt;0,AA231*197.84)+IF(AB231&gt;0,AB231*308.4,0)+IF(AC231&gt;0,AC231*496.16,0)</f>
        <v/>
      </c>
    </row>
    <row r="232" hidden="1">
      <c r="A232" s="58" t="inlineStr">
        <is>
          <t>SIM</t>
        </is>
      </c>
      <c r="B232" s="59">
        <f>IF(H232&lt;$B$1,"VENCIDO","NA VALIDADE")</f>
        <v/>
      </c>
      <c r="C232" s="60" t="inlineStr">
        <is>
          <t>SUBESTAÇÃO</t>
        </is>
      </c>
      <c r="D232" s="61" t="inlineStr">
        <is>
          <t>SE BONITO</t>
        </is>
      </c>
      <c r="E232" s="62" t="inlineStr">
        <is>
          <t>BONITO</t>
        </is>
      </c>
      <c r="F232" s="61" t="inlineStr">
        <is>
          <t>VITÓRIA DA CONQUISTA</t>
        </is>
      </c>
      <c r="G232" s="60" t="inlineStr">
        <is>
          <t>BA</t>
        </is>
      </c>
      <c r="H232" s="119" t="n">
        <v>45474</v>
      </c>
      <c r="I232" s="119">
        <f>H232-180</f>
        <v/>
      </c>
      <c r="J232" s="60">
        <f>SUM(L232:AE232)</f>
        <v/>
      </c>
      <c r="K232" s="60">
        <f>SUM(AF232:AJ232)</f>
        <v/>
      </c>
      <c r="L232" s="60" t="n"/>
      <c r="M232" s="60" t="n"/>
      <c r="N232" s="60" t="n"/>
      <c r="O232" s="60" t="n">
        <v>2</v>
      </c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  <c r="Y232" s="60" t="n"/>
      <c r="Z232" s="60" t="n"/>
      <c r="AA232" s="60" t="n">
        <v>4</v>
      </c>
      <c r="AB232" s="60" t="n"/>
      <c r="AC232" s="60" t="n"/>
      <c r="AD232" s="60" t="n"/>
      <c r="AE232" s="60" t="n"/>
      <c r="AF232" s="60" t="n"/>
      <c r="AG232" s="60" t="n"/>
      <c r="AH232" s="60" t="n"/>
      <c r="AI232" s="60" t="n"/>
      <c r="AJ232" s="60" t="n"/>
      <c r="AK232" s="120">
        <f>IF(L232&gt;0,L232*90.44,0)+IF(M232&gt;0,M232*348.12,0)+IF(N232&gt;0,N232*151.63,0)+IF(O232&gt;0,O232*197.82,0)+IF(P232&gt;0,P232*244.09,0)+IF(Q232&gt;0,Q232*315.35,0)+IF(R232&gt;0,R232*1067.3,0)+IF(T232&gt;0,T232*567.47,0)+IF(U232&gt;0,U232*151.63,0)+IF(V232&gt;0,V232*197.84,0)+IF(W232&gt;0,W232*470.51,0)+IF(X232&gt;0,X232*701.69,0)+IF(Z232&gt;0,Z232*151.63,0)+IF(AA232&gt;0,AA232*197.84)+IF(AB232&gt;0,AB232*308.4,0)+IF(AC232&gt;0,AC232*496.16,0)</f>
        <v/>
      </c>
    </row>
    <row r="233" hidden="1">
      <c r="A233" s="58" t="n"/>
      <c r="B233" s="59">
        <f>IF(H233&lt;$B$1,"VENCIDO","NA VALIDADE")</f>
        <v/>
      </c>
      <c r="C233" s="60" t="inlineStr">
        <is>
          <t>SUBESTAÇÃO</t>
        </is>
      </c>
      <c r="D233" s="61" t="inlineStr">
        <is>
          <t>SE BOQUIRA</t>
        </is>
      </c>
      <c r="E233" s="62" t="inlineStr">
        <is>
          <t>BOQUIRA</t>
        </is>
      </c>
      <c r="F233" s="61" t="inlineStr">
        <is>
          <t>VITÓRIA DA CONQUISTA</t>
        </is>
      </c>
      <c r="G233" s="60" t="inlineStr">
        <is>
          <t>BA</t>
        </is>
      </c>
      <c r="H233" s="119" t="n">
        <v>45566</v>
      </c>
      <c r="I233" s="119">
        <f>H233-180</f>
        <v/>
      </c>
      <c r="J233" s="60">
        <f>SUM(L233:AE233)</f>
        <v/>
      </c>
      <c r="K233" s="60">
        <f>SUM(AF233:AJ233)</f>
        <v/>
      </c>
      <c r="L233" s="60" t="n"/>
      <c r="M233" s="60" t="n"/>
      <c r="N233" s="60" t="n"/>
      <c r="O233" s="60" t="n"/>
      <c r="P233" s="60" t="n"/>
      <c r="Q233" s="60" t="n">
        <v>4</v>
      </c>
      <c r="R233" s="60" t="n"/>
      <c r="S233" s="60" t="n"/>
      <c r="T233" s="60" t="n"/>
      <c r="U233" s="60" t="n"/>
      <c r="V233" s="60" t="n"/>
      <c r="W233" s="60" t="n"/>
      <c r="X233" s="60" t="n"/>
      <c r="Y233" s="60" t="n"/>
      <c r="Z233" s="60" t="n"/>
      <c r="AA233" s="60" t="n">
        <v>2</v>
      </c>
      <c r="AB233" s="60" t="n"/>
      <c r="AC233" s="60" t="n"/>
      <c r="AD233" s="60" t="n"/>
      <c r="AE233" s="60" t="n"/>
      <c r="AF233" s="60" t="n"/>
      <c r="AG233" s="60" t="n"/>
      <c r="AH233" s="60" t="n"/>
      <c r="AI233" s="60" t="n"/>
      <c r="AJ233" s="60" t="n"/>
      <c r="AK233" s="120">
        <f>IF(L233&gt;0,L233*90.44,0)+IF(M233&gt;0,M233*348.12,0)+IF(N233&gt;0,N233*151.63,0)+IF(O233&gt;0,O233*197.82,0)+IF(P233&gt;0,P233*244.09,0)+IF(Q233&gt;0,Q233*315.35,0)+IF(R233&gt;0,R233*1067.3,0)+IF(T233&gt;0,T233*567.47,0)+IF(U233&gt;0,U233*151.63,0)+IF(V233&gt;0,V233*197.84,0)+IF(W233&gt;0,W233*470.51,0)+IF(X233&gt;0,X233*701.69,0)+IF(Z233&gt;0,Z233*151.63,0)+IF(AA233&gt;0,AA233*197.84)+IF(AB233&gt;0,AB233*308.4,0)+IF(AC233&gt;0,AC233*496.16,0)</f>
        <v/>
      </c>
    </row>
    <row r="234">
      <c r="A234" s="58" t="n"/>
      <c r="B234" s="59">
        <f>IF(H234&lt;$B$1,"VENCIDO","NA VALIDADE")</f>
        <v/>
      </c>
      <c r="C234" s="60" t="inlineStr">
        <is>
          <t>SUBESTAÇÃO</t>
        </is>
      </c>
      <c r="D234" s="61" t="inlineStr">
        <is>
          <t>SE BURACICA</t>
        </is>
      </c>
      <c r="E234" s="62" t="inlineStr">
        <is>
          <t>ALAGOINHAS</t>
        </is>
      </c>
      <c r="F234" s="61" t="inlineStr">
        <is>
          <t>FEIRA DE  SANTANA</t>
        </is>
      </c>
      <c r="G234" s="60" t="inlineStr">
        <is>
          <t>BA</t>
        </is>
      </c>
      <c r="H234" s="119" t="n">
        <v>45323</v>
      </c>
      <c r="I234" s="119" t="n">
        <v>45323</v>
      </c>
      <c r="J234" s="60">
        <f>SUM(L234:AE234)</f>
        <v/>
      </c>
      <c r="K234" s="60">
        <f>SUM(AF234:AJ234)</f>
        <v/>
      </c>
      <c r="L234" s="60" t="n"/>
      <c r="M234" s="60" t="n"/>
      <c r="N234" s="60" t="n"/>
      <c r="O234" s="60" t="n"/>
      <c r="P234" s="60" t="n"/>
      <c r="Q234" s="60" t="n">
        <v>1</v>
      </c>
      <c r="R234" s="60" t="n"/>
      <c r="S234" s="60" t="n"/>
      <c r="T234" s="60" t="n"/>
      <c r="U234" s="60" t="n"/>
      <c r="V234" s="60" t="n"/>
      <c r="W234" s="60" t="n"/>
      <c r="X234" s="60" t="n"/>
      <c r="Y234" s="60" t="n"/>
      <c r="Z234" s="60" t="n"/>
      <c r="AA234" s="60" t="n">
        <v>1</v>
      </c>
      <c r="AB234" s="60" t="n"/>
      <c r="AC234" s="60" t="n"/>
      <c r="AD234" s="60" t="n"/>
      <c r="AE234" s="60" t="n"/>
      <c r="AF234" s="60" t="n"/>
      <c r="AG234" s="60" t="n"/>
      <c r="AH234" s="60" t="n"/>
      <c r="AI234" s="60" t="n"/>
      <c r="AJ234" s="60" t="n"/>
      <c r="AK234" s="120">
        <f>IF(L234&gt;0,L234*90.44,0)+IF(M234&gt;0,M234*348.12,0)+IF(N234&gt;0,N234*151.63,0)+IF(O234&gt;0,O234*197.82,0)+IF(P234&gt;0,P234*244.09,0)+IF(Q234&gt;0,Q234*315.35,0)+IF(R234&gt;0,R234*1067.3,0)+IF(T234&gt;0,T234*567.47,0)+IF(U234&gt;0,U234*151.63,0)+IF(V234&gt;0,V234*197.84,0)+IF(W234&gt;0,W234*470.51,0)+IF(X234&gt;0,X234*701.69,0)+IF(Z234&gt;0,Z234*151.63,0)+IF(AA234&gt;0,AA234*197.84)+IF(AB234&gt;0,AB234*308.4,0)+IF(AC234&gt;0,AC234*496.16,0)</f>
        <v/>
      </c>
    </row>
    <row r="235">
      <c r="A235" s="58" t="n"/>
      <c r="B235" s="59">
        <f>IF(H235&lt;$B$1,"VENCIDO","NA VALIDADE")</f>
        <v/>
      </c>
      <c r="C235" s="60" t="inlineStr">
        <is>
          <t>SUBESTAÇÃO</t>
        </is>
      </c>
      <c r="D235" s="61" t="inlineStr">
        <is>
          <t>SE BACKUP COI</t>
        </is>
      </c>
      <c r="E235" s="62" t="inlineStr">
        <is>
          <t>SALVADOR</t>
        </is>
      </c>
      <c r="F235" s="61" t="inlineStr">
        <is>
          <t>FEIRA DE  SANTANA</t>
        </is>
      </c>
      <c r="G235" s="60" t="inlineStr">
        <is>
          <t>BA</t>
        </is>
      </c>
      <c r="H235" s="119" t="n">
        <v>45444</v>
      </c>
      <c r="I235" s="119" t="n">
        <v>45444</v>
      </c>
      <c r="J235" s="60">
        <f>SUM(L235:AE235)</f>
        <v/>
      </c>
      <c r="K235" s="60">
        <f>SUM(AF235:AJ235)</f>
        <v/>
      </c>
      <c r="L235" s="60" t="n"/>
      <c r="M235" s="60" t="n"/>
      <c r="N235" s="60" t="n"/>
      <c r="O235" s="60" t="n"/>
      <c r="P235" s="60" t="n"/>
      <c r="Q235" s="60" t="n"/>
      <c r="R235" s="60" t="n"/>
      <c r="S235" s="60" t="n"/>
      <c r="T235" s="60" t="n"/>
      <c r="U235" s="60" t="n"/>
      <c r="V235" s="60" t="n">
        <v>5</v>
      </c>
      <c r="W235" s="60" t="n"/>
      <c r="X235" s="60" t="n"/>
      <c r="Y235" s="60" t="n"/>
      <c r="Z235" s="60" t="n"/>
      <c r="AA235" s="60" t="n">
        <v>6</v>
      </c>
      <c r="AB235" s="60" t="n"/>
      <c r="AC235" s="60" t="n"/>
      <c r="AD235" s="60" t="n"/>
      <c r="AE235" s="60" t="n"/>
      <c r="AF235" s="60" t="n"/>
      <c r="AG235" s="60" t="n"/>
      <c r="AH235" s="60" t="n"/>
      <c r="AI235" s="60" t="n"/>
      <c r="AJ235" s="60" t="n"/>
      <c r="AK235" s="120">
        <f>IF(L235&gt;0,L235*90.44,0)+IF(M235&gt;0,M235*348.12,0)+IF(N235&gt;0,N235*151.63,0)+IF(O235&gt;0,O235*197.82,0)+IF(P235&gt;0,P235*244.09,0)+IF(Q235&gt;0,Q235*315.35,0)+IF(R235&gt;0,R235*1067.3,0)+IF(T235&gt;0,T235*567.47,0)+IF(U235&gt;0,U235*151.63,0)+IF(V235&gt;0,V235*197.84,0)+IF(W235&gt;0,W235*470.51,0)+IF(X235&gt;0,X235*701.69,0)+IF(Z235&gt;0,Z235*151.63,0)+IF(AA235&gt;0,AA235*197.84)+IF(AB235&gt;0,AB235*308.4,0)+IF(AC235&gt;0,AC235*496.16,0)</f>
        <v/>
      </c>
    </row>
    <row r="236">
      <c r="A236" s="58" t="n"/>
      <c r="B236" s="59">
        <f>IF(H236&lt;$B$1,"VENCIDO","NA VALIDADE")</f>
        <v/>
      </c>
      <c r="C236" s="60" t="inlineStr">
        <is>
          <t>SUBESTAÇÃO</t>
        </is>
      </c>
      <c r="D236" s="61" t="inlineStr">
        <is>
          <t>SE CAB - CENTRO ADM BAHIA</t>
        </is>
      </c>
      <c r="E236" s="62" t="inlineStr">
        <is>
          <t>SALVADOR</t>
        </is>
      </c>
      <c r="F236" s="61" t="inlineStr">
        <is>
          <t>FEIRA DE  SANTANA</t>
        </is>
      </c>
      <c r="G236" s="60" t="inlineStr">
        <is>
          <t>BA</t>
        </is>
      </c>
      <c r="H236" s="119" t="n">
        <v>45413</v>
      </c>
      <c r="I236" s="119" t="n">
        <v>45413</v>
      </c>
      <c r="J236" s="60">
        <f>SUM(L236:AE236)</f>
        <v/>
      </c>
      <c r="K236" s="60">
        <f>SUM(AF236:AJ236)</f>
        <v/>
      </c>
      <c r="L236" s="60" t="n"/>
      <c r="M236" s="60" t="n"/>
      <c r="N236" s="60" t="n"/>
      <c r="O236" s="60" t="n"/>
      <c r="P236" s="60" t="n"/>
      <c r="Q236" s="60" t="n">
        <v>2</v>
      </c>
      <c r="R236" s="60" t="n"/>
      <c r="S236" s="60" t="n"/>
      <c r="T236" s="60" t="n">
        <v>1</v>
      </c>
      <c r="U236" s="60" t="n"/>
      <c r="V236" s="60" t="n"/>
      <c r="W236" s="60" t="n"/>
      <c r="X236" s="60" t="n"/>
      <c r="Y236" s="60" t="n"/>
      <c r="Z236" s="60" t="n"/>
      <c r="AA236" s="60" t="n">
        <v>1</v>
      </c>
      <c r="AB236" s="60" t="n"/>
      <c r="AC236" s="60" t="n"/>
      <c r="AD236" s="60" t="n"/>
      <c r="AE236" s="60" t="n"/>
      <c r="AF236" s="60" t="n"/>
      <c r="AG236" s="60" t="n"/>
      <c r="AH236" s="60" t="n"/>
      <c r="AI236" s="60" t="n"/>
      <c r="AJ236" s="60" t="n"/>
      <c r="AK236" s="120">
        <f>IF(L236&gt;0,L236*90.44,0)+IF(M236&gt;0,M236*348.12,0)+IF(N236&gt;0,N236*151.63,0)+IF(O236&gt;0,O236*197.82,0)+IF(P236&gt;0,P236*244.09,0)+IF(Q236&gt;0,Q236*315.35,0)+IF(R236&gt;0,R236*1067.3,0)+IF(T236&gt;0,T236*567.47,0)+IF(U236&gt;0,U236*151.63,0)+IF(V236&gt;0,V236*197.84,0)+IF(W236&gt;0,W236*470.51,0)+IF(X236&gt;0,X236*701.69,0)+IF(Z236&gt;0,Z236*151.63,0)+IF(AA236&gt;0,AA236*197.84)+IF(AB236&gt;0,AB236*308.4,0)+IF(AC236&gt;0,AC236*496.16,0)</f>
        <v/>
      </c>
    </row>
    <row r="237">
      <c r="A237" s="58" t="inlineStr">
        <is>
          <t>SIM</t>
        </is>
      </c>
      <c r="B237" s="59">
        <f>IF(H237&lt;$B$1,"VENCIDO","NA VALIDADE")</f>
        <v/>
      </c>
      <c r="C237" s="60" t="inlineStr">
        <is>
          <t>SUBESTAÇÃO</t>
        </is>
      </c>
      <c r="D237" s="61" t="inlineStr">
        <is>
          <t>SE CABOTO</t>
        </is>
      </c>
      <c r="E237" s="62" t="inlineStr">
        <is>
          <t>CANDEIAS</t>
        </is>
      </c>
      <c r="F237" s="61" t="inlineStr">
        <is>
          <t>FEIRA DE  SANTANA</t>
        </is>
      </c>
      <c r="G237" s="60" t="inlineStr">
        <is>
          <t>BA</t>
        </is>
      </c>
      <c r="H237" s="119" t="n">
        <v>45413</v>
      </c>
      <c r="I237" s="119" t="n">
        <v>45413</v>
      </c>
      <c r="J237" s="60">
        <f>SUM(L237:AE237)</f>
        <v/>
      </c>
      <c r="K237" s="60">
        <f>SUM(AF237:AJ237)</f>
        <v/>
      </c>
      <c r="L237" s="60" t="n"/>
      <c r="M237" s="60" t="n"/>
      <c r="N237" s="60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  <c r="Y237" s="60" t="n"/>
      <c r="Z237" s="60" t="n"/>
      <c r="AA237" s="60" t="n">
        <v>2</v>
      </c>
      <c r="AB237" s="60" t="n"/>
      <c r="AC237" s="60" t="n"/>
      <c r="AD237" s="60" t="n"/>
      <c r="AE237" s="60" t="n"/>
      <c r="AF237" s="60" t="n"/>
      <c r="AG237" s="60" t="n"/>
      <c r="AH237" s="60" t="n"/>
      <c r="AI237" s="60" t="n"/>
      <c r="AJ237" s="60" t="n"/>
      <c r="AK237" s="120">
        <f>IF(L237&gt;0,L237*90.44,0)+IF(M237&gt;0,M237*348.12,0)+IF(N237&gt;0,N237*151.63,0)+IF(O237&gt;0,O237*197.82,0)+IF(P237&gt;0,P237*244.09,0)+IF(Q237&gt;0,Q237*315.35,0)+IF(R237&gt;0,R237*1067.3,0)+IF(T237&gt;0,T237*567.47,0)+IF(U237&gt;0,U237*151.63,0)+IF(V237&gt;0,V237*197.84,0)+IF(W237&gt;0,W237*470.51,0)+IF(X237&gt;0,X237*701.69,0)+IF(Z237&gt;0,Z237*151.63,0)+IF(AA237&gt;0,AA237*197.84)+IF(AB237&gt;0,AB237*308.4,0)+IF(AC237&gt;0,AC237*496.16,0)</f>
        <v/>
      </c>
    </row>
    <row r="238" hidden="1">
      <c r="A238" s="58" t="inlineStr">
        <is>
          <t>rota</t>
        </is>
      </c>
      <c r="B238" s="59">
        <f>IF(H238&lt;$B$1,"VENCIDO","NA VALIDADE")</f>
        <v/>
      </c>
      <c r="C238" s="60" t="inlineStr">
        <is>
          <t>SUBESTAÇÃO</t>
        </is>
      </c>
      <c r="D238" s="61" t="inlineStr">
        <is>
          <t>SE CAETITE</t>
        </is>
      </c>
      <c r="E238" s="62" t="inlineStr">
        <is>
          <t>CAETITÉ</t>
        </is>
      </c>
      <c r="F238" s="61" t="inlineStr">
        <is>
          <t>VITÓRIA DA CONQUISTA</t>
        </is>
      </c>
      <c r="G238" s="60" t="inlineStr">
        <is>
          <t>BA</t>
        </is>
      </c>
      <c r="H238" s="119" t="n">
        <v>45292</v>
      </c>
      <c r="I238" s="119" t="n">
        <v>45292</v>
      </c>
      <c r="J238" s="60">
        <f>SUM(L238:AE238)</f>
        <v/>
      </c>
      <c r="K238" s="60">
        <f>SUM(AF238:AJ238)</f>
        <v/>
      </c>
      <c r="L238" s="60" t="n"/>
      <c r="M238" s="60" t="n"/>
      <c r="N238" s="60" t="n"/>
      <c r="O238" s="60" t="n">
        <v>6</v>
      </c>
      <c r="P238" s="60" t="n"/>
      <c r="Q238" s="60" t="n"/>
      <c r="R238" s="60" t="n"/>
      <c r="S238" s="60" t="n"/>
      <c r="T238" s="60" t="n">
        <v>1</v>
      </c>
      <c r="U238" s="60" t="n"/>
      <c r="V238" s="60" t="n"/>
      <c r="W238" s="60" t="n"/>
      <c r="X238" s="60" t="n"/>
      <c r="Y238" s="60" t="n"/>
      <c r="Z238" s="60" t="n"/>
      <c r="AA238" s="60" t="n">
        <v>2</v>
      </c>
      <c r="AB238" s="60" t="n"/>
      <c r="AC238" s="60" t="n"/>
      <c r="AD238" s="60" t="n"/>
      <c r="AE238" s="60" t="n"/>
      <c r="AF238" s="60" t="n"/>
      <c r="AG238" s="60" t="n"/>
      <c r="AH238" s="60" t="n"/>
      <c r="AI238" s="60" t="n"/>
      <c r="AJ238" s="60" t="n"/>
      <c r="AK238" s="120">
        <f>IF(L238&gt;0,L238*90.44,0)+IF(M238&gt;0,M238*348.12,0)+IF(N238&gt;0,N238*151.63,0)+IF(O238&gt;0,O238*197.82,0)+IF(P238&gt;0,P238*244.09,0)+IF(Q238&gt;0,Q238*315.35,0)+IF(R238&gt;0,R238*1067.3,0)+IF(T238&gt;0,T238*567.47,0)+IF(U238&gt;0,U238*151.63,0)+IF(V238&gt;0,V238*197.84,0)+IF(W238&gt;0,W238*470.51,0)+IF(X238&gt;0,X238*701.69,0)+IF(Z238&gt;0,Z238*151.63,0)+IF(AA238&gt;0,AA238*197.84)+IF(AB238&gt;0,AB238*308.4,0)+IF(AC238&gt;0,AC238*496.16,0)</f>
        <v/>
      </c>
    </row>
    <row r="239">
      <c r="A239" s="58" t="inlineStr">
        <is>
          <t>rota</t>
        </is>
      </c>
      <c r="B239" s="59">
        <f>IF(H239&lt;$B$1,"VENCIDO","NA VALIDADE")</f>
        <v/>
      </c>
      <c r="C239" s="60" t="inlineStr">
        <is>
          <t>SUBESTAÇÃO</t>
        </is>
      </c>
      <c r="D239" s="61" t="inlineStr">
        <is>
          <t>SE CAJAZEIRAS I</t>
        </is>
      </c>
      <c r="E239" s="62" t="inlineStr">
        <is>
          <t>SALVADOR</t>
        </is>
      </c>
      <c r="F239" s="61" t="inlineStr">
        <is>
          <t>FEIRA DE  SANTANA</t>
        </is>
      </c>
      <c r="G239" s="60" t="inlineStr">
        <is>
          <t>BA</t>
        </is>
      </c>
      <c r="H239" s="119" t="n">
        <v>45474</v>
      </c>
      <c r="I239" s="119">
        <f>H239-180</f>
        <v/>
      </c>
      <c r="J239" s="60">
        <f>SUM(L239:AE239)</f>
        <v/>
      </c>
      <c r="K239" s="60">
        <f>SUM(AF239:AJ239)</f>
        <v/>
      </c>
      <c r="L239" s="60" t="n"/>
      <c r="M239" s="60" t="n"/>
      <c r="N239" s="60" t="n"/>
      <c r="O239" s="60" t="n"/>
      <c r="P239" s="60" t="n"/>
      <c r="Q239" s="60" t="n">
        <v>2</v>
      </c>
      <c r="R239" s="60" t="n"/>
      <c r="S239" s="60" t="n"/>
      <c r="T239" s="60" t="n"/>
      <c r="U239" s="60" t="n"/>
      <c r="V239" s="60" t="n"/>
      <c r="W239" s="60" t="n"/>
      <c r="X239" s="60" t="n"/>
      <c r="Y239" s="60" t="n"/>
      <c r="Z239" s="60" t="n"/>
      <c r="AA239" s="60" t="n">
        <v>2</v>
      </c>
      <c r="AB239" s="60" t="n"/>
      <c r="AC239" s="60" t="n"/>
      <c r="AD239" s="60" t="n"/>
      <c r="AE239" s="60" t="n"/>
      <c r="AF239" s="60" t="n"/>
      <c r="AG239" s="60" t="n"/>
      <c r="AH239" s="60" t="n"/>
      <c r="AI239" s="60" t="n"/>
      <c r="AJ239" s="60" t="n"/>
      <c r="AK239" s="120">
        <f>IF(L239&gt;0,L239*90.44,0)+IF(M239&gt;0,M239*348.12,0)+IF(N239&gt;0,N239*151.63,0)+IF(O239&gt;0,O239*197.82,0)+IF(P239&gt;0,P239*244.09,0)+IF(Q239&gt;0,Q239*315.35,0)+IF(R239&gt;0,R239*1067.3,0)+IF(T239&gt;0,T239*567.47,0)+IF(U239&gt;0,U239*151.63,0)+IF(V239&gt;0,V239*197.84,0)+IF(W239&gt;0,W239*470.51,0)+IF(X239&gt;0,X239*701.69,0)+IF(Z239&gt;0,Z239*151.63,0)+IF(AA239&gt;0,AA239*197.84)+IF(AB239&gt;0,AB239*308.4,0)+IF(AC239&gt;0,AC239*496.16,0)</f>
        <v/>
      </c>
    </row>
    <row r="240" hidden="1">
      <c r="A240" s="58" t="inlineStr">
        <is>
          <t>rota</t>
        </is>
      </c>
      <c r="B240" s="59">
        <f>IF(H240&lt;$B$1,"VENCIDO","NA VALIDADE")</f>
        <v/>
      </c>
      <c r="C240" s="60" t="inlineStr">
        <is>
          <t>AGÊNCIA</t>
        </is>
      </c>
      <c r="D240" s="61" t="inlineStr">
        <is>
          <t>AGÊNCIA ESCRITÓRIO PORTO SEGURO</t>
        </is>
      </c>
      <c r="E240" s="62" t="inlineStr">
        <is>
          <t>PORTO SEGURO</t>
        </is>
      </c>
      <c r="F240" s="61" t="inlineStr">
        <is>
          <t>ILHÉUS</t>
        </is>
      </c>
      <c r="G240" s="60" t="inlineStr">
        <is>
          <t>BA</t>
        </is>
      </c>
      <c r="H240" s="119" t="n">
        <v>45323</v>
      </c>
      <c r="I240" s="119">
        <f>H240-180</f>
        <v/>
      </c>
      <c r="J240" s="60">
        <f>SUM(L240:AE240)</f>
        <v/>
      </c>
      <c r="K240" s="60">
        <f>SUM(AF240:AJ240)</f>
        <v/>
      </c>
      <c r="L240" s="60" t="n"/>
      <c r="M240" s="60" t="n"/>
      <c r="N240" s="60" t="n"/>
      <c r="O240" s="60" t="n"/>
      <c r="P240" s="60" t="n"/>
      <c r="Q240" s="60" t="n"/>
      <c r="R240" s="60" t="n"/>
      <c r="S240" s="60" t="n"/>
      <c r="T240" s="60" t="n"/>
      <c r="U240" s="60" t="n"/>
      <c r="V240" s="60" t="n">
        <v>2</v>
      </c>
      <c r="W240" s="60" t="n"/>
      <c r="X240" s="60" t="n"/>
      <c r="Y240" s="60" t="n"/>
      <c r="Z240" s="60" t="n"/>
      <c r="AA240" s="60" t="n"/>
      <c r="AB240" s="60" t="n"/>
      <c r="AC240" s="60" t="n"/>
      <c r="AD240" s="60" t="n"/>
      <c r="AE240" s="60" t="n"/>
      <c r="AF240" s="60" t="n"/>
      <c r="AG240" s="60" t="n"/>
      <c r="AH240" s="60" t="n"/>
      <c r="AI240" s="60" t="n"/>
      <c r="AJ240" s="60" t="n"/>
      <c r="AK240" s="120">
        <f>IF(L240&gt;0,L240*90.44,0)+IF(M240&gt;0,M240*348.12,0)+IF(N240&gt;0,N240*151.63,0)+IF(O240&gt;0,O240*197.82,0)+IF(P240&gt;0,P240*244.09,0)+IF(Q240&gt;0,Q240*315.35,0)+IF(R240&gt;0,R240*1067.3,0)+IF(T240&gt;0,T240*567.47,0)+IF(U240&gt;0,U240*151.63,0)+IF(V240&gt;0,V240*197.84,0)+IF(W240&gt;0,W240*470.51,0)+IF(X240&gt;0,X240*701.69,0)+IF(Z240&gt;0,Z240*151.63,0)+IF(AA240&gt;0,AA240*197.84)+IF(AB240&gt;0,AB240*308.4,0)+IF(AC240&gt;0,AC240*496.16,0)</f>
        <v/>
      </c>
    </row>
    <row r="241">
      <c r="A241" s="58" t="inlineStr">
        <is>
          <t>1 DEZ CABO</t>
        </is>
      </c>
      <c r="B241" s="59">
        <f>IF(H241&lt;$B$1,"VENCIDO","NA VALIDADE")</f>
        <v/>
      </c>
      <c r="C241" s="60" t="inlineStr">
        <is>
          <t>SUBESTAÇÃO</t>
        </is>
      </c>
      <c r="D241" s="61" t="inlineStr">
        <is>
          <t>SE CAMAÇARI  III</t>
        </is>
      </c>
      <c r="E241" s="62" t="inlineStr">
        <is>
          <t>CAMAÇARI</t>
        </is>
      </c>
      <c r="F241" s="61" t="inlineStr">
        <is>
          <t>FEIRA DE  SANTANA</t>
        </is>
      </c>
      <c r="G241" s="60" t="inlineStr">
        <is>
          <t>BA</t>
        </is>
      </c>
      <c r="H241" s="119" t="n">
        <v>45444</v>
      </c>
      <c r="I241" s="119" t="n">
        <v>45292</v>
      </c>
      <c r="J241" s="60">
        <f>SUM(L241:AE241)</f>
        <v/>
      </c>
      <c r="K241" s="60">
        <f>SUM(AF241:AJ241)</f>
        <v/>
      </c>
      <c r="L241" s="60" t="n"/>
      <c r="M241" s="60" t="n"/>
      <c r="N241" s="60" t="n"/>
      <c r="O241" s="60" t="n"/>
      <c r="P241" s="60" t="n"/>
      <c r="Q241" s="60" t="n"/>
      <c r="R241" s="60" t="n"/>
      <c r="S241" s="60" t="n"/>
      <c r="T241" s="60" t="n"/>
      <c r="U241" s="60" t="n"/>
      <c r="V241" s="60" t="n">
        <v>1</v>
      </c>
      <c r="W241" s="60" t="n"/>
      <c r="X241" s="60" t="n"/>
      <c r="Y241" s="60" t="n"/>
      <c r="Z241" s="60" t="n"/>
      <c r="AA241" s="60" t="n">
        <v>1</v>
      </c>
      <c r="AB241" s="60" t="n"/>
      <c r="AC241" s="60" t="n"/>
      <c r="AD241" s="60" t="n"/>
      <c r="AE241" s="60" t="n"/>
      <c r="AF241" s="60" t="n"/>
      <c r="AG241" s="60" t="n"/>
      <c r="AH241" s="60" t="n"/>
      <c r="AI241" s="60" t="n"/>
      <c r="AJ241" s="60" t="n"/>
      <c r="AK241" s="120">
        <f>IF(L241&gt;0,L241*90.44,0)+IF(M241&gt;0,M241*348.12,0)+IF(N241&gt;0,N241*151.63,0)+IF(O241&gt;0,O241*197.82,0)+IF(P241&gt;0,P241*244.09,0)+IF(Q241&gt;0,Q241*315.35,0)+IF(R241&gt;0,R241*1067.3,0)+IF(T241&gt;0,T241*567.47,0)+IF(U241&gt;0,U241*151.63,0)+IF(V241&gt;0,V241*197.84,0)+IF(W241&gt;0,W241*470.51,0)+IF(X241&gt;0,X241*701.69,0)+IF(Z241&gt;0,Z241*151.63,0)+IF(AA241&gt;0,AA241*197.84)+IF(AB241&gt;0,AB241*308.4,0)+IF(AC241&gt;0,AC241*496.16,0)</f>
        <v/>
      </c>
    </row>
    <row r="242">
      <c r="A242" s="58" t="inlineStr">
        <is>
          <t>SIM</t>
        </is>
      </c>
      <c r="B242" s="59">
        <f>IF(H242&lt;$B$1,"VENCIDO","NA VALIDADE")</f>
        <v/>
      </c>
      <c r="C242" s="60" t="inlineStr">
        <is>
          <t>SUBESTAÇÃO</t>
        </is>
      </c>
      <c r="D242" s="61" t="inlineStr">
        <is>
          <t>SE POLO II</t>
        </is>
      </c>
      <c r="E242" s="62" t="inlineStr">
        <is>
          <t>CAMAÇARI</t>
        </is>
      </c>
      <c r="F242" s="61" t="inlineStr">
        <is>
          <t>FEIRA DE  SANTANA</t>
        </is>
      </c>
      <c r="G242" s="60" t="inlineStr">
        <is>
          <t>BA</t>
        </is>
      </c>
      <c r="H242" s="119" t="n">
        <v>45536</v>
      </c>
      <c r="I242" s="119">
        <f>H242-180</f>
        <v/>
      </c>
      <c r="J242" s="60">
        <f>SUM(L242:AE242)</f>
        <v/>
      </c>
      <c r="K242" s="60">
        <f>SUM(AF242:AJ242)</f>
        <v/>
      </c>
      <c r="L242" s="60" t="n"/>
      <c r="M242" s="60" t="n"/>
      <c r="N242" s="60" t="n"/>
      <c r="O242" s="60" t="n"/>
      <c r="P242" s="60" t="n"/>
      <c r="Q242" s="60" t="n">
        <v>2</v>
      </c>
      <c r="R242" s="60" t="n"/>
      <c r="S242" s="60" t="n"/>
      <c r="T242" s="60" t="n">
        <v>1</v>
      </c>
      <c r="U242" s="60" t="n"/>
      <c r="V242" s="60" t="n"/>
      <c r="W242" s="60" t="n"/>
      <c r="X242" s="60" t="n"/>
      <c r="Y242" s="60" t="n"/>
      <c r="Z242" s="60" t="n"/>
      <c r="AA242" s="60" t="n">
        <v>1</v>
      </c>
      <c r="AB242" s="60" t="n"/>
      <c r="AC242" s="60" t="n"/>
      <c r="AD242" s="60" t="n"/>
      <c r="AE242" s="60" t="n"/>
      <c r="AF242" s="60" t="n"/>
      <c r="AG242" s="60" t="n"/>
      <c r="AH242" s="60" t="n"/>
      <c r="AI242" s="60" t="n"/>
      <c r="AJ242" s="60" t="n"/>
      <c r="AK242" s="120">
        <f>IF(L242&gt;0,L242*90.44,0)+IF(M242&gt;0,M242*348.12,0)+IF(N242&gt;0,N242*151.63,0)+IF(O242&gt;0,O242*197.82,0)+IF(P242&gt;0,P242*244.09,0)+IF(Q242&gt;0,Q242*315.35,0)+IF(R242&gt;0,R242*1067.3,0)+IF(T242&gt;0,T242*567.47,0)+IF(U242&gt;0,U242*151.63,0)+IF(V242&gt;0,V242*197.84,0)+IF(W242&gt;0,W242*470.51,0)+IF(X242&gt;0,X242*701.69,0)+IF(Z242&gt;0,Z242*151.63,0)+IF(AA242&gt;0,AA242*197.84)+IF(AB242&gt;0,AB242*308.4,0)+IF(AC242&gt;0,AC242*496.16,0)</f>
        <v/>
      </c>
    </row>
    <row r="243">
      <c r="A243" s="58" t="inlineStr">
        <is>
          <t>VITÓRIA 06/12</t>
        </is>
      </c>
      <c r="B243" s="59">
        <f>IF(H243&lt;$B$1,"VENCIDO","NA VALIDADE")</f>
        <v/>
      </c>
      <c r="C243" s="60" t="inlineStr">
        <is>
          <t>SUBESTAÇÃO</t>
        </is>
      </c>
      <c r="D243" s="61" t="inlineStr">
        <is>
          <t>SE CAMAÇARI I</t>
        </is>
      </c>
      <c r="E243" s="62" t="inlineStr">
        <is>
          <t>CAMAÇARI</t>
        </is>
      </c>
      <c r="F243" s="61" t="inlineStr">
        <is>
          <t>FEIRA DE  SANTANA</t>
        </is>
      </c>
      <c r="G243" s="60" t="inlineStr">
        <is>
          <t>BA</t>
        </is>
      </c>
      <c r="H243" s="119" t="n">
        <v>45352</v>
      </c>
      <c r="I243" s="119">
        <f>H243-180</f>
        <v/>
      </c>
      <c r="J243" s="60">
        <f>SUM(L243:AE243)</f>
        <v/>
      </c>
      <c r="K243" s="60">
        <f>SUM(AF243:AJ243)</f>
        <v/>
      </c>
      <c r="L243" s="60" t="n"/>
      <c r="M243" s="60" t="n"/>
      <c r="N243" s="60" t="n"/>
      <c r="O243" s="60" t="n"/>
      <c r="P243" s="60" t="n"/>
      <c r="Q243" s="60" t="n">
        <v>4</v>
      </c>
      <c r="R243" s="60" t="n"/>
      <c r="S243" s="60" t="n"/>
      <c r="T243" s="60" t="n"/>
      <c r="U243" s="60" t="n"/>
      <c r="V243" s="60" t="n"/>
      <c r="W243" s="60" t="n"/>
      <c r="X243" s="60" t="n"/>
      <c r="Y243" s="60" t="n"/>
      <c r="Z243" s="60" t="n"/>
      <c r="AA243" s="60" t="n">
        <v>2</v>
      </c>
      <c r="AB243" s="60" t="n"/>
      <c r="AC243" s="60" t="n"/>
      <c r="AD243" s="60" t="n"/>
      <c r="AE243" s="60" t="n"/>
      <c r="AF243" s="60" t="n"/>
      <c r="AG243" s="60" t="n"/>
      <c r="AH243" s="60" t="n"/>
      <c r="AI243" s="60" t="n"/>
      <c r="AJ243" s="60" t="n"/>
      <c r="AK243" s="120">
        <f>IF(L243&gt;0,L243*90.44,0)+IF(M243&gt;0,M243*348.12,0)+IF(N243&gt;0,N243*151.63,0)+IF(O243&gt;0,O243*197.82,0)+IF(P243&gt;0,P243*244.09,0)+IF(Q243&gt;0,Q243*315.35,0)+IF(R243&gt;0,R243*1067.3,0)+IF(T243&gt;0,T243*567.47,0)+IF(U243&gt;0,U243*151.63,0)+IF(V243&gt;0,V243*197.84,0)+IF(W243&gt;0,W243*470.51,0)+IF(X243&gt;0,X243*701.69,0)+IF(Z243&gt;0,Z243*151.63,0)+IF(AA243&gt;0,AA243*197.84)+IF(AB243&gt;0,AB243*308.4,0)+IF(AC243&gt;0,AC243*496.16,0)</f>
        <v/>
      </c>
    </row>
    <row r="244" hidden="1">
      <c r="A244" s="58" t="inlineStr">
        <is>
          <t>rota</t>
        </is>
      </c>
      <c r="B244" s="59">
        <f>IF(H244&lt;$B$1,"VENCIDO","NA VALIDADE")</f>
        <v/>
      </c>
      <c r="C244" s="60" t="inlineStr">
        <is>
          <t>AGÊNCIA</t>
        </is>
      </c>
      <c r="D244" s="61" t="inlineStr">
        <is>
          <t>AGÊNCIA EUNAPOLIS</t>
        </is>
      </c>
      <c r="E244" s="62" t="inlineStr">
        <is>
          <t>EUNÁPOLIS</t>
        </is>
      </c>
      <c r="F244" s="61" t="inlineStr">
        <is>
          <t>ILHÉUS</t>
        </is>
      </c>
      <c r="G244" s="60" t="inlineStr">
        <is>
          <t>BA</t>
        </is>
      </c>
      <c r="H244" s="119" t="n">
        <v>45413</v>
      </c>
      <c r="I244" s="119">
        <f>H244-180</f>
        <v/>
      </c>
      <c r="J244" s="60">
        <f>SUM(L244:AE244)</f>
        <v/>
      </c>
      <c r="K244" s="60">
        <f>SUM(AF244:AJ244)</f>
        <v/>
      </c>
      <c r="L244" s="60" t="n">
        <v>4</v>
      </c>
      <c r="M244" s="60" t="n"/>
      <c r="N244" s="60" t="n"/>
      <c r="O244" s="60" t="n">
        <v>3</v>
      </c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  <c r="Y244" s="60" t="n"/>
      <c r="Z244" s="60" t="n"/>
      <c r="AA244" s="60" t="n"/>
      <c r="AB244" s="60" t="n"/>
      <c r="AC244" s="60" t="n"/>
      <c r="AD244" s="60" t="n"/>
      <c r="AE244" s="60" t="n"/>
      <c r="AF244" s="60" t="n"/>
      <c r="AG244" s="60" t="n"/>
      <c r="AH244" s="60" t="n"/>
      <c r="AI244" s="60" t="n"/>
      <c r="AJ244" s="60" t="n"/>
      <c r="AK244" s="120">
        <f>IF(L244&gt;0,L244*90.44,0)+IF(M244&gt;0,M244*348.12,0)+IF(N244&gt;0,N244*151.63,0)+IF(O244&gt;0,O244*197.82,0)+IF(P244&gt;0,P244*244.09,0)+IF(Q244&gt;0,Q244*315.35,0)+IF(R244&gt;0,R244*1067.3,0)+IF(T244&gt;0,T244*567.47,0)+IF(U244&gt;0,U244*151.63,0)+IF(V244&gt;0,V244*197.84,0)+IF(W244&gt;0,W244*470.51,0)+IF(X244&gt;0,X244*701.69,0)+IF(Z244&gt;0,Z244*151.63,0)+IF(AA244&gt;0,AA244*197.84)+IF(AB244&gt;0,AB244*308.4,0)+IF(AC244&gt;0,AC244*496.16,0)</f>
        <v/>
      </c>
    </row>
    <row r="245" hidden="1">
      <c r="A245" s="58" t="inlineStr">
        <is>
          <t>SIM</t>
        </is>
      </c>
      <c r="B245" s="59">
        <f>IF(H245&lt;$B$1,"VENCIDO","NA VALIDADE")</f>
        <v/>
      </c>
      <c r="C245" s="60" t="inlineStr">
        <is>
          <t>UTD</t>
        </is>
      </c>
      <c r="D245" s="61" t="inlineStr">
        <is>
          <t>UTD TEIXEIRA DE FREITAS ( GARAGEM )</t>
        </is>
      </c>
      <c r="E245" s="62" t="inlineStr">
        <is>
          <t>TEIXEIRA DE FREITAS</t>
        </is>
      </c>
      <c r="F245" s="61" t="inlineStr">
        <is>
          <t>ILHÉUS</t>
        </is>
      </c>
      <c r="G245" s="60" t="inlineStr">
        <is>
          <t>BA</t>
        </is>
      </c>
      <c r="H245" s="119" t="n">
        <v>45413</v>
      </c>
      <c r="I245" s="119" t="n">
        <v>45413</v>
      </c>
      <c r="J245" s="60">
        <f>SUM(L245:AE245)</f>
        <v/>
      </c>
      <c r="K245" s="60">
        <f>SUM(AF245:AJ245)</f>
        <v/>
      </c>
      <c r="L245" s="60" t="n">
        <v>2</v>
      </c>
      <c r="M245" s="60" t="n"/>
      <c r="N245" s="60" t="n"/>
      <c r="O245" s="60" t="n"/>
      <c r="P245" s="60" t="n"/>
      <c r="Q245" s="60" t="n">
        <v>1</v>
      </c>
      <c r="R245" s="60" t="n"/>
      <c r="S245" s="60" t="n"/>
      <c r="T245" s="60" t="n"/>
      <c r="U245" s="60" t="n"/>
      <c r="V245" s="60" t="n"/>
      <c r="W245" s="60" t="n"/>
      <c r="X245" s="60" t="n"/>
      <c r="Y245" s="60" t="n"/>
      <c r="Z245" s="60" t="n"/>
      <c r="AA245" s="60" t="n">
        <v>1</v>
      </c>
      <c r="AB245" s="60" t="n"/>
      <c r="AC245" s="60" t="n"/>
      <c r="AD245" s="60" t="n"/>
      <c r="AE245" s="60" t="n"/>
      <c r="AF245" s="60" t="n"/>
      <c r="AG245" s="60" t="n"/>
      <c r="AH245" s="60" t="n"/>
      <c r="AI245" s="60" t="n"/>
      <c r="AJ245" s="60" t="n"/>
      <c r="AK245" s="120">
        <f>IF(L245&gt;0,L245*90.44,0)+IF(M245&gt;0,M245*348.12,0)+IF(N245&gt;0,N245*151.63,0)+IF(O245&gt;0,O245*197.82,0)+IF(P245&gt;0,P245*244.09,0)+IF(Q245&gt;0,Q245*315.35,0)+IF(R245&gt;0,R245*1067.3,0)+IF(T245&gt;0,T245*567.47,0)+IF(U245&gt;0,U245*151.63,0)+IF(V245&gt;0,V245*197.84,0)+IF(W245&gt;0,W245*470.51,0)+IF(X245&gt;0,X245*701.69,0)+IF(Z245&gt;0,Z245*151.63,0)+IF(AA245&gt;0,AA245*197.84)+IF(AB245&gt;0,AB245*308.4,0)+IF(AC245&gt;0,AC245*496.16,0)</f>
        <v/>
      </c>
    </row>
    <row r="246" hidden="1">
      <c r="A246" s="58" t="inlineStr">
        <is>
          <t>SIM</t>
        </is>
      </c>
      <c r="B246" s="59">
        <f>IF(H246&lt;$B$1,"VENCIDO","NA VALIDADE")</f>
        <v/>
      </c>
      <c r="C246" s="60" t="inlineStr">
        <is>
          <t>AGÊNCIA</t>
        </is>
      </c>
      <c r="D246" s="61" t="inlineStr">
        <is>
          <t>AGÊNCIA TEIXEIRA DE FREITAS</t>
        </is>
      </c>
      <c r="E246" s="62" t="inlineStr">
        <is>
          <t>TEIXEIRA DE FREITAS</t>
        </is>
      </c>
      <c r="F246" s="61" t="inlineStr">
        <is>
          <t>ILHÉUS</t>
        </is>
      </c>
      <c r="G246" s="60" t="inlineStr">
        <is>
          <t>BA</t>
        </is>
      </c>
      <c r="H246" s="119" t="n">
        <v>45413</v>
      </c>
      <c r="I246" s="119">
        <f>H246-180</f>
        <v/>
      </c>
      <c r="J246" s="60">
        <f>SUM(L246:AE246)</f>
        <v/>
      </c>
      <c r="K246" s="60">
        <f>SUM(AF246:AJ246)</f>
        <v/>
      </c>
      <c r="L246" s="60" t="n">
        <v>1</v>
      </c>
      <c r="M246" s="60" t="n"/>
      <c r="N246" s="60" t="n"/>
      <c r="O246" s="60" t="n">
        <v>1</v>
      </c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  <c r="Y246" s="60" t="n"/>
      <c r="Z246" s="60" t="n"/>
      <c r="AA246" s="60" t="n"/>
      <c r="AB246" s="60" t="n"/>
      <c r="AC246" s="60" t="n"/>
      <c r="AD246" s="60" t="n"/>
      <c r="AE246" s="60" t="n"/>
      <c r="AF246" s="60" t="n"/>
      <c r="AG246" s="60" t="n"/>
      <c r="AH246" s="60" t="n"/>
      <c r="AI246" s="60" t="n"/>
      <c r="AJ246" s="60" t="n"/>
      <c r="AK246" s="120">
        <f>IF(L246&gt;0,L246*90.44,0)+IF(M246&gt;0,M246*348.12,0)+IF(N246&gt;0,N246*151.63,0)+IF(O246&gt;0,O246*197.82,0)+IF(P246&gt;0,P246*244.09,0)+IF(Q246&gt;0,Q246*315.35,0)+IF(R246&gt;0,R246*1067.3,0)+IF(T246&gt;0,T246*567.47,0)+IF(U246&gt;0,U246*151.63,0)+IF(V246&gt;0,V246*197.84,0)+IF(W246&gt;0,W246*470.51,0)+IF(X246&gt;0,X246*701.69,0)+IF(Z246&gt;0,Z246*151.63,0)+IF(AA246&gt;0,AA246*197.84)+IF(AB246&gt;0,AB246*308.4,0)+IF(AC246&gt;0,AC246*496.16,0)</f>
        <v/>
      </c>
    </row>
    <row r="247">
      <c r="A247" s="58" t="inlineStr">
        <is>
          <t>rota</t>
        </is>
      </c>
      <c r="B247" s="59">
        <f>IF(H247&lt;$B$1,"VENCIDO","NA VALIDADE")</f>
        <v/>
      </c>
      <c r="C247" s="60" t="inlineStr">
        <is>
          <t>SUBESTAÇÃO</t>
        </is>
      </c>
      <c r="D247" s="61" t="inlineStr">
        <is>
          <t>SE CANDEAL</t>
        </is>
      </c>
      <c r="E247" s="62" t="inlineStr">
        <is>
          <t>SALVADOR</t>
        </is>
      </c>
      <c r="F247" s="61" t="inlineStr">
        <is>
          <t>FEIRA DE  SANTANA</t>
        </is>
      </c>
      <c r="G247" s="60" t="inlineStr">
        <is>
          <t>BA</t>
        </is>
      </c>
      <c r="H247" s="119" t="n">
        <v>45323</v>
      </c>
      <c r="I247" s="119" t="n">
        <v>45323</v>
      </c>
      <c r="J247" s="60">
        <f>SUM(L247:AE247)</f>
        <v/>
      </c>
      <c r="K247" s="60">
        <f>SUM(AF247:AJ247)</f>
        <v/>
      </c>
      <c r="L247" s="60" t="n"/>
      <c r="M247" s="60" t="n"/>
      <c r="N247" s="60" t="n"/>
      <c r="O247" s="60" t="n">
        <v>1</v>
      </c>
      <c r="P247" s="60" t="n"/>
      <c r="Q247" s="60" t="n">
        <v>2</v>
      </c>
      <c r="R247" s="60" t="n"/>
      <c r="S247" s="60" t="n"/>
      <c r="T247" s="60" t="n"/>
      <c r="U247" s="60" t="n"/>
      <c r="V247" s="60" t="n"/>
      <c r="W247" s="60" t="n"/>
      <c r="X247" s="60" t="n"/>
      <c r="Y247" s="60" t="n"/>
      <c r="Z247" s="60" t="n"/>
      <c r="AA247" s="60" t="n">
        <v>5</v>
      </c>
      <c r="AB247" s="60" t="n"/>
      <c r="AC247" s="60" t="n"/>
      <c r="AD247" s="60" t="n"/>
      <c r="AE247" s="60" t="n"/>
      <c r="AF247" s="60" t="n"/>
      <c r="AG247" s="60" t="n"/>
      <c r="AH247" s="60" t="n"/>
      <c r="AI247" s="60" t="n"/>
      <c r="AJ247" s="60" t="n"/>
      <c r="AK247" s="120">
        <f>IF(L247&gt;0,L247*90.44,0)+IF(M247&gt;0,M247*348.12,0)+IF(N247&gt;0,N247*151.63,0)+IF(O247&gt;0,O247*197.82,0)+IF(P247&gt;0,P247*244.09,0)+IF(Q247&gt;0,Q247*315.35,0)+IF(R247&gt;0,R247*1067.3,0)+IF(T247&gt;0,T247*567.47,0)+IF(U247&gt;0,U247*151.63,0)+IF(V247&gt;0,V247*197.84,0)+IF(W247&gt;0,W247*470.51,0)+IF(X247&gt;0,X247*701.69,0)+IF(Z247&gt;0,Z247*151.63,0)+IF(AA247&gt;0,AA247*197.84)+IF(AB247&gt;0,AB247*308.4,0)+IF(AC247&gt;0,AC247*496.16,0)</f>
        <v/>
      </c>
    </row>
    <row r="248" hidden="1">
      <c r="A248" s="58" t="inlineStr">
        <is>
          <t>SIM</t>
        </is>
      </c>
      <c r="B248" s="59">
        <f>IF(H248&lt;$B$1,"VENCIDO","NA VALIDADE")</f>
        <v/>
      </c>
      <c r="C248" s="60" t="inlineStr">
        <is>
          <t>SUBESTAÇÃO</t>
        </is>
      </c>
      <c r="D248" s="61" t="inlineStr">
        <is>
          <t>SE CANDIBA</t>
        </is>
      </c>
      <c r="E248" s="62" t="inlineStr">
        <is>
          <t>CANDIBA</t>
        </is>
      </c>
      <c r="F248" s="61" t="inlineStr">
        <is>
          <t>VITÓRIA DA CONQUISTA</t>
        </is>
      </c>
      <c r="G248" s="60" t="inlineStr">
        <is>
          <t>BA</t>
        </is>
      </c>
      <c r="H248" s="119" t="n">
        <v>45292</v>
      </c>
      <c r="I248" s="119" t="n">
        <v>45292</v>
      </c>
      <c r="J248" s="60">
        <f>SUM(L248:AE248)</f>
        <v/>
      </c>
      <c r="K248" s="60">
        <f>SUM(AF248:AJ248)</f>
        <v/>
      </c>
      <c r="L248" s="60" t="n"/>
      <c r="M248" s="60" t="n"/>
      <c r="N248" s="60" t="n"/>
      <c r="O248" s="60" t="n"/>
      <c r="P248" s="60" t="n"/>
      <c r="Q248" s="60" t="n">
        <v>1</v>
      </c>
      <c r="R248" s="60" t="n"/>
      <c r="S248" s="60" t="n"/>
      <c r="T248" s="60" t="n"/>
      <c r="U248" s="60" t="n"/>
      <c r="V248" s="60" t="n"/>
      <c r="W248" s="60" t="n"/>
      <c r="X248" s="60" t="n"/>
      <c r="Y248" s="60" t="n"/>
      <c r="Z248" s="60" t="n"/>
      <c r="AA248" s="60" t="n">
        <v>1</v>
      </c>
      <c r="AB248" s="60" t="n"/>
      <c r="AC248" s="60" t="n"/>
      <c r="AD248" s="60" t="n"/>
      <c r="AE248" s="60" t="n"/>
      <c r="AF248" s="60" t="n"/>
      <c r="AG248" s="60" t="n"/>
      <c r="AH248" s="60" t="n"/>
      <c r="AI248" s="60" t="n"/>
      <c r="AJ248" s="60" t="n"/>
      <c r="AK248" s="120">
        <f>IF(L248&gt;0,L248*90.44,0)+IF(M248&gt;0,M248*348.12,0)+IF(N248&gt;0,N248*151.63,0)+IF(O248&gt;0,O248*197.82,0)+IF(P248&gt;0,P248*244.09,0)+IF(Q248&gt;0,Q248*315.35,0)+IF(R248&gt;0,R248*1067.3,0)+IF(T248&gt;0,T248*567.47,0)+IF(U248&gt;0,U248*151.63,0)+IF(V248&gt;0,V248*197.84,0)+IF(W248&gt;0,W248*470.51,0)+IF(X248&gt;0,X248*701.69,0)+IF(Z248&gt;0,Z248*151.63,0)+IF(AA248&gt;0,AA248*197.84)+IF(AB248&gt;0,AB248*308.4,0)+IF(AC248&gt;0,AC248*496.16,0)</f>
        <v/>
      </c>
    </row>
    <row r="249" hidden="1">
      <c r="A249" s="58" t="inlineStr">
        <is>
          <t>SIM</t>
        </is>
      </c>
      <c r="B249" s="59">
        <f>IF(H249&lt;$B$1,"VENCIDO","NA VALIDADE")</f>
        <v/>
      </c>
      <c r="C249" s="60" t="inlineStr">
        <is>
          <t>SUBESTAÇÃO</t>
        </is>
      </c>
      <c r="D249" s="61" t="inlineStr">
        <is>
          <t>SE CANDIDO SALES</t>
        </is>
      </c>
      <c r="E249" s="62" t="inlineStr">
        <is>
          <t>CÂNDIDO SALES</t>
        </is>
      </c>
      <c r="F249" s="61" t="inlineStr">
        <is>
          <t>VITÓRIA DA CONQUISTA</t>
        </is>
      </c>
      <c r="G249" s="60" t="inlineStr">
        <is>
          <t>BA</t>
        </is>
      </c>
      <c r="H249" s="119" t="n">
        <v>45474</v>
      </c>
      <c r="I249" s="119">
        <f>H249-180</f>
        <v/>
      </c>
      <c r="J249" s="60">
        <f>SUM(L249:AE249)</f>
        <v/>
      </c>
      <c r="K249" s="60">
        <f>SUM(AF249:AJ249)</f>
        <v/>
      </c>
      <c r="L249" s="60" t="n"/>
      <c r="M249" s="60" t="n"/>
      <c r="N249" s="60" t="n"/>
      <c r="O249" s="60" t="n"/>
      <c r="P249" s="60" t="n">
        <v>1</v>
      </c>
      <c r="Q249" s="60" t="n"/>
      <c r="R249" s="60" t="n"/>
      <c r="S249" s="60" t="n"/>
      <c r="T249" s="60" t="n"/>
      <c r="U249" s="60" t="n"/>
      <c r="V249" s="60" t="n"/>
      <c r="W249" s="60" t="n"/>
      <c r="X249" s="60" t="n"/>
      <c r="Y249" s="60" t="n"/>
      <c r="Z249" s="60" t="n"/>
      <c r="AA249" s="60" t="n">
        <v>1</v>
      </c>
      <c r="AB249" s="60" t="n"/>
      <c r="AC249" s="60" t="n"/>
      <c r="AD249" s="60" t="n"/>
      <c r="AE249" s="60" t="n"/>
      <c r="AF249" s="60" t="n"/>
      <c r="AG249" s="60" t="n"/>
      <c r="AH249" s="60" t="n"/>
      <c r="AI249" s="60" t="n"/>
      <c r="AJ249" s="60" t="n"/>
      <c r="AK249" s="120">
        <f>IF(L249&gt;0,L249*90.44,0)+IF(M249&gt;0,M249*348.12,0)+IF(N249&gt;0,N249*151.63,0)+IF(O249&gt;0,O249*197.82,0)+IF(P249&gt;0,P249*244.09,0)+IF(Q249&gt;0,Q249*315.35,0)+IF(R249&gt;0,R249*1067.3,0)+IF(T249&gt;0,T249*567.47,0)+IF(U249&gt;0,U249*151.63,0)+IF(V249&gt;0,V249*197.84,0)+IF(W249&gt;0,W249*470.51,0)+IF(X249&gt;0,X249*701.69,0)+IF(Z249&gt;0,Z249*151.63,0)+IF(AA249&gt;0,AA249*197.84)+IF(AB249&gt;0,AB249*308.4,0)+IF(AC249&gt;0,AC249*496.16,0)</f>
        <v/>
      </c>
    </row>
    <row r="250">
      <c r="A250" s="58" t="inlineStr">
        <is>
          <t>SIM</t>
        </is>
      </c>
      <c r="B250" s="59">
        <f>IF(H250&lt;$B$1,"VENCIDO","NA VALIDADE")</f>
        <v/>
      </c>
      <c r="C250" s="60" t="inlineStr">
        <is>
          <t>SUBESTAÇÃO</t>
        </is>
      </c>
      <c r="D250" s="61" t="inlineStr">
        <is>
          <t>SE CAPIM GROSSO I</t>
        </is>
      </c>
      <c r="E250" s="62" t="inlineStr">
        <is>
          <t>CAPIM GROSSO</t>
        </is>
      </c>
      <c r="F250" s="61" t="inlineStr">
        <is>
          <t>FEIRA DE  SANTANA</t>
        </is>
      </c>
      <c r="G250" s="60" t="inlineStr">
        <is>
          <t>BA</t>
        </is>
      </c>
      <c r="H250" s="119" t="n">
        <v>45383</v>
      </c>
      <c r="I250" s="119">
        <f>H250-180</f>
        <v/>
      </c>
      <c r="J250" s="60">
        <f>SUM(L250:AE250)</f>
        <v/>
      </c>
      <c r="K250" s="60">
        <f>SUM(AF250:AJ250)</f>
        <v/>
      </c>
      <c r="L250" s="60" t="n"/>
      <c r="M250" s="60" t="n"/>
      <c r="N250" s="60" t="n"/>
      <c r="O250" s="60" t="n">
        <v>2</v>
      </c>
      <c r="P250" s="60" t="n"/>
      <c r="Q250" s="60" t="n">
        <v>4</v>
      </c>
      <c r="R250" s="60" t="n"/>
      <c r="S250" s="60" t="n"/>
      <c r="T250" s="60" t="n">
        <v>1</v>
      </c>
      <c r="U250" s="60" t="n"/>
      <c r="V250" s="60" t="n"/>
      <c r="W250" s="60" t="n"/>
      <c r="X250" s="60" t="n"/>
      <c r="Y250" s="60" t="n"/>
      <c r="Z250" s="60" t="n"/>
      <c r="AA250" s="60" t="n"/>
      <c r="AB250" s="60" t="n"/>
      <c r="AC250" s="60" t="n"/>
      <c r="AD250" s="60" t="n"/>
      <c r="AE250" s="60" t="n"/>
      <c r="AF250" s="60" t="n"/>
      <c r="AG250" s="60" t="n"/>
      <c r="AH250" s="60" t="n"/>
      <c r="AI250" s="60" t="n"/>
      <c r="AJ250" s="60" t="n"/>
      <c r="AK250" s="120">
        <f>IF(L250&gt;0,L250*90.44,0)+IF(M250&gt;0,M250*348.12,0)+IF(N250&gt;0,N250*151.63,0)+IF(O250&gt;0,O250*197.82,0)+IF(P250&gt;0,P250*244.09,0)+IF(Q250&gt;0,Q250*315.35,0)+IF(R250&gt;0,R250*1067.3,0)+IF(T250&gt;0,T250*567.47,0)+IF(U250&gt;0,U250*151.63,0)+IF(V250&gt;0,V250*197.84,0)+IF(W250&gt;0,W250*470.51,0)+IF(X250&gt;0,X250*701.69,0)+IF(Z250&gt;0,Z250*151.63,0)+IF(AA250&gt;0,AA250*197.84)+IF(AB250&gt;0,AB250*308.4,0)+IF(AC250&gt;0,AC250*496.16,0)</f>
        <v/>
      </c>
    </row>
    <row r="251" hidden="1">
      <c r="A251" s="58" t="n"/>
      <c r="B251" s="59">
        <f>IF(H251&lt;$B$1,"VENCIDO","NA VALIDADE")</f>
        <v/>
      </c>
      <c r="C251" s="60" t="inlineStr">
        <is>
          <t>BASE OP</t>
        </is>
      </c>
      <c r="D251" s="61" t="inlineStr">
        <is>
          <t>BASE OP CARINHANHA</t>
        </is>
      </c>
      <c r="E251" s="62" t="inlineStr">
        <is>
          <t>CARINHANHA</t>
        </is>
      </c>
      <c r="F251" s="61" t="inlineStr">
        <is>
          <t>VITÓRIA DA CONQUISTA</t>
        </is>
      </c>
      <c r="G251" s="60" t="inlineStr">
        <is>
          <t>BA</t>
        </is>
      </c>
      <c r="H251" s="119" t="n">
        <v>45474</v>
      </c>
      <c r="I251" s="119">
        <f>H251-180</f>
        <v/>
      </c>
      <c r="J251" s="60">
        <f>SUM(L251:AE251)</f>
        <v/>
      </c>
      <c r="K251" s="60">
        <f>SUM(AF251:AJ251)</f>
        <v/>
      </c>
      <c r="L251" s="60" t="n"/>
      <c r="M251" s="60" t="n"/>
      <c r="N251" s="60" t="n"/>
      <c r="O251" s="60" t="n">
        <v>1</v>
      </c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  <c r="Y251" s="60" t="n"/>
      <c r="Z251" s="60" t="n"/>
      <c r="AA251" s="60" t="n"/>
      <c r="AB251" s="60" t="n"/>
      <c r="AC251" s="60" t="n"/>
      <c r="AD251" s="60" t="n"/>
      <c r="AE251" s="60" t="n"/>
      <c r="AF251" s="60" t="n"/>
      <c r="AG251" s="60" t="n"/>
      <c r="AH251" s="60" t="n"/>
      <c r="AI251" s="60" t="n"/>
      <c r="AJ251" s="60" t="n"/>
      <c r="AK251" s="120">
        <f>IF(L251&gt;0,L251*90.44,0)+IF(M251&gt;0,M251*348.12,0)+IF(N251&gt;0,N251*151.63,0)+IF(O251&gt;0,O251*197.82,0)+IF(P251&gt;0,P251*244.09,0)+IF(Q251&gt;0,Q251*315.35,0)+IF(R251&gt;0,R251*1067.3,0)+IF(T251&gt;0,T251*567.47,0)+IF(U251&gt;0,U251*151.63,0)+IF(V251&gt;0,V251*197.84,0)+IF(W251&gt;0,W251*470.51,0)+IF(X251&gt;0,X251*701.69,0)+IF(Z251&gt;0,Z251*151.63,0)+IF(AA251&gt;0,AA251*197.84)+IF(AB251&gt;0,AB251*308.4,0)+IF(AC251&gt;0,AC251*496.16,0)</f>
        <v/>
      </c>
    </row>
    <row r="252" hidden="1">
      <c r="A252" s="58" t="inlineStr">
        <is>
          <t>FEIRA 06/12</t>
        </is>
      </c>
      <c r="B252" s="59">
        <f>IF(H252&lt;$B$1,"VENCIDO","NA VALIDADE")</f>
        <v/>
      </c>
      <c r="C252" s="60" t="inlineStr">
        <is>
          <t>SUBESTAÇÃO</t>
        </is>
      </c>
      <c r="D252" s="61" t="inlineStr">
        <is>
          <t>SE CARINHANHA</t>
        </is>
      </c>
      <c r="E252" s="62" t="inlineStr">
        <is>
          <t>CARINHANHA</t>
        </is>
      </c>
      <c r="F252" s="61" t="inlineStr">
        <is>
          <t>VITÓRIA DA CONQUISTA</t>
        </is>
      </c>
      <c r="G252" s="60" t="inlineStr">
        <is>
          <t>BA</t>
        </is>
      </c>
      <c r="H252" s="119" t="n">
        <v>45352</v>
      </c>
      <c r="I252" s="119" t="n">
        <v>45352</v>
      </c>
      <c r="J252" s="60">
        <f>SUM(L252:AE252)</f>
        <v/>
      </c>
      <c r="K252" s="60">
        <f>SUM(AF252:AJ252)</f>
        <v/>
      </c>
      <c r="L252" s="60" t="n"/>
      <c r="M252" s="60" t="n"/>
      <c r="N252" s="60" t="n"/>
      <c r="O252" s="60" t="n">
        <v>1</v>
      </c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  <c r="Y252" s="60" t="n"/>
      <c r="Z252" s="60" t="n">
        <v>1</v>
      </c>
      <c r="AA252" s="60" t="n"/>
      <c r="AB252" s="60" t="n"/>
      <c r="AC252" s="60" t="n"/>
      <c r="AD252" s="60" t="n"/>
      <c r="AE252" s="60" t="n"/>
      <c r="AF252" s="60" t="n"/>
      <c r="AG252" s="60" t="n"/>
      <c r="AH252" s="60" t="n"/>
      <c r="AI252" s="60" t="n"/>
      <c r="AJ252" s="60" t="n"/>
      <c r="AK252" s="120">
        <f>IF(L252&gt;0,L252*90.44,0)+IF(M252&gt;0,M252*348.12,0)+IF(N252&gt;0,N252*151.63,0)+IF(O252&gt;0,O252*197.82,0)+IF(P252&gt;0,P252*244.09,0)+IF(Q252&gt;0,Q252*315.35,0)+IF(R252&gt;0,R252*1067.3,0)+IF(T252&gt;0,T252*567.47,0)+IF(U252&gt;0,U252*151.63,0)+IF(V252&gt;0,V252*197.84,0)+IF(W252&gt;0,W252*470.51,0)+IF(X252&gt;0,X252*701.69,0)+IF(Z252&gt;0,Z252*151.63,0)+IF(AA252&gt;0,AA252*197.84)+IF(AB252&gt;0,AB252*308.4,0)+IF(AC252&gt;0,AC252*496.16,0)</f>
        <v/>
      </c>
    </row>
    <row r="253" hidden="1">
      <c r="A253" s="58" t="inlineStr">
        <is>
          <t>SIM</t>
        </is>
      </c>
      <c r="B253" s="59">
        <f>IF(H253&lt;$B$1,"VENCIDO","NA VALIDADE")</f>
        <v/>
      </c>
      <c r="C253" s="60" t="inlineStr">
        <is>
          <t>SUBESTAÇÃO</t>
        </is>
      </c>
      <c r="D253" s="61" t="inlineStr">
        <is>
          <t>SE CARRANCA</t>
        </is>
      </c>
      <c r="E253" s="62" t="inlineStr">
        <is>
          <t>SÃO FÉLIX DO CORIBE</t>
        </is>
      </c>
      <c r="F253" s="61" t="inlineStr">
        <is>
          <t>VITÓRIA DA CONQUISTA</t>
        </is>
      </c>
      <c r="G253" s="60" t="inlineStr">
        <is>
          <t>BA</t>
        </is>
      </c>
      <c r="H253" s="119" t="n">
        <v>45566</v>
      </c>
      <c r="I253" s="119">
        <f>H253-180</f>
        <v/>
      </c>
      <c r="J253" s="60">
        <f>SUM(L253:AE253)</f>
        <v/>
      </c>
      <c r="K253" s="60">
        <f>SUM(AF253:AJ253)</f>
        <v/>
      </c>
      <c r="L253" s="60" t="n">
        <v>1</v>
      </c>
      <c r="M253" s="60" t="n"/>
      <c r="N253" s="60" t="n"/>
      <c r="O253" s="60" t="n"/>
      <c r="P253" s="60" t="n"/>
      <c r="Q253" s="60" t="n">
        <v>3</v>
      </c>
      <c r="R253" s="60" t="n"/>
      <c r="S253" s="60" t="n"/>
      <c r="T253" s="60" t="n"/>
      <c r="U253" s="60" t="n"/>
      <c r="V253" s="60" t="n"/>
      <c r="W253" s="60" t="n"/>
      <c r="X253" s="60" t="n">
        <v>1</v>
      </c>
      <c r="Y253" s="60" t="n"/>
      <c r="Z253" s="60" t="n"/>
      <c r="AA253" s="60" t="n">
        <v>3</v>
      </c>
      <c r="AB253" s="60" t="n"/>
      <c r="AC253" s="60" t="n"/>
      <c r="AD253" s="60" t="n"/>
      <c r="AE253" s="60" t="n"/>
      <c r="AF253" s="60" t="n"/>
      <c r="AG253" s="60" t="n"/>
      <c r="AH253" s="60" t="n"/>
      <c r="AI253" s="60" t="n"/>
      <c r="AJ253" s="60" t="n"/>
      <c r="AK253" s="120">
        <f>IF(L253&gt;0,L253*90.44,0)+IF(M253&gt;0,M253*348.12,0)+IF(N253&gt;0,N253*151.63,0)+IF(O253&gt;0,O253*197.82,0)+IF(P253&gt;0,P253*244.09,0)+IF(Q253&gt;0,Q253*315.35,0)+IF(R253&gt;0,R253*1067.3,0)+IF(T253&gt;0,T253*567.47,0)+IF(U253&gt;0,U253*151.63,0)+IF(V253&gt;0,V253*197.84,0)+IF(W253&gt;0,W253*470.51,0)+IF(X253&gt;0,X253*701.69,0)+IF(Z253&gt;0,Z253*151.63,0)+IF(AA253&gt;0,AA253*197.84)+IF(AB253&gt;0,AB253*308.4,0)+IF(AC253&gt;0,AC253*496.16,0)</f>
        <v/>
      </c>
    </row>
    <row r="254" hidden="1">
      <c r="A254" s="58" t="inlineStr">
        <is>
          <t>rota</t>
        </is>
      </c>
      <c r="B254" s="59">
        <f>IF(H254&lt;$B$1,"VENCIDO","NA VALIDADE")</f>
        <v/>
      </c>
      <c r="C254" s="60" t="inlineStr">
        <is>
          <t>SUBESTAÇÃO</t>
        </is>
      </c>
      <c r="D254" s="61" t="inlineStr">
        <is>
          <t>SE CARRANCA (CORIBE)</t>
        </is>
      </c>
      <c r="E254" s="62" t="inlineStr">
        <is>
          <t>CORIBE</t>
        </is>
      </c>
      <c r="F254" s="61" t="inlineStr">
        <is>
          <t>VITÓRIA DA CONQUISTA</t>
        </is>
      </c>
      <c r="G254" s="60" t="inlineStr">
        <is>
          <t>BA</t>
        </is>
      </c>
      <c r="H254" s="119" t="n">
        <v>45566</v>
      </c>
      <c r="I254" s="119">
        <f>H254-180</f>
        <v/>
      </c>
      <c r="J254" s="60">
        <f>SUM(L254:AE254)</f>
        <v/>
      </c>
      <c r="K254" s="60">
        <f>SUM(AF254:AJ254)</f>
        <v/>
      </c>
      <c r="L254" s="60" t="n">
        <v>1</v>
      </c>
      <c r="M254" s="60" t="n"/>
      <c r="N254" s="60" t="n"/>
      <c r="O254" s="60" t="n"/>
      <c r="P254" s="60" t="n"/>
      <c r="Q254" s="60" t="n">
        <v>3</v>
      </c>
      <c r="R254" s="60" t="n"/>
      <c r="S254" s="60" t="n"/>
      <c r="T254" s="60" t="n"/>
      <c r="U254" s="60" t="n"/>
      <c r="V254" s="60" t="n"/>
      <c r="W254" s="60" t="n"/>
      <c r="X254" s="60" t="n">
        <v>1</v>
      </c>
      <c r="Y254" s="60" t="n"/>
      <c r="Z254" s="60" t="n"/>
      <c r="AA254" s="60" t="n">
        <v>3</v>
      </c>
      <c r="AB254" s="60" t="n"/>
      <c r="AC254" s="60" t="n"/>
      <c r="AD254" s="60" t="n"/>
      <c r="AE254" s="60" t="n"/>
      <c r="AF254" s="60" t="n"/>
      <c r="AG254" s="60" t="n"/>
      <c r="AH254" s="60" t="n"/>
      <c r="AI254" s="60" t="n"/>
      <c r="AJ254" s="60" t="n"/>
      <c r="AK254" s="120">
        <f>IF(L254&gt;0,L254*90.44,0)+IF(M254&gt;0,M254*348.12,0)+IF(N254&gt;0,N254*151.63,0)+IF(O254&gt;0,O254*197.82,0)+IF(P254&gt;0,P254*244.09,0)+IF(Q254&gt;0,Q254*315.35,0)+IF(R254&gt;0,R254*1067.3,0)+IF(T254&gt;0,T254*567.47,0)+IF(U254&gt;0,U254*151.63,0)+IF(V254&gt;0,V254*197.84,0)+IF(W254&gt;0,W254*470.51,0)+IF(X254&gt;0,X254*701.69,0)+IF(Z254&gt;0,Z254*151.63,0)+IF(AA254&gt;0,AA254*197.84)+IF(AB254&gt;0,AB254*308.4,0)+IF(AC254&gt;0,AC254*496.16,0)</f>
        <v/>
      </c>
    </row>
    <row r="255">
      <c r="A255" s="58" t="inlineStr">
        <is>
          <t>SIM</t>
        </is>
      </c>
      <c r="B255" s="59">
        <f>IF(H255&lt;$B$1,"VENCIDO","NA VALIDADE")</f>
        <v/>
      </c>
      <c r="C255" s="60" t="inlineStr">
        <is>
          <t>SUBESTAÇÃO</t>
        </is>
      </c>
      <c r="D255" s="61" t="inlineStr">
        <is>
          <t>SE CASA NOVA</t>
        </is>
      </c>
      <c r="E255" s="62" t="inlineStr">
        <is>
          <t>CASA NOVA</t>
        </is>
      </c>
      <c r="F255" s="61" t="inlineStr">
        <is>
          <t>FEIRA DE  SANTANA</t>
        </is>
      </c>
      <c r="G255" s="60" t="inlineStr">
        <is>
          <t>BA</t>
        </is>
      </c>
      <c r="H255" s="119" t="n">
        <v>45383</v>
      </c>
      <c r="I255" s="119" t="n">
        <v>45383</v>
      </c>
      <c r="J255" s="60">
        <f>SUM(L255:AE255)</f>
        <v/>
      </c>
      <c r="K255" s="60">
        <f>SUM(AF255:AJ255)</f>
        <v/>
      </c>
      <c r="L255" s="60" t="n"/>
      <c r="M255" s="60" t="n"/>
      <c r="N255" s="60" t="n"/>
      <c r="O255" s="60" t="n"/>
      <c r="P255" s="60" t="n"/>
      <c r="Q255" s="60" t="n">
        <v>2</v>
      </c>
      <c r="R255" s="60" t="n"/>
      <c r="S255" s="60" t="n"/>
      <c r="T255" s="60" t="n">
        <v>1</v>
      </c>
      <c r="U255" s="60" t="n"/>
      <c r="V255" s="60" t="n"/>
      <c r="W255" s="60" t="n"/>
      <c r="X255" s="60" t="n"/>
      <c r="Y255" s="60" t="n"/>
      <c r="Z255" s="60" t="n"/>
      <c r="AA255" s="60" t="n">
        <v>1</v>
      </c>
      <c r="AB255" s="60" t="n"/>
      <c r="AC255" s="60" t="n"/>
      <c r="AD255" s="60" t="n"/>
      <c r="AE255" s="60" t="n"/>
      <c r="AF255" s="60" t="n"/>
      <c r="AG255" s="60" t="n"/>
      <c r="AH255" s="60" t="n"/>
      <c r="AI255" s="60" t="n"/>
      <c r="AJ255" s="60" t="n"/>
      <c r="AK255" s="120">
        <f>IF(L255&gt;0,L255*90.44,0)+IF(M255&gt;0,M255*348.12,0)+IF(N255&gt;0,N255*151.63,0)+IF(O255&gt;0,O255*197.82,0)+IF(P255&gt;0,P255*244.09,0)+IF(Q255&gt;0,Q255*315.35,0)+IF(R255&gt;0,R255*1067.3,0)+IF(T255&gt;0,T255*567.47,0)+IF(U255&gt;0,U255*151.63,0)+IF(V255&gt;0,V255*197.84,0)+IF(W255&gt;0,W255*470.51,0)+IF(X255&gt;0,X255*701.69,0)+IF(Z255&gt;0,Z255*151.63,0)+IF(AA255&gt;0,AA255*197.84)+IF(AB255&gt;0,AB255*308.4,0)+IF(AC255&gt;0,AC255*496.16,0)</f>
        <v/>
      </c>
    </row>
    <row r="256" hidden="1">
      <c r="A256" s="58" t="inlineStr">
        <is>
          <t>SIM</t>
        </is>
      </c>
      <c r="B256" s="59">
        <f>IF(H256&lt;$B$1,"VENCIDO","NA VALIDADE")</f>
        <v/>
      </c>
      <c r="C256" s="60" t="inlineStr">
        <is>
          <t>SUBESTAÇÃO</t>
        </is>
      </c>
      <c r="D256" s="61" t="inlineStr">
        <is>
          <t>SE CASCAVEL II</t>
        </is>
      </c>
      <c r="E256" s="62" t="inlineStr">
        <is>
          <t>MUCUGÊ</t>
        </is>
      </c>
      <c r="F256" s="61" t="inlineStr">
        <is>
          <t>VITÓRIA DA CONQUISTA</t>
        </is>
      </c>
      <c r="G256" s="60" t="inlineStr">
        <is>
          <t>BA</t>
        </is>
      </c>
      <c r="H256" s="119" t="n">
        <v>45292</v>
      </c>
      <c r="I256" s="119" t="n">
        <v>45292</v>
      </c>
      <c r="J256" s="60">
        <f>SUM(L256:AE256)</f>
        <v/>
      </c>
      <c r="K256" s="60">
        <f>SUM(AF256:AJ256)</f>
        <v/>
      </c>
      <c r="L256" s="60" t="n"/>
      <c r="M256" s="60" t="n"/>
      <c r="N256" s="60" t="n"/>
      <c r="O256" s="60" t="n"/>
      <c r="P256" s="60" t="n"/>
      <c r="Q256" s="60" t="n">
        <v>2</v>
      </c>
      <c r="R256" s="60" t="n"/>
      <c r="S256" s="60" t="n"/>
      <c r="T256" s="60" t="n"/>
      <c r="U256" s="60" t="n"/>
      <c r="V256" s="60" t="n"/>
      <c r="W256" s="60" t="n"/>
      <c r="X256" s="60" t="n"/>
      <c r="Y256" s="60" t="n"/>
      <c r="Z256" s="60" t="n"/>
      <c r="AA256" s="60" t="n">
        <v>2</v>
      </c>
      <c r="AB256" s="60" t="n"/>
      <c r="AC256" s="60" t="n"/>
      <c r="AD256" s="60" t="n"/>
      <c r="AE256" s="60" t="n"/>
      <c r="AF256" s="60" t="n"/>
      <c r="AG256" s="60" t="n"/>
      <c r="AH256" s="60" t="n"/>
      <c r="AI256" s="60" t="n"/>
      <c r="AJ256" s="60" t="n"/>
      <c r="AK256" s="120">
        <f>IF(L256&gt;0,L256*90.44,0)+IF(M256&gt;0,M256*348.12,0)+IF(N256&gt;0,N256*151.63,0)+IF(O256&gt;0,O256*197.82,0)+IF(P256&gt;0,P256*244.09,0)+IF(Q256&gt;0,Q256*315.35,0)+IF(R256&gt;0,R256*1067.3,0)+IF(T256&gt;0,T256*567.47,0)+IF(U256&gt;0,U256*151.63,0)+IF(V256&gt;0,V256*197.84,0)+IF(W256&gt;0,W256*470.51,0)+IF(X256&gt;0,X256*701.69,0)+IF(Z256&gt;0,Z256*151.63,0)+IF(AA256&gt;0,AA256*197.84)+IF(AB256&gt;0,AB256*308.4,0)+IF(AC256&gt;0,AC256*496.16,0)</f>
        <v/>
      </c>
    </row>
    <row r="257">
      <c r="A257" s="58" t="inlineStr">
        <is>
          <t>LUCIANO</t>
        </is>
      </c>
      <c r="B257" s="59">
        <f>IF(H257&lt;$B$1,"VENCIDO","NA VALIDADE")</f>
        <v/>
      </c>
      <c r="C257" s="60" t="inlineStr">
        <is>
          <t>SUBESTAÇÃO</t>
        </is>
      </c>
      <c r="D257" s="66" t="inlineStr">
        <is>
          <t>SE CASTRO ALVES</t>
        </is>
      </c>
      <c r="E257" s="62" t="inlineStr">
        <is>
          <t>CASTRO ALVES</t>
        </is>
      </c>
      <c r="F257" s="61" t="inlineStr">
        <is>
          <t>FEIRA DE  SANTANA</t>
        </is>
      </c>
      <c r="G257" s="60" t="inlineStr">
        <is>
          <t>BA</t>
        </is>
      </c>
      <c r="H257" s="119" t="n">
        <v>45597</v>
      </c>
      <c r="I257" s="119">
        <f>H257-180</f>
        <v/>
      </c>
      <c r="J257" s="60">
        <f>SUM(L257:AE257)</f>
        <v/>
      </c>
      <c r="K257" s="60">
        <f>SUM(AF257:AJ257)</f>
        <v/>
      </c>
      <c r="L257" s="60" t="n"/>
      <c r="M257" s="60" t="n"/>
      <c r="N257" s="60" t="n"/>
      <c r="O257" s="60" t="n"/>
      <c r="P257" s="60" t="n"/>
      <c r="Q257" s="60" t="n">
        <v>1</v>
      </c>
      <c r="R257" s="60" t="n"/>
      <c r="S257" s="60" t="n"/>
      <c r="T257" s="60" t="n"/>
      <c r="U257" s="60" t="n"/>
      <c r="V257" s="60" t="n"/>
      <c r="W257" s="60" t="n"/>
      <c r="X257" s="60" t="n"/>
      <c r="Y257" s="60" t="n"/>
      <c r="Z257" s="60" t="n"/>
      <c r="AA257" s="60" t="n"/>
      <c r="AB257" s="60" t="n"/>
      <c r="AC257" s="60" t="n"/>
      <c r="AD257" s="60" t="n"/>
      <c r="AE257" s="60" t="n"/>
      <c r="AF257" s="60" t="n"/>
      <c r="AG257" s="60" t="n"/>
      <c r="AH257" s="60" t="n"/>
      <c r="AI257" s="60" t="n"/>
      <c r="AJ257" s="60" t="n"/>
      <c r="AK257" s="120">
        <f>IF(L257&gt;0,L257*90.44,0)+IF(M257&gt;0,M257*348.12,0)+IF(N257&gt;0,N257*151.63,0)+IF(O257&gt;0,O257*197.82,0)+IF(P257&gt;0,P257*244.09,0)+IF(Q257&gt;0,Q257*315.35,0)+IF(R257&gt;0,R257*1067.3,0)+IF(T257&gt;0,T257*567.47,0)+IF(U257&gt;0,U257*151.63,0)+IF(V257&gt;0,V257*197.84,0)+IF(W257&gt;0,W257*470.51,0)+IF(X257&gt;0,X257*701.69,0)+IF(Z257&gt;0,Z257*151.63,0)+IF(AA257&gt;0,AA257*197.84)+IF(AB257&gt;0,AB257*308.4,0)+IF(AC257&gt;0,AC257*496.16,0)</f>
        <v/>
      </c>
    </row>
    <row r="258">
      <c r="A258" s="58" t="inlineStr">
        <is>
          <t>rota</t>
        </is>
      </c>
      <c r="B258" s="59">
        <f>IF(H258&lt;$B$1,"VENCIDO","NA VALIDADE")</f>
        <v/>
      </c>
      <c r="C258" s="60" t="inlineStr">
        <is>
          <t>SUBESTAÇÃO</t>
        </is>
      </c>
      <c r="D258" s="61" t="inlineStr">
        <is>
          <t>SE CENTRAL</t>
        </is>
      </c>
      <c r="E258" s="62" t="inlineStr">
        <is>
          <t>SALVADOR</t>
        </is>
      </c>
      <c r="F258" s="61" t="inlineStr">
        <is>
          <t>FEIRA DE  SANTANA</t>
        </is>
      </c>
      <c r="G258" s="60" t="inlineStr">
        <is>
          <t>BA</t>
        </is>
      </c>
      <c r="H258" s="119" t="n">
        <v>45505</v>
      </c>
      <c r="I258" s="119">
        <f>H258-180</f>
        <v/>
      </c>
      <c r="J258" s="60">
        <f>SUM(L258:AE258)</f>
        <v/>
      </c>
      <c r="K258" s="60">
        <f>SUM(AF258:AJ258)</f>
        <v/>
      </c>
      <c r="L258" s="60" t="n"/>
      <c r="M258" s="60" t="n"/>
      <c r="N258" s="60" t="n"/>
      <c r="O258" s="60" t="n"/>
      <c r="P258" s="60" t="n"/>
      <c r="Q258" s="60" t="n">
        <v>5</v>
      </c>
      <c r="R258" s="60" t="n"/>
      <c r="S258" s="60" t="n"/>
      <c r="T258" s="60" t="n">
        <v>3</v>
      </c>
      <c r="U258" s="60" t="n"/>
      <c r="V258" s="60" t="n"/>
      <c r="W258" s="60" t="n"/>
      <c r="X258" s="60" t="n"/>
      <c r="Y258" s="60" t="n"/>
      <c r="Z258" s="60" t="n"/>
      <c r="AA258" s="60" t="n"/>
      <c r="AB258" s="60" t="n"/>
      <c r="AC258" s="60" t="n"/>
      <c r="AD258" s="60" t="n"/>
      <c r="AE258" s="60" t="n"/>
      <c r="AF258" s="60" t="n"/>
      <c r="AG258" s="60" t="n"/>
      <c r="AH258" s="60" t="n"/>
      <c r="AI258" s="60" t="n"/>
      <c r="AJ258" s="60" t="n"/>
      <c r="AK258" s="120">
        <f>IF(L258&gt;0,L258*90.44,0)+IF(M258&gt;0,M258*348.12,0)+IF(N258&gt;0,N258*151.63,0)+IF(O258&gt;0,O258*197.82,0)+IF(P258&gt;0,P258*244.09,0)+IF(Q258&gt;0,Q258*315.35,0)+IF(R258&gt;0,R258*1067.3,0)+IF(T258&gt;0,T258*567.47,0)+IF(U258&gt;0,U258*151.63,0)+IF(V258&gt;0,V258*197.84,0)+IF(W258&gt;0,W258*470.51,0)+IF(X258&gt;0,X258*701.69,0)+IF(Z258&gt;0,Z258*151.63,0)+IF(AA258&gt;0,AA258*197.84)+IF(AB258&gt;0,AB258*308.4,0)+IF(AC258&gt;0,AC258*496.16,0)</f>
        <v/>
      </c>
    </row>
    <row r="259">
      <c r="A259" s="58" t="inlineStr">
        <is>
          <t>SIM</t>
        </is>
      </c>
      <c r="B259" s="59">
        <f>IF(H259&lt;$B$1,"VENCIDO","NA VALIDADE")</f>
        <v/>
      </c>
      <c r="C259" s="60" t="inlineStr">
        <is>
          <t>SUBESTAÇÃO</t>
        </is>
      </c>
      <c r="D259" s="61" t="inlineStr">
        <is>
          <t>SE CENTRO INDUSTRIAL DE FEIRA DE SANTANA</t>
        </is>
      </c>
      <c r="E259" s="62" t="inlineStr">
        <is>
          <t>FEIRA DE SANTANA</t>
        </is>
      </c>
      <c r="F259" s="61" t="inlineStr">
        <is>
          <t>FEIRA DE  SANTANA</t>
        </is>
      </c>
      <c r="G259" s="60" t="inlineStr">
        <is>
          <t>BA</t>
        </is>
      </c>
      <c r="H259" s="119" t="n">
        <v>45566</v>
      </c>
      <c r="I259" s="119">
        <f>H259-180</f>
        <v/>
      </c>
      <c r="J259" s="60">
        <f>SUM(L259:AE259)</f>
        <v/>
      </c>
      <c r="K259" s="60">
        <f>SUM(AF259:AJ259)</f>
        <v/>
      </c>
      <c r="L259" s="60" t="n"/>
      <c r="M259" s="60" t="n"/>
      <c r="N259" s="60" t="n"/>
      <c r="O259" s="60" t="n"/>
      <c r="P259" s="60" t="n"/>
      <c r="Q259" s="60" t="n">
        <v>9</v>
      </c>
      <c r="R259" s="60" t="n"/>
      <c r="S259" s="60" t="n"/>
      <c r="T259" s="60" t="n">
        <v>2</v>
      </c>
      <c r="U259" s="60" t="n"/>
      <c r="V259" s="60" t="n"/>
      <c r="W259" s="60" t="n"/>
      <c r="X259" s="60" t="n"/>
      <c r="Y259" s="60" t="n"/>
      <c r="Z259" s="60" t="n"/>
      <c r="AA259" s="60" t="n">
        <v>1</v>
      </c>
      <c r="AB259" s="60" t="n"/>
      <c r="AC259" s="60" t="n"/>
      <c r="AD259" s="60" t="n"/>
      <c r="AE259" s="60" t="n"/>
      <c r="AF259" s="60" t="n"/>
      <c r="AG259" s="60" t="n"/>
      <c r="AH259" s="60" t="n"/>
      <c r="AI259" s="60" t="n"/>
      <c r="AJ259" s="60" t="n"/>
      <c r="AK259" s="120">
        <f>IF(L259&gt;0,L259*90.44,0)+IF(M259&gt;0,M259*348.12,0)+IF(N259&gt;0,N259*151.63,0)+IF(O259&gt;0,O259*197.82,0)+IF(P259&gt;0,P259*244.09,0)+IF(Q259&gt;0,Q259*315.35,0)+IF(R259&gt;0,R259*1067.3,0)+IF(T259&gt;0,T259*567.47,0)+IF(U259&gt;0,U259*151.63,0)+IF(V259&gt;0,V259*197.84,0)+IF(W259&gt;0,W259*470.51,0)+IF(X259&gt;0,X259*701.69,0)+IF(Z259&gt;0,Z259*151.63,0)+IF(AA259&gt;0,AA259*197.84)+IF(AB259&gt;0,AB259*308.4,0)+IF(AC259&gt;0,AC259*496.16,0)</f>
        <v/>
      </c>
    </row>
    <row r="260" hidden="1">
      <c r="A260" s="58" t="inlineStr">
        <is>
          <t>LUCIANO</t>
        </is>
      </c>
      <c r="B260" s="59">
        <f>IF(H260&lt;$B$1,"VENCIDO","NA VALIDADE")</f>
        <v/>
      </c>
      <c r="C260" s="60" t="inlineStr">
        <is>
          <t>SUBESTAÇÃO</t>
        </is>
      </c>
      <c r="D260" s="61" t="inlineStr">
        <is>
          <t>SE CENTRO INDUSTRIAL DO CERRADO</t>
        </is>
      </c>
      <c r="E260" s="62" t="inlineStr">
        <is>
          <t>LUIS EDUARDO MAGALHÃES</t>
        </is>
      </c>
      <c r="F260" s="61" t="inlineStr">
        <is>
          <t>VITÓRIA DA CONQUISTA</t>
        </is>
      </c>
      <c r="G260" s="60" t="inlineStr">
        <is>
          <t>BA</t>
        </is>
      </c>
      <c r="H260" s="119" t="n">
        <v>45566</v>
      </c>
      <c r="I260" s="119">
        <f>H260-180</f>
        <v/>
      </c>
      <c r="J260" s="60">
        <f>SUM(L260:AE260)</f>
        <v/>
      </c>
      <c r="K260" s="60">
        <f>SUM(AF260:AJ260)</f>
        <v/>
      </c>
      <c r="L260" s="60" t="n"/>
      <c r="M260" s="60" t="n"/>
      <c r="N260" s="60" t="n"/>
      <c r="O260" s="60" t="n"/>
      <c r="P260" s="60" t="n"/>
      <c r="Q260" s="60" t="n">
        <v>2</v>
      </c>
      <c r="R260" s="60" t="n"/>
      <c r="S260" s="60" t="n"/>
      <c r="T260" s="60" t="n"/>
      <c r="U260" s="60" t="n"/>
      <c r="V260" s="60" t="n"/>
      <c r="W260" s="60" t="n"/>
      <c r="X260" s="60" t="n"/>
      <c r="Y260" s="60" t="n"/>
      <c r="Z260" s="60" t="n"/>
      <c r="AA260" s="60" t="n">
        <v>2</v>
      </c>
      <c r="AB260" s="60" t="n"/>
      <c r="AC260" s="60" t="n"/>
      <c r="AD260" s="60" t="n"/>
      <c r="AE260" s="60" t="n"/>
      <c r="AF260" s="60" t="n"/>
      <c r="AG260" s="60" t="n"/>
      <c r="AH260" s="60" t="n"/>
      <c r="AI260" s="60" t="n"/>
      <c r="AJ260" s="60" t="n"/>
      <c r="AK260" s="120">
        <f>IF(L260&gt;0,L260*90.44,0)+IF(M260&gt;0,M260*348.12,0)+IF(N260&gt;0,N260*151.63,0)+IF(O260&gt;0,O260*197.82,0)+IF(P260&gt;0,P260*244.09,0)+IF(Q260&gt;0,Q260*315.35,0)+IF(R260&gt;0,R260*1067.3,0)+IF(T260&gt;0,T260*567.47,0)+IF(U260&gt;0,U260*151.63,0)+IF(V260&gt;0,V260*197.84,0)+IF(W260&gt;0,W260*470.51,0)+IF(X260&gt;0,X260*701.69,0)+IF(Z260&gt;0,Z260*151.63,0)+IF(AA260&gt;0,AA260*197.84)+IF(AB260&gt;0,AB260*308.4,0)+IF(AC260&gt;0,AC260*496.16,0)</f>
        <v/>
      </c>
    </row>
    <row r="261" hidden="1">
      <c r="A261" s="58" t="inlineStr">
        <is>
          <t>LEONIDAS</t>
        </is>
      </c>
      <c r="B261" s="59">
        <f>IF(H261&lt;$B$1,"VENCIDO","NA VALIDADE")</f>
        <v/>
      </c>
      <c r="C261" s="60" t="inlineStr">
        <is>
          <t>BASE OP</t>
        </is>
      </c>
      <c r="D261" s="61" t="inlineStr">
        <is>
          <t>BASE OPERACIOANAL POSTO DA MATA</t>
        </is>
      </c>
      <c r="E261" s="62" t="inlineStr">
        <is>
          <t>POSTO DA MATA</t>
        </is>
      </c>
      <c r="F261" s="61" t="inlineStr">
        <is>
          <t>ILHÉUS</t>
        </is>
      </c>
      <c r="G261" s="60" t="inlineStr">
        <is>
          <t>BA</t>
        </is>
      </c>
      <c r="H261" s="119" t="n">
        <v>45444</v>
      </c>
      <c r="I261" s="119">
        <f>H261-180</f>
        <v/>
      </c>
      <c r="J261" s="60">
        <f>SUM(L261:AE261)</f>
        <v/>
      </c>
      <c r="K261" s="60">
        <f>SUM(AF261:AJ261)</f>
        <v/>
      </c>
      <c r="L261" s="60" t="n"/>
      <c r="M261" s="60" t="n"/>
      <c r="N261" s="60" t="n"/>
      <c r="O261" s="60" t="n"/>
      <c r="P261" s="60" t="n"/>
      <c r="Q261" s="60" t="n">
        <v>2</v>
      </c>
      <c r="R261" s="60" t="n"/>
      <c r="S261" s="60" t="n"/>
      <c r="T261" s="60" t="n"/>
      <c r="U261" s="60" t="n"/>
      <c r="V261" s="60" t="n"/>
      <c r="W261" s="60" t="n"/>
      <c r="X261" s="60" t="n"/>
      <c r="Y261" s="60" t="n"/>
      <c r="Z261" s="60" t="n"/>
      <c r="AA261" s="60" t="n"/>
      <c r="AB261" s="60" t="n"/>
      <c r="AC261" s="60" t="n"/>
      <c r="AD261" s="60" t="n"/>
      <c r="AE261" s="60" t="n"/>
      <c r="AF261" s="60" t="n"/>
      <c r="AG261" s="60" t="n"/>
      <c r="AH261" s="60" t="n"/>
      <c r="AI261" s="60" t="n"/>
      <c r="AJ261" s="60" t="n"/>
      <c r="AK261" s="120">
        <f>IF(L261&gt;0,L261*90.44,0)+IF(M261&gt;0,M261*348.12,0)+IF(N261&gt;0,N261*151.63,0)+IF(O261&gt;0,O261*197.82,0)+IF(P261&gt;0,P261*244.09,0)+IF(Q261&gt;0,Q261*315.35,0)+IF(R261&gt;0,R261*1067.3,0)+IF(T261&gt;0,T261*567.47,0)+IF(U261&gt;0,U261*151.63,0)+IF(V261&gt;0,V261*197.84,0)+IF(W261&gt;0,W261*470.51,0)+IF(X261&gt;0,X261*701.69,0)+IF(Z261&gt;0,Z261*151.63,0)+IF(AA261&gt;0,AA261*197.84)+IF(AB261&gt;0,AB261*308.4,0)+IF(AC261&gt;0,AC261*496.16,0)</f>
        <v/>
      </c>
    </row>
    <row r="262">
      <c r="A262" s="58" t="inlineStr">
        <is>
          <t>SIM</t>
        </is>
      </c>
      <c r="B262" s="59">
        <f>IF(H262&lt;$B$1,"VENCIDO","NA VALIDADE")</f>
        <v/>
      </c>
      <c r="C262" s="60" t="inlineStr">
        <is>
          <t>SUBESTAÇÃO</t>
        </is>
      </c>
      <c r="D262" s="61" t="inlineStr">
        <is>
          <t>SE CIA I</t>
        </is>
      </c>
      <c r="E262" s="62" t="inlineStr">
        <is>
          <t>SIMÕES FILHO / CANDEIAS</t>
        </is>
      </c>
      <c r="F262" s="61" t="inlineStr">
        <is>
          <t>FEIRA DE  SANTANA</t>
        </is>
      </c>
      <c r="G262" s="60" t="inlineStr">
        <is>
          <t>BA</t>
        </is>
      </c>
      <c r="H262" s="119" t="n">
        <v>45352</v>
      </c>
      <c r="I262" s="119" t="n">
        <v>45352</v>
      </c>
      <c r="J262" s="60">
        <f>SUM(L262:AE262)</f>
        <v/>
      </c>
      <c r="K262" s="60">
        <f>SUM(AF262:AJ262)</f>
        <v/>
      </c>
      <c r="L262" s="60" t="n"/>
      <c r="M262" s="60" t="n"/>
      <c r="N262" s="60" t="n"/>
      <c r="O262" s="60" t="n">
        <v>2</v>
      </c>
      <c r="P262" s="60" t="n"/>
      <c r="Q262" s="60" t="n">
        <v>5</v>
      </c>
      <c r="R262" s="60" t="n"/>
      <c r="S262" s="60" t="n"/>
      <c r="T262" s="60" t="n">
        <v>2</v>
      </c>
      <c r="U262" s="60" t="n"/>
      <c r="V262" s="60" t="n"/>
      <c r="W262" s="60" t="n"/>
      <c r="X262" s="60" t="n"/>
      <c r="Y262" s="60" t="n"/>
      <c r="Z262" s="60" t="n"/>
      <c r="AA262" s="60" t="n">
        <v>1</v>
      </c>
      <c r="AB262" s="60" t="n"/>
      <c r="AC262" s="60" t="n"/>
      <c r="AD262" s="60" t="n"/>
      <c r="AE262" s="60" t="n"/>
      <c r="AF262" s="60" t="n"/>
      <c r="AG262" s="60" t="n"/>
      <c r="AH262" s="60" t="n"/>
      <c r="AI262" s="60" t="n"/>
      <c r="AJ262" s="60" t="n"/>
      <c r="AK262" s="120">
        <f>IF(L262&gt;0,L262*90.44,0)+IF(M262&gt;0,M262*348.12,0)+IF(N262&gt;0,N262*151.63,0)+IF(O262&gt;0,O262*197.82,0)+IF(P262&gt;0,P262*244.09,0)+IF(Q262&gt;0,Q262*315.35,0)+IF(R262&gt;0,R262*1067.3,0)+IF(T262&gt;0,T262*567.47,0)+IF(U262&gt;0,U262*151.63,0)+IF(V262&gt;0,V262*197.84,0)+IF(W262&gt;0,W262*470.51,0)+IF(X262&gt;0,X262*701.69,0)+IF(Z262&gt;0,Z262*151.63,0)+IF(AA262&gt;0,AA262*197.84)+IF(AB262&gt;0,AB262*308.4,0)+IF(AC262&gt;0,AC262*496.16,0)</f>
        <v/>
      </c>
    </row>
    <row r="263">
      <c r="A263" s="58" t="inlineStr">
        <is>
          <t>SIM</t>
        </is>
      </c>
      <c r="B263" s="59">
        <f>IF(H263&lt;$B$1,"VENCIDO","NA VALIDADE")</f>
        <v/>
      </c>
      <c r="C263" s="60" t="inlineStr">
        <is>
          <t>SUBESTAÇÃO</t>
        </is>
      </c>
      <c r="D263" s="61" t="inlineStr">
        <is>
          <t>SE CIA II</t>
        </is>
      </c>
      <c r="E263" s="62" t="inlineStr">
        <is>
          <t>CANDEIAS</t>
        </is>
      </c>
      <c r="F263" s="61" t="inlineStr">
        <is>
          <t>FEIRA DE  SANTANA</t>
        </is>
      </c>
      <c r="G263" s="60" t="inlineStr">
        <is>
          <t>BA</t>
        </is>
      </c>
      <c r="H263" s="119" t="n">
        <v>45536</v>
      </c>
      <c r="I263" s="119">
        <f>H263-180</f>
        <v/>
      </c>
      <c r="J263" s="60">
        <f>SUM(L263:AE263)</f>
        <v/>
      </c>
      <c r="K263" s="60">
        <f>SUM(AF263:AJ263)</f>
        <v/>
      </c>
      <c r="L263" s="60" t="n"/>
      <c r="M263" s="60" t="n"/>
      <c r="N263" s="60" t="n"/>
      <c r="O263" s="60" t="n"/>
      <c r="P263" s="60" t="n"/>
      <c r="Q263" s="60" t="n">
        <v>5</v>
      </c>
      <c r="R263" s="60" t="n"/>
      <c r="S263" s="60" t="n"/>
      <c r="T263" s="60" t="n">
        <v>2</v>
      </c>
      <c r="U263" s="60" t="n"/>
      <c r="V263" s="60" t="n"/>
      <c r="W263" s="60" t="n"/>
      <c r="X263" s="60" t="n"/>
      <c r="Y263" s="60" t="n"/>
      <c r="Z263" s="60" t="n"/>
      <c r="AA263" s="60" t="n">
        <v>1</v>
      </c>
      <c r="AB263" s="60" t="n"/>
      <c r="AC263" s="60" t="n"/>
      <c r="AD263" s="60" t="n"/>
      <c r="AE263" s="60" t="n"/>
      <c r="AF263" s="60" t="n"/>
      <c r="AG263" s="60" t="n"/>
      <c r="AH263" s="60" t="n"/>
      <c r="AI263" s="60" t="n"/>
      <c r="AJ263" s="60" t="n"/>
      <c r="AK263" s="120">
        <f>IF(L263&gt;0,L263*90.44,0)+IF(M263&gt;0,M263*348.12,0)+IF(N263&gt;0,N263*151.63,0)+IF(O263&gt;0,O263*197.82,0)+IF(P263&gt;0,P263*244.09,0)+IF(Q263&gt;0,Q263*315.35,0)+IF(R263&gt;0,R263*1067.3,0)+IF(T263&gt;0,T263*567.47,0)+IF(U263&gt;0,U263*151.63,0)+IF(V263&gt;0,V263*197.84,0)+IF(W263&gt;0,W263*470.51,0)+IF(X263&gt;0,X263*701.69,0)+IF(Z263&gt;0,Z263*151.63,0)+IF(AA263&gt;0,AA263*197.84)+IF(AB263&gt;0,AB263*308.4,0)+IF(AC263&gt;0,AC263*496.16,0)</f>
        <v/>
      </c>
    </row>
    <row r="264">
      <c r="A264" s="58" t="inlineStr">
        <is>
          <t>SIM</t>
        </is>
      </c>
      <c r="B264" s="59">
        <f>IF(H264&lt;$B$1,"VENCIDO","NA VALIDADE")</f>
        <v/>
      </c>
      <c r="C264" s="60" t="inlineStr">
        <is>
          <t>SUBESTAÇÃO</t>
        </is>
      </c>
      <c r="D264" s="61" t="inlineStr">
        <is>
          <t>SE CIA III</t>
        </is>
      </c>
      <c r="E264" s="62" t="inlineStr">
        <is>
          <t>SIMÕES FILHO</t>
        </is>
      </c>
      <c r="F264" s="61" t="inlineStr">
        <is>
          <t>FEIRA DE  SANTANA</t>
        </is>
      </c>
      <c r="G264" s="60" t="inlineStr">
        <is>
          <t>BA</t>
        </is>
      </c>
      <c r="H264" s="119" t="n">
        <v>45444</v>
      </c>
      <c r="I264" s="119" t="n">
        <v>45292</v>
      </c>
      <c r="J264" s="60">
        <f>SUM(L264:AE264)</f>
        <v/>
      </c>
      <c r="K264" s="60">
        <f>SUM(AF264:AJ264)</f>
        <v/>
      </c>
      <c r="L264" s="60" t="n"/>
      <c r="M264" s="60" t="n"/>
      <c r="N264" s="60" t="n"/>
      <c r="O264" s="60" t="n"/>
      <c r="P264" s="60" t="n"/>
      <c r="Q264" s="60" t="n">
        <v>2</v>
      </c>
      <c r="R264" s="60" t="n"/>
      <c r="S264" s="60" t="n"/>
      <c r="T264" s="60" t="n">
        <v>2</v>
      </c>
      <c r="U264" s="60" t="n"/>
      <c r="V264" s="60" t="n"/>
      <c r="W264" s="60" t="n"/>
      <c r="X264" s="60" t="n"/>
      <c r="Y264" s="60" t="n"/>
      <c r="Z264" s="60" t="n"/>
      <c r="AA264" s="60" t="n">
        <v>3</v>
      </c>
      <c r="AB264" s="60" t="n"/>
      <c r="AC264" s="60" t="n"/>
      <c r="AD264" s="60" t="n"/>
      <c r="AE264" s="60" t="n"/>
      <c r="AF264" s="60" t="n"/>
      <c r="AG264" s="60" t="n"/>
      <c r="AH264" s="60" t="n"/>
      <c r="AI264" s="60" t="n"/>
      <c r="AJ264" s="60" t="n"/>
      <c r="AK264" s="120">
        <f>IF(L264&gt;0,L264*90.44,0)+IF(M264&gt;0,M264*348.12,0)+IF(N264&gt;0,N264*151.63,0)+IF(O264&gt;0,O264*197.82,0)+IF(P264&gt;0,P264*244.09,0)+IF(Q264&gt;0,Q264*315.35,0)+IF(R264&gt;0,R264*1067.3,0)+IF(T264&gt;0,T264*567.47,0)+IF(U264&gt;0,U264*151.63,0)+IF(V264&gt;0,V264*197.84,0)+IF(W264&gt;0,W264*470.51,0)+IF(X264&gt;0,X264*701.69,0)+IF(Z264&gt;0,Z264*151.63,0)+IF(AA264&gt;0,AA264*197.84)+IF(AB264&gt;0,AB264*308.4,0)+IF(AC264&gt;0,AC264*496.16,0)</f>
        <v/>
      </c>
    </row>
    <row r="265">
      <c r="A265" s="58" t="inlineStr">
        <is>
          <t>SIM</t>
        </is>
      </c>
      <c r="B265" s="59">
        <f>IF(H265&lt;$B$1,"VENCIDO","NA VALIDADE")</f>
        <v/>
      </c>
      <c r="C265" s="60" t="inlineStr">
        <is>
          <t>SUBESTAÇÃO</t>
        </is>
      </c>
      <c r="D265" s="61" t="inlineStr">
        <is>
          <t>SE CICERO DANTAS CRD</t>
        </is>
      </c>
      <c r="E265" s="62" t="inlineStr">
        <is>
          <t>CÍCERO DANTAS</t>
        </is>
      </c>
      <c r="F265" s="61" t="inlineStr">
        <is>
          <t>FEIRA DE  SANTANA</t>
        </is>
      </c>
      <c r="G265" s="60" t="inlineStr">
        <is>
          <t>BA</t>
        </is>
      </c>
      <c r="H265" s="119" t="n">
        <v>45536</v>
      </c>
      <c r="I265" s="119" t="n">
        <v>45200</v>
      </c>
      <c r="J265" s="60">
        <f>SUM(L265:AE265)</f>
        <v/>
      </c>
      <c r="K265" s="60">
        <f>SUM(AF265:AJ265)</f>
        <v/>
      </c>
      <c r="L265" s="60" t="n"/>
      <c r="M265" s="60" t="n"/>
      <c r="N265" s="60" t="n"/>
      <c r="O265" s="60" t="n"/>
      <c r="P265" s="60" t="n"/>
      <c r="Q265" s="60" t="n">
        <v>1</v>
      </c>
      <c r="R265" s="60" t="n"/>
      <c r="S265" s="60" t="n"/>
      <c r="T265" s="60" t="n"/>
      <c r="U265" s="60" t="n"/>
      <c r="V265" s="60" t="n"/>
      <c r="W265" s="60" t="n"/>
      <c r="X265" s="60" t="n"/>
      <c r="Y265" s="60" t="n"/>
      <c r="Z265" s="60" t="n"/>
      <c r="AA265" s="60" t="n">
        <v>1</v>
      </c>
      <c r="AB265" s="60" t="n"/>
      <c r="AC265" s="60" t="n"/>
      <c r="AD265" s="60" t="n"/>
      <c r="AE265" s="60" t="n"/>
      <c r="AF265" s="60" t="n"/>
      <c r="AG265" s="60" t="n"/>
      <c r="AH265" s="60" t="n"/>
      <c r="AI265" s="60" t="n"/>
      <c r="AJ265" s="60" t="n"/>
      <c r="AK265" s="120">
        <f>IF(L265&gt;0,L265*90.44,0)+IF(M265&gt;0,M265*348.12,0)+IF(N265&gt;0,N265*151.63,0)+IF(O265&gt;0,O265*197.82,0)+IF(P265&gt;0,P265*244.09,0)+IF(Q265&gt;0,Q265*315.35,0)+IF(R265&gt;0,R265*1067.3,0)+IF(T265&gt;0,T265*567.47,0)+IF(U265&gt;0,U265*151.63,0)+IF(V265&gt;0,V265*197.84,0)+IF(W265&gt;0,W265*470.51,0)+IF(X265&gt;0,X265*701.69,0)+IF(Z265&gt;0,Z265*151.63,0)+IF(AA265&gt;0,AA265*197.84)+IF(AB265&gt;0,AB265*308.4,0)+IF(AC265&gt;0,AC265*496.16,0)</f>
        <v/>
      </c>
    </row>
    <row r="266">
      <c r="A266" s="58" t="inlineStr">
        <is>
          <t>SIM</t>
        </is>
      </c>
      <c r="B266" s="59">
        <f>IF(H266&lt;$B$1,"VENCIDO","NA VALIDADE")</f>
        <v/>
      </c>
      <c r="C266" s="60" t="inlineStr">
        <is>
          <t>SUBESTAÇÃO</t>
        </is>
      </c>
      <c r="D266" s="61" t="inlineStr">
        <is>
          <t>SE CICERO DANTAS III</t>
        </is>
      </c>
      <c r="E266" s="62" t="inlineStr">
        <is>
          <t>CÍCERO DANTAS</t>
        </is>
      </c>
      <c r="F266" s="61" t="inlineStr">
        <is>
          <t>FEIRA DE  SANTANA</t>
        </is>
      </c>
      <c r="G266" s="60" t="inlineStr">
        <is>
          <t>BA</t>
        </is>
      </c>
      <c r="H266" s="119" t="n">
        <v>45536</v>
      </c>
      <c r="I266" s="119">
        <f>H266-180</f>
        <v/>
      </c>
      <c r="J266" s="60">
        <f>SUM(L266:AE266)</f>
        <v/>
      </c>
      <c r="K266" s="60">
        <f>SUM(AF266:AJ266)</f>
        <v/>
      </c>
      <c r="L266" s="60" t="n"/>
      <c r="M266" s="60" t="n"/>
      <c r="N266" s="60" t="n"/>
      <c r="O266" s="60" t="n"/>
      <c r="P266" s="60" t="n"/>
      <c r="Q266" s="60" t="n">
        <v>2</v>
      </c>
      <c r="R266" s="60" t="n"/>
      <c r="S266" s="60" t="n"/>
      <c r="T266" s="60" t="n">
        <v>2</v>
      </c>
      <c r="U266" s="60" t="n"/>
      <c r="V266" s="60" t="n"/>
      <c r="W266" s="60" t="n"/>
      <c r="X266" s="60" t="n"/>
      <c r="Y266" s="60" t="n"/>
      <c r="Z266" s="60" t="n"/>
      <c r="AA266" s="60" t="n"/>
      <c r="AB266" s="60" t="n"/>
      <c r="AC266" s="60" t="n"/>
      <c r="AD266" s="60" t="n"/>
      <c r="AE266" s="60" t="n"/>
      <c r="AF266" s="60" t="n"/>
      <c r="AG266" s="60" t="n"/>
      <c r="AH266" s="60" t="n"/>
      <c r="AI266" s="60" t="n"/>
      <c r="AJ266" s="60" t="n"/>
      <c r="AK266" s="120">
        <f>IF(L266&gt;0,L266*90.44,0)+IF(M266&gt;0,M266*348.12,0)+IF(N266&gt;0,N266*151.63,0)+IF(O266&gt;0,O266*197.82,0)+IF(P266&gt;0,P266*244.09,0)+IF(Q266&gt;0,Q266*315.35,0)+IF(R266&gt;0,R266*1067.3,0)+IF(T266&gt;0,T266*567.47,0)+IF(U266&gt;0,U266*151.63,0)+IF(V266&gt;0,V266*197.84,0)+IF(W266&gt;0,W266*470.51,0)+IF(X266&gt;0,X266*701.69,0)+IF(Z266&gt;0,Z266*151.63,0)+IF(AA266&gt;0,AA266*197.84)+IF(AB266&gt;0,AB266*308.4,0)+IF(AC266&gt;0,AC266*496.16,0)</f>
        <v/>
      </c>
    </row>
    <row r="267">
      <c r="A267" s="58" t="inlineStr">
        <is>
          <t>rota</t>
        </is>
      </c>
      <c r="B267" s="59">
        <f>IF(H267&lt;$B$1,"VENCIDO","NA VALIDADE")</f>
        <v/>
      </c>
      <c r="C267" s="60" t="inlineStr">
        <is>
          <t>SUBESTAÇÃO</t>
        </is>
      </c>
      <c r="D267" s="66" t="inlineStr">
        <is>
          <t>SE CIPÓ</t>
        </is>
      </c>
      <c r="E267" s="62" t="inlineStr">
        <is>
          <t>CIPÓ</t>
        </is>
      </c>
      <c r="F267" s="61" t="inlineStr">
        <is>
          <t>FEIRA DE  SANTANA</t>
        </is>
      </c>
      <c r="G267" s="60" t="inlineStr">
        <is>
          <t>BA</t>
        </is>
      </c>
      <c r="H267" s="119" t="n">
        <v>45536</v>
      </c>
      <c r="I267" s="119">
        <f>H267-180</f>
        <v/>
      </c>
      <c r="J267" s="60">
        <f>SUM(L267:AE267)</f>
        <v/>
      </c>
      <c r="K267" s="60">
        <f>SUM(AF267:AJ267)</f>
        <v/>
      </c>
      <c r="L267" s="60" t="n"/>
      <c r="M267" s="60" t="n"/>
      <c r="N267" s="60" t="n"/>
      <c r="O267" s="60" t="n"/>
      <c r="P267" s="60" t="n"/>
      <c r="Q267" s="60" t="n">
        <v>4</v>
      </c>
      <c r="R267" s="60" t="n"/>
      <c r="S267" s="60" t="n"/>
      <c r="T267" s="60" t="n">
        <v>1</v>
      </c>
      <c r="U267" s="60" t="n"/>
      <c r="V267" s="60" t="n"/>
      <c r="W267" s="60" t="n"/>
      <c r="X267" s="60" t="n"/>
      <c r="Y267" s="60" t="n"/>
      <c r="Z267" s="60" t="n"/>
      <c r="AA267" s="60" t="n"/>
      <c r="AB267" s="60" t="n"/>
      <c r="AC267" s="60" t="n"/>
      <c r="AD267" s="60" t="n"/>
      <c r="AE267" s="60" t="n"/>
      <c r="AF267" s="60" t="n"/>
      <c r="AG267" s="60" t="n"/>
      <c r="AH267" s="60" t="n"/>
      <c r="AI267" s="60" t="n"/>
      <c r="AJ267" s="60" t="n"/>
      <c r="AK267" s="120">
        <f>IF(L267&gt;0,L267*90.44,0)+IF(M267&gt;0,M267*348.12,0)+IF(N267&gt;0,N267*151.63,0)+IF(O267&gt;0,O267*197.82,0)+IF(P267&gt;0,P267*244.09,0)+IF(Q267&gt;0,Q267*315.35,0)+IF(R267&gt;0,R267*1067.3,0)+IF(T267&gt;0,T267*567.47,0)+IF(U267&gt;0,U267*151.63,0)+IF(V267&gt;0,V267*197.84,0)+IF(W267&gt;0,W267*470.51,0)+IF(X267&gt;0,X267*701.69,0)+IF(Z267&gt;0,Z267*151.63,0)+IF(AA267&gt;0,AA267*197.84)+IF(AB267&gt;0,AB267*308.4,0)+IF(AC267&gt;0,AC267*496.16,0)</f>
        <v/>
      </c>
    </row>
    <row r="268" hidden="1">
      <c r="A268" s="58" t="n"/>
      <c r="B268" s="59">
        <f>IF(H268&lt;$B$1,"VENCIDO","NA VALIDADE")</f>
        <v/>
      </c>
      <c r="C268" s="60" t="inlineStr">
        <is>
          <t>SUBESTAÇÃO</t>
        </is>
      </c>
      <c r="D268" s="66" t="inlineStr">
        <is>
          <t>SE COARACI</t>
        </is>
      </c>
      <c r="E268" s="62" t="inlineStr">
        <is>
          <t>COARACI</t>
        </is>
      </c>
      <c r="F268" s="61" t="inlineStr">
        <is>
          <t>ILHÉUS</t>
        </is>
      </c>
      <c r="G268" s="60" t="inlineStr">
        <is>
          <t>BA</t>
        </is>
      </c>
      <c r="H268" s="119" t="n">
        <v>45505</v>
      </c>
      <c r="I268" s="119">
        <f>H268-180</f>
        <v/>
      </c>
      <c r="J268" s="60">
        <f>SUM(L268:AE268)</f>
        <v/>
      </c>
      <c r="K268" s="60">
        <f>SUM(AF268:AJ268)</f>
        <v/>
      </c>
      <c r="L268" s="60" t="n"/>
      <c r="M268" s="60" t="n"/>
      <c r="N268" s="60" t="n"/>
      <c r="O268" s="60" t="n"/>
      <c r="P268" s="60" t="n"/>
      <c r="Q268" s="60" t="n">
        <v>1</v>
      </c>
      <c r="R268" s="60" t="n"/>
      <c r="S268" s="60" t="n"/>
      <c r="T268" s="60" t="n"/>
      <c r="U268" s="60" t="n"/>
      <c r="V268" s="60" t="n"/>
      <c r="W268" s="60" t="n"/>
      <c r="X268" s="60" t="n"/>
      <c r="Y268" s="60" t="n"/>
      <c r="Z268" s="60" t="n"/>
      <c r="AA268" s="60" t="n"/>
      <c r="AB268" s="60" t="n"/>
      <c r="AC268" s="60" t="n"/>
      <c r="AD268" s="60" t="n"/>
      <c r="AE268" s="60" t="n"/>
      <c r="AF268" s="60" t="n"/>
      <c r="AG268" s="60" t="n"/>
      <c r="AH268" s="60" t="n"/>
      <c r="AI268" s="60" t="n"/>
      <c r="AJ268" s="60" t="n"/>
      <c r="AK268" s="120">
        <f>IF(L268&gt;0,L268*90.44,0)+IF(M268&gt;0,M268*348.12,0)+IF(N268&gt;0,N268*151.63,0)+IF(O268&gt;0,O268*197.82,0)+IF(P268&gt;0,P268*244.09,0)+IF(Q268&gt;0,Q268*315.35,0)+IF(R268&gt;0,R268*1067.3,0)+IF(T268&gt;0,T268*567.47,0)+IF(U268&gt;0,U268*151.63,0)+IF(V268&gt;0,V268*197.84,0)+IF(W268&gt;0,W268*470.51,0)+IF(X268&gt;0,X268*701.69,0)+IF(Z268&gt;0,Z268*151.63,0)+IF(AA268&gt;0,AA268*197.84)+IF(AB268&gt;0,AB268*308.4,0)+IF(AC268&gt;0,AC268*496.16,0)</f>
        <v/>
      </c>
    </row>
    <row r="269">
      <c r="A269" s="58" t="inlineStr">
        <is>
          <t>SIM</t>
        </is>
      </c>
      <c r="B269" s="59">
        <f>IF(H269&lt;$B$1,"VENCIDO","NA VALIDADE")</f>
        <v/>
      </c>
      <c r="C269" s="60" t="inlineStr">
        <is>
          <t>SUBESTAÇÃO</t>
        </is>
      </c>
      <c r="D269" s="61" t="inlineStr">
        <is>
          <t>SE CONCEIÇÃO DO COITE</t>
        </is>
      </c>
      <c r="E269" s="62" t="inlineStr">
        <is>
          <t>CONCEIÇÃO DO COITÉ</t>
        </is>
      </c>
      <c r="F269" s="61" t="inlineStr">
        <is>
          <t>FEIRA DE  SANTANA</t>
        </is>
      </c>
      <c r="G269" s="60" t="inlineStr">
        <is>
          <t>BA</t>
        </is>
      </c>
      <c r="H269" s="119" t="n">
        <v>45566</v>
      </c>
      <c r="I269" s="119">
        <f>H269-180</f>
        <v/>
      </c>
      <c r="J269" s="60">
        <f>SUM(L269:AE269)</f>
        <v/>
      </c>
      <c r="K269" s="60">
        <f>SUM(AF269:AJ269)</f>
        <v/>
      </c>
      <c r="L269" s="60" t="n"/>
      <c r="M269" s="60" t="n"/>
      <c r="N269" s="60" t="n"/>
      <c r="O269" s="60" t="n"/>
      <c r="P269" s="60" t="n"/>
      <c r="Q269" s="60" t="n">
        <v>1</v>
      </c>
      <c r="R269" s="60" t="n"/>
      <c r="S269" s="60" t="n"/>
      <c r="T269" s="60" t="n"/>
      <c r="U269" s="60" t="n"/>
      <c r="V269" s="60" t="n"/>
      <c r="W269" s="60" t="n"/>
      <c r="X269" s="60" t="n"/>
      <c r="Y269" s="60" t="n"/>
      <c r="Z269" s="60" t="n"/>
      <c r="AA269" s="60" t="n">
        <v>1</v>
      </c>
      <c r="AB269" s="60" t="n"/>
      <c r="AC269" s="60" t="n"/>
      <c r="AD269" s="60" t="n"/>
      <c r="AE269" s="60" t="n"/>
      <c r="AF269" s="60" t="n"/>
      <c r="AG269" s="60" t="n"/>
      <c r="AH269" s="60" t="n"/>
      <c r="AI269" s="60" t="n"/>
      <c r="AJ269" s="60" t="n"/>
      <c r="AK269" s="120">
        <f>IF(L269&gt;0,L269*90.44,0)+IF(M269&gt;0,M269*348.12,0)+IF(N269&gt;0,N269*151.63,0)+IF(O269&gt;0,O269*197.82,0)+IF(P269&gt;0,P269*244.09,0)+IF(Q269&gt;0,Q269*315.35,0)+IF(R269&gt;0,R269*1067.3,0)+IF(T269&gt;0,T269*567.47,0)+IF(U269&gt;0,U269*151.63,0)+IF(V269&gt;0,V269*197.84,0)+IF(W269&gt;0,W269*470.51,0)+IF(X269&gt;0,X269*701.69,0)+IF(Z269&gt;0,Z269*151.63,0)+IF(AA269&gt;0,AA269*197.84)+IF(AB269&gt;0,AB269*308.4,0)+IF(AC269&gt;0,AC269*496.16,0)</f>
        <v/>
      </c>
    </row>
    <row r="270">
      <c r="A270" s="58" t="inlineStr">
        <is>
          <t>SIM</t>
        </is>
      </c>
      <c r="B270" s="59">
        <f>IF(H270&lt;$B$1,"VENCIDO","NA VALIDADE")</f>
        <v/>
      </c>
      <c r="C270" s="60" t="inlineStr">
        <is>
          <t>SUBESTAÇÃO</t>
        </is>
      </c>
      <c r="D270" s="61" t="inlineStr">
        <is>
          <t>SE CONDE</t>
        </is>
      </c>
      <c r="E270" s="62" t="inlineStr">
        <is>
          <t>CONDE</t>
        </is>
      </c>
      <c r="F270" s="61" t="inlineStr">
        <is>
          <t>FEIRA DE  SANTANA</t>
        </is>
      </c>
      <c r="G270" s="60" t="inlineStr">
        <is>
          <t>BA</t>
        </is>
      </c>
      <c r="H270" s="119" t="n">
        <v>45536</v>
      </c>
      <c r="I270" s="119">
        <f>H270-180</f>
        <v/>
      </c>
      <c r="J270" s="60">
        <f>SUM(L270:AE270)</f>
        <v/>
      </c>
      <c r="K270" s="60">
        <f>SUM(AF270:AJ270)</f>
        <v/>
      </c>
      <c r="L270" s="60" t="n"/>
      <c r="M270" s="60" t="n"/>
      <c r="N270" s="60" t="n"/>
      <c r="O270" s="60" t="n"/>
      <c r="P270" s="60" t="n"/>
      <c r="Q270" s="60" t="n">
        <v>3</v>
      </c>
      <c r="R270" s="60" t="n"/>
      <c r="S270" s="60" t="n"/>
      <c r="T270" s="60" t="n">
        <v>1</v>
      </c>
      <c r="U270" s="60" t="n"/>
      <c r="V270" s="60" t="n"/>
      <c r="W270" s="60" t="n"/>
      <c r="X270" s="60" t="n"/>
      <c r="Y270" s="60" t="n"/>
      <c r="Z270" s="60" t="n"/>
      <c r="AA270" s="60" t="n">
        <v>1</v>
      </c>
      <c r="AB270" s="60" t="n"/>
      <c r="AC270" s="60" t="n"/>
      <c r="AD270" s="60" t="n"/>
      <c r="AE270" s="60" t="n"/>
      <c r="AF270" s="60" t="n"/>
      <c r="AG270" s="60" t="n"/>
      <c r="AH270" s="60" t="n"/>
      <c r="AI270" s="60" t="n"/>
      <c r="AJ270" s="60" t="n"/>
      <c r="AK270" s="120">
        <f>IF(L270&gt;0,L270*90.44,0)+IF(M270&gt;0,M270*348.12,0)+IF(N270&gt;0,N270*151.63,0)+IF(O270&gt;0,O270*197.82,0)+IF(P270&gt;0,P270*244.09,0)+IF(Q270&gt;0,Q270*315.35,0)+IF(R270&gt;0,R270*1067.3,0)+IF(T270&gt;0,T270*567.47,0)+IF(U270&gt;0,U270*151.63,0)+IF(V270&gt;0,V270*197.84,0)+IF(W270&gt;0,W270*470.51,0)+IF(X270&gt;0,X270*701.69,0)+IF(Z270&gt;0,Z270*151.63,0)+IF(AA270&gt;0,AA270*197.84)+IF(AB270&gt;0,AB270*308.4,0)+IF(AC270&gt;0,AC270*496.16,0)</f>
        <v/>
      </c>
    </row>
    <row r="271">
      <c r="A271" s="58" t="inlineStr">
        <is>
          <t>rota</t>
        </is>
      </c>
      <c r="B271" s="59">
        <f>IF(H271&lt;$B$1,"VENCIDO","NA VALIDADE")</f>
        <v/>
      </c>
      <c r="C271" s="60" t="inlineStr">
        <is>
          <t>SUBESTAÇÃO</t>
        </is>
      </c>
      <c r="D271" s="61" t="inlineStr">
        <is>
          <t>SE COPEC</t>
        </is>
      </c>
      <c r="E271" s="62" t="inlineStr">
        <is>
          <t>DIAS D'AVILA</t>
        </is>
      </c>
      <c r="F271" s="61" t="inlineStr">
        <is>
          <t>FEIRA DE  SANTANA</t>
        </is>
      </c>
      <c r="G271" s="60" t="inlineStr">
        <is>
          <t>BA</t>
        </is>
      </c>
      <c r="H271" s="119" t="n">
        <v>45444</v>
      </c>
      <c r="I271" s="119" t="n">
        <v>45444</v>
      </c>
      <c r="J271" s="60">
        <f>SUM(L271:AE271)</f>
        <v/>
      </c>
      <c r="K271" s="60">
        <f>SUM(AF271:AJ271)</f>
        <v/>
      </c>
      <c r="L271" s="60" t="n"/>
      <c r="M271" s="60" t="n"/>
      <c r="N271" s="60" t="n"/>
      <c r="O271" s="60" t="n"/>
      <c r="P271" s="60" t="n"/>
      <c r="Q271" s="60" t="n">
        <v>1</v>
      </c>
      <c r="R271" s="60" t="n"/>
      <c r="S271" s="60" t="n"/>
      <c r="T271" s="60" t="n"/>
      <c r="U271" s="60" t="n"/>
      <c r="V271" s="60" t="n"/>
      <c r="W271" s="60" t="n"/>
      <c r="X271" s="60" t="n"/>
      <c r="Y271" s="60" t="n"/>
      <c r="Z271" s="60" t="n"/>
      <c r="AA271" s="60" t="n">
        <v>2</v>
      </c>
      <c r="AB271" s="60" t="n"/>
      <c r="AC271" s="60" t="n"/>
      <c r="AD271" s="60" t="n"/>
      <c r="AE271" s="60" t="n"/>
      <c r="AF271" s="60" t="n"/>
      <c r="AG271" s="60" t="n"/>
      <c r="AH271" s="60" t="n"/>
      <c r="AI271" s="60" t="n"/>
      <c r="AJ271" s="60" t="n"/>
      <c r="AK271" s="120">
        <f>IF(L271&gt;0,L271*90.44,0)+IF(M271&gt;0,M271*348.12,0)+IF(N271&gt;0,N271*151.63,0)+IF(O271&gt;0,O271*197.82,0)+IF(P271&gt;0,P271*244.09,0)+IF(Q271&gt;0,Q271*315.35,0)+IF(R271&gt;0,R271*1067.3,0)+IF(T271&gt;0,T271*567.47,0)+IF(U271&gt;0,U271*151.63,0)+IF(V271&gt;0,V271*197.84,0)+IF(W271&gt;0,W271*470.51,0)+IF(X271&gt;0,X271*701.69,0)+IF(Z271&gt;0,Z271*151.63,0)+IF(AA271&gt;0,AA271*197.84)+IF(AB271&gt;0,AB271*308.4,0)+IF(AC271&gt;0,AC271*496.16,0)</f>
        <v/>
      </c>
    </row>
    <row r="272" hidden="1">
      <c r="A272" s="58" t="inlineStr">
        <is>
          <t>SIM</t>
        </is>
      </c>
      <c r="B272" s="59">
        <f>IF(H272&lt;$B$1,"VENCIDO","NA VALIDADE")</f>
        <v/>
      </c>
      <c r="C272" s="60" t="inlineStr">
        <is>
          <t>SUBESTAÇÃO</t>
        </is>
      </c>
      <c r="D272" s="61" t="inlineStr">
        <is>
          <t>SE COROA VERMELHA</t>
        </is>
      </c>
      <c r="E272" s="62" t="inlineStr">
        <is>
          <t>SANTA CRUZ DE CABRÁLIA / PORTO SEGURO</t>
        </is>
      </c>
      <c r="F272" s="61" t="inlineStr">
        <is>
          <t>ILHÉUS</t>
        </is>
      </c>
      <c r="G272" s="60" t="inlineStr">
        <is>
          <t>BA</t>
        </is>
      </c>
      <c r="H272" s="119" t="n">
        <v>45505</v>
      </c>
      <c r="I272" s="119">
        <f>H272-180</f>
        <v/>
      </c>
      <c r="J272" s="60">
        <f>SUM(L272:AE272)</f>
        <v/>
      </c>
      <c r="K272" s="60">
        <f>SUM(AF272:AJ272)</f>
        <v/>
      </c>
      <c r="L272" s="60" t="n"/>
      <c r="M272" s="60" t="n"/>
      <c r="N272" s="60" t="n"/>
      <c r="O272" s="60" t="n"/>
      <c r="P272" s="60" t="n"/>
      <c r="Q272" s="60" t="n">
        <v>1</v>
      </c>
      <c r="R272" s="60" t="n"/>
      <c r="S272" s="60" t="n"/>
      <c r="T272" s="60" t="n"/>
      <c r="U272" s="60" t="n"/>
      <c r="V272" s="60" t="n"/>
      <c r="W272" s="60" t="n"/>
      <c r="X272" s="60" t="n"/>
      <c r="Y272" s="60" t="n"/>
      <c r="Z272" s="60" t="n"/>
      <c r="AA272" s="60" t="n">
        <v>1</v>
      </c>
      <c r="AB272" s="60" t="n"/>
      <c r="AC272" s="60" t="n"/>
      <c r="AD272" s="60" t="n"/>
      <c r="AE272" s="60" t="n"/>
      <c r="AF272" s="60" t="n"/>
      <c r="AG272" s="60" t="n"/>
      <c r="AH272" s="60" t="n"/>
      <c r="AI272" s="60" t="n"/>
      <c r="AJ272" s="60" t="n"/>
      <c r="AK272" s="120">
        <f>IF(L272&gt;0,L272*90.44,0)+IF(M272&gt;0,M272*348.12,0)+IF(N272&gt;0,N272*151.63,0)+IF(O272&gt;0,O272*197.82,0)+IF(P272&gt;0,P272*244.09,0)+IF(Q272&gt;0,Q272*315.35,0)+IF(R272&gt;0,R272*1067.3,0)+IF(T272&gt;0,T272*567.47,0)+IF(U272&gt;0,U272*151.63,0)+IF(V272&gt;0,V272*197.84,0)+IF(W272&gt;0,W272*470.51,0)+IF(X272&gt;0,X272*701.69,0)+IF(Z272&gt;0,Z272*151.63,0)+IF(AA272&gt;0,AA272*197.84)+IF(AB272&gt;0,AB272*308.4,0)+IF(AC272&gt;0,AC272*496.16,0)</f>
        <v/>
      </c>
    </row>
    <row r="273" hidden="1">
      <c r="A273" s="58" t="n"/>
      <c r="B273" s="59">
        <f>IF(H273&lt;$B$1,"VENCIDO","NA VALIDADE")</f>
        <v/>
      </c>
      <c r="C273" s="60" t="inlineStr">
        <is>
          <t>SUBESTAÇÃO</t>
        </is>
      </c>
      <c r="D273" s="61" t="inlineStr">
        <is>
          <t>SE CORRENTINA II</t>
        </is>
      </c>
      <c r="E273" s="62" t="inlineStr">
        <is>
          <t>CORRENTINA</t>
        </is>
      </c>
      <c r="F273" s="61" t="inlineStr">
        <is>
          <t>VITÓRIA DA CONQUISTA</t>
        </is>
      </c>
      <c r="G273" s="60" t="inlineStr">
        <is>
          <t>BA</t>
        </is>
      </c>
      <c r="H273" s="119" t="n">
        <v>45536</v>
      </c>
      <c r="I273" s="119">
        <f>H273-180</f>
        <v/>
      </c>
      <c r="J273" s="60">
        <f>SUM(L273:AE273)</f>
        <v/>
      </c>
      <c r="K273" s="60">
        <f>SUM(AF273:AJ273)</f>
        <v/>
      </c>
      <c r="L273" s="60" t="n">
        <v>1</v>
      </c>
      <c r="M273" s="60" t="n"/>
      <c r="N273" s="60" t="n"/>
      <c r="O273" s="60" t="n">
        <v>1</v>
      </c>
      <c r="P273" s="60" t="n"/>
      <c r="Q273" s="60" t="n"/>
      <c r="R273" s="60" t="n"/>
      <c r="S273" s="60" t="n"/>
      <c r="T273" s="60" t="n"/>
      <c r="U273" s="60" t="n"/>
      <c r="V273" s="60" t="n">
        <v>1</v>
      </c>
      <c r="W273" s="60" t="n"/>
      <c r="X273" s="60" t="n"/>
      <c r="Y273" s="60" t="n"/>
      <c r="Z273" s="60" t="n"/>
      <c r="AA273" s="60" t="n">
        <v>1</v>
      </c>
      <c r="AB273" s="60" t="n"/>
      <c r="AC273" s="60" t="n"/>
      <c r="AD273" s="60" t="n"/>
      <c r="AE273" s="60" t="n"/>
      <c r="AF273" s="60" t="n"/>
      <c r="AG273" s="60" t="n"/>
      <c r="AH273" s="60" t="n"/>
      <c r="AI273" s="60" t="n"/>
      <c r="AJ273" s="60" t="n"/>
      <c r="AK273" s="120">
        <f>IF(L273&gt;0,L273*90.44,0)+IF(M273&gt;0,M273*348.12,0)+IF(N273&gt;0,N273*151.63,0)+IF(O273&gt;0,O273*197.82,0)+IF(P273&gt;0,P273*244.09,0)+IF(Q273&gt;0,Q273*315.35,0)+IF(R273&gt;0,R273*1067.3,0)+IF(T273&gt;0,T273*567.47,0)+IF(U273&gt;0,U273*151.63,0)+IF(V273&gt;0,V273*197.84,0)+IF(W273&gt;0,W273*470.51,0)+IF(X273&gt;0,X273*701.69,0)+IF(Z273&gt;0,Z273*151.63,0)+IF(AA273&gt;0,AA273*197.84)+IF(AB273&gt;0,AB273*308.4,0)+IF(AC273&gt;0,AC273*496.16,0)</f>
        <v/>
      </c>
    </row>
    <row r="274">
      <c r="A274" s="58" t="inlineStr">
        <is>
          <t>rota</t>
        </is>
      </c>
      <c r="B274" s="59">
        <f>IF(H274&lt;$B$1,"VENCIDO","NA VALIDADE")</f>
        <v/>
      </c>
      <c r="C274" s="60" t="inlineStr">
        <is>
          <t>SUBESTAÇÃO</t>
        </is>
      </c>
      <c r="D274" s="61" t="inlineStr">
        <is>
          <t>SE CRUZ DAS ALMAS</t>
        </is>
      </c>
      <c r="E274" s="62" t="inlineStr">
        <is>
          <t>CRUZ DAS ALMAS</t>
        </is>
      </c>
      <c r="F274" s="61" t="inlineStr">
        <is>
          <t>FEIRA DE  SANTANA</t>
        </is>
      </c>
      <c r="G274" s="60" t="inlineStr">
        <is>
          <t>BA</t>
        </is>
      </c>
      <c r="H274" s="119" t="n">
        <v>45444</v>
      </c>
      <c r="I274" s="119" t="n">
        <v>45444</v>
      </c>
      <c r="J274" s="60">
        <f>SUM(L274:AE274)</f>
        <v/>
      </c>
      <c r="K274" s="60">
        <f>SUM(AF274:AJ274)</f>
        <v/>
      </c>
      <c r="L274" s="60" t="n"/>
      <c r="M274" s="60" t="n"/>
      <c r="N274" s="60" t="n"/>
      <c r="O274" s="60" t="n"/>
      <c r="P274" s="60" t="n"/>
      <c r="Q274" s="60" t="n">
        <v>1</v>
      </c>
      <c r="R274" s="60" t="n"/>
      <c r="S274" s="60" t="n"/>
      <c r="T274" s="60" t="n"/>
      <c r="U274" s="60" t="n"/>
      <c r="V274" s="60" t="n"/>
      <c r="W274" s="60" t="n"/>
      <c r="X274" s="60" t="n"/>
      <c r="Y274" s="60" t="n"/>
      <c r="Z274" s="60" t="n"/>
      <c r="AA274" s="60" t="n">
        <v>1</v>
      </c>
      <c r="AB274" s="60" t="n"/>
      <c r="AC274" s="60" t="n"/>
      <c r="AD274" s="60" t="n"/>
      <c r="AE274" s="60" t="n"/>
      <c r="AF274" s="60" t="n"/>
      <c r="AG274" s="60" t="n"/>
      <c r="AH274" s="60" t="n"/>
      <c r="AI274" s="60" t="n"/>
      <c r="AJ274" s="60" t="n"/>
      <c r="AK274" s="120">
        <f>IF(L274&gt;0,L274*90.44,0)+IF(M274&gt;0,M274*348.12,0)+IF(N274&gt;0,N274*151.63,0)+IF(O274&gt;0,O274*197.82,0)+IF(P274&gt;0,P274*244.09,0)+IF(Q274&gt;0,Q274*315.35,0)+IF(R274&gt;0,R274*1067.3,0)+IF(T274&gt;0,T274*567.47,0)+IF(U274&gt;0,U274*151.63,0)+IF(V274&gt;0,V274*197.84,0)+IF(W274&gt;0,W274*470.51,0)+IF(X274&gt;0,X274*701.69,0)+IF(Z274&gt;0,Z274*151.63,0)+IF(AA274&gt;0,AA274*197.84)+IF(AB274&gt;0,AB274*308.4,0)+IF(AC274&gt;0,AC274*496.16,0)</f>
        <v/>
      </c>
    </row>
    <row r="275">
      <c r="A275" s="58" t="inlineStr">
        <is>
          <t>LEONIDAS</t>
        </is>
      </c>
      <c r="B275" s="59">
        <f>IF(H275&lt;$B$1,"VENCIDO","NA VALIDADE")</f>
        <v/>
      </c>
      <c r="C275" s="60" t="inlineStr">
        <is>
          <t>SUBESTAÇÃO</t>
        </is>
      </c>
      <c r="D275" s="61" t="inlineStr">
        <is>
          <t>SE CURAÇÁ</t>
        </is>
      </c>
      <c r="E275" s="62" t="inlineStr">
        <is>
          <t>CURAÇÁ</t>
        </is>
      </c>
      <c r="F275" s="61" t="inlineStr">
        <is>
          <t>FEIRA DE  SANTANA</t>
        </is>
      </c>
      <c r="G275" s="60" t="inlineStr">
        <is>
          <t>BA</t>
        </is>
      </c>
      <c r="H275" s="119" t="n">
        <v>45383</v>
      </c>
      <c r="I275" s="119">
        <f>H275-180</f>
        <v/>
      </c>
      <c r="J275" s="60">
        <f>SUM(L275:AE275)</f>
        <v/>
      </c>
      <c r="K275" s="60">
        <f>SUM(AF275:AJ275)</f>
        <v/>
      </c>
      <c r="L275" s="60" t="n"/>
      <c r="M275" s="60" t="n"/>
      <c r="N275" s="60" t="n"/>
      <c r="O275" s="60" t="n"/>
      <c r="P275" s="60" t="n"/>
      <c r="Q275" s="60" t="n">
        <v>1</v>
      </c>
      <c r="R275" s="60" t="n"/>
      <c r="S275" s="60" t="n"/>
      <c r="T275" s="60" t="n"/>
      <c r="U275" s="60" t="n"/>
      <c r="V275" s="60" t="n"/>
      <c r="W275" s="60" t="n"/>
      <c r="X275" s="60" t="n"/>
      <c r="Y275" s="60" t="n"/>
      <c r="Z275" s="60" t="n"/>
      <c r="AA275" s="60" t="n">
        <v>1</v>
      </c>
      <c r="AB275" s="60" t="n"/>
      <c r="AC275" s="60" t="n"/>
      <c r="AD275" s="60" t="n"/>
      <c r="AE275" s="60" t="n"/>
      <c r="AF275" s="60" t="n"/>
      <c r="AG275" s="60" t="n"/>
      <c r="AH275" s="60" t="n"/>
      <c r="AI275" s="60" t="n"/>
      <c r="AJ275" s="60" t="n"/>
      <c r="AK275" s="120">
        <f>IF(L275&gt;0,L275*90.44,0)+IF(M275&gt;0,M275*348.12,0)+IF(N275&gt;0,N275*151.63,0)+IF(O275&gt;0,O275*197.82,0)+IF(P275&gt;0,P275*244.09,0)+IF(Q275&gt;0,Q275*315.35,0)+IF(R275&gt;0,R275*1067.3,0)+IF(T275&gt;0,T275*567.47,0)+IF(U275&gt;0,U275*151.63,0)+IF(V275&gt;0,V275*197.84,0)+IF(W275&gt;0,W275*470.51,0)+IF(X275&gt;0,X275*701.69,0)+IF(Z275&gt;0,Z275*151.63,0)+IF(AA275&gt;0,AA275*197.84)+IF(AB275&gt;0,AB275*308.4,0)+IF(AC275&gt;0,AC275*496.16,0)</f>
        <v/>
      </c>
    </row>
    <row r="276" hidden="1">
      <c r="A276" s="58" t="inlineStr">
        <is>
          <t>SIM</t>
        </is>
      </c>
      <c r="B276" s="59">
        <f>IF(H276&lt;$B$1,"VENCIDO","NA VALIDADE")</f>
        <v/>
      </c>
      <c r="C276" s="60" t="inlineStr">
        <is>
          <t>BASE OP</t>
        </is>
      </c>
      <c r="D276" s="61" t="inlineStr">
        <is>
          <t>BASE OPERACIONAL ALCOBAÇA</t>
        </is>
      </c>
      <c r="E276" s="62" t="inlineStr">
        <is>
          <t>ALCOBAÇA</t>
        </is>
      </c>
      <c r="F276" s="61" t="inlineStr">
        <is>
          <t>ILHÉUS</t>
        </is>
      </c>
      <c r="G276" s="60" t="inlineStr">
        <is>
          <t>BA</t>
        </is>
      </c>
      <c r="H276" s="119" t="n">
        <v>45383</v>
      </c>
      <c r="I276" s="119">
        <f>H276-180</f>
        <v/>
      </c>
      <c r="J276" s="60">
        <f>SUM(L276:AE276)</f>
        <v/>
      </c>
      <c r="K276" s="60">
        <f>SUM(AF276:AJ276)</f>
        <v/>
      </c>
      <c r="L276" s="60" t="n"/>
      <c r="M276" s="60" t="n"/>
      <c r="N276" s="60" t="n"/>
      <c r="O276" s="60" t="n"/>
      <c r="P276" s="60" t="n"/>
      <c r="Q276" s="60" t="n">
        <v>2</v>
      </c>
      <c r="R276" s="60" t="n"/>
      <c r="S276" s="60" t="n"/>
      <c r="T276" s="60" t="n"/>
      <c r="U276" s="60" t="n"/>
      <c r="V276" s="60" t="n"/>
      <c r="W276" s="60" t="n"/>
      <c r="X276" s="60" t="n"/>
      <c r="Y276" s="60" t="n"/>
      <c r="Z276" s="60" t="n"/>
      <c r="AA276" s="60" t="n"/>
      <c r="AB276" s="60" t="n"/>
      <c r="AC276" s="60" t="n"/>
      <c r="AD276" s="60" t="n"/>
      <c r="AE276" s="60" t="n"/>
      <c r="AF276" s="60" t="n"/>
      <c r="AG276" s="60" t="n"/>
      <c r="AH276" s="60" t="n"/>
      <c r="AI276" s="60" t="n"/>
      <c r="AJ276" s="60" t="n"/>
      <c r="AK276" s="120">
        <f>IF(L276&gt;0,L276*90.44,0)+IF(M276&gt;0,M276*348.12,0)+IF(N276&gt;0,N276*151.63,0)+IF(O276&gt;0,O276*197.82,0)+IF(P276&gt;0,P276*244.09,0)+IF(Q276&gt;0,Q276*315.35,0)+IF(R276&gt;0,R276*1067.3,0)+IF(T276&gt;0,T276*567.47,0)+IF(U276&gt;0,U276*151.63,0)+IF(V276&gt;0,V276*197.84,0)+IF(W276&gt;0,W276*470.51,0)+IF(X276&gt;0,X276*701.69,0)+IF(Z276&gt;0,Z276*151.63,0)+IF(AA276&gt;0,AA276*197.84)+IF(AB276&gt;0,AB276*308.4,0)+IF(AC276&gt;0,AC276*496.16,0)</f>
        <v/>
      </c>
    </row>
    <row r="277" hidden="1">
      <c r="A277" s="58" t="inlineStr">
        <is>
          <t>SIM</t>
        </is>
      </c>
      <c r="B277" s="59">
        <f>IF(H277&lt;$B$1,"VENCIDO","NA VALIDADE")</f>
        <v/>
      </c>
      <c r="C277" s="60" t="inlineStr">
        <is>
          <t>SUBESTAÇÃO</t>
        </is>
      </c>
      <c r="D277" s="61" t="inlineStr">
        <is>
          <t>SE DISTRITO INDUSTRIAL DE ILHEUS</t>
        </is>
      </c>
      <c r="E277" s="62" t="inlineStr">
        <is>
          <t>ILHÉUS</t>
        </is>
      </c>
      <c r="F277" s="61" t="inlineStr">
        <is>
          <t>ILHÉUS</t>
        </is>
      </c>
      <c r="G277" s="60" t="inlineStr">
        <is>
          <t>BA</t>
        </is>
      </c>
      <c r="H277" s="119" t="n">
        <v>45536</v>
      </c>
      <c r="I277" s="119">
        <f>H277-180</f>
        <v/>
      </c>
      <c r="J277" s="60">
        <f>SUM(L277:AE277)</f>
        <v/>
      </c>
      <c r="K277" s="60">
        <f>SUM(AF277:AJ277)</f>
        <v/>
      </c>
      <c r="L277" s="60" t="n"/>
      <c r="M277" s="60" t="n"/>
      <c r="N277" s="60" t="n"/>
      <c r="O277" s="60" t="n">
        <v>2</v>
      </c>
      <c r="P277" s="60" t="n"/>
      <c r="Q277" s="60" t="n">
        <v>2</v>
      </c>
      <c r="R277" s="60" t="n"/>
      <c r="S277" s="60" t="n"/>
      <c r="T277" s="60" t="n"/>
      <c r="U277" s="60" t="n"/>
      <c r="V277" s="60" t="n"/>
      <c r="W277" s="60" t="n"/>
      <c r="X277" s="60" t="n"/>
      <c r="Y277" s="60" t="n"/>
      <c r="Z277" s="60" t="n"/>
      <c r="AA277" s="60" t="n">
        <v>2</v>
      </c>
      <c r="AB277" s="60" t="n"/>
      <c r="AC277" s="60" t="n"/>
      <c r="AD277" s="60" t="n"/>
      <c r="AE277" s="60" t="n"/>
      <c r="AF277" s="60" t="n"/>
      <c r="AG277" s="60" t="n"/>
      <c r="AH277" s="60" t="n"/>
      <c r="AI277" s="60" t="n"/>
      <c r="AJ277" s="60" t="n"/>
      <c r="AK277" s="120">
        <f>IF(L277&gt;0,L277*90.44,0)+IF(M277&gt;0,M277*348.12,0)+IF(N277&gt;0,N277*151.63,0)+IF(O277&gt;0,O277*197.82,0)+IF(P277&gt;0,P277*244.09,0)+IF(Q277&gt;0,Q277*315.35,0)+IF(R277&gt;0,R277*1067.3,0)+IF(T277&gt;0,T277*567.47,0)+IF(U277&gt;0,U277*151.63,0)+IF(V277&gt;0,V277*197.84,0)+IF(W277&gt;0,W277*470.51,0)+IF(X277&gt;0,X277*701.69,0)+IF(Z277&gt;0,Z277*151.63,0)+IF(AA277&gt;0,AA277*197.84)+IF(AB277&gt;0,AB277*308.4,0)+IF(AC277&gt;0,AC277*496.16,0)</f>
        <v/>
      </c>
    </row>
    <row r="278">
      <c r="A278" s="58" t="inlineStr">
        <is>
          <t>SIM</t>
        </is>
      </c>
      <c r="B278" s="59">
        <f>IF(H278&lt;$B$1,"VENCIDO","NA VALIDADE")</f>
        <v/>
      </c>
      <c r="C278" s="60" t="inlineStr">
        <is>
          <t>SUBESTAÇÃO</t>
        </is>
      </c>
      <c r="D278" s="61" t="inlineStr">
        <is>
          <t>SE DISTRITO INDUSTRIAL DE JUAZEIRO</t>
        </is>
      </c>
      <c r="E278" s="62" t="inlineStr">
        <is>
          <t>JUAZEIRO</t>
        </is>
      </c>
      <c r="F278" s="61" t="inlineStr">
        <is>
          <t>FEIRA DE  SANTANA</t>
        </is>
      </c>
      <c r="G278" s="60" t="inlineStr">
        <is>
          <t>BA</t>
        </is>
      </c>
      <c r="H278" s="119" t="n">
        <v>45413</v>
      </c>
      <c r="I278" s="119" t="n">
        <v>45413</v>
      </c>
      <c r="J278" s="60">
        <f>SUM(L278:AE278)</f>
        <v/>
      </c>
      <c r="K278" s="60">
        <f>SUM(AF278:AJ278)</f>
        <v/>
      </c>
      <c r="L278" s="60" t="n"/>
      <c r="M278" s="60" t="n"/>
      <c r="N278" s="60" t="n"/>
      <c r="O278" s="60" t="n"/>
      <c r="P278" s="60" t="n"/>
      <c r="Q278" s="60" t="n">
        <v>1</v>
      </c>
      <c r="R278" s="60" t="n"/>
      <c r="S278" s="60" t="n"/>
      <c r="T278" s="60" t="n"/>
      <c r="U278" s="60" t="n"/>
      <c r="V278" s="60" t="n"/>
      <c r="W278" s="60" t="n"/>
      <c r="X278" s="60" t="n"/>
      <c r="Y278" s="60" t="n"/>
      <c r="Z278" s="60" t="n"/>
      <c r="AA278" s="60" t="n">
        <v>1</v>
      </c>
      <c r="AB278" s="60" t="n"/>
      <c r="AC278" s="60" t="n"/>
      <c r="AD278" s="60" t="n"/>
      <c r="AE278" s="60" t="n"/>
      <c r="AF278" s="60" t="n"/>
      <c r="AG278" s="60" t="n"/>
      <c r="AH278" s="60" t="n"/>
      <c r="AI278" s="60" t="n"/>
      <c r="AJ278" s="60" t="n"/>
      <c r="AK278" s="120">
        <f>IF(L278&gt;0,L278*90.44,0)+IF(M278&gt;0,M278*348.12,0)+IF(N278&gt;0,N278*151.63,0)+IF(O278&gt;0,O278*197.82,0)+IF(P278&gt;0,P278*244.09,0)+IF(Q278&gt;0,Q278*315.35,0)+IF(R278&gt;0,R278*1067.3,0)+IF(T278&gt;0,T278*567.47,0)+IF(U278&gt;0,U278*151.63,0)+IF(V278&gt;0,V278*197.84,0)+IF(W278&gt;0,W278*470.51,0)+IF(X278&gt;0,X278*701.69,0)+IF(Z278&gt;0,Z278*151.63,0)+IF(AA278&gt;0,AA278*197.84)+IF(AB278&gt;0,AB278*308.4,0)+IF(AC278&gt;0,AC278*496.16,0)</f>
        <v/>
      </c>
    </row>
    <row r="279">
      <c r="A279" s="58" t="n"/>
      <c r="B279" s="59">
        <f>IF(H279&lt;$B$1,"VENCIDO","NA VALIDADE")</f>
        <v/>
      </c>
      <c r="C279" s="60" t="inlineStr">
        <is>
          <t>SUBESTAÇÃO</t>
        </is>
      </c>
      <c r="D279" s="61" t="inlineStr">
        <is>
          <t>SE DOM JOÃO</t>
        </is>
      </c>
      <c r="E279" s="62" t="inlineStr">
        <is>
          <t>SÃO FRANCISCO DO CONDE</t>
        </is>
      </c>
      <c r="F279" s="61" t="inlineStr">
        <is>
          <t>FEIRA DE  SANTANA</t>
        </is>
      </c>
      <c r="G279" s="60" t="inlineStr">
        <is>
          <t>BA</t>
        </is>
      </c>
      <c r="H279" s="119" t="n">
        <v>45352</v>
      </c>
      <c r="I279" s="119" t="n">
        <v>45352</v>
      </c>
      <c r="J279" s="60">
        <f>SUM(L279:AE279)</f>
        <v/>
      </c>
      <c r="K279" s="60">
        <f>SUM(AF279:AJ279)</f>
        <v/>
      </c>
      <c r="L279" s="60" t="n"/>
      <c r="M279" s="60" t="n"/>
      <c r="N279" s="60" t="n"/>
      <c r="O279" s="60" t="n"/>
      <c r="P279" s="60" t="n"/>
      <c r="Q279" s="60" t="n">
        <v>3</v>
      </c>
      <c r="R279" s="60" t="n"/>
      <c r="S279" s="60" t="n"/>
      <c r="T279" s="60" t="n">
        <v>1</v>
      </c>
      <c r="U279" s="60" t="n"/>
      <c r="V279" s="60" t="n"/>
      <c r="W279" s="60" t="n"/>
      <c r="X279" s="60" t="n"/>
      <c r="Y279" s="60" t="n"/>
      <c r="Z279" s="60" t="n"/>
      <c r="AA279" s="60" t="n">
        <v>1</v>
      </c>
      <c r="AB279" s="60" t="n"/>
      <c r="AC279" s="60" t="n"/>
      <c r="AD279" s="60" t="n"/>
      <c r="AE279" s="60" t="n"/>
      <c r="AF279" s="60" t="n"/>
      <c r="AG279" s="60" t="n"/>
      <c r="AH279" s="60" t="n"/>
      <c r="AI279" s="60" t="n"/>
      <c r="AJ279" s="60" t="n"/>
      <c r="AK279" s="120">
        <f>IF(L279&gt;0,L279*90.44,0)+IF(M279&gt;0,M279*348.12,0)+IF(N279&gt;0,N279*151.63,0)+IF(O279&gt;0,O279*197.82,0)+IF(P279&gt;0,P279*244.09,0)+IF(Q279&gt;0,Q279*315.35,0)+IF(R279&gt;0,R279*1067.3,0)+IF(T279&gt;0,T279*567.47,0)+IF(U279&gt;0,U279*151.63,0)+IF(V279&gt;0,V279*197.84,0)+IF(W279&gt;0,W279*470.51,0)+IF(X279&gt;0,X279*701.69,0)+IF(Z279&gt;0,Z279*151.63,0)+IF(AA279&gt;0,AA279*197.84)+IF(AB279&gt;0,AB279*308.4,0)+IF(AC279&gt;0,AC279*496.16,0)</f>
        <v/>
      </c>
    </row>
    <row r="280">
      <c r="A280" s="58" t="inlineStr">
        <is>
          <t>SIM</t>
        </is>
      </c>
      <c r="B280" s="59">
        <f>IF(H280&lt;$B$1,"VENCIDO","NA VALIDADE")</f>
        <v/>
      </c>
      <c r="C280" s="60" t="inlineStr">
        <is>
          <t>SUBESTAÇÃO</t>
        </is>
      </c>
      <c r="D280" s="61" t="inlineStr">
        <is>
          <t>SE ENTRE RIOS</t>
        </is>
      </c>
      <c r="E280" s="68" t="inlineStr">
        <is>
          <t>ENTRE RIOS</t>
        </is>
      </c>
      <c r="F280" s="61" t="inlineStr">
        <is>
          <t>FEIRA DE  SANTANA</t>
        </is>
      </c>
      <c r="G280" s="60" t="inlineStr">
        <is>
          <t>BA</t>
        </is>
      </c>
      <c r="H280" s="119" t="n">
        <v>45566</v>
      </c>
      <c r="I280" s="119">
        <f>H280-180</f>
        <v/>
      </c>
      <c r="J280" s="60">
        <f>SUM(L280:AE280)</f>
        <v/>
      </c>
      <c r="K280" s="60">
        <f>SUM(AF280:AJ280)</f>
        <v/>
      </c>
      <c r="L280" s="60" t="n"/>
      <c r="M280" s="60" t="n"/>
      <c r="N280" s="60" t="n"/>
      <c r="O280" s="60" t="n"/>
      <c r="P280" s="60" t="n"/>
      <c r="Q280" s="60" t="n">
        <v>1</v>
      </c>
      <c r="R280" s="60" t="n"/>
      <c r="S280" s="60" t="n"/>
      <c r="T280" s="60" t="n">
        <v>2</v>
      </c>
      <c r="U280" s="60" t="n"/>
      <c r="V280" s="60" t="n"/>
      <c r="W280" s="60" t="n"/>
      <c r="X280" s="60" t="n"/>
      <c r="Y280" s="60" t="n"/>
      <c r="Z280" s="60" t="n"/>
      <c r="AA280" s="60" t="n">
        <v>1</v>
      </c>
      <c r="AB280" s="60" t="n"/>
      <c r="AC280" s="60" t="n"/>
      <c r="AD280" s="60" t="n"/>
      <c r="AE280" s="60" t="n"/>
      <c r="AF280" s="60" t="n"/>
      <c r="AG280" s="60" t="n"/>
      <c r="AH280" s="60" t="n"/>
      <c r="AI280" s="60" t="n"/>
      <c r="AJ280" s="60" t="n"/>
      <c r="AK280" s="120">
        <f>IF(L280&gt;0,L280*90.44,0)+IF(M280&gt;0,M280*348.12,0)+IF(N280&gt;0,N280*151.63,0)+IF(O280&gt;0,O280*197.82,0)+IF(P280&gt;0,P280*244.09,0)+IF(Q280&gt;0,Q280*315.35,0)+IF(R280&gt;0,R280*1067.3,0)+IF(T280&gt;0,T280*567.47,0)+IF(U280&gt;0,U280*151.63,0)+IF(V280&gt;0,V280*197.84,0)+IF(W280&gt;0,W280*470.51,0)+IF(X280&gt;0,X280*701.69,0)+IF(Z280&gt;0,Z280*151.63,0)+IF(AA280&gt;0,AA280*197.84)+IF(AB280&gt;0,AB280*308.4,0)+IF(AC280&gt;0,AC280*496.16,0)</f>
        <v/>
      </c>
    </row>
    <row r="281">
      <c r="A281" s="58" t="inlineStr">
        <is>
          <t>rota</t>
        </is>
      </c>
      <c r="B281" s="59">
        <f>IF(H281&lt;$B$1,"VENCIDO","NA VALIDADE")</f>
        <v/>
      </c>
      <c r="C281" s="60" t="inlineStr">
        <is>
          <t>SUBESTAÇÃO</t>
        </is>
      </c>
      <c r="D281" s="61" t="inlineStr">
        <is>
          <t>SE ESPLANADA</t>
        </is>
      </c>
      <c r="E281" s="62" t="inlineStr">
        <is>
          <t>ESPLANADA</t>
        </is>
      </c>
      <c r="F281" s="61" t="inlineStr">
        <is>
          <t>FEIRA DE  SANTANA</t>
        </is>
      </c>
      <c r="G281" s="60" t="inlineStr">
        <is>
          <t>BA</t>
        </is>
      </c>
      <c r="H281" s="119" t="n">
        <v>45536</v>
      </c>
      <c r="I281" s="119">
        <f>H281-180</f>
        <v/>
      </c>
      <c r="J281" s="60">
        <f>SUM(L281:AE281)</f>
        <v/>
      </c>
      <c r="K281" s="60">
        <f>SUM(AF281:AJ281)</f>
        <v/>
      </c>
      <c r="L281" s="60" t="n"/>
      <c r="M281" s="60" t="n"/>
      <c r="N281" s="60" t="n"/>
      <c r="O281" s="60" t="n"/>
      <c r="P281" s="60" t="n"/>
      <c r="Q281" s="60" t="n">
        <v>1</v>
      </c>
      <c r="R281" s="60" t="n"/>
      <c r="S281" s="60" t="n"/>
      <c r="T281" s="60" t="n"/>
      <c r="U281" s="60" t="n"/>
      <c r="V281" s="60" t="n"/>
      <c r="W281" s="60" t="n"/>
      <c r="X281" s="60" t="n"/>
      <c r="Y281" s="60" t="n"/>
      <c r="Z281" s="60" t="n"/>
      <c r="AA281" s="60" t="n">
        <v>1</v>
      </c>
      <c r="AB281" s="60" t="n"/>
      <c r="AC281" s="60" t="n"/>
      <c r="AD281" s="60" t="n"/>
      <c r="AE281" s="60" t="n"/>
      <c r="AF281" s="60" t="n"/>
      <c r="AG281" s="60" t="n"/>
      <c r="AH281" s="60" t="n"/>
      <c r="AI281" s="60" t="n"/>
      <c r="AJ281" s="60" t="n"/>
      <c r="AK281" s="120">
        <f>IF(L281&gt;0,L281*90.44,0)+IF(M281&gt;0,M281*348.12,0)+IF(N281&gt;0,N281*151.63,0)+IF(O281&gt;0,O281*197.82,0)+IF(P281&gt;0,P281*244.09,0)+IF(Q281&gt;0,Q281*315.35,0)+IF(R281&gt;0,R281*1067.3,0)+IF(T281&gt;0,T281*567.47,0)+IF(U281&gt;0,U281*151.63,0)+IF(V281&gt;0,V281*197.84,0)+IF(W281&gt;0,W281*470.51,0)+IF(X281&gt;0,X281*701.69,0)+IF(Z281&gt;0,Z281*151.63,0)+IF(AA281&gt;0,AA281*197.84)+IF(AB281&gt;0,AB281*308.4,0)+IF(AC281&gt;0,AC281*496.16,0)</f>
        <v/>
      </c>
    </row>
    <row r="282">
      <c r="A282" s="58" t="inlineStr">
        <is>
          <t>FEIRA 06/12</t>
        </is>
      </c>
      <c r="B282" s="59">
        <f>IF(H282&lt;$B$1,"VENCIDO","NA VALIDADE")</f>
        <v/>
      </c>
      <c r="C282" s="60" t="inlineStr">
        <is>
          <t>SUBESTAÇÃO</t>
        </is>
      </c>
      <c r="D282" s="61" t="inlineStr">
        <is>
          <t>SE EUCLIDES DA CUNHA I</t>
        </is>
      </c>
      <c r="E282" s="62" t="inlineStr">
        <is>
          <t>EUCLIDES DA CUNHA</t>
        </is>
      </c>
      <c r="F282" s="61" t="inlineStr">
        <is>
          <t>FEIRA DE  SANTANA</t>
        </is>
      </c>
      <c r="G282" s="60" t="inlineStr">
        <is>
          <t>BA</t>
        </is>
      </c>
      <c r="H282" s="119" t="n">
        <v>45536</v>
      </c>
      <c r="I282" s="119" t="n">
        <v>45200</v>
      </c>
      <c r="J282" s="60">
        <f>SUM(L282:AE282)</f>
        <v/>
      </c>
      <c r="K282" s="60">
        <f>SUM(AF282:AJ282)</f>
        <v/>
      </c>
      <c r="L282" s="60" t="n"/>
      <c r="M282" s="60" t="n"/>
      <c r="N282" s="60" t="n"/>
      <c r="O282" s="60" t="n"/>
      <c r="P282" s="60" t="n"/>
      <c r="Q282" s="60" t="n">
        <v>1</v>
      </c>
      <c r="R282" s="60" t="n"/>
      <c r="S282" s="60" t="n"/>
      <c r="T282" s="60" t="n"/>
      <c r="U282" s="60" t="n"/>
      <c r="V282" s="60" t="n"/>
      <c r="W282" s="60" t="n"/>
      <c r="X282" s="60" t="n"/>
      <c r="Y282" s="60" t="n"/>
      <c r="Z282" s="60" t="n"/>
      <c r="AA282" s="60" t="n">
        <v>1</v>
      </c>
      <c r="AB282" s="60" t="n"/>
      <c r="AC282" s="60" t="n"/>
      <c r="AD282" s="60" t="n"/>
      <c r="AE282" s="60" t="n"/>
      <c r="AF282" s="60" t="n"/>
      <c r="AG282" s="60" t="n"/>
      <c r="AH282" s="60" t="n"/>
      <c r="AI282" s="60" t="n"/>
      <c r="AJ282" s="60" t="n"/>
      <c r="AK282" s="120">
        <f>IF(L282&gt;0,L282*90.44,0)+IF(M282&gt;0,M282*348.12,0)+IF(N282&gt;0,N282*151.63,0)+IF(O282&gt;0,O282*197.82,0)+IF(P282&gt;0,P282*244.09,0)+IF(Q282&gt;0,Q282*315.35,0)+IF(R282&gt;0,R282*1067.3,0)+IF(T282&gt;0,T282*567.47,0)+IF(U282&gt;0,U282*151.63,0)+IF(V282&gt;0,V282*197.84,0)+IF(W282&gt;0,W282*470.51,0)+IF(X282&gt;0,X282*701.69,0)+IF(Z282&gt;0,Z282*151.63,0)+IF(AA282&gt;0,AA282*197.84)+IF(AB282&gt;0,AB282*308.4,0)+IF(AC282&gt;0,AC282*496.16,0)</f>
        <v/>
      </c>
    </row>
    <row r="283">
      <c r="A283" s="58" t="inlineStr">
        <is>
          <t>FEIRA 06/12</t>
        </is>
      </c>
      <c r="B283" s="59">
        <f>IF(H283&lt;$B$1,"VENCIDO","NA VALIDADE")</f>
        <v/>
      </c>
      <c r="C283" s="60" t="inlineStr">
        <is>
          <t>SUBESTAÇÃO</t>
        </is>
      </c>
      <c r="D283" s="61" t="inlineStr">
        <is>
          <t>SE EUCLIDES DA CUNHA II</t>
        </is>
      </c>
      <c r="E283" s="62" t="inlineStr">
        <is>
          <t>EUCLIDES DA CUNHA</t>
        </is>
      </c>
      <c r="F283" s="61" t="inlineStr">
        <is>
          <t>FEIRA DE  SANTANA</t>
        </is>
      </c>
      <c r="G283" s="60" t="inlineStr">
        <is>
          <t>BA</t>
        </is>
      </c>
      <c r="H283" s="119" t="n">
        <v>45536</v>
      </c>
      <c r="I283" s="119" t="n">
        <v>45200</v>
      </c>
      <c r="J283" s="60">
        <f>SUM(L283:AE283)</f>
        <v/>
      </c>
      <c r="K283" s="60">
        <f>SUM(AF283:AJ283)</f>
        <v/>
      </c>
      <c r="L283" s="60" t="n"/>
      <c r="M283" s="60" t="n"/>
      <c r="N283" s="60" t="n"/>
      <c r="O283" s="60" t="n"/>
      <c r="P283" s="60" t="n"/>
      <c r="Q283" s="60" t="n">
        <v>2</v>
      </c>
      <c r="R283" s="60" t="n"/>
      <c r="S283" s="60" t="n"/>
      <c r="T283" s="60" t="n"/>
      <c r="U283" s="60" t="n"/>
      <c r="V283" s="60" t="n"/>
      <c r="W283" s="60" t="n"/>
      <c r="X283" s="60" t="n"/>
      <c r="Y283" s="60" t="n"/>
      <c r="Z283" s="60" t="n"/>
      <c r="AA283" s="60" t="n">
        <v>2</v>
      </c>
      <c r="AB283" s="60" t="n"/>
      <c r="AC283" s="60" t="n"/>
      <c r="AD283" s="60" t="n"/>
      <c r="AE283" s="60" t="n"/>
      <c r="AF283" s="60" t="n"/>
      <c r="AG283" s="60" t="n"/>
      <c r="AH283" s="60" t="n"/>
      <c r="AI283" s="60" t="n"/>
      <c r="AJ283" s="60" t="n"/>
      <c r="AK283" s="120">
        <f>IF(L283&gt;0,L283*90.44,0)+IF(M283&gt;0,M283*348.12,0)+IF(N283&gt;0,N283*151.63,0)+IF(O283&gt;0,O283*197.82,0)+IF(P283&gt;0,P283*244.09,0)+IF(Q283&gt;0,Q283*315.35,0)+IF(R283&gt;0,R283*1067.3,0)+IF(T283&gt;0,T283*567.47,0)+IF(U283&gt;0,U283*151.63,0)+IF(V283&gt;0,V283*197.84,0)+IF(W283&gt;0,W283*470.51,0)+IF(X283&gt;0,X283*701.69,0)+IF(Z283&gt;0,Z283*151.63,0)+IF(AA283&gt;0,AA283*197.84)+IF(AB283&gt;0,AB283*308.4,0)+IF(AC283&gt;0,AC283*496.16,0)</f>
        <v/>
      </c>
    </row>
    <row r="284" hidden="1">
      <c r="A284" s="58" t="inlineStr">
        <is>
          <t>SIM</t>
        </is>
      </c>
      <c r="B284" s="59">
        <f>IF(H284&lt;$B$1,"VENCIDO","NA VALIDADE")</f>
        <v/>
      </c>
      <c r="C284" s="60" t="inlineStr">
        <is>
          <t>BASE OP</t>
        </is>
      </c>
      <c r="D284" s="61" t="inlineStr">
        <is>
          <t>BASE OPERACIONAL ARRAIAL DA AJUDA</t>
        </is>
      </c>
      <c r="E284" s="62" t="inlineStr">
        <is>
          <t>ARRAIAL D'AJUDA</t>
        </is>
      </c>
      <c r="F284" s="61" t="inlineStr">
        <is>
          <t>ILHÉUS</t>
        </is>
      </c>
      <c r="G284" s="60" t="inlineStr">
        <is>
          <t>BA</t>
        </is>
      </c>
      <c r="H284" s="119" t="n">
        <v>45627</v>
      </c>
      <c r="I284" s="119">
        <f>H284-180</f>
        <v/>
      </c>
      <c r="J284" s="60">
        <f>SUM(L284:AE284)</f>
        <v/>
      </c>
      <c r="K284" s="60">
        <f>SUM(AF284:AJ284)</f>
        <v/>
      </c>
      <c r="L284" s="60" t="n"/>
      <c r="M284" s="60" t="n"/>
      <c r="N284" s="60" t="n"/>
      <c r="O284" s="60" t="n"/>
      <c r="P284" s="60" t="n">
        <v>2</v>
      </c>
      <c r="Q284" s="60" t="n"/>
      <c r="R284" s="60" t="n"/>
      <c r="S284" s="60" t="n"/>
      <c r="T284" s="60" t="n"/>
      <c r="U284" s="60" t="n"/>
      <c r="V284" s="60" t="n"/>
      <c r="W284" s="60" t="n"/>
      <c r="X284" s="60" t="n"/>
      <c r="Y284" s="60" t="n"/>
      <c r="Z284" s="60" t="n"/>
      <c r="AA284" s="60" t="n"/>
      <c r="AB284" s="60" t="n"/>
      <c r="AC284" s="60" t="n"/>
      <c r="AD284" s="60" t="n"/>
      <c r="AE284" s="60" t="n"/>
      <c r="AF284" s="60" t="n"/>
      <c r="AG284" s="60" t="n"/>
      <c r="AH284" s="60" t="n"/>
      <c r="AI284" s="60" t="n"/>
      <c r="AJ284" s="60" t="n"/>
      <c r="AK284" s="120">
        <f>IF(L284&gt;0,L284*90.44,0)+IF(M284&gt;0,M284*348.12,0)+IF(N284&gt;0,N284*151.63,0)+IF(O284&gt;0,O284*197.82,0)+IF(P284&gt;0,P284*244.09,0)+IF(Q284&gt;0,Q284*315.35,0)+IF(R284&gt;0,R284*1067.3,0)+IF(T284&gt;0,T284*567.47,0)+IF(U284&gt;0,U284*151.63,0)+IF(V284&gt;0,V284*197.84,0)+IF(W284&gt;0,W284*470.51,0)+IF(X284&gt;0,X284*701.69,0)+IF(Z284&gt;0,Z284*151.63,0)+IF(AA284&gt;0,AA284*197.84)+IF(AB284&gt;0,AB284*308.4,0)+IF(AC284&gt;0,AC284*496.16,0)</f>
        <v/>
      </c>
    </row>
    <row r="285">
      <c r="A285" s="58" t="inlineStr">
        <is>
          <t>SIM</t>
        </is>
      </c>
      <c r="B285" s="59">
        <f>IF(H285&lt;$B$1,"VENCIDO","NA VALIDADE")</f>
        <v/>
      </c>
      <c r="C285" s="60" t="inlineStr">
        <is>
          <t>SUBESTAÇÃO</t>
        </is>
      </c>
      <c r="D285" s="61" t="inlineStr">
        <is>
          <t>SE FEDERAÇÃO</t>
        </is>
      </c>
      <c r="E285" s="62" t="inlineStr">
        <is>
          <t>SALVADOR</t>
        </is>
      </c>
      <c r="F285" s="61" t="inlineStr">
        <is>
          <t>FEIRA DE  SANTANA</t>
        </is>
      </c>
      <c r="G285" s="60" t="inlineStr">
        <is>
          <t>BA</t>
        </is>
      </c>
      <c r="H285" s="119" t="n">
        <v>45323</v>
      </c>
      <c r="I285" s="119" t="n">
        <v>45323</v>
      </c>
      <c r="J285" s="60">
        <f>SUM(L285:AE285)</f>
        <v/>
      </c>
      <c r="K285" s="60">
        <f>SUM(AF285:AJ285)</f>
        <v/>
      </c>
      <c r="L285" s="60" t="n"/>
      <c r="M285" s="60" t="n"/>
      <c r="N285" s="60" t="n"/>
      <c r="O285" s="60" t="n"/>
      <c r="P285" s="60" t="n"/>
      <c r="Q285" s="60" t="n">
        <v>1</v>
      </c>
      <c r="R285" s="60" t="n"/>
      <c r="S285" s="60" t="n"/>
      <c r="T285" s="60" t="n">
        <v>1</v>
      </c>
      <c r="U285" s="60" t="n"/>
      <c r="V285" s="60" t="n"/>
      <c r="W285" s="60" t="n"/>
      <c r="X285" s="60" t="n"/>
      <c r="Y285" s="60" t="n"/>
      <c r="Z285" s="60" t="n"/>
      <c r="AA285" s="60" t="n">
        <v>2</v>
      </c>
      <c r="AB285" s="60" t="n"/>
      <c r="AC285" s="60" t="n"/>
      <c r="AD285" s="60" t="n"/>
      <c r="AE285" s="60" t="n"/>
      <c r="AF285" s="60" t="n"/>
      <c r="AG285" s="60" t="n"/>
      <c r="AH285" s="60" t="n"/>
      <c r="AI285" s="60" t="n"/>
      <c r="AJ285" s="60" t="n"/>
      <c r="AK285" s="120">
        <f>IF(L285&gt;0,L285*90.44,0)+IF(M285&gt;0,M285*348.12,0)+IF(N285&gt;0,N285*151.63,0)+IF(O285&gt;0,O285*197.82,0)+IF(P285&gt;0,P285*244.09,0)+IF(Q285&gt;0,Q285*315.35,0)+IF(R285&gt;0,R285*1067.3,0)+IF(T285&gt;0,T285*567.47,0)+IF(U285&gt;0,U285*151.63,0)+IF(V285&gt;0,V285*197.84,0)+IF(W285&gt;0,W285*470.51,0)+IF(X285&gt;0,X285*701.69,0)+IF(Z285&gt;0,Z285*151.63,0)+IF(AA285&gt;0,AA285*197.84)+IF(AB285&gt;0,AB285*308.4,0)+IF(AC285&gt;0,AC285*496.16,0)</f>
        <v/>
      </c>
    </row>
    <row r="286">
      <c r="A286" s="58" t="inlineStr">
        <is>
          <t>rota</t>
        </is>
      </c>
      <c r="B286" s="59">
        <f>IF(H286&lt;$B$1,"VENCIDO","NA VALIDADE")</f>
        <v/>
      </c>
      <c r="C286" s="60" t="inlineStr">
        <is>
          <t>SUBESTAÇÃO</t>
        </is>
      </c>
      <c r="D286" s="61" t="inlineStr">
        <is>
          <t>SE FEIRA SUL</t>
        </is>
      </c>
      <c r="E286" s="62" t="inlineStr">
        <is>
          <t>FEIRA DE SANTANA</t>
        </is>
      </c>
      <c r="F286" s="61" t="inlineStr">
        <is>
          <t>FEIRA DE  SANTANA</t>
        </is>
      </c>
      <c r="G286" s="60" t="inlineStr">
        <is>
          <t>BA</t>
        </is>
      </c>
      <c r="H286" s="119" t="n">
        <v>45413</v>
      </c>
      <c r="I286" s="119" t="n">
        <v>45413</v>
      </c>
      <c r="J286" s="60">
        <f>SUM(L286:AE286)</f>
        <v/>
      </c>
      <c r="K286" s="60">
        <f>SUM(AF286:AJ286)</f>
        <v/>
      </c>
      <c r="L286" s="60" t="n"/>
      <c r="M286" s="60" t="n"/>
      <c r="N286" s="60" t="n"/>
      <c r="O286" s="60" t="n"/>
      <c r="P286" s="60" t="n"/>
      <c r="Q286" s="60" t="n">
        <v>14</v>
      </c>
      <c r="R286" s="60" t="n"/>
      <c r="S286" s="60" t="n"/>
      <c r="T286" s="60" t="n">
        <v>3</v>
      </c>
      <c r="U286" s="60" t="n"/>
      <c r="V286" s="60" t="n"/>
      <c r="W286" s="60" t="n"/>
      <c r="X286" s="60" t="n"/>
      <c r="Y286" s="60" t="n"/>
      <c r="Z286" s="60" t="n"/>
      <c r="AA286" s="60" t="n">
        <v>2</v>
      </c>
      <c r="AB286" s="60" t="n"/>
      <c r="AC286" s="60" t="n"/>
      <c r="AD286" s="60" t="n"/>
      <c r="AE286" s="60" t="n"/>
      <c r="AF286" s="60" t="n"/>
      <c r="AG286" s="60" t="n"/>
      <c r="AH286" s="60" t="n"/>
      <c r="AI286" s="60" t="n"/>
      <c r="AJ286" s="60" t="n"/>
      <c r="AK286" s="120">
        <f>IF(L286&gt;0,L286*90.44,0)+IF(M286&gt;0,M286*348.12,0)+IF(N286&gt;0,N286*151.63,0)+IF(O286&gt;0,O286*197.82,0)+IF(P286&gt;0,P286*244.09,0)+IF(Q286&gt;0,Q286*315.35,0)+IF(R286&gt;0,R286*1067.3,0)+IF(T286&gt;0,T286*567.47,0)+IF(U286&gt;0,U286*151.63,0)+IF(V286&gt;0,V286*197.84,0)+IF(W286&gt;0,W286*470.51,0)+IF(X286&gt;0,X286*701.69,0)+IF(Z286&gt;0,Z286*151.63,0)+IF(AA286&gt;0,AA286*197.84)+IF(AB286&gt;0,AB286*308.4,0)+IF(AC286&gt;0,AC286*496.16,0)</f>
        <v/>
      </c>
    </row>
    <row r="287">
      <c r="A287" s="58" t="inlineStr">
        <is>
          <t>rota</t>
        </is>
      </c>
      <c r="B287" s="59">
        <f>IF(H287&lt;$B$1,"VENCIDO","NA VALIDADE")</f>
        <v/>
      </c>
      <c r="C287" s="60" t="inlineStr">
        <is>
          <t>SUBESTAÇÃO</t>
        </is>
      </c>
      <c r="D287" s="61" t="inlineStr">
        <is>
          <t>SE FONTE NOVA</t>
        </is>
      </c>
      <c r="E287" s="62" t="inlineStr">
        <is>
          <t>SALVADOR</t>
        </is>
      </c>
      <c r="F287" s="61" t="inlineStr">
        <is>
          <t>FEIRA DE  SANTANA</t>
        </is>
      </c>
      <c r="G287" s="60" t="inlineStr">
        <is>
          <t>BA</t>
        </is>
      </c>
      <c r="H287" s="119" t="n">
        <v>45474</v>
      </c>
      <c r="I287" s="119">
        <f>H287-180</f>
        <v/>
      </c>
      <c r="J287" s="60">
        <f>SUM(L287:AE287)</f>
        <v/>
      </c>
      <c r="K287" s="60">
        <f>SUM(AF287:AJ287)</f>
        <v/>
      </c>
      <c r="L287" s="60" t="n"/>
      <c r="M287" s="60" t="n"/>
      <c r="N287" s="60" t="n"/>
      <c r="O287" s="60" t="n"/>
      <c r="P287" s="60" t="n"/>
      <c r="Q287" s="60" t="n">
        <v>3</v>
      </c>
      <c r="R287" s="60" t="n"/>
      <c r="S287" s="60" t="n"/>
      <c r="T287" s="60" t="n"/>
      <c r="U287" s="60" t="n"/>
      <c r="V287" s="60" t="n"/>
      <c r="W287" s="60" t="n"/>
      <c r="X287" s="60" t="n"/>
      <c r="Y287" s="60" t="n"/>
      <c r="Z287" s="60" t="n"/>
      <c r="AA287" s="60" t="n">
        <v>8</v>
      </c>
      <c r="AB287" s="60" t="n"/>
      <c r="AC287" s="60" t="n"/>
      <c r="AD287" s="60" t="n"/>
      <c r="AE287" s="60" t="n"/>
      <c r="AF287" s="60" t="n"/>
      <c r="AG287" s="60" t="n"/>
      <c r="AH287" s="60" t="n"/>
      <c r="AI287" s="60" t="n"/>
      <c r="AJ287" s="60" t="n"/>
      <c r="AK287" s="120">
        <f>IF(L287&gt;0,L287*90.44,0)+IF(M287&gt;0,M287*348.12,0)+IF(N287&gt;0,N287*151.63,0)+IF(O287&gt;0,O287*197.82,0)+IF(P287&gt;0,P287*244.09,0)+IF(Q287&gt;0,Q287*315.35,0)+IF(R287&gt;0,R287*1067.3,0)+IF(T287&gt;0,T287*567.47,0)+IF(U287&gt;0,U287*151.63,0)+IF(V287&gt;0,V287*197.84,0)+IF(W287&gt;0,W287*470.51,0)+IF(X287&gt;0,X287*701.69,0)+IF(Z287&gt;0,Z287*151.63,0)+IF(AA287&gt;0,AA287*197.84)+IF(AB287&gt;0,AB287*308.4,0)+IF(AC287&gt;0,AC287*496.16,0)</f>
        <v/>
      </c>
    </row>
    <row r="288" hidden="1">
      <c r="A288" s="58" t="inlineStr">
        <is>
          <t>rota</t>
        </is>
      </c>
      <c r="B288" s="59">
        <f>IF(H288&lt;$B$1,"VENCIDO","NA VALIDADE")</f>
        <v/>
      </c>
      <c r="C288" s="60" t="inlineStr">
        <is>
          <t>SUBESTAÇÃO</t>
        </is>
      </c>
      <c r="D288" s="61" t="inlineStr">
        <is>
          <t xml:space="preserve">SE FORMOSO </t>
        </is>
      </c>
      <c r="E288" s="62" t="inlineStr">
        <is>
          <t>BOM JESUS DA LAPA</t>
        </is>
      </c>
      <c r="F288" s="61" t="inlineStr">
        <is>
          <t>VITÓRIA DA CONQUISTA</t>
        </is>
      </c>
      <c r="G288" s="60" t="inlineStr">
        <is>
          <t>BA</t>
        </is>
      </c>
      <c r="H288" s="119" t="n">
        <v>45536</v>
      </c>
      <c r="I288" s="119">
        <f>H288-180</f>
        <v/>
      </c>
      <c r="J288" s="60">
        <f>SUM(L288:AE288)</f>
        <v/>
      </c>
      <c r="K288" s="60">
        <f>SUM(AF288:AJ288)</f>
        <v/>
      </c>
      <c r="L288" s="60" t="n"/>
      <c r="M288" s="60" t="n"/>
      <c r="N288" s="60" t="n"/>
      <c r="O288" s="60" t="n"/>
      <c r="P288" s="60" t="n"/>
      <c r="Q288" s="60" t="n">
        <v>1</v>
      </c>
      <c r="R288" s="60" t="n"/>
      <c r="S288" s="60" t="n"/>
      <c r="T288" s="60" t="n"/>
      <c r="U288" s="60" t="n"/>
      <c r="V288" s="60" t="n"/>
      <c r="W288" s="60" t="n"/>
      <c r="X288" s="60" t="n"/>
      <c r="Y288" s="60" t="n"/>
      <c r="Z288" s="60" t="n"/>
      <c r="AA288" s="60" t="n">
        <v>1</v>
      </c>
      <c r="AB288" s="60" t="n"/>
      <c r="AC288" s="60" t="n"/>
      <c r="AD288" s="60" t="n"/>
      <c r="AE288" s="60" t="n"/>
      <c r="AF288" s="60" t="n"/>
      <c r="AG288" s="60" t="n"/>
      <c r="AH288" s="60" t="n"/>
      <c r="AI288" s="60" t="n"/>
      <c r="AJ288" s="60" t="n"/>
      <c r="AK288" s="120">
        <f>IF(L288&gt;0,L288*90.44,0)+IF(M288&gt;0,M288*348.12,0)+IF(N288&gt;0,N288*151.63,0)+IF(O288&gt;0,O288*197.82,0)+IF(P288&gt;0,P288*244.09,0)+IF(Q288&gt;0,Q288*315.35,0)+IF(R288&gt;0,R288*1067.3,0)+IF(T288&gt;0,T288*567.47,0)+IF(U288&gt;0,U288*151.63,0)+IF(V288&gt;0,V288*197.84,0)+IF(W288&gt;0,W288*470.51,0)+IF(X288&gt;0,X288*701.69,0)+IF(Z288&gt;0,Z288*151.63,0)+IF(AA288&gt;0,AA288*197.84)+IF(AB288&gt;0,AB288*308.4,0)+IF(AC288&gt;0,AC288*496.16,0)</f>
        <v/>
      </c>
    </row>
    <row r="289">
      <c r="A289" s="58" t="inlineStr">
        <is>
          <t>SIM</t>
        </is>
      </c>
      <c r="B289" s="59">
        <f>IF(H289&lt;$B$1,"VENCIDO","NA VALIDADE")</f>
        <v/>
      </c>
      <c r="C289" s="60" t="inlineStr">
        <is>
          <t>SUBESTAÇÃO</t>
        </is>
      </c>
      <c r="D289" s="61" t="inlineStr">
        <is>
          <t>SE GLÓRIA II</t>
        </is>
      </c>
      <c r="E289" s="62" t="inlineStr">
        <is>
          <t>GLÓRIA</t>
        </is>
      </c>
      <c r="F289" s="61" t="inlineStr">
        <is>
          <t>FEIRA DE  SANTANA</t>
        </is>
      </c>
      <c r="G289" s="60" t="inlineStr">
        <is>
          <t>BA</t>
        </is>
      </c>
      <c r="H289" s="119" t="n">
        <v>45536</v>
      </c>
      <c r="I289" s="119">
        <f>H289-180</f>
        <v/>
      </c>
      <c r="J289" s="60">
        <f>SUM(L289:AE289)</f>
        <v/>
      </c>
      <c r="K289" s="60">
        <f>SUM(AF289:AJ289)</f>
        <v/>
      </c>
      <c r="L289" s="60" t="n"/>
      <c r="M289" s="60" t="n"/>
      <c r="N289" s="60" t="n"/>
      <c r="O289" s="60" t="n"/>
      <c r="P289" s="60" t="n"/>
      <c r="Q289" s="60" t="n">
        <v>2</v>
      </c>
      <c r="R289" s="60" t="n"/>
      <c r="S289" s="60" t="n"/>
      <c r="T289" s="60" t="n"/>
      <c r="U289" s="60" t="n"/>
      <c r="V289" s="60" t="n"/>
      <c r="W289" s="60" t="n"/>
      <c r="X289" s="60" t="n"/>
      <c r="Y289" s="60" t="n"/>
      <c r="Z289" s="60" t="n"/>
      <c r="AA289" s="60" t="n">
        <v>2</v>
      </c>
      <c r="AB289" s="60" t="n"/>
      <c r="AC289" s="60" t="n"/>
      <c r="AD289" s="60" t="n"/>
      <c r="AE289" s="60" t="n"/>
      <c r="AF289" s="60" t="n"/>
      <c r="AG289" s="60" t="n"/>
      <c r="AH289" s="60" t="n"/>
      <c r="AI289" s="60" t="n"/>
      <c r="AJ289" s="60" t="n"/>
      <c r="AK289" s="120">
        <f>IF(L289&gt;0,L289*90.44,0)+IF(M289&gt;0,M289*348.12,0)+IF(N289&gt;0,N289*151.63,0)+IF(O289&gt;0,O289*197.82,0)+IF(P289&gt;0,P289*244.09,0)+IF(Q289&gt;0,Q289*315.35,0)+IF(R289&gt;0,R289*1067.3,0)+IF(T289&gt;0,T289*567.47,0)+IF(U289&gt;0,U289*151.63,0)+IF(V289&gt;0,V289*197.84,0)+IF(W289&gt;0,W289*470.51,0)+IF(X289&gt;0,X289*701.69,0)+IF(Z289&gt;0,Z289*151.63,0)+IF(AA289&gt;0,AA289*197.84)+IF(AB289&gt;0,AB289*308.4,0)+IF(AC289&gt;0,AC289*496.16,0)</f>
        <v/>
      </c>
    </row>
    <row r="290">
      <c r="A290" s="58" t="inlineStr">
        <is>
          <t>LEONIDAS</t>
        </is>
      </c>
      <c r="B290" s="59">
        <f>IF(H290&lt;$B$1,"VENCIDO","NA VALIDADE")</f>
        <v/>
      </c>
      <c r="C290" s="60" t="inlineStr">
        <is>
          <t>SUBESTAÇÃO</t>
        </is>
      </c>
      <c r="D290" s="61" t="inlineStr">
        <is>
          <t>SE GRAÇA</t>
        </is>
      </c>
      <c r="E290" s="62" t="inlineStr">
        <is>
          <t>SALVADOR</t>
        </is>
      </c>
      <c r="F290" s="61" t="inlineStr">
        <is>
          <t>FEIRA DE  SANTANA</t>
        </is>
      </c>
      <c r="G290" s="60" t="inlineStr">
        <is>
          <t>BA</t>
        </is>
      </c>
      <c r="H290" s="119" t="n">
        <v>45292</v>
      </c>
      <c r="I290" s="119" t="n">
        <v>45292</v>
      </c>
      <c r="J290" s="60">
        <f>SUM(L290:AE290)</f>
        <v/>
      </c>
      <c r="K290" s="60">
        <f>SUM(AF290:AJ290)</f>
        <v/>
      </c>
      <c r="L290" s="60" t="n"/>
      <c r="M290" s="60" t="n"/>
      <c r="N290" s="60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  <c r="Y290" s="60" t="n"/>
      <c r="Z290" s="60" t="n"/>
      <c r="AA290" s="60" t="n">
        <v>3</v>
      </c>
      <c r="AB290" s="60" t="n"/>
      <c r="AC290" s="60" t="n"/>
      <c r="AD290" s="60" t="n"/>
      <c r="AE290" s="60" t="n"/>
      <c r="AF290" s="60" t="n"/>
      <c r="AG290" s="60" t="n"/>
      <c r="AH290" s="60" t="n"/>
      <c r="AI290" s="60" t="n"/>
      <c r="AJ290" s="60" t="n"/>
      <c r="AK290" s="120">
        <f>IF(L290&gt;0,L290*90.44,0)+IF(M290&gt;0,M290*348.12,0)+IF(N290&gt;0,N290*151.63,0)+IF(O290&gt;0,O290*197.82,0)+IF(P290&gt;0,P290*244.09,0)+IF(Q290&gt;0,Q290*315.35,0)+IF(R290&gt;0,R290*1067.3,0)+IF(T290&gt;0,T290*567.47,0)+IF(U290&gt;0,U290*151.63,0)+IF(V290&gt;0,V290*197.84,0)+IF(W290&gt;0,W290*470.51,0)+IF(X290&gt;0,X290*701.69,0)+IF(Z290&gt;0,Z290*151.63,0)+IF(AA290&gt;0,AA290*197.84)+IF(AB290&gt;0,AB290*308.4,0)+IF(AC290&gt;0,AC290*496.16,0)</f>
        <v/>
      </c>
    </row>
    <row r="291" hidden="1">
      <c r="A291" s="58" t="inlineStr">
        <is>
          <t>rota</t>
        </is>
      </c>
      <c r="B291" s="59">
        <f>IF(H291&lt;$B$1,"VENCIDO","NA VALIDADE")</f>
        <v/>
      </c>
      <c r="C291" s="60" t="inlineStr">
        <is>
          <t>SUBESTAÇÃO</t>
        </is>
      </c>
      <c r="D291" s="61" t="inlineStr">
        <is>
          <t>SE GUANAMBI</t>
        </is>
      </c>
      <c r="E291" s="62" t="inlineStr">
        <is>
          <t>GUANAMBI</t>
        </is>
      </c>
      <c r="F291" s="61" t="inlineStr">
        <is>
          <t>VITÓRIA DA CONQUISTA</t>
        </is>
      </c>
      <c r="G291" s="60" t="inlineStr">
        <is>
          <t>BA</t>
        </is>
      </c>
      <c r="H291" s="119" t="n">
        <v>45323</v>
      </c>
      <c r="I291" s="119" t="n">
        <v>45323</v>
      </c>
      <c r="J291" s="60">
        <f>SUM(L291:AE291)</f>
        <v/>
      </c>
      <c r="K291" s="60">
        <f>SUM(AF291:AJ291)</f>
        <v/>
      </c>
      <c r="L291" s="60" t="n"/>
      <c r="M291" s="60" t="n"/>
      <c r="N291" s="60" t="n"/>
      <c r="O291" s="60" t="n">
        <v>1</v>
      </c>
      <c r="P291" s="60" t="n"/>
      <c r="Q291" s="60" t="n">
        <v>9</v>
      </c>
      <c r="R291" s="60" t="n"/>
      <c r="S291" s="60" t="n"/>
      <c r="T291" s="60" t="n">
        <v>1</v>
      </c>
      <c r="U291" s="60" t="n"/>
      <c r="V291" s="60" t="n"/>
      <c r="W291" s="60" t="n"/>
      <c r="X291" s="60" t="n"/>
      <c r="Y291" s="60" t="n"/>
      <c r="Z291" s="60" t="n"/>
      <c r="AA291" s="60" t="n">
        <v>2</v>
      </c>
      <c r="AB291" s="60" t="n"/>
      <c r="AC291" s="60" t="n"/>
      <c r="AD291" s="60" t="n"/>
      <c r="AE291" s="60" t="n"/>
      <c r="AF291" s="60" t="n"/>
      <c r="AG291" s="60" t="n"/>
      <c r="AH291" s="60" t="n"/>
      <c r="AI291" s="60" t="n"/>
      <c r="AJ291" s="60" t="n"/>
      <c r="AK291" s="120">
        <f>IF(L291&gt;0,L291*90.44,0)+IF(M291&gt;0,M291*348.12,0)+IF(N291&gt;0,N291*151.63,0)+IF(O291&gt;0,O291*197.82,0)+IF(P291&gt;0,P291*244.09,0)+IF(Q291&gt;0,Q291*315.35,0)+IF(R291&gt;0,R291*1067.3,0)+IF(T291&gt;0,T291*567.47,0)+IF(U291&gt;0,U291*151.63,0)+IF(V291&gt;0,V291*197.84,0)+IF(W291&gt;0,W291*470.51,0)+IF(X291&gt;0,X291*701.69,0)+IF(Z291&gt;0,Z291*151.63,0)+IF(AA291&gt;0,AA291*197.84)+IF(AB291&gt;0,AB291*308.4,0)+IF(AC291&gt;0,AC291*496.16,0)</f>
        <v/>
      </c>
    </row>
    <row r="292">
      <c r="A292" s="58" t="inlineStr">
        <is>
          <t>SIM</t>
        </is>
      </c>
      <c r="B292" s="59">
        <f>IF(H292&lt;$B$1,"VENCIDO","NA VALIDADE")</f>
        <v/>
      </c>
      <c r="C292" s="60" t="inlineStr">
        <is>
          <t>SUBESTAÇÃO</t>
        </is>
      </c>
      <c r="D292" s="61" t="inlineStr">
        <is>
          <t>SE GUARAJUBA</t>
        </is>
      </c>
      <c r="E292" s="62" t="inlineStr">
        <is>
          <t>CAMAÇARI</t>
        </is>
      </c>
      <c r="F292" s="61" t="inlineStr">
        <is>
          <t>FEIRA DE  SANTANA</t>
        </is>
      </c>
      <c r="G292" s="60" t="inlineStr">
        <is>
          <t>BA</t>
        </is>
      </c>
      <c r="H292" s="119" t="n">
        <v>45444</v>
      </c>
      <c r="I292" s="119" t="n">
        <v>45444</v>
      </c>
      <c r="J292" s="60">
        <f>SUM(L292:AE292)</f>
        <v/>
      </c>
      <c r="K292" s="60">
        <f>SUM(AF292:AJ292)</f>
        <v/>
      </c>
      <c r="L292" s="60" t="n"/>
      <c r="M292" s="60" t="n"/>
      <c r="N292" s="60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  <c r="Y292" s="60" t="n"/>
      <c r="Z292" s="60" t="n"/>
      <c r="AA292" s="60" t="n">
        <v>2</v>
      </c>
      <c r="AB292" s="60" t="n">
        <v>2</v>
      </c>
      <c r="AC292" s="60" t="n"/>
      <c r="AD292" s="60" t="n"/>
      <c r="AE292" s="60" t="n"/>
      <c r="AF292" s="60" t="n"/>
      <c r="AG292" s="60" t="n"/>
      <c r="AH292" s="60" t="n"/>
      <c r="AI292" s="60" t="n"/>
      <c r="AJ292" s="60" t="n"/>
      <c r="AK292" s="120">
        <f>IF(L292&gt;0,L292*90.44,0)+IF(M292&gt;0,M292*348.12,0)+IF(N292&gt;0,N292*151.63,0)+IF(O292&gt;0,O292*197.82,0)+IF(P292&gt;0,P292*244.09,0)+IF(Q292&gt;0,Q292*315.35,0)+IF(R292&gt;0,R292*1067.3,0)+IF(T292&gt;0,T292*567.47,0)+IF(U292&gt;0,U292*151.63,0)+IF(V292&gt;0,V292*197.84,0)+IF(W292&gt;0,W292*470.51,0)+IF(X292&gt;0,X292*701.69,0)+IF(Z292&gt;0,Z292*151.63,0)+IF(AA292&gt;0,AA292*197.84)+IF(AB292&gt;0,AB292*308.4,0)+IF(AC292&gt;0,AC292*496.16,0)</f>
        <v/>
      </c>
    </row>
    <row r="293" hidden="1">
      <c r="A293" s="58" t="inlineStr">
        <is>
          <t>SIM</t>
        </is>
      </c>
      <c r="B293" s="59">
        <f>IF(H293&lt;$B$1,"VENCIDO","NA VALIDADE")</f>
        <v/>
      </c>
      <c r="C293" s="60" t="inlineStr">
        <is>
          <t>SUBESTAÇÃO</t>
        </is>
      </c>
      <c r="D293" s="61" t="inlineStr">
        <is>
          <t>SE IAÇU</t>
        </is>
      </c>
      <c r="E293" s="62" t="inlineStr">
        <is>
          <t>IAÇU</t>
        </is>
      </c>
      <c r="F293" s="61" t="inlineStr">
        <is>
          <t>VITÓRIA DA CONQUISTA</t>
        </is>
      </c>
      <c r="G293" s="60" t="inlineStr">
        <is>
          <t>BA</t>
        </is>
      </c>
      <c r="H293" s="119" t="n">
        <v>45474</v>
      </c>
      <c r="I293" s="119">
        <f>H293-180</f>
        <v/>
      </c>
      <c r="J293" s="60">
        <f>SUM(L293:AE293)</f>
        <v/>
      </c>
      <c r="K293" s="60">
        <f>SUM(AF293:AJ293)</f>
        <v/>
      </c>
      <c r="L293" s="60" t="n"/>
      <c r="M293" s="60" t="n"/>
      <c r="N293" s="60" t="n"/>
      <c r="O293" s="60" t="n"/>
      <c r="P293" s="60" t="n">
        <v>2</v>
      </c>
      <c r="Q293" s="60" t="n"/>
      <c r="R293" s="60" t="n"/>
      <c r="S293" s="60" t="n"/>
      <c r="T293" s="60" t="n">
        <v>1</v>
      </c>
      <c r="U293" s="60" t="n"/>
      <c r="V293" s="60" t="n"/>
      <c r="W293" s="60" t="n"/>
      <c r="X293" s="60" t="n"/>
      <c r="Y293" s="60" t="n"/>
      <c r="Z293" s="60" t="n"/>
      <c r="AA293" s="60" t="n">
        <v>2</v>
      </c>
      <c r="AB293" s="60" t="n"/>
      <c r="AC293" s="60" t="n"/>
      <c r="AD293" s="60" t="n"/>
      <c r="AE293" s="60" t="n"/>
      <c r="AF293" s="60" t="n"/>
      <c r="AG293" s="60" t="n"/>
      <c r="AH293" s="60" t="n"/>
      <c r="AI293" s="60" t="n"/>
      <c r="AJ293" s="60" t="n"/>
      <c r="AK293" s="120">
        <f>IF(L293&gt;0,L293*90.44,0)+IF(M293&gt;0,M293*348.12,0)+IF(N293&gt;0,N293*151.63,0)+IF(O293&gt;0,O293*197.82,0)+IF(P293&gt;0,P293*244.09,0)+IF(Q293&gt;0,Q293*315.35,0)+IF(R293&gt;0,R293*1067.3,0)+IF(T293&gt;0,T293*567.47,0)+IF(U293&gt;0,U293*151.63,0)+IF(V293&gt;0,V293*197.84,0)+IF(W293&gt;0,W293*470.51,0)+IF(X293&gt;0,X293*701.69,0)+IF(Z293&gt;0,Z293*151.63,0)+IF(AA293&gt;0,AA293*197.84)+IF(AB293&gt;0,AB293*308.4,0)+IF(AC293&gt;0,AC293*496.16,0)</f>
        <v/>
      </c>
    </row>
    <row r="294" hidden="1">
      <c r="A294" s="58" t="inlineStr">
        <is>
          <t>FEIRA 06/12</t>
        </is>
      </c>
      <c r="B294" s="59">
        <f>IF(H294&lt;$B$1,"VENCIDO","NA VALIDADE")</f>
        <v/>
      </c>
      <c r="C294" s="60" t="inlineStr">
        <is>
          <t>SUBESTAÇÃO</t>
        </is>
      </c>
      <c r="D294" s="61" t="inlineStr">
        <is>
          <t>SE IBICARAI</t>
        </is>
      </c>
      <c r="E294" s="62" t="inlineStr">
        <is>
          <t>IBICARAÍ</t>
        </is>
      </c>
      <c r="F294" s="61" t="inlineStr">
        <is>
          <t>ILHÉUS</t>
        </is>
      </c>
      <c r="G294" s="60" t="inlineStr">
        <is>
          <t>BA</t>
        </is>
      </c>
      <c r="H294" s="119" t="n">
        <v>45505</v>
      </c>
      <c r="I294" s="119">
        <f>H294-180</f>
        <v/>
      </c>
      <c r="J294" s="60">
        <f>SUM(L294:AE294)</f>
        <v/>
      </c>
      <c r="K294" s="60">
        <f>SUM(AF294:AJ294)</f>
        <v/>
      </c>
      <c r="L294" s="60" t="n"/>
      <c r="M294" s="60" t="n"/>
      <c r="N294" s="60" t="n"/>
      <c r="O294" s="60" t="n">
        <v>1</v>
      </c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  <c r="Y294" s="60" t="n"/>
      <c r="Z294" s="60" t="n"/>
      <c r="AA294" s="60" t="n">
        <v>1</v>
      </c>
      <c r="AB294" s="60" t="n"/>
      <c r="AC294" s="60" t="n"/>
      <c r="AD294" s="60" t="n"/>
      <c r="AE294" s="60" t="n"/>
      <c r="AF294" s="60" t="n"/>
      <c r="AG294" s="60" t="n"/>
      <c r="AH294" s="60" t="n"/>
      <c r="AI294" s="60" t="n"/>
      <c r="AJ294" s="60" t="n"/>
      <c r="AK294" s="120">
        <f>IF(L294&gt;0,L294*90.44,0)+IF(M294&gt;0,M294*348.12,0)+IF(N294&gt;0,N294*151.63,0)+IF(O294&gt;0,O294*197.82,0)+IF(P294&gt;0,P294*244.09,0)+IF(Q294&gt;0,Q294*315.35,0)+IF(R294&gt;0,R294*1067.3,0)+IF(T294&gt;0,T294*567.47,0)+IF(U294&gt;0,U294*151.63,0)+IF(V294&gt;0,V294*197.84,0)+IF(W294&gt;0,W294*470.51,0)+IF(X294&gt;0,X294*701.69,0)+IF(Z294&gt;0,Z294*151.63,0)+IF(AA294&gt;0,AA294*197.84)+IF(AB294&gt;0,AB294*308.4,0)+IF(AC294&gt;0,AC294*496.16,0)</f>
        <v/>
      </c>
    </row>
    <row r="295" hidden="1">
      <c r="A295" s="58" t="inlineStr">
        <is>
          <t>FEIRA 06/12</t>
        </is>
      </c>
      <c r="B295" s="59">
        <f>IF(H295&lt;$B$1,"VENCIDO","NA VALIDADE")</f>
        <v/>
      </c>
      <c r="C295" s="60" t="inlineStr">
        <is>
          <t>SUBESTAÇÃO</t>
        </is>
      </c>
      <c r="D295" s="61" t="inlineStr">
        <is>
          <t>SE IBICUÍ</t>
        </is>
      </c>
      <c r="E295" s="62" t="inlineStr">
        <is>
          <t>IBICUÍ</t>
        </is>
      </c>
      <c r="F295" s="61" t="inlineStr">
        <is>
          <t>VITÓRIA DA CONQUISTA</t>
        </is>
      </c>
      <c r="G295" s="60" t="inlineStr">
        <is>
          <t>BA</t>
        </is>
      </c>
      <c r="H295" s="119" t="n">
        <v>45352</v>
      </c>
      <c r="I295" s="119" t="n">
        <v>45352</v>
      </c>
      <c r="J295" s="60">
        <f>SUM(L295:AE295)</f>
        <v/>
      </c>
      <c r="K295" s="60">
        <f>SUM(AF295:AJ295)</f>
        <v/>
      </c>
      <c r="L295" s="60" t="n"/>
      <c r="M295" s="60" t="n"/>
      <c r="N295" s="60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  <c r="Y295" s="60" t="n"/>
      <c r="Z295" s="60" t="n"/>
      <c r="AA295" s="60" t="n">
        <v>1</v>
      </c>
      <c r="AB295" s="60" t="n"/>
      <c r="AC295" s="60" t="n"/>
      <c r="AD295" s="60" t="n"/>
      <c r="AE295" s="60" t="n"/>
      <c r="AF295" s="60" t="n"/>
      <c r="AG295" s="60" t="n"/>
      <c r="AH295" s="60" t="n"/>
      <c r="AI295" s="60" t="n"/>
      <c r="AJ295" s="60" t="n"/>
      <c r="AK295" s="120">
        <f>IF(L295&gt;0,L295*90.44,0)+IF(M295&gt;0,M295*348.12,0)+IF(N295&gt;0,N295*151.63,0)+IF(O295&gt;0,O295*197.82,0)+IF(P295&gt;0,P295*244.09,0)+IF(Q295&gt;0,Q295*315.35,0)+IF(R295&gt;0,R295*1067.3,0)+IF(T295&gt;0,T295*567.47,0)+IF(U295&gt;0,U295*151.63,0)+IF(V295&gt;0,V295*197.84,0)+IF(W295&gt;0,W295*470.51,0)+IF(X295&gt;0,X295*701.69,0)+IF(Z295&gt;0,Z295*151.63,0)+IF(AA295&gt;0,AA295*197.84)+IF(AB295&gt;0,AB295*308.4,0)+IF(AC295&gt;0,AC295*496.16,0)</f>
        <v/>
      </c>
    </row>
    <row r="296">
      <c r="A296" s="58" t="n"/>
      <c r="B296" s="59">
        <f>IF(H296&lt;$B$1,"VENCIDO","NA VALIDADE")</f>
        <v/>
      </c>
      <c r="C296" s="60" t="inlineStr">
        <is>
          <t>SUBESTAÇÃO</t>
        </is>
      </c>
      <c r="D296" s="61" t="inlineStr">
        <is>
          <t>SE IBIPEBA</t>
        </is>
      </c>
      <c r="E296" s="62" t="inlineStr">
        <is>
          <t>IBIPEBA</t>
        </is>
      </c>
      <c r="F296" s="61" t="inlineStr">
        <is>
          <t>FEIRA DE  SANTANA</t>
        </is>
      </c>
      <c r="G296" s="60" t="inlineStr">
        <is>
          <t>BA</t>
        </is>
      </c>
      <c r="H296" s="119" t="n">
        <v>45474</v>
      </c>
      <c r="I296" s="119">
        <f>H296-180</f>
        <v/>
      </c>
      <c r="J296" s="60">
        <f>SUM(L296:AE296)</f>
        <v/>
      </c>
      <c r="K296" s="60">
        <f>SUM(AF296:AJ296)</f>
        <v/>
      </c>
      <c r="L296" s="60" t="n"/>
      <c r="M296" s="60" t="n"/>
      <c r="N296" s="60" t="n"/>
      <c r="O296" s="60" t="n"/>
      <c r="P296" s="60" t="n"/>
      <c r="Q296" s="60" t="n">
        <v>1</v>
      </c>
      <c r="R296" s="60" t="n"/>
      <c r="S296" s="60" t="n"/>
      <c r="T296" s="60" t="n"/>
      <c r="U296" s="60" t="n"/>
      <c r="V296" s="60" t="n"/>
      <c r="W296" s="60" t="n"/>
      <c r="X296" s="60" t="n"/>
      <c r="Y296" s="60" t="n"/>
      <c r="Z296" s="60" t="n"/>
      <c r="AA296" s="60" t="n">
        <v>1</v>
      </c>
      <c r="AB296" s="60" t="n"/>
      <c r="AC296" s="60" t="n"/>
      <c r="AD296" s="60" t="n"/>
      <c r="AE296" s="60" t="n"/>
      <c r="AF296" s="60" t="n"/>
      <c r="AG296" s="60" t="n"/>
      <c r="AH296" s="60" t="n"/>
      <c r="AI296" s="60" t="n"/>
      <c r="AJ296" s="60" t="n"/>
      <c r="AK296" s="120">
        <f>IF(L296&gt;0,L296*90.44,0)+IF(M296&gt;0,M296*348.12,0)+IF(N296&gt;0,N296*151.63,0)+IF(O296&gt;0,O296*197.82,0)+IF(P296&gt;0,P296*244.09,0)+IF(Q296&gt;0,Q296*315.35,0)+IF(R296&gt;0,R296*1067.3,0)+IF(T296&gt;0,T296*567.47,0)+IF(U296&gt;0,U296*151.63,0)+IF(V296&gt;0,V296*197.84,0)+IF(W296&gt;0,W296*470.51,0)+IF(X296&gt;0,X296*701.69,0)+IF(Z296&gt;0,Z296*151.63,0)+IF(AA296&gt;0,AA296*197.84)+IF(AB296&gt;0,AB296*308.4,0)+IF(AC296&gt;0,AC296*496.16,0)</f>
        <v/>
      </c>
    </row>
    <row r="297" hidden="1">
      <c r="A297" s="58" t="n"/>
      <c r="B297" s="59">
        <f>IF(H297&lt;$B$1,"VENCIDO","NA VALIDADE")</f>
        <v/>
      </c>
      <c r="C297" s="60" t="inlineStr">
        <is>
          <t>SUBESTAÇÃO</t>
        </is>
      </c>
      <c r="D297" s="61" t="inlineStr">
        <is>
          <t>SE IBITIARA</t>
        </is>
      </c>
      <c r="E297" s="62" t="inlineStr">
        <is>
          <t>IBITIARA</t>
        </is>
      </c>
      <c r="F297" s="61" t="inlineStr">
        <is>
          <t>VITÓRIA DA CONQUISTA</t>
        </is>
      </c>
      <c r="G297" s="60" t="inlineStr">
        <is>
          <t>BA</t>
        </is>
      </c>
      <c r="H297" s="119" t="n">
        <v>45444</v>
      </c>
      <c r="I297" s="119" t="n">
        <v>45444</v>
      </c>
      <c r="J297" s="60">
        <f>SUM(L297:AE297)</f>
        <v/>
      </c>
      <c r="K297" s="60">
        <f>SUM(AF297:AJ297)</f>
        <v/>
      </c>
      <c r="L297" s="60" t="n"/>
      <c r="M297" s="60" t="n"/>
      <c r="N297" s="60" t="n"/>
      <c r="O297" s="60" t="n"/>
      <c r="P297" s="60" t="n"/>
      <c r="Q297" s="60" t="n">
        <v>1</v>
      </c>
      <c r="R297" s="60" t="n"/>
      <c r="S297" s="60" t="n"/>
      <c r="T297" s="60" t="n"/>
      <c r="U297" s="60" t="n"/>
      <c r="V297" s="60" t="n"/>
      <c r="W297" s="60" t="n"/>
      <c r="X297" s="60" t="n"/>
      <c r="Y297" s="60" t="n"/>
      <c r="Z297" s="60" t="n"/>
      <c r="AA297" s="60" t="n">
        <v>1</v>
      </c>
      <c r="AB297" s="60" t="n"/>
      <c r="AC297" s="60" t="n"/>
      <c r="AD297" s="60" t="n"/>
      <c r="AE297" s="60" t="n"/>
      <c r="AF297" s="60" t="n"/>
      <c r="AG297" s="60" t="n"/>
      <c r="AH297" s="60" t="n"/>
      <c r="AI297" s="60" t="n"/>
      <c r="AJ297" s="60" t="n"/>
      <c r="AK297" s="120">
        <f>IF(L297&gt;0,L297*90.44,0)+IF(M297&gt;0,M297*348.12,0)+IF(N297&gt;0,N297*151.63,0)+IF(O297&gt;0,O297*197.82,0)+IF(P297&gt;0,P297*244.09,0)+IF(Q297&gt;0,Q297*315.35,0)+IF(R297&gt;0,R297*1067.3,0)+IF(T297&gt;0,T297*567.47,0)+IF(U297&gt;0,U297*151.63,0)+IF(V297&gt;0,V297*197.84,0)+IF(W297&gt;0,W297*470.51,0)+IF(X297&gt;0,X297*701.69,0)+IF(Z297&gt;0,Z297*151.63,0)+IF(AA297&gt;0,AA297*197.84)+IF(AB297&gt;0,AB297*308.4,0)+IF(AC297&gt;0,AC297*496.16,0)</f>
        <v/>
      </c>
    </row>
    <row r="298">
      <c r="A298" s="58" t="n"/>
      <c r="B298" s="59">
        <f>IF(H298&lt;$B$1,"VENCIDO","NA VALIDADE")</f>
        <v/>
      </c>
      <c r="C298" s="60" t="inlineStr">
        <is>
          <t>SUBESTAÇÃO</t>
        </is>
      </c>
      <c r="D298" s="61" t="inlineStr">
        <is>
          <t>SE IBOTIRAMA</t>
        </is>
      </c>
      <c r="E298" s="62" t="inlineStr">
        <is>
          <t>IBOTIRAMA</t>
        </is>
      </c>
      <c r="F298" s="61" t="inlineStr">
        <is>
          <t>FEIRA DE  SANTANA</t>
        </is>
      </c>
      <c r="G298" s="60" t="inlineStr">
        <is>
          <t>BA</t>
        </is>
      </c>
      <c r="H298" s="119" t="n">
        <v>45323</v>
      </c>
      <c r="I298" s="119" t="n">
        <v>45323</v>
      </c>
      <c r="J298" s="60">
        <f>SUM(L298:AE298)</f>
        <v/>
      </c>
      <c r="K298" s="60">
        <f>SUM(AF298:AJ298)</f>
        <v/>
      </c>
      <c r="L298" s="60" t="n"/>
      <c r="M298" s="60" t="n"/>
      <c r="N298" s="60" t="n"/>
      <c r="O298" s="60" t="n"/>
      <c r="P298" s="60" t="n"/>
      <c r="Q298" s="60" t="n">
        <v>1</v>
      </c>
      <c r="R298" s="60" t="n"/>
      <c r="S298" s="60" t="n"/>
      <c r="T298" s="60" t="n">
        <v>1</v>
      </c>
      <c r="U298" s="60" t="n"/>
      <c r="V298" s="60" t="n"/>
      <c r="W298" s="60" t="n"/>
      <c r="X298" s="60" t="n"/>
      <c r="Y298" s="60" t="n"/>
      <c r="Z298" s="60" t="n"/>
      <c r="AA298" s="60" t="n">
        <v>1</v>
      </c>
      <c r="AB298" s="60" t="n"/>
      <c r="AC298" s="60" t="n"/>
      <c r="AD298" s="60" t="n"/>
      <c r="AE298" s="60" t="n"/>
      <c r="AF298" s="60" t="n"/>
      <c r="AG298" s="60" t="n"/>
      <c r="AH298" s="60" t="n"/>
      <c r="AI298" s="60" t="n"/>
      <c r="AJ298" s="60" t="n"/>
      <c r="AK298" s="120">
        <f>IF(L298&gt;0,L298*90.44,0)+IF(M298&gt;0,M298*348.12,0)+IF(N298&gt;0,N298*151.63,0)+IF(O298&gt;0,O298*197.82,0)+IF(P298&gt;0,P298*244.09,0)+IF(Q298&gt;0,Q298*315.35,0)+IF(R298&gt;0,R298*1067.3,0)+IF(T298&gt;0,T298*567.47,0)+IF(U298&gt;0,U298*151.63,0)+IF(V298&gt;0,V298*197.84,0)+IF(W298&gt;0,W298*470.51,0)+IF(X298&gt;0,X298*701.69,0)+IF(Z298&gt;0,Z298*151.63,0)+IF(AA298&gt;0,AA298*197.84)+IF(AB298&gt;0,AB298*308.4,0)+IF(AC298&gt;0,AC298*496.16,0)</f>
        <v/>
      </c>
    </row>
    <row r="299" hidden="1">
      <c r="A299" s="58" t="inlineStr">
        <is>
          <t>LUCIANO</t>
        </is>
      </c>
      <c r="B299" s="59">
        <f>IF(H299&lt;$B$1,"VENCIDO","NA VALIDADE")</f>
        <v/>
      </c>
      <c r="C299" s="60" t="inlineStr">
        <is>
          <t>SUBESTAÇÃO</t>
        </is>
      </c>
      <c r="D299" s="61" t="inlineStr">
        <is>
          <t>SE IGAPORÃ</t>
        </is>
      </c>
      <c r="E299" s="62" t="inlineStr">
        <is>
          <t>IGAPORÃ</t>
        </is>
      </c>
      <c r="F299" s="61" t="inlineStr">
        <is>
          <t>VITÓRIA DA CONQUISTA</t>
        </is>
      </c>
      <c r="G299" s="60" t="inlineStr">
        <is>
          <t>BA</t>
        </is>
      </c>
      <c r="H299" s="119" t="n">
        <v>45536</v>
      </c>
      <c r="I299" s="119">
        <f>H299-180</f>
        <v/>
      </c>
      <c r="J299" s="60">
        <f>SUM(L299:AE299)</f>
        <v/>
      </c>
      <c r="K299" s="60">
        <f>SUM(AF299:AJ299)</f>
        <v/>
      </c>
      <c r="L299" s="60" t="n"/>
      <c r="M299" s="60" t="n"/>
      <c r="N299" s="60" t="n"/>
      <c r="O299" s="60" t="n"/>
      <c r="P299" s="60" t="n"/>
      <c r="Q299" s="60" t="n">
        <v>6</v>
      </c>
      <c r="R299" s="60" t="n"/>
      <c r="S299" s="60" t="n"/>
      <c r="T299" s="60" t="n">
        <v>1</v>
      </c>
      <c r="U299" s="60" t="n"/>
      <c r="V299" s="60" t="n"/>
      <c r="W299" s="60" t="n"/>
      <c r="X299" s="60" t="n"/>
      <c r="Y299" s="60" t="n"/>
      <c r="Z299" s="60" t="n"/>
      <c r="AA299" s="60" t="n">
        <v>2</v>
      </c>
      <c r="AB299" s="60" t="n"/>
      <c r="AC299" s="60" t="n"/>
      <c r="AD299" s="60" t="n"/>
      <c r="AE299" s="60" t="n"/>
      <c r="AF299" s="60" t="n"/>
      <c r="AG299" s="60" t="n"/>
      <c r="AH299" s="60" t="n"/>
      <c r="AI299" s="60" t="n"/>
      <c r="AJ299" s="60" t="n"/>
      <c r="AK299" s="120">
        <f>IF(L299&gt;0,L299*90.44,0)+IF(M299&gt;0,M299*348.12,0)+IF(N299&gt;0,N299*151.63,0)+IF(O299&gt;0,O299*197.82,0)+IF(P299&gt;0,P299*244.09,0)+IF(Q299&gt;0,Q299*315.35,0)+IF(R299&gt;0,R299*1067.3,0)+IF(T299&gt;0,T299*567.47,0)+IF(U299&gt;0,U299*151.63,0)+IF(V299&gt;0,V299*197.84,0)+IF(W299&gt;0,W299*470.51,0)+IF(X299&gt;0,X299*701.69,0)+IF(Z299&gt;0,Z299*151.63,0)+IF(AA299&gt;0,AA299*197.84)+IF(AB299&gt;0,AB299*308.4,0)+IF(AC299&gt;0,AC299*496.16,0)</f>
        <v/>
      </c>
    </row>
    <row r="300">
      <c r="A300" s="58" t="inlineStr">
        <is>
          <t>SIM</t>
        </is>
      </c>
      <c r="B300" s="59">
        <f>IF(H300&lt;$B$1,"VENCIDO","NA VALIDADE")</f>
        <v/>
      </c>
      <c r="C300" s="60" t="inlineStr">
        <is>
          <t>SUBESTAÇÃO</t>
        </is>
      </c>
      <c r="D300" s="61" t="inlineStr">
        <is>
          <t>SE IMBUÍ</t>
        </is>
      </c>
      <c r="E300" s="62" t="inlineStr">
        <is>
          <t>SALVADOR</t>
        </is>
      </c>
      <c r="F300" s="61" t="inlineStr">
        <is>
          <t>FEIRA DE  SANTANA</t>
        </is>
      </c>
      <c r="G300" s="60" t="inlineStr">
        <is>
          <t>BA</t>
        </is>
      </c>
      <c r="H300" s="119" t="n">
        <v>45292</v>
      </c>
      <c r="I300" s="119" t="n">
        <v>45292</v>
      </c>
      <c r="J300" s="60">
        <f>SUM(L300:AE300)</f>
        <v/>
      </c>
      <c r="K300" s="60">
        <f>SUM(AF300:AJ300)</f>
        <v/>
      </c>
      <c r="L300" s="60" t="n"/>
      <c r="M300" s="60" t="n"/>
      <c r="N300" s="60" t="n"/>
      <c r="O300" s="60" t="n"/>
      <c r="P300" s="60" t="n"/>
      <c r="Q300" s="60" t="n">
        <v>2</v>
      </c>
      <c r="R300" s="60" t="n"/>
      <c r="S300" s="60" t="n"/>
      <c r="T300" s="60" t="n"/>
      <c r="U300" s="60" t="n"/>
      <c r="V300" s="60" t="n"/>
      <c r="W300" s="60" t="n"/>
      <c r="X300" s="60" t="n"/>
      <c r="Y300" s="60" t="n"/>
      <c r="Z300" s="60" t="n"/>
      <c r="AA300" s="60" t="n">
        <v>2</v>
      </c>
      <c r="AB300" s="60" t="n"/>
      <c r="AC300" s="60" t="n"/>
      <c r="AD300" s="60" t="n"/>
      <c r="AE300" s="60" t="n"/>
      <c r="AF300" s="60" t="n"/>
      <c r="AG300" s="60" t="n"/>
      <c r="AH300" s="60" t="n"/>
      <c r="AI300" s="60" t="n"/>
      <c r="AJ300" s="60" t="n"/>
      <c r="AK300" s="120">
        <f>IF(L300&gt;0,L300*90.44,0)+IF(M300&gt;0,M300*348.12,0)+IF(N300&gt;0,N300*151.63,0)+IF(O300&gt;0,O300*197.82,0)+IF(P300&gt;0,P300*244.09,0)+IF(Q300&gt;0,Q300*315.35,0)+IF(R300&gt;0,R300*1067.3,0)+IF(T300&gt;0,T300*567.47,0)+IF(U300&gt;0,U300*151.63,0)+IF(V300&gt;0,V300*197.84,0)+IF(W300&gt;0,W300*470.51,0)+IF(X300&gt;0,X300*701.69,0)+IF(Z300&gt;0,Z300*151.63,0)+IF(AA300&gt;0,AA300*197.84)+IF(AB300&gt;0,AB300*308.4,0)+IF(AC300&gt;0,AC300*496.16,0)</f>
        <v/>
      </c>
    </row>
    <row r="301" hidden="1">
      <c r="A301" s="58" t="inlineStr">
        <is>
          <t>SIM</t>
        </is>
      </c>
      <c r="B301" s="59">
        <f>IF(H301&lt;$B$1,"VENCIDO","NA VALIDADE")</f>
        <v/>
      </c>
      <c r="C301" s="60" t="inlineStr">
        <is>
          <t>SUBESTAÇÃO</t>
        </is>
      </c>
      <c r="D301" s="61" t="inlineStr">
        <is>
          <t>SE INDÚSTRIAS NUCLEARES DO BRASIL</t>
        </is>
      </c>
      <c r="E301" s="62" t="inlineStr">
        <is>
          <t>CAETITÉ</t>
        </is>
      </c>
      <c r="F301" s="61" t="inlineStr">
        <is>
          <t>VITÓRIA DA CONQUISTA</t>
        </is>
      </c>
      <c r="G301" s="60" t="inlineStr">
        <is>
          <t>BA</t>
        </is>
      </c>
      <c r="H301" s="119" t="n">
        <v>45474</v>
      </c>
      <c r="I301" s="119" t="n">
        <v>45474</v>
      </c>
      <c r="J301" s="60">
        <f>SUM(L301:AE301)</f>
        <v/>
      </c>
      <c r="K301" s="60">
        <f>SUM(AF301:AJ301)</f>
        <v/>
      </c>
      <c r="L301" s="60" t="n"/>
      <c r="M301" s="60" t="n"/>
      <c r="N301" s="60" t="n"/>
      <c r="O301" s="60" t="n"/>
      <c r="P301" s="60" t="n"/>
      <c r="Q301" s="60" t="n">
        <v>1</v>
      </c>
      <c r="R301" s="60" t="n"/>
      <c r="S301" s="60" t="n"/>
      <c r="T301" s="60" t="n"/>
      <c r="U301" s="60" t="n"/>
      <c r="V301" s="60" t="n"/>
      <c r="W301" s="60" t="n"/>
      <c r="X301" s="60" t="n"/>
      <c r="Y301" s="60" t="n"/>
      <c r="Z301" s="60" t="n"/>
      <c r="AA301" s="60" t="n">
        <v>1</v>
      </c>
      <c r="AB301" s="60" t="n"/>
      <c r="AC301" s="60" t="n"/>
      <c r="AD301" s="60" t="n"/>
      <c r="AE301" s="60" t="n"/>
      <c r="AF301" s="60" t="n"/>
      <c r="AG301" s="60" t="n"/>
      <c r="AH301" s="60" t="n"/>
      <c r="AI301" s="60" t="n"/>
      <c r="AJ301" s="60" t="n"/>
      <c r="AK301" s="120">
        <f>IF(L301&gt;0,L301*90.44,0)+IF(M301&gt;0,M301*348.12,0)+IF(N301&gt;0,N301*151.63,0)+IF(O301&gt;0,O301*197.82,0)+IF(P301&gt;0,P301*244.09,0)+IF(Q301&gt;0,Q301*315.35,0)+IF(R301&gt;0,R301*1067.3,0)+IF(T301&gt;0,T301*567.47,0)+IF(U301&gt;0,U301*151.63,0)+IF(V301&gt;0,V301*197.84,0)+IF(W301&gt;0,W301*470.51,0)+IF(X301&gt;0,X301*701.69,0)+IF(Z301&gt;0,Z301*151.63,0)+IF(AA301&gt;0,AA301*197.84)+IF(AB301&gt;0,AB301*308.4,0)+IF(AC301&gt;0,AC301*496.16,0)</f>
        <v/>
      </c>
    </row>
    <row r="302">
      <c r="A302" s="58" t="inlineStr">
        <is>
          <t>SIM</t>
        </is>
      </c>
      <c r="B302" s="59">
        <f>IF(H302&lt;$B$1,"VENCIDO","NA VALIDADE")</f>
        <v/>
      </c>
      <c r="C302" s="60" t="inlineStr">
        <is>
          <t>SUBESTAÇÃO</t>
        </is>
      </c>
      <c r="D302" s="61" t="inlineStr">
        <is>
          <t>SE INHAMBUPE</t>
        </is>
      </c>
      <c r="E302" s="62" t="inlineStr">
        <is>
          <t>INHAMBUPE</t>
        </is>
      </c>
      <c r="F302" s="61" t="inlineStr">
        <is>
          <t>FEIRA DE  SANTANA</t>
        </is>
      </c>
      <c r="G302" s="60" t="inlineStr">
        <is>
          <t>BA</t>
        </is>
      </c>
      <c r="H302" s="119" t="n">
        <v>45566</v>
      </c>
      <c r="I302" s="119">
        <f>H302-180</f>
        <v/>
      </c>
      <c r="J302" s="60">
        <f>SUM(L302:AE302)</f>
        <v/>
      </c>
      <c r="K302" s="60">
        <f>SUM(AF302:AJ302)</f>
        <v/>
      </c>
      <c r="L302" s="60" t="n"/>
      <c r="M302" s="60" t="n"/>
      <c r="N302" s="60" t="n"/>
      <c r="O302" s="60" t="n"/>
      <c r="P302" s="60" t="n"/>
      <c r="Q302" s="60" t="n">
        <v>1</v>
      </c>
      <c r="R302" s="60" t="n"/>
      <c r="S302" s="60" t="n"/>
      <c r="T302" s="60" t="n"/>
      <c r="U302" s="60" t="n"/>
      <c r="V302" s="60" t="n"/>
      <c r="W302" s="60" t="n"/>
      <c r="X302" s="60" t="n"/>
      <c r="Y302" s="60" t="n"/>
      <c r="Z302" s="60" t="n"/>
      <c r="AA302" s="60" t="n">
        <v>1</v>
      </c>
      <c r="AB302" s="60" t="n"/>
      <c r="AC302" s="60" t="n"/>
      <c r="AD302" s="60" t="n"/>
      <c r="AE302" s="60" t="n"/>
      <c r="AF302" s="60" t="n"/>
      <c r="AG302" s="60" t="n"/>
      <c r="AH302" s="60" t="n"/>
      <c r="AI302" s="60" t="n"/>
      <c r="AJ302" s="60" t="n"/>
      <c r="AK302" s="120">
        <f>IF(L302&gt;0,L302*90.44,0)+IF(M302&gt;0,M302*348.12,0)+IF(N302&gt;0,N302*151.63,0)+IF(O302&gt;0,O302*197.82,0)+IF(P302&gt;0,P302*244.09,0)+IF(Q302&gt;0,Q302*315.35,0)+IF(R302&gt;0,R302*1067.3,0)+IF(T302&gt;0,T302*567.47,0)+IF(U302&gt;0,U302*151.63,0)+IF(V302&gt;0,V302*197.84,0)+IF(W302&gt;0,W302*470.51,0)+IF(X302&gt;0,X302*701.69,0)+IF(Z302&gt;0,Z302*151.63,0)+IF(AA302&gt;0,AA302*197.84)+IF(AB302&gt;0,AB302*308.4,0)+IF(AC302&gt;0,AC302*496.16,0)</f>
        <v/>
      </c>
    </row>
    <row r="303" hidden="1">
      <c r="A303" s="58" t="inlineStr">
        <is>
          <t>SIM</t>
        </is>
      </c>
      <c r="B303" s="59">
        <f>IF(H303&lt;$B$1,"VENCIDO","NA VALIDADE")</f>
        <v/>
      </c>
      <c r="C303" s="60" t="inlineStr">
        <is>
          <t>BASE OP</t>
        </is>
      </c>
      <c r="D303" s="61" t="inlineStr">
        <is>
          <t>BASE OPERACIONAL MUCURI</t>
        </is>
      </c>
      <c r="E303" s="62" t="inlineStr">
        <is>
          <t>MUCURI</t>
        </is>
      </c>
      <c r="F303" s="61" t="inlineStr">
        <is>
          <t>ILHÉUS</t>
        </is>
      </c>
      <c r="G303" s="60" t="inlineStr">
        <is>
          <t>BA</t>
        </is>
      </c>
      <c r="H303" s="119" t="n">
        <v>45444</v>
      </c>
      <c r="I303" s="119">
        <f>H303-180</f>
        <v/>
      </c>
      <c r="J303" s="60">
        <f>SUM(L303:AE303)</f>
        <v/>
      </c>
      <c r="K303" s="60">
        <f>SUM(AF303:AJ303)</f>
        <v/>
      </c>
      <c r="L303" s="60" t="n"/>
      <c r="M303" s="60" t="n"/>
      <c r="N303" s="60" t="n"/>
      <c r="O303" s="60" t="n"/>
      <c r="P303" s="60" t="n">
        <v>2</v>
      </c>
      <c r="Q303" s="60" t="n"/>
      <c r="R303" s="60" t="n"/>
      <c r="S303" s="60" t="n"/>
      <c r="T303" s="60" t="n"/>
      <c r="U303" s="60" t="n"/>
      <c r="V303" s="60" t="n"/>
      <c r="W303" s="60" t="n"/>
      <c r="X303" s="60" t="n"/>
      <c r="Y303" s="60" t="n"/>
      <c r="Z303" s="60" t="n"/>
      <c r="AA303" s="60" t="n"/>
      <c r="AB303" s="60" t="n"/>
      <c r="AC303" s="60" t="n"/>
      <c r="AD303" s="60" t="n"/>
      <c r="AE303" s="60" t="n"/>
      <c r="AF303" s="60" t="n"/>
      <c r="AG303" s="60" t="n"/>
      <c r="AH303" s="60" t="n"/>
      <c r="AI303" s="60" t="n"/>
      <c r="AJ303" s="60" t="n"/>
      <c r="AK303" s="120">
        <f>IF(L303&gt;0,L303*90.44,0)+IF(M303&gt;0,M303*348.12,0)+IF(N303&gt;0,N303*151.63,0)+IF(O303&gt;0,O303*197.82,0)+IF(P303&gt;0,P303*244.09,0)+IF(Q303&gt;0,Q303*315.35,0)+IF(R303&gt;0,R303*1067.3,0)+IF(T303&gt;0,T303*567.47,0)+IF(U303&gt;0,U303*151.63,0)+IF(V303&gt;0,V303*197.84,0)+IF(W303&gt;0,W303*470.51,0)+IF(X303&gt;0,X303*701.69,0)+IF(Z303&gt;0,Z303*151.63,0)+IF(AA303&gt;0,AA303*197.84)+IF(AB303&gt;0,AB303*308.4,0)+IF(AC303&gt;0,AC303*496.16,0)</f>
        <v/>
      </c>
    </row>
    <row r="304">
      <c r="A304" s="58" t="inlineStr">
        <is>
          <t>rota</t>
        </is>
      </c>
      <c r="B304" s="59">
        <f>IF(H304&lt;$B$1,"VENCIDO","NA VALIDADE")</f>
        <v/>
      </c>
      <c r="C304" s="60" t="inlineStr">
        <is>
          <t>SUBESTAÇÃO</t>
        </is>
      </c>
      <c r="D304" s="61" t="inlineStr">
        <is>
          <t xml:space="preserve">SE IPIRÁ </t>
        </is>
      </c>
      <c r="E304" s="62" t="inlineStr">
        <is>
          <t>IPIRÁ</t>
        </is>
      </c>
      <c r="F304" s="61" t="inlineStr">
        <is>
          <t>FEIRA DE  SANTANA</t>
        </is>
      </c>
      <c r="G304" s="60" t="inlineStr">
        <is>
          <t>BA</t>
        </is>
      </c>
      <c r="H304" s="119" t="n">
        <v>45323</v>
      </c>
      <c r="I304" s="119" t="n">
        <v>45323</v>
      </c>
      <c r="J304" s="60">
        <f>SUM(L304:AE304)</f>
        <v/>
      </c>
      <c r="K304" s="60">
        <f>SUM(AF304:AJ304)</f>
        <v/>
      </c>
      <c r="L304" s="60" t="n"/>
      <c r="M304" s="60" t="n"/>
      <c r="N304" s="60" t="n"/>
      <c r="O304" s="60" t="n">
        <v>2</v>
      </c>
      <c r="P304" s="60" t="n"/>
      <c r="Q304" s="60" t="n">
        <v>3</v>
      </c>
      <c r="R304" s="60" t="n"/>
      <c r="S304" s="60" t="n"/>
      <c r="T304" s="60" t="n">
        <v>1</v>
      </c>
      <c r="U304" s="60" t="n"/>
      <c r="V304" s="60" t="n"/>
      <c r="W304" s="60" t="n"/>
      <c r="X304" s="60" t="n"/>
      <c r="Y304" s="60" t="n"/>
      <c r="Z304" s="60" t="n"/>
      <c r="AA304" s="60" t="n">
        <v>2</v>
      </c>
      <c r="AB304" s="60" t="n"/>
      <c r="AC304" s="60" t="n"/>
      <c r="AD304" s="60" t="n"/>
      <c r="AE304" s="60" t="n"/>
      <c r="AF304" s="60" t="n"/>
      <c r="AG304" s="60" t="n"/>
      <c r="AH304" s="60" t="n"/>
      <c r="AI304" s="60" t="n"/>
      <c r="AJ304" s="60" t="n"/>
      <c r="AK304" s="120">
        <f>IF(L304&gt;0,L304*90.44,0)+IF(M304&gt;0,M304*348.12,0)+IF(N304&gt;0,N304*151.63,0)+IF(O304&gt;0,O304*197.82,0)+IF(P304&gt;0,P304*244.09,0)+IF(Q304&gt;0,Q304*315.35,0)+IF(R304&gt;0,R304*1067.3,0)+IF(T304&gt;0,T304*567.47,0)+IF(U304&gt;0,U304*151.63,0)+IF(V304&gt;0,V304*197.84,0)+IF(W304&gt;0,W304*470.51,0)+IF(X304&gt;0,X304*701.69,0)+IF(Z304&gt;0,Z304*151.63,0)+IF(AA304&gt;0,AA304*197.84)+IF(AB304&gt;0,AB304*308.4,0)+IF(AC304&gt;0,AC304*496.16,0)</f>
        <v/>
      </c>
    </row>
    <row r="305" hidden="1">
      <c r="A305" s="58" t="inlineStr">
        <is>
          <t>rota</t>
        </is>
      </c>
      <c r="B305" s="59">
        <f>IF(H305&lt;$B$1,"VENCIDO","NA VALIDADE")</f>
        <v/>
      </c>
      <c r="C305" s="60" t="inlineStr">
        <is>
          <t>SUBESTAÇÃO</t>
        </is>
      </c>
      <c r="D305" s="61" t="inlineStr">
        <is>
          <t>SE IRAMAIA</t>
        </is>
      </c>
      <c r="E305" s="62" t="inlineStr">
        <is>
          <t>IRAMAIA</t>
        </is>
      </c>
      <c r="F305" s="61" t="inlineStr">
        <is>
          <t>VITÓRIA DA CONQUISTA</t>
        </is>
      </c>
      <c r="G305" s="60" t="inlineStr">
        <is>
          <t>BA</t>
        </is>
      </c>
      <c r="H305" s="119" t="n">
        <v>45292</v>
      </c>
      <c r="I305" s="119" t="n">
        <v>45292</v>
      </c>
      <c r="J305" s="60">
        <f>SUM(L305:AE305)</f>
        <v/>
      </c>
      <c r="K305" s="60">
        <f>SUM(AF305:AJ305)</f>
        <v/>
      </c>
      <c r="L305" s="60" t="n"/>
      <c r="M305" s="60" t="n"/>
      <c r="N305" s="60" t="n"/>
      <c r="O305" s="60" t="n"/>
      <c r="P305" s="60" t="n"/>
      <c r="Q305" s="60" t="n">
        <v>13</v>
      </c>
      <c r="R305" s="60" t="n"/>
      <c r="S305" s="60" t="n"/>
      <c r="T305" s="60" t="n">
        <v>3</v>
      </c>
      <c r="U305" s="60" t="n"/>
      <c r="V305" s="60" t="n"/>
      <c r="W305" s="60" t="n"/>
      <c r="X305" s="60" t="n"/>
      <c r="Y305" s="60" t="n"/>
      <c r="Z305" s="60" t="n"/>
      <c r="AA305" s="60" t="n">
        <v>1</v>
      </c>
      <c r="AB305" s="60" t="n"/>
      <c r="AC305" s="60" t="n"/>
      <c r="AD305" s="60" t="n"/>
      <c r="AE305" s="60" t="n"/>
      <c r="AF305" s="60" t="n"/>
      <c r="AG305" s="60" t="n"/>
      <c r="AH305" s="60" t="n"/>
      <c r="AI305" s="60" t="n"/>
      <c r="AJ305" s="60" t="n"/>
      <c r="AK305" s="120">
        <f>IF(L305&gt;0,L305*90.44,0)+IF(M305&gt;0,M305*348.12,0)+IF(N305&gt;0,N305*151.63,0)+IF(O305&gt;0,O305*197.82,0)+IF(P305&gt;0,P305*244.09,0)+IF(Q305&gt;0,Q305*315.35,0)+IF(R305&gt;0,R305*1067.3,0)+IF(T305&gt;0,T305*567.47,0)+IF(U305&gt;0,U305*151.63,0)+IF(V305&gt;0,V305*197.84,0)+IF(W305&gt;0,W305*470.51,0)+IF(X305&gt;0,X305*701.69,0)+IF(Z305&gt;0,Z305*151.63,0)+IF(AA305&gt;0,AA305*197.84)+IF(AB305&gt;0,AB305*308.4,0)+IF(AC305&gt;0,AC305*496.16,0)</f>
        <v/>
      </c>
    </row>
    <row r="306">
      <c r="A306" s="58" t="inlineStr">
        <is>
          <t>VITÓRIA 06/12</t>
        </is>
      </c>
      <c r="B306" s="59">
        <f>IF(H306&lt;$B$1,"VENCIDO","NA VALIDADE")</f>
        <v/>
      </c>
      <c r="C306" s="60" t="inlineStr">
        <is>
          <t>SUBESTAÇÃO</t>
        </is>
      </c>
      <c r="D306" s="61" t="inlineStr">
        <is>
          <t>SE IRARÁ</t>
        </is>
      </c>
      <c r="E306" s="62" t="inlineStr">
        <is>
          <t>IRARÁ</t>
        </is>
      </c>
      <c r="F306" s="61" t="inlineStr">
        <is>
          <t>FEIRA DE  SANTANA</t>
        </is>
      </c>
      <c r="G306" s="60" t="inlineStr">
        <is>
          <t>BA</t>
        </is>
      </c>
      <c r="H306" s="119" t="n">
        <v>45566</v>
      </c>
      <c r="I306" s="119">
        <f>H306-180</f>
        <v/>
      </c>
      <c r="J306" s="60">
        <f>SUM(L306:AE306)</f>
        <v/>
      </c>
      <c r="K306" s="60">
        <f>SUM(AF306:AJ306)</f>
        <v/>
      </c>
      <c r="L306" s="60" t="n"/>
      <c r="M306" s="60" t="n"/>
      <c r="N306" s="60" t="n"/>
      <c r="O306" s="60" t="n"/>
      <c r="P306" s="60" t="n"/>
      <c r="Q306" s="60" t="n">
        <v>1</v>
      </c>
      <c r="R306" s="60" t="n"/>
      <c r="S306" s="60" t="n"/>
      <c r="T306" s="60" t="n"/>
      <c r="U306" s="60" t="n"/>
      <c r="V306" s="60" t="n"/>
      <c r="W306" s="60" t="n"/>
      <c r="X306" s="60" t="n"/>
      <c r="Y306" s="60" t="n"/>
      <c r="Z306" s="60" t="n"/>
      <c r="AA306" s="60" t="n">
        <v>1</v>
      </c>
      <c r="AB306" s="60" t="n"/>
      <c r="AC306" s="60" t="n"/>
      <c r="AD306" s="60" t="n"/>
      <c r="AE306" s="60" t="n"/>
      <c r="AF306" s="60" t="n"/>
      <c r="AG306" s="60" t="n"/>
      <c r="AH306" s="60" t="n"/>
      <c r="AI306" s="60" t="n"/>
      <c r="AJ306" s="60" t="n"/>
      <c r="AK306" s="120">
        <f>IF(L306&gt;0,L306*90.44,0)+IF(M306&gt;0,M306*348.12,0)+IF(N306&gt;0,N306*151.63,0)+IF(O306&gt;0,O306*197.82,0)+IF(P306&gt;0,P306*244.09,0)+IF(Q306&gt;0,Q306*315.35,0)+IF(R306&gt;0,R306*1067.3,0)+IF(T306&gt;0,T306*567.47,0)+IF(U306&gt;0,U306*151.63,0)+IF(V306&gt;0,V306*197.84,0)+IF(W306&gt;0,W306*470.51,0)+IF(X306&gt;0,X306*701.69,0)+IF(Z306&gt;0,Z306*151.63,0)+IF(AA306&gt;0,AA306*197.84)+IF(AB306&gt;0,AB306*308.4,0)+IF(AC306&gt;0,AC306*496.16,0)</f>
        <v/>
      </c>
    </row>
    <row r="307">
      <c r="A307" s="58" t="n"/>
      <c r="B307" s="59">
        <f>IF(H307&lt;$B$1,"VENCIDO","NA VALIDADE")</f>
        <v/>
      </c>
      <c r="C307" s="60" t="inlineStr">
        <is>
          <t>SUBESTAÇÃO</t>
        </is>
      </c>
      <c r="D307" s="61" t="inlineStr">
        <is>
          <t>SE CENTRAL DE IRECÊ</t>
        </is>
      </c>
      <c r="E307" s="62" t="inlineStr">
        <is>
          <t>IRECÊ</t>
        </is>
      </c>
      <c r="F307" s="61" t="inlineStr">
        <is>
          <t>FEIRA DE  SANTANA</t>
        </is>
      </c>
      <c r="G307" s="60" t="inlineStr">
        <is>
          <t>BA</t>
        </is>
      </c>
      <c r="H307" s="119" t="n">
        <v>45323</v>
      </c>
      <c r="I307" s="119" t="n">
        <v>45323</v>
      </c>
      <c r="J307" s="60">
        <f>SUM(L307:AE307)</f>
        <v/>
      </c>
      <c r="K307" s="60">
        <f>SUM(AF307:AJ307)</f>
        <v/>
      </c>
      <c r="L307" s="60" t="n"/>
      <c r="M307" s="60" t="n"/>
      <c r="N307" s="60" t="n"/>
      <c r="O307" s="60" t="n"/>
      <c r="P307" s="60" t="n">
        <v>1</v>
      </c>
      <c r="Q307" s="60" t="n">
        <v>4</v>
      </c>
      <c r="R307" s="60" t="n"/>
      <c r="S307" s="60" t="n"/>
      <c r="T307" s="60" t="n">
        <v>1</v>
      </c>
      <c r="U307" s="60" t="n"/>
      <c r="V307" s="60" t="n"/>
      <c r="W307" s="60" t="n"/>
      <c r="X307" s="60" t="n"/>
      <c r="Y307" s="60" t="n"/>
      <c r="Z307" s="60" t="n"/>
      <c r="AA307" s="60" t="n">
        <v>1</v>
      </c>
      <c r="AB307" s="60" t="n"/>
      <c r="AC307" s="60" t="n"/>
      <c r="AD307" s="60" t="n"/>
      <c r="AE307" s="60" t="n"/>
      <c r="AF307" s="60" t="n"/>
      <c r="AG307" s="60" t="n"/>
      <c r="AH307" s="60" t="n"/>
      <c r="AI307" s="60" t="n"/>
      <c r="AJ307" s="60" t="n"/>
      <c r="AK307" s="120">
        <f>IF(L307&gt;0,L307*90.44,0)+IF(M307&gt;0,M307*348.12,0)+IF(N307&gt;0,N307*151.63,0)+IF(O307&gt;0,O307*197.82,0)+IF(P307&gt;0,P307*244.09,0)+IF(Q307&gt;0,Q307*315.35,0)+IF(R307&gt;0,R307*1067.3,0)+IF(T307&gt;0,T307*567.47,0)+IF(U307&gt;0,U307*151.63,0)+IF(V307&gt;0,V307*197.84,0)+IF(W307&gt;0,W307*470.51,0)+IF(X307&gt;0,X307*701.69,0)+IF(Z307&gt;0,Z307*151.63,0)+IF(AA307&gt;0,AA307*197.84)+IF(AB307&gt;0,AB307*308.4,0)+IF(AC307&gt;0,AC307*496.16,0)</f>
        <v/>
      </c>
    </row>
    <row r="308">
      <c r="A308" s="58" t="inlineStr">
        <is>
          <t>SIM</t>
        </is>
      </c>
      <c r="B308" s="59">
        <f>IF(H308&lt;$B$1,"VENCIDO","NA VALIDADE")</f>
        <v/>
      </c>
      <c r="C308" s="60" t="inlineStr">
        <is>
          <t>SUBESTAÇÃO</t>
        </is>
      </c>
      <c r="D308" s="61" t="inlineStr">
        <is>
          <t>SE IRECÊ</t>
        </is>
      </c>
      <c r="E308" s="62" t="inlineStr">
        <is>
          <t>IRECÊ</t>
        </is>
      </c>
      <c r="F308" s="61" t="inlineStr">
        <is>
          <t>FEIRA DE  SANTANA</t>
        </is>
      </c>
      <c r="G308" s="60" t="inlineStr">
        <is>
          <t>BA</t>
        </is>
      </c>
      <c r="H308" s="119" t="n">
        <v>45323</v>
      </c>
      <c r="I308" s="119" t="n">
        <v>45323</v>
      </c>
      <c r="J308" s="60">
        <f>SUM(L308:AE308)</f>
        <v/>
      </c>
      <c r="K308" s="60">
        <f>SUM(AF308:AJ308)</f>
        <v/>
      </c>
      <c r="L308" s="60" t="n"/>
      <c r="M308" s="60" t="n"/>
      <c r="N308" s="60" t="n"/>
      <c r="O308" s="60" t="n">
        <v>1</v>
      </c>
      <c r="P308" s="60" t="n">
        <v>1</v>
      </c>
      <c r="Q308" s="60" t="n">
        <v>1</v>
      </c>
      <c r="R308" s="60" t="n"/>
      <c r="S308" s="60" t="n"/>
      <c r="T308" s="60" t="n">
        <v>1</v>
      </c>
      <c r="U308" s="60" t="n"/>
      <c r="V308" s="60" t="n"/>
      <c r="W308" s="60" t="n"/>
      <c r="X308" s="60" t="n"/>
      <c r="Y308" s="60" t="n"/>
      <c r="Z308" s="60" t="n"/>
      <c r="AA308" s="60" t="n">
        <v>1</v>
      </c>
      <c r="AB308" s="60" t="n"/>
      <c r="AC308" s="60" t="n"/>
      <c r="AD308" s="60" t="n"/>
      <c r="AE308" s="60" t="n"/>
      <c r="AF308" s="60" t="n"/>
      <c r="AG308" s="60" t="n"/>
      <c r="AH308" s="60" t="n"/>
      <c r="AI308" s="60" t="n"/>
      <c r="AJ308" s="60" t="n"/>
      <c r="AK308" s="120">
        <f>IF(L308&gt;0,L308*90.44,0)+IF(M308&gt;0,M308*348.12,0)+IF(N308&gt;0,N308*151.63,0)+IF(O308&gt;0,O308*197.82,0)+IF(P308&gt;0,P308*244.09,0)+IF(Q308&gt;0,Q308*315.35,0)+IF(R308&gt;0,R308*1067.3,0)+IF(T308&gt;0,T308*567.47,0)+IF(U308&gt;0,U308*151.63,0)+IF(V308&gt;0,V308*197.84,0)+IF(W308&gt;0,W308*470.51,0)+IF(X308&gt;0,X308*701.69,0)+IF(Z308&gt;0,Z308*151.63,0)+IF(AA308&gt;0,AA308*197.84)+IF(AB308&gt;0,AB308*308.4,0)+IF(AC308&gt;0,AC308*496.16,0)</f>
        <v/>
      </c>
    </row>
    <row r="309" hidden="1">
      <c r="A309" s="58" t="inlineStr">
        <is>
          <t>SIM</t>
        </is>
      </c>
      <c r="B309" s="59" t="n"/>
      <c r="C309" s="60" t="inlineStr">
        <is>
          <t>ESTAÇÃO REP</t>
        </is>
      </c>
      <c r="D309" s="61" t="inlineStr">
        <is>
          <t>ESTAÇÃO REPETIDORA MONTINHO</t>
        </is>
      </c>
      <c r="E309" s="62" t="inlineStr">
        <is>
          <t>ITABELA</t>
        </is>
      </c>
      <c r="F309" s="61" t="inlineStr">
        <is>
          <t>ILHÉUS</t>
        </is>
      </c>
      <c r="G309" s="60" t="inlineStr">
        <is>
          <t>BA</t>
        </is>
      </c>
      <c r="H309" s="119" t="n"/>
      <c r="I309" s="119" t="n"/>
      <c r="J309" s="60">
        <f>SUM(L309:AE309)</f>
        <v/>
      </c>
      <c r="K309" s="60">
        <f>SUM(AF309:AJ309)</f>
        <v/>
      </c>
      <c r="L309" s="60" t="n"/>
      <c r="M309" s="60" t="n"/>
      <c r="N309" s="60" t="n"/>
      <c r="O309" s="60" t="n"/>
      <c r="P309" s="60" t="n"/>
      <c r="Q309" s="60" t="n"/>
      <c r="R309" s="60" t="n"/>
      <c r="S309" s="60" t="n"/>
      <c r="T309" s="60" t="n"/>
      <c r="U309" s="60" t="n"/>
      <c r="V309" s="60" t="n"/>
      <c r="W309" s="60" t="n"/>
      <c r="X309" s="60" t="n"/>
      <c r="Y309" s="60" t="n"/>
      <c r="Z309" s="60" t="n"/>
      <c r="AA309" s="60" t="n"/>
      <c r="AB309" s="60" t="n"/>
      <c r="AC309" s="60" t="n"/>
      <c r="AD309" s="60" t="n"/>
      <c r="AE309" s="60" t="n"/>
      <c r="AF309" s="60" t="n"/>
      <c r="AG309" s="60" t="n"/>
      <c r="AH309" s="60" t="n"/>
      <c r="AI309" s="60" t="n"/>
      <c r="AJ309" s="60" t="n"/>
      <c r="AK309" s="120">
        <f>IF(L309&gt;0,L309*90.44,0)+IF(M309&gt;0,M309*348.12,0)+IF(N309&gt;0,N309*151.63,0)+IF(O309&gt;0,O309*197.82,0)+IF(P309&gt;0,P309*244.09,0)+IF(Q309&gt;0,Q309*315.35,0)+IF(R309&gt;0,R309*1067.3,0)+IF(T309&gt;0,T309*567.47,0)+IF(U309&gt;0,U309*151.63,0)+IF(V309&gt;0,V309*197.84,0)+IF(W309&gt;0,W309*470.51,0)+IF(X309&gt;0,X309*701.69,0)+IF(Z309&gt;0,Z309*151.63,0)+IF(AA309&gt;0,AA309*197.84)+IF(AB309&gt;0,AB309*308.4,0)+IF(AC309&gt;0,AC309*496.16,0)</f>
        <v/>
      </c>
    </row>
    <row r="310" hidden="1">
      <c r="A310" s="58" t="inlineStr">
        <is>
          <t>SIM</t>
        </is>
      </c>
      <c r="B310" s="59">
        <f>IF(H310&lt;$B$1,"VENCIDO","NA VALIDADE")</f>
        <v/>
      </c>
      <c r="C310" s="60" t="inlineStr">
        <is>
          <t>ESTAÇÃO REP</t>
        </is>
      </c>
      <c r="D310" s="61" t="inlineStr">
        <is>
          <t>ESTAÇÃO REPETIDORA PORTO SEGURO</t>
        </is>
      </c>
      <c r="E310" s="62" t="inlineStr">
        <is>
          <t>PORTO SEGURO</t>
        </is>
      </c>
      <c r="F310" s="61" t="inlineStr">
        <is>
          <t>ILHÉUS</t>
        </is>
      </c>
      <c r="G310" s="60" t="inlineStr">
        <is>
          <t>BA</t>
        </is>
      </c>
      <c r="H310" s="119" t="n">
        <v>45323</v>
      </c>
      <c r="I310" s="119" t="n">
        <v>45323</v>
      </c>
      <c r="J310" s="60">
        <f>SUM(L310:AE310)</f>
        <v/>
      </c>
      <c r="K310" s="60">
        <f>SUM(AF310:AJ310)</f>
        <v/>
      </c>
      <c r="L310" s="60" t="n"/>
      <c r="M310" s="60" t="n"/>
      <c r="N310" s="60" t="n"/>
      <c r="O310" s="60" t="n"/>
      <c r="P310" s="60" t="n"/>
      <c r="Q310" s="60" t="n"/>
      <c r="R310" s="60" t="n"/>
      <c r="S310" s="60" t="n"/>
      <c r="T310" s="60" t="n"/>
      <c r="U310" s="60" t="n"/>
      <c r="V310" s="60" t="n"/>
      <c r="W310" s="60" t="n"/>
      <c r="X310" s="60" t="n"/>
      <c r="Y310" s="60" t="n"/>
      <c r="Z310" s="60" t="n">
        <v>1</v>
      </c>
      <c r="AA310" s="60" t="n"/>
      <c r="AB310" s="60" t="n"/>
      <c r="AC310" s="60" t="n"/>
      <c r="AD310" s="60" t="n"/>
      <c r="AE310" s="60" t="n"/>
      <c r="AF310" s="60" t="n"/>
      <c r="AG310" s="60" t="n"/>
      <c r="AH310" s="60" t="n"/>
      <c r="AI310" s="60" t="n"/>
      <c r="AJ310" s="60" t="n"/>
      <c r="AK310" s="120">
        <f>IF(L310&gt;0,L310*90.44,0)+IF(M310&gt;0,M310*348.12,0)+IF(N310&gt;0,N310*151.63,0)+IF(O310&gt;0,O310*197.82,0)+IF(P310&gt;0,P310*244.09,0)+IF(Q310&gt;0,Q310*315.35,0)+IF(R310&gt;0,R310*1067.3,0)+IF(T310&gt;0,T310*567.47,0)+IF(U310&gt;0,U310*151.63,0)+IF(V310&gt;0,V310*197.84,0)+IF(W310&gt;0,W310*470.51,0)+IF(X310&gt;0,X310*701.69,0)+IF(Z310&gt;0,Z310*151.63,0)+IF(AA310&gt;0,AA310*197.84)+IF(AB310&gt;0,AB310*308.4,0)+IF(AC310&gt;0,AC310*496.16,0)</f>
        <v/>
      </c>
    </row>
    <row r="311">
      <c r="A311" s="58" t="n"/>
      <c r="B311" s="59">
        <f>IF(H311&lt;$B$1,"VENCIDO","NA VALIDADE")</f>
        <v/>
      </c>
      <c r="C311" s="60" t="inlineStr">
        <is>
          <t>SUBESTAÇÃO</t>
        </is>
      </c>
      <c r="D311" s="61" t="inlineStr">
        <is>
          <t>SE ITABERABA II</t>
        </is>
      </c>
      <c r="E311" s="62" t="inlineStr">
        <is>
          <t>ITABERABA</t>
        </is>
      </c>
      <c r="F311" s="61" t="inlineStr">
        <is>
          <t>FEIRA DE  SANTANA</t>
        </is>
      </c>
      <c r="G311" s="60" t="inlineStr">
        <is>
          <t>BA</t>
        </is>
      </c>
      <c r="H311" s="119" t="n">
        <v>45536</v>
      </c>
      <c r="I311" s="119">
        <f>H311-180</f>
        <v/>
      </c>
      <c r="J311" s="60">
        <f>SUM(L311:AE311)</f>
        <v/>
      </c>
      <c r="K311" s="60">
        <f>SUM(AF311:AJ311)</f>
        <v/>
      </c>
      <c r="L311" s="60" t="n"/>
      <c r="M311" s="60" t="n"/>
      <c r="N311" s="60" t="n"/>
      <c r="O311" s="60" t="n"/>
      <c r="P311" s="60" t="n"/>
      <c r="Q311" s="60" t="n">
        <v>5</v>
      </c>
      <c r="R311" s="60" t="n"/>
      <c r="S311" s="60" t="n"/>
      <c r="T311" s="60" t="n">
        <v>1</v>
      </c>
      <c r="U311" s="60" t="n"/>
      <c r="V311" s="60" t="n"/>
      <c r="W311" s="60" t="n"/>
      <c r="X311" s="60" t="n"/>
      <c r="Y311" s="60" t="n"/>
      <c r="Z311" s="60" t="n"/>
      <c r="AA311" s="60" t="n">
        <v>1</v>
      </c>
      <c r="AB311" s="60" t="n"/>
      <c r="AC311" s="60" t="n"/>
      <c r="AD311" s="60" t="n"/>
      <c r="AE311" s="60" t="n"/>
      <c r="AF311" s="60" t="n"/>
      <c r="AG311" s="60" t="n"/>
      <c r="AH311" s="60" t="n"/>
      <c r="AI311" s="60" t="n"/>
      <c r="AJ311" s="60" t="n"/>
      <c r="AK311" s="120">
        <f>IF(L311&gt;0,L311*90.44,0)+IF(M311&gt;0,M311*348.12,0)+IF(N311&gt;0,N311*151.63,0)+IF(O311&gt;0,O311*197.82,0)+IF(P311&gt;0,P311*244.09,0)+IF(Q311&gt;0,Q311*315.35,0)+IF(R311&gt;0,R311*1067.3,0)+IF(T311&gt;0,T311*567.47,0)+IF(U311&gt;0,U311*151.63,0)+IF(V311&gt;0,V311*197.84,0)+IF(W311&gt;0,W311*470.51,0)+IF(X311&gt;0,X311*701.69,0)+IF(Z311&gt;0,Z311*151.63,0)+IF(AA311&gt;0,AA311*197.84)+IF(AB311&gt;0,AB311*308.4,0)+IF(AC311&gt;0,AC311*496.16,0)</f>
        <v/>
      </c>
    </row>
    <row r="312">
      <c r="A312" s="58" t="inlineStr">
        <is>
          <t>SIM</t>
        </is>
      </c>
      <c r="B312" s="59">
        <f>IF(H312&lt;$B$1,"VENCIDO","NA VALIDADE")</f>
        <v/>
      </c>
      <c r="C312" s="60" t="inlineStr">
        <is>
          <t>SUBESTAÇÃO</t>
        </is>
      </c>
      <c r="D312" s="61" t="inlineStr">
        <is>
          <t>SE ITABERABA II (IBD)</t>
        </is>
      </c>
      <c r="E312" s="62" t="inlineStr">
        <is>
          <t>ITABERABA</t>
        </is>
      </c>
      <c r="F312" s="61" t="inlineStr">
        <is>
          <t>FEIRA DE  SANTANA</t>
        </is>
      </c>
      <c r="G312" s="60" t="inlineStr">
        <is>
          <t>BA</t>
        </is>
      </c>
      <c r="H312" s="119" t="n">
        <v>45566</v>
      </c>
      <c r="I312" s="119">
        <f>H312-180</f>
        <v/>
      </c>
      <c r="J312" s="60">
        <f>SUM(L312:AE312)</f>
        <v/>
      </c>
      <c r="K312" s="60">
        <f>SUM(AF312:AJ312)</f>
        <v/>
      </c>
      <c r="L312" s="60" t="n"/>
      <c r="M312" s="60" t="n"/>
      <c r="N312" s="60" t="n"/>
      <c r="O312" s="60" t="n">
        <v>6</v>
      </c>
      <c r="P312" s="60" t="n"/>
      <c r="Q312" s="60" t="n"/>
      <c r="R312" s="60" t="n"/>
      <c r="S312" s="60" t="n"/>
      <c r="T312" s="60" t="n">
        <v>1</v>
      </c>
      <c r="U312" s="60" t="n"/>
      <c r="V312" s="60" t="n"/>
      <c r="W312" s="60" t="n"/>
      <c r="X312" s="60" t="n"/>
      <c r="Y312" s="60" t="n"/>
      <c r="Z312" s="60" t="n"/>
      <c r="AA312" s="60" t="n">
        <v>2</v>
      </c>
      <c r="AB312" s="60" t="n"/>
      <c r="AC312" s="60" t="n"/>
      <c r="AD312" s="60" t="n"/>
      <c r="AE312" s="60" t="n"/>
      <c r="AF312" s="60" t="n"/>
      <c r="AG312" s="60" t="n"/>
      <c r="AH312" s="60" t="n"/>
      <c r="AI312" s="60" t="n"/>
      <c r="AJ312" s="60" t="n"/>
      <c r="AK312" s="120">
        <f>IF(L312&gt;0,L312*90.44,0)+IF(M312&gt;0,M312*348.12,0)+IF(N312&gt;0,N312*151.63,0)+IF(O312&gt;0,O312*197.82,0)+IF(P312&gt;0,P312*244.09,0)+IF(Q312&gt;0,Q312*315.35,0)+IF(R312&gt;0,R312*1067.3,0)+IF(T312&gt;0,T312*567.47,0)+IF(U312&gt;0,U312*151.63,0)+IF(V312&gt;0,V312*197.84,0)+IF(W312&gt;0,W312*470.51,0)+IF(X312&gt;0,X312*701.69,0)+IF(Z312&gt;0,Z312*151.63,0)+IF(AA312&gt;0,AA312*197.84)+IF(AB312&gt;0,AB312*308.4,0)+IF(AC312&gt;0,AC312*496.16,0)</f>
        <v/>
      </c>
    </row>
    <row r="313">
      <c r="A313" s="58" t="inlineStr">
        <is>
          <t>rota</t>
        </is>
      </c>
      <c r="B313" s="59">
        <f>IF(H313&lt;$B$1,"VENCIDO","NA VALIDADE")</f>
        <v/>
      </c>
      <c r="C313" s="60" t="inlineStr">
        <is>
          <t>SUBESTAÇÃO</t>
        </is>
      </c>
      <c r="D313" s="61" t="inlineStr">
        <is>
          <t>SE ITABERABA I</t>
        </is>
      </c>
      <c r="E313" s="62" t="inlineStr">
        <is>
          <t>ITABERABA</t>
        </is>
      </c>
      <c r="F313" s="61" t="inlineStr">
        <is>
          <t>FEIRA DE  SANTANA</t>
        </is>
      </c>
      <c r="G313" s="60" t="inlineStr">
        <is>
          <t>BA</t>
        </is>
      </c>
      <c r="H313" s="119" t="n">
        <v>45536</v>
      </c>
      <c r="I313" s="119">
        <f>H313-180</f>
        <v/>
      </c>
      <c r="J313" s="60">
        <f>SUM(L313:AE313)</f>
        <v/>
      </c>
      <c r="K313" s="60">
        <f>SUM(AF313:AJ313)</f>
        <v/>
      </c>
      <c r="L313" s="60" t="n"/>
      <c r="M313" s="60" t="n"/>
      <c r="N313" s="60" t="n"/>
      <c r="O313" s="60" t="n"/>
      <c r="P313" s="60" t="n"/>
      <c r="Q313" s="60" t="n"/>
      <c r="R313" s="60" t="n"/>
      <c r="S313" s="60" t="n"/>
      <c r="T313" s="60" t="n">
        <v>1</v>
      </c>
      <c r="U313" s="60" t="n"/>
      <c r="V313" s="60" t="n"/>
      <c r="W313" s="60" t="n"/>
      <c r="X313" s="60" t="n">
        <v>5</v>
      </c>
      <c r="Y313" s="60" t="n"/>
      <c r="Z313" s="60" t="n"/>
      <c r="AA313" s="60" t="n">
        <v>1</v>
      </c>
      <c r="AB313" s="60" t="n"/>
      <c r="AC313" s="60" t="n"/>
      <c r="AD313" s="60" t="n"/>
      <c r="AE313" s="60" t="n"/>
      <c r="AF313" s="60" t="n"/>
      <c r="AG313" s="60" t="n"/>
      <c r="AH313" s="60" t="n"/>
      <c r="AI313" s="60" t="n"/>
      <c r="AJ313" s="60" t="n"/>
      <c r="AK313" s="120">
        <f>IF(L313&gt;0,L313*90.44,0)+IF(M313&gt;0,M313*348.12,0)+IF(N313&gt;0,N313*151.63,0)+IF(O313&gt;0,O313*197.82,0)+IF(P313&gt;0,P313*244.09,0)+IF(Q313&gt;0,Q313*315.35,0)+IF(R313&gt;0,R313*1067.3,0)+IF(T313&gt;0,T313*567.47,0)+IF(U313&gt;0,U313*151.63,0)+IF(V313&gt;0,V313*197.84,0)+IF(W313&gt;0,W313*470.51,0)+IF(X313&gt;0,X313*701.69,0)+IF(Z313&gt;0,Z313*151.63,0)+IF(AA313&gt;0,AA313*197.84)+IF(AB313&gt;0,AB313*308.4,0)+IF(AC313&gt;0,AC313*496.16,0)</f>
        <v/>
      </c>
    </row>
    <row r="314" hidden="1">
      <c r="A314" s="58" t="inlineStr">
        <is>
          <t>1 DEZ VI</t>
        </is>
      </c>
      <c r="B314" s="59">
        <f>IF(H314&lt;$B$1,"VENCIDO","NA VALIDADE")</f>
        <v/>
      </c>
      <c r="C314" s="60" t="inlineStr">
        <is>
          <t>ESTAÇÃO REP</t>
        </is>
      </c>
      <c r="D314" s="61" t="inlineStr">
        <is>
          <t>ESTAÇÃO REPETIDORA TEIXEIRA DE FREITAS</t>
        </is>
      </c>
      <c r="E314" s="62" t="inlineStr">
        <is>
          <t>TEIXEIRA DE FREITAS</t>
        </is>
      </c>
      <c r="F314" s="61" t="inlineStr">
        <is>
          <t>ILHÉUS</t>
        </is>
      </c>
      <c r="G314" s="60" t="inlineStr">
        <is>
          <t>BA</t>
        </is>
      </c>
      <c r="H314" s="119" t="n">
        <v>45323</v>
      </c>
      <c r="I314" s="119">
        <f>H314-180</f>
        <v/>
      </c>
      <c r="J314" s="60">
        <f>SUM(L314:AE314)</f>
        <v/>
      </c>
      <c r="K314" s="60">
        <f>SUM(AF314:AJ314)</f>
        <v/>
      </c>
      <c r="L314" s="60" t="n"/>
      <c r="M314" s="60" t="n"/>
      <c r="N314" s="60" t="n"/>
      <c r="O314" s="60" t="n"/>
      <c r="P314" s="60" t="n"/>
      <c r="Q314" s="60" t="n"/>
      <c r="R314" s="60" t="n"/>
      <c r="S314" s="60" t="n"/>
      <c r="T314" s="60" t="n"/>
      <c r="U314" s="60" t="n"/>
      <c r="V314" s="60" t="n"/>
      <c r="W314" s="60" t="n"/>
      <c r="X314" s="60" t="n"/>
      <c r="Y314" s="60" t="n"/>
      <c r="Z314" s="60" t="n">
        <v>1</v>
      </c>
      <c r="AA314" s="60" t="n"/>
      <c r="AB314" s="60" t="n"/>
      <c r="AC314" s="60" t="n"/>
      <c r="AD314" s="60" t="n"/>
      <c r="AE314" s="60" t="n"/>
      <c r="AF314" s="60" t="n"/>
      <c r="AG314" s="60" t="n"/>
      <c r="AH314" s="60" t="n"/>
      <c r="AI314" s="60" t="n"/>
      <c r="AJ314" s="60" t="n"/>
      <c r="AK314" s="120">
        <f>IF(L314&gt;0,L314*90.44,0)+IF(M314&gt;0,M314*348.12,0)+IF(N314&gt;0,N314*151.63,0)+IF(O314&gt;0,O314*197.82,0)+IF(P314&gt;0,P314*244.09,0)+IF(Q314&gt;0,Q314*315.35,0)+IF(R314&gt;0,R314*1067.3,0)+IF(T314&gt;0,T314*567.47,0)+IF(U314&gt;0,U314*151.63,0)+IF(V314&gt;0,V314*197.84,0)+IF(W314&gt;0,W314*470.51,0)+IF(X314&gt;0,X314*701.69,0)+IF(Z314&gt;0,Z314*151.63,0)+IF(AA314&gt;0,AA314*197.84)+IF(AB314&gt;0,AB314*308.4,0)+IF(AC314&gt;0,AC314*496.16,0)</f>
        <v/>
      </c>
    </row>
    <row r="315" hidden="1">
      <c r="A315" s="58" t="inlineStr">
        <is>
          <t>SIM</t>
        </is>
      </c>
      <c r="B315" s="59">
        <f>IF(H315&lt;$B$1,"VENCIDO","NA VALIDADE")</f>
        <v/>
      </c>
      <c r="C315" s="60" t="inlineStr">
        <is>
          <t>SUBESTAÇÃO</t>
        </is>
      </c>
      <c r="D315" s="61" t="inlineStr">
        <is>
          <t>SE ITABUNA</t>
        </is>
      </c>
      <c r="E315" s="62" t="inlineStr">
        <is>
          <t>ITABUNA</t>
        </is>
      </c>
      <c r="F315" s="61" t="inlineStr">
        <is>
          <t>ILHÉUS</t>
        </is>
      </c>
      <c r="G315" s="60" t="inlineStr">
        <is>
          <t>BA</t>
        </is>
      </c>
      <c r="H315" s="119" t="n">
        <v>45413</v>
      </c>
      <c r="I315" s="119">
        <f>H315-180</f>
        <v/>
      </c>
      <c r="J315" s="60">
        <f>SUM(L315:AE315)</f>
        <v/>
      </c>
      <c r="K315" s="60">
        <f>SUM(AF315:AJ315)</f>
        <v/>
      </c>
      <c r="L315" s="60" t="n"/>
      <c r="M315" s="60" t="n"/>
      <c r="N315" s="60" t="n"/>
      <c r="O315" s="60" t="n"/>
      <c r="P315" s="60" t="n"/>
      <c r="Q315" s="60" t="n"/>
      <c r="R315" s="60" t="n"/>
      <c r="S315" s="60" t="n"/>
      <c r="T315" s="60" t="n">
        <v>1</v>
      </c>
      <c r="U315" s="60" t="n"/>
      <c r="V315" s="60" t="n"/>
      <c r="W315" s="60" t="n"/>
      <c r="X315" s="60" t="n"/>
      <c r="Y315" s="60" t="n"/>
      <c r="Z315" s="60" t="n"/>
      <c r="AA315" s="60" t="n">
        <v>1</v>
      </c>
      <c r="AB315" s="60" t="n"/>
      <c r="AC315" s="60" t="n"/>
      <c r="AD315" s="60" t="n"/>
      <c r="AE315" s="60" t="n"/>
      <c r="AF315" s="60" t="n"/>
      <c r="AG315" s="60" t="n"/>
      <c r="AH315" s="60" t="n"/>
      <c r="AI315" s="60" t="n"/>
      <c r="AJ315" s="60" t="n"/>
      <c r="AK315" s="120">
        <f>IF(L315&gt;0,L315*90.44,0)+IF(M315&gt;0,M315*348.12,0)+IF(N315&gt;0,N315*151.63,0)+IF(O315&gt;0,O315*197.82,0)+IF(P315&gt;0,P315*244.09,0)+IF(Q315&gt;0,Q315*315.35,0)+IF(R315&gt;0,R315*1067.3,0)+IF(T315&gt;0,T315*567.47,0)+IF(U315&gt;0,U315*151.63,0)+IF(V315&gt;0,V315*197.84,0)+IF(W315&gt;0,W315*470.51,0)+IF(X315&gt;0,X315*701.69,0)+IF(Z315&gt;0,Z315*151.63,0)+IF(AA315&gt;0,AA315*197.84)+IF(AB315&gt;0,AB315*308.4,0)+IF(AC315&gt;0,AC315*496.16,0)</f>
        <v/>
      </c>
    </row>
    <row r="316" hidden="1">
      <c r="A316" s="58" t="inlineStr">
        <is>
          <t>SIM</t>
        </is>
      </c>
      <c r="B316" s="59">
        <f>IF(H316&lt;$B$1,"VENCIDO","NA VALIDADE")</f>
        <v/>
      </c>
      <c r="C316" s="60" t="inlineStr">
        <is>
          <t>SUBESTAÇÃO</t>
        </is>
      </c>
      <c r="D316" s="61" t="inlineStr">
        <is>
          <t>SE ITABUNA II</t>
        </is>
      </c>
      <c r="E316" s="62" t="inlineStr">
        <is>
          <t>ITABUNA</t>
        </is>
      </c>
      <c r="F316" s="61" t="inlineStr">
        <is>
          <t>ILHÉUS</t>
        </is>
      </c>
      <c r="G316" s="60" t="inlineStr">
        <is>
          <t>BA</t>
        </is>
      </c>
      <c r="H316" s="119" t="n">
        <v>45413</v>
      </c>
      <c r="I316" s="119">
        <f>H316-180</f>
        <v/>
      </c>
      <c r="J316" s="60">
        <f>SUM(L316:AE316)</f>
        <v/>
      </c>
      <c r="K316" s="60">
        <f>SUM(AF316:AJ316)</f>
        <v/>
      </c>
      <c r="L316" s="60" t="n"/>
      <c r="M316" s="60" t="n"/>
      <c r="N316" s="60" t="n"/>
      <c r="O316" s="60" t="n">
        <v>1</v>
      </c>
      <c r="P316" s="60" t="n"/>
      <c r="Q316" s="60" t="n"/>
      <c r="R316" s="60" t="n"/>
      <c r="S316" s="60" t="n"/>
      <c r="T316" s="60" t="n">
        <v>1</v>
      </c>
      <c r="U316" s="60" t="n"/>
      <c r="V316" s="60" t="n"/>
      <c r="W316" s="60" t="n"/>
      <c r="X316" s="60" t="n"/>
      <c r="Y316" s="60" t="n"/>
      <c r="Z316" s="60" t="n"/>
      <c r="AA316" s="60" t="n">
        <v>1</v>
      </c>
      <c r="AB316" s="60" t="n"/>
      <c r="AC316" s="60" t="n"/>
      <c r="AD316" s="60" t="n"/>
      <c r="AE316" s="60" t="n"/>
      <c r="AF316" s="60" t="n"/>
      <c r="AG316" s="60" t="n"/>
      <c r="AH316" s="60" t="n"/>
      <c r="AI316" s="60" t="n"/>
      <c r="AJ316" s="60" t="n"/>
      <c r="AK316" s="120">
        <f>IF(L316&gt;0,L316*90.44,0)+IF(M316&gt;0,M316*348.12,0)+IF(N316&gt;0,N316*151.63,0)+IF(O316&gt;0,O316*197.82,0)+IF(P316&gt;0,P316*244.09,0)+IF(Q316&gt;0,Q316*315.35,0)+IF(R316&gt;0,R316*1067.3,0)+IF(T316&gt;0,T316*567.47,0)+IF(U316&gt;0,U316*151.63,0)+IF(V316&gt;0,V316*197.84,0)+IF(W316&gt;0,W316*470.51,0)+IF(X316&gt;0,X316*701.69,0)+IF(Z316&gt;0,Z316*151.63,0)+IF(AA316&gt;0,AA316*197.84)+IF(AB316&gt;0,AB316*308.4,0)+IF(AC316&gt;0,AC316*496.16,0)</f>
        <v/>
      </c>
    </row>
    <row r="317" hidden="1">
      <c r="A317" s="58" t="inlineStr">
        <is>
          <t>SIM</t>
        </is>
      </c>
      <c r="B317" s="59">
        <f>IF(H317&lt;$B$1,"VENCIDO","NA VALIDADE")</f>
        <v/>
      </c>
      <c r="C317" s="60" t="inlineStr">
        <is>
          <t>SUBESTAÇÃO</t>
        </is>
      </c>
      <c r="D317" s="61" t="inlineStr">
        <is>
          <t>SE ALCOBACA</t>
        </is>
      </c>
      <c r="E317" s="62" t="inlineStr">
        <is>
          <t>ALCOBAÇA</t>
        </is>
      </c>
      <c r="F317" s="61" t="inlineStr">
        <is>
          <t>ILHÉUS</t>
        </is>
      </c>
      <c r="G317" s="60" t="inlineStr">
        <is>
          <t>BA</t>
        </is>
      </c>
      <c r="H317" s="119" t="n">
        <v>45383</v>
      </c>
      <c r="I317" s="119" t="n">
        <v>45383</v>
      </c>
      <c r="J317" s="60">
        <f>SUM(L317:AE317)</f>
        <v/>
      </c>
      <c r="K317" s="60">
        <f>SUM(AF317:AJ317)</f>
        <v/>
      </c>
      <c r="L317" s="60" t="n"/>
      <c r="M317" s="60" t="n"/>
      <c r="N317" s="60" t="n"/>
      <c r="O317" s="60" t="n"/>
      <c r="P317" s="60" t="n"/>
      <c r="Q317" s="60" t="n">
        <v>1</v>
      </c>
      <c r="R317" s="60" t="n"/>
      <c r="S317" s="60" t="n"/>
      <c r="T317" s="60" t="n"/>
      <c r="U317" s="60" t="n"/>
      <c r="V317" s="60" t="n"/>
      <c r="W317" s="60" t="n"/>
      <c r="X317" s="60" t="n"/>
      <c r="Y317" s="60" t="n"/>
      <c r="Z317" s="60" t="n"/>
      <c r="AA317" s="60" t="n">
        <v>1</v>
      </c>
      <c r="AB317" s="60" t="n"/>
      <c r="AC317" s="60" t="n"/>
      <c r="AD317" s="60" t="n"/>
      <c r="AE317" s="60" t="n"/>
      <c r="AF317" s="60" t="n"/>
      <c r="AG317" s="60" t="n"/>
      <c r="AH317" s="60" t="n"/>
      <c r="AI317" s="60" t="n"/>
      <c r="AJ317" s="60" t="n"/>
      <c r="AK317" s="120">
        <f>IF(L317&gt;0,L317*90.44,0)+IF(M317&gt;0,M317*348.12,0)+IF(N317&gt;0,N317*151.63,0)+IF(O317&gt;0,O317*197.82,0)+IF(P317&gt;0,P317*244.09,0)+IF(Q317&gt;0,Q317*315.35,0)+IF(R317&gt;0,R317*1067.3,0)+IF(T317&gt;0,T317*567.47,0)+IF(U317&gt;0,U317*151.63,0)+IF(V317&gt;0,V317*197.84,0)+IF(W317&gt;0,W317*470.51,0)+IF(X317&gt;0,X317*701.69,0)+IF(Z317&gt;0,Z317*151.63,0)+IF(AA317&gt;0,AA317*197.84)+IF(AB317&gt;0,AB317*308.4,0)+IF(AC317&gt;0,AC317*496.16,0)</f>
        <v/>
      </c>
    </row>
    <row r="318" hidden="1">
      <c r="A318" s="58" t="inlineStr">
        <is>
          <t>rota</t>
        </is>
      </c>
      <c r="B318" s="59">
        <f>IF(H318&lt;$B$1,"VENCIDO","NA VALIDADE")</f>
        <v/>
      </c>
      <c r="C318" s="60" t="inlineStr">
        <is>
          <t>SUBESTAÇÃO</t>
        </is>
      </c>
      <c r="D318" s="61" t="inlineStr">
        <is>
          <t>SE ITAMARAJÚ</t>
        </is>
      </c>
      <c r="E318" s="62" t="inlineStr">
        <is>
          <t>ITAMARAJÚ</t>
        </is>
      </c>
      <c r="F318" s="61" t="inlineStr">
        <is>
          <t>ILHÉUS</t>
        </is>
      </c>
      <c r="G318" s="60" t="inlineStr">
        <is>
          <t>BA</t>
        </is>
      </c>
      <c r="H318" s="119" t="n">
        <v>45323</v>
      </c>
      <c r="I318" s="119" t="n">
        <v>45323</v>
      </c>
      <c r="J318" s="60">
        <f>SUM(L318:AE318)</f>
        <v/>
      </c>
      <c r="K318" s="60">
        <f>SUM(AF318:AJ318)</f>
        <v/>
      </c>
      <c r="L318" s="60" t="n"/>
      <c r="M318" s="60" t="n"/>
      <c r="N318" s="60" t="n"/>
      <c r="O318" s="60" t="n"/>
      <c r="P318" s="60" t="n"/>
      <c r="Q318" s="60" t="n">
        <v>1</v>
      </c>
      <c r="R318" s="60" t="n"/>
      <c r="S318" s="60" t="n"/>
      <c r="T318" s="60" t="n"/>
      <c r="U318" s="60" t="n"/>
      <c r="V318" s="60" t="n"/>
      <c r="W318" s="60" t="n"/>
      <c r="X318" s="60" t="n"/>
      <c r="Y318" s="60" t="n"/>
      <c r="Z318" s="60" t="n">
        <v>1</v>
      </c>
      <c r="AA318" s="60" t="n"/>
      <c r="AB318" s="60" t="n"/>
      <c r="AC318" s="60" t="n"/>
      <c r="AD318" s="60" t="n"/>
      <c r="AE318" s="60" t="n"/>
      <c r="AF318" s="60" t="n"/>
      <c r="AG318" s="60" t="n"/>
      <c r="AH318" s="60" t="n"/>
      <c r="AI318" s="60" t="n"/>
      <c r="AJ318" s="60" t="n"/>
      <c r="AK318" s="120">
        <f>IF(L318&gt;0,L318*90.44,0)+IF(M318&gt;0,M318*348.12,0)+IF(N318&gt;0,N318*151.63,0)+IF(O318&gt;0,O318*197.82,0)+IF(P318&gt;0,P318*244.09,0)+IF(Q318&gt;0,Q318*315.35,0)+IF(R318&gt;0,R318*1067.3,0)+IF(T318&gt;0,T318*567.47,0)+IF(U318&gt;0,U318*151.63,0)+IF(V318&gt;0,V318*197.84,0)+IF(W318&gt;0,W318*470.51,0)+IF(X318&gt;0,X318*701.69,0)+IF(Z318&gt;0,Z318*151.63,0)+IF(AA318&gt;0,AA318*197.84)+IF(AB318&gt;0,AB318*308.4,0)+IF(AC318&gt;0,AC318*496.16,0)</f>
        <v/>
      </c>
    </row>
    <row r="319" hidden="1">
      <c r="A319" s="58" t="inlineStr">
        <is>
          <t>SIM</t>
        </is>
      </c>
      <c r="B319" s="59">
        <f>IF(H319&lt;$B$1,"VENCIDO","NA VALIDADE")</f>
        <v/>
      </c>
      <c r="C319" s="60" t="inlineStr">
        <is>
          <t>SUBESTAÇÃO</t>
        </is>
      </c>
      <c r="D319" s="61" t="inlineStr">
        <is>
          <t>SE ITAMBÉ</t>
        </is>
      </c>
      <c r="E319" s="62" t="inlineStr">
        <is>
          <t>ITAMBÉ</t>
        </is>
      </c>
      <c r="F319" s="61" t="inlineStr">
        <is>
          <t>VITÓRIA DA CONQUISTA</t>
        </is>
      </c>
      <c r="G319" s="60" t="inlineStr">
        <is>
          <t>BA</t>
        </is>
      </c>
      <c r="H319" s="119" t="n">
        <v>45444</v>
      </c>
      <c r="I319" s="119" t="n">
        <v>45444</v>
      </c>
      <c r="J319" s="60">
        <f>SUM(L319:AE319)</f>
        <v/>
      </c>
      <c r="K319" s="60">
        <f>SUM(AF319:AJ319)</f>
        <v/>
      </c>
      <c r="L319" s="60" t="n"/>
      <c r="M319" s="60" t="n"/>
      <c r="N319" s="60" t="n"/>
      <c r="O319" s="60" t="n"/>
      <c r="P319" s="60" t="n"/>
      <c r="Q319" s="60" t="n">
        <v>1</v>
      </c>
      <c r="R319" s="60" t="n"/>
      <c r="S319" s="60" t="n"/>
      <c r="T319" s="60" t="n"/>
      <c r="U319" s="60" t="n"/>
      <c r="V319" s="60" t="n"/>
      <c r="W319" s="60" t="n"/>
      <c r="X319" s="60" t="n"/>
      <c r="Y319" s="60" t="n"/>
      <c r="Z319" s="60" t="n"/>
      <c r="AA319" s="60" t="n">
        <v>1</v>
      </c>
      <c r="AB319" s="60" t="n"/>
      <c r="AC319" s="60" t="n"/>
      <c r="AD319" s="60" t="n"/>
      <c r="AE319" s="60" t="n"/>
      <c r="AF319" s="60" t="n"/>
      <c r="AG319" s="60" t="n"/>
      <c r="AH319" s="60" t="n"/>
      <c r="AI319" s="60" t="n"/>
      <c r="AJ319" s="60" t="n"/>
      <c r="AK319" s="120">
        <f>IF(L319&gt;0,L319*90.44,0)+IF(M319&gt;0,M319*348.12,0)+IF(N319&gt;0,N319*151.63,0)+IF(O319&gt;0,O319*197.82,0)+IF(P319&gt;0,P319*244.09,0)+IF(Q319&gt;0,Q319*315.35,0)+IF(R319&gt;0,R319*1067.3,0)+IF(T319&gt;0,T319*567.47,0)+IF(U319&gt;0,U319*151.63,0)+IF(V319&gt;0,V319*197.84,0)+IF(W319&gt;0,W319*470.51,0)+IF(X319&gt;0,X319*701.69,0)+IF(Z319&gt;0,Z319*151.63,0)+IF(AA319&gt;0,AA319*197.84)+IF(AB319&gt;0,AB319*308.4,0)+IF(AC319&gt;0,AC319*496.16,0)</f>
        <v/>
      </c>
    </row>
    <row r="320">
      <c r="A320" s="58" t="n"/>
      <c r="B320" s="59">
        <f>IF(H320&lt;$B$1,"VENCIDO","NA VALIDADE")</f>
        <v/>
      </c>
      <c r="C320" s="60" t="inlineStr">
        <is>
          <t>SUBESTAÇÃO</t>
        </is>
      </c>
      <c r="D320" s="61" t="inlineStr">
        <is>
          <t>SE ITANAGRA</t>
        </is>
      </c>
      <c r="E320" s="62" t="inlineStr">
        <is>
          <t>ITANAGRA</t>
        </is>
      </c>
      <c r="F320" s="61" t="inlineStr">
        <is>
          <t>FEIRA DE  SANTANA</t>
        </is>
      </c>
      <c r="G320" s="60" t="inlineStr">
        <is>
          <t>BA</t>
        </is>
      </c>
      <c r="H320" s="119" t="n">
        <v>45536</v>
      </c>
      <c r="I320" s="119">
        <f>H320-180</f>
        <v/>
      </c>
      <c r="J320" s="60">
        <f>SUM(L320:AE320)</f>
        <v/>
      </c>
      <c r="K320" s="60">
        <f>SUM(AF320:AJ320)</f>
        <v/>
      </c>
      <c r="L320" s="60" t="n"/>
      <c r="M320" s="60" t="n"/>
      <c r="N320" s="60" t="n"/>
      <c r="O320" s="60" t="n"/>
      <c r="P320" s="60" t="n"/>
      <c r="Q320" s="60" t="n">
        <v>1</v>
      </c>
      <c r="R320" s="60" t="n"/>
      <c r="S320" s="60" t="n"/>
      <c r="T320" s="60" t="n"/>
      <c r="U320" s="60" t="n"/>
      <c r="V320" s="60" t="n"/>
      <c r="W320" s="60" t="n"/>
      <c r="X320" s="60" t="n"/>
      <c r="Y320" s="60" t="n"/>
      <c r="Z320" s="60" t="n"/>
      <c r="AA320" s="60" t="n">
        <v>1</v>
      </c>
      <c r="AB320" s="60" t="n"/>
      <c r="AC320" s="60" t="n"/>
      <c r="AD320" s="60" t="n"/>
      <c r="AE320" s="60" t="n"/>
      <c r="AF320" s="60" t="n"/>
      <c r="AG320" s="60" t="n"/>
      <c r="AH320" s="60" t="n"/>
      <c r="AI320" s="60" t="n"/>
      <c r="AJ320" s="60" t="n"/>
      <c r="AK320" s="120">
        <f>IF(L320&gt;0,L320*90.44,0)+IF(M320&gt;0,M320*348.12,0)+IF(N320&gt;0,N320*151.63,0)+IF(O320&gt;0,O320*197.82,0)+IF(P320&gt;0,P320*244.09,0)+IF(Q320&gt;0,Q320*315.35,0)+IF(R320&gt;0,R320*1067.3,0)+IF(T320&gt;0,T320*567.47,0)+IF(U320&gt;0,U320*151.63,0)+IF(V320&gt;0,V320*197.84,0)+IF(W320&gt;0,W320*470.51,0)+IF(X320&gt;0,X320*701.69,0)+IF(Z320&gt;0,Z320*151.63,0)+IF(AA320&gt;0,AA320*197.84)+IF(AB320&gt;0,AB320*308.4,0)+IF(AC320&gt;0,AC320*496.16,0)</f>
        <v/>
      </c>
    </row>
    <row r="321">
      <c r="A321" s="58" t="inlineStr">
        <is>
          <t>FEIRA 06/12</t>
        </is>
      </c>
      <c r="B321" s="59">
        <f>IF(H321&lt;$B$1,"VENCIDO","NA VALIDADE")</f>
        <v/>
      </c>
      <c r="C321" s="60" t="inlineStr">
        <is>
          <t>SUBESTAÇÃO</t>
        </is>
      </c>
      <c r="D321" s="61" t="inlineStr">
        <is>
          <t>SE ITAPAGIPE</t>
        </is>
      </c>
      <c r="E321" s="62" t="inlineStr">
        <is>
          <t>SALVADOR</t>
        </is>
      </c>
      <c r="F321" s="61" t="inlineStr">
        <is>
          <t>FEIRA DE  SANTANA</t>
        </is>
      </c>
      <c r="G321" s="60" t="inlineStr">
        <is>
          <t>BA</t>
        </is>
      </c>
      <c r="H321" s="119" t="n">
        <v>45444</v>
      </c>
      <c r="I321" s="119">
        <f>H321-180</f>
        <v/>
      </c>
      <c r="J321" s="60">
        <f>SUM(L321:AE321)</f>
        <v/>
      </c>
      <c r="K321" s="60">
        <f>SUM(AF321:AJ321)</f>
        <v/>
      </c>
      <c r="L321" s="60" t="n"/>
      <c r="M321" s="60" t="n"/>
      <c r="N321" s="60" t="n"/>
      <c r="O321" s="60" t="n">
        <v>2</v>
      </c>
      <c r="P321" s="60" t="n"/>
      <c r="Q321" s="60" t="n"/>
      <c r="R321" s="60" t="n"/>
      <c r="S321" s="60" t="n"/>
      <c r="T321" s="60" t="n"/>
      <c r="U321" s="60" t="n"/>
      <c r="V321" s="60" t="n"/>
      <c r="W321" s="60" t="n"/>
      <c r="X321" s="60" t="n"/>
      <c r="Y321" s="60" t="n"/>
      <c r="Z321" s="60" t="n"/>
      <c r="AA321" s="60" t="n"/>
      <c r="AB321" s="60" t="n"/>
      <c r="AC321" s="60" t="n"/>
      <c r="AD321" s="60" t="n"/>
      <c r="AE321" s="60" t="n"/>
      <c r="AF321" s="60" t="n"/>
      <c r="AG321" s="60" t="n"/>
      <c r="AH321" s="60" t="n"/>
      <c r="AI321" s="60" t="n"/>
      <c r="AJ321" s="60" t="n"/>
      <c r="AK321" s="120">
        <f>IF(L321&gt;0,L321*90.44,0)+IF(M321&gt;0,M321*348.12,0)+IF(N321&gt;0,N321*151.63,0)+IF(O321&gt;0,O321*197.82,0)+IF(P321&gt;0,P321*244.09,0)+IF(Q321&gt;0,Q321*315.35,0)+IF(R321&gt;0,R321*1067.3,0)+IF(T321&gt;0,T321*567.47,0)+IF(U321&gt;0,U321*151.63,0)+IF(V321&gt;0,V321*197.84,0)+IF(W321&gt;0,W321*470.51,0)+IF(X321&gt;0,X321*701.69,0)+IF(Z321&gt;0,Z321*151.63,0)+IF(AA321&gt;0,AA321*197.84)+IF(AB321&gt;0,AB321*308.4,0)+IF(AC321&gt;0,AC321*496.16,0)</f>
        <v/>
      </c>
    </row>
    <row r="322" hidden="1">
      <c r="A322" s="58" t="n"/>
      <c r="B322" s="59">
        <f>IF(H322&lt;$B$1,"VENCIDO","NA VALIDADE")</f>
        <v/>
      </c>
      <c r="C322" s="60" t="inlineStr">
        <is>
          <t>SUBESTAÇÃO</t>
        </is>
      </c>
      <c r="D322" s="61" t="inlineStr">
        <is>
          <t>SE EUNAPOLIS II</t>
        </is>
      </c>
      <c r="E322" s="62" t="inlineStr">
        <is>
          <t>EUNÁPOLIS</t>
        </is>
      </c>
      <c r="F322" s="61" t="inlineStr">
        <is>
          <t>ILHÉUS</t>
        </is>
      </c>
      <c r="G322" s="60" t="inlineStr">
        <is>
          <t>BA</t>
        </is>
      </c>
      <c r="H322" s="119" t="n">
        <v>45413</v>
      </c>
      <c r="I322" s="119" t="n">
        <v>45413</v>
      </c>
      <c r="J322" s="60">
        <f>SUM(L322:AE322)</f>
        <v/>
      </c>
      <c r="K322" s="60">
        <f>SUM(AF322:AJ322)</f>
        <v/>
      </c>
      <c r="L322" s="60" t="n"/>
      <c r="M322" s="60" t="n"/>
      <c r="N322" s="60" t="n"/>
      <c r="O322" s="60" t="n">
        <v>1</v>
      </c>
      <c r="P322" s="60" t="n"/>
      <c r="Q322" s="60" t="n"/>
      <c r="R322" s="60" t="n"/>
      <c r="S322" s="60" t="n"/>
      <c r="T322" s="60" t="n"/>
      <c r="U322" s="60" t="n"/>
      <c r="V322" s="60" t="n"/>
      <c r="W322" s="60" t="n"/>
      <c r="X322" s="60" t="n"/>
      <c r="Y322" s="60" t="n"/>
      <c r="Z322" s="60" t="n"/>
      <c r="AA322" s="60" t="n">
        <v>1</v>
      </c>
      <c r="AB322" s="60" t="n"/>
      <c r="AC322" s="60" t="n"/>
      <c r="AD322" s="60" t="n"/>
      <c r="AE322" s="60" t="n"/>
      <c r="AF322" s="60" t="n"/>
      <c r="AG322" s="60" t="n"/>
      <c r="AH322" s="60" t="n"/>
      <c r="AI322" s="60" t="n"/>
      <c r="AJ322" s="60" t="n"/>
      <c r="AK322" s="120">
        <f>IF(L322&gt;0,L322*90.44,0)+IF(M322&gt;0,M322*348.12,0)+IF(N322&gt;0,N322*151.63,0)+IF(O322&gt;0,O322*197.82,0)+IF(P322&gt;0,P322*244.09,0)+IF(Q322&gt;0,Q322*315.35,0)+IF(R322&gt;0,R322*1067.3,0)+IF(T322&gt;0,T322*567.47,0)+IF(U322&gt;0,U322*151.63,0)+IF(V322&gt;0,V322*197.84,0)+IF(W322&gt;0,W322*470.51,0)+IF(X322&gt;0,X322*701.69,0)+IF(Z322&gt;0,Z322*151.63,0)+IF(AA322&gt;0,AA322*197.84)+IF(AB322&gt;0,AB322*308.4,0)+IF(AC322&gt;0,AC322*496.16,0)</f>
        <v/>
      </c>
    </row>
    <row r="323" hidden="1">
      <c r="A323" s="58" t="n"/>
      <c r="B323" s="59">
        <f>IF(H323&lt;$B$1,"VENCIDO","NA VALIDADE")</f>
        <v/>
      </c>
      <c r="C323" s="60" t="inlineStr">
        <is>
          <t>SUBESTAÇÃO</t>
        </is>
      </c>
      <c r="D323" s="61" t="inlineStr">
        <is>
          <t>SE EUNAPOLIS III</t>
        </is>
      </c>
      <c r="E323" s="62" t="inlineStr">
        <is>
          <t>EUNÁPOLIS</t>
        </is>
      </c>
      <c r="F323" s="61" t="inlineStr">
        <is>
          <t>ILHÉUS</t>
        </is>
      </c>
      <c r="G323" s="60" t="inlineStr">
        <is>
          <t>BA</t>
        </is>
      </c>
      <c r="H323" s="119" t="n">
        <v>45505</v>
      </c>
      <c r="I323" s="119">
        <f>H323-180</f>
        <v/>
      </c>
      <c r="J323" s="60">
        <f>SUM(L323:AE323)</f>
        <v/>
      </c>
      <c r="K323" s="60">
        <f>SUM(AF323:AJ323)</f>
        <v/>
      </c>
      <c r="L323" s="60" t="n"/>
      <c r="M323" s="60" t="n"/>
      <c r="N323" s="60" t="n"/>
      <c r="O323" s="60" t="n"/>
      <c r="P323" s="60" t="n"/>
      <c r="Q323" s="60" t="n">
        <v>4</v>
      </c>
      <c r="R323" s="60" t="n"/>
      <c r="S323" s="60" t="n"/>
      <c r="T323" s="60" t="n">
        <v>2</v>
      </c>
      <c r="U323" s="60" t="n"/>
      <c r="V323" s="60" t="n"/>
      <c r="W323" s="60" t="n"/>
      <c r="X323" s="60" t="n"/>
      <c r="Y323" s="60" t="n"/>
      <c r="Z323" s="60" t="n"/>
      <c r="AA323" s="60" t="n">
        <v>2</v>
      </c>
      <c r="AB323" s="60" t="n"/>
      <c r="AC323" s="60" t="n"/>
      <c r="AD323" s="60" t="n"/>
      <c r="AE323" s="60" t="n"/>
      <c r="AF323" s="60" t="n"/>
      <c r="AG323" s="60" t="n"/>
      <c r="AH323" s="60" t="n"/>
      <c r="AI323" s="60" t="n"/>
      <c r="AJ323" s="60" t="n"/>
      <c r="AK323" s="120">
        <f>IF(L323&gt;0,L323*90.44,0)+IF(M323&gt;0,M323*348.12,0)+IF(N323&gt;0,N323*151.63,0)+IF(O323&gt;0,O323*197.82,0)+IF(P323&gt;0,P323*244.09,0)+IF(Q323&gt;0,Q323*315.35,0)+IF(R323&gt;0,R323*1067.3,0)+IF(T323&gt;0,T323*567.47,0)+IF(U323&gt;0,U323*151.63,0)+IF(V323&gt;0,V323*197.84,0)+IF(W323&gt;0,W323*470.51,0)+IF(X323&gt;0,X323*701.69,0)+IF(Z323&gt;0,Z323*151.63,0)+IF(AA323&gt;0,AA323*197.84)+IF(AB323&gt;0,AB323*308.4,0)+IF(AC323&gt;0,AC323*496.16,0)</f>
        <v/>
      </c>
    </row>
    <row r="324" hidden="1">
      <c r="A324" s="58" t="inlineStr">
        <is>
          <t>VITÓRIA 06/12</t>
        </is>
      </c>
      <c r="B324" s="59">
        <f>IF(H324&lt;$B$1,"VENCIDO","NA VALIDADE")</f>
        <v/>
      </c>
      <c r="C324" s="60" t="inlineStr">
        <is>
          <t>SUBESTAÇÃO</t>
        </is>
      </c>
      <c r="D324" s="61" t="inlineStr">
        <is>
          <t xml:space="preserve">SE ITAPETINGA </t>
        </is>
      </c>
      <c r="E324" s="62" t="inlineStr">
        <is>
          <t>ITAPETINGA</t>
        </is>
      </c>
      <c r="F324" s="61" t="inlineStr">
        <is>
          <t>VITÓRIA DA CONQUISTA</t>
        </is>
      </c>
      <c r="G324" s="60" t="inlineStr">
        <is>
          <t>BA</t>
        </is>
      </c>
      <c r="H324" s="119" t="n">
        <v>45444</v>
      </c>
      <c r="I324" s="119" t="n">
        <v>45444</v>
      </c>
      <c r="J324" s="60">
        <f>SUM(L324:AE324)</f>
        <v/>
      </c>
      <c r="K324" s="60">
        <f>SUM(AF324:AJ324)</f>
        <v/>
      </c>
      <c r="L324" s="60" t="n"/>
      <c r="M324" s="60" t="n"/>
      <c r="N324" s="60" t="n"/>
      <c r="O324" s="60" t="n"/>
      <c r="P324" s="60" t="n">
        <v>1</v>
      </c>
      <c r="Q324" s="60" t="n"/>
      <c r="R324" s="60" t="n"/>
      <c r="S324" s="60" t="n"/>
      <c r="T324" s="60" t="n">
        <v>1</v>
      </c>
      <c r="U324" s="60" t="n"/>
      <c r="V324" s="60" t="n"/>
      <c r="W324" s="60" t="n"/>
      <c r="X324" s="60" t="n"/>
      <c r="Y324" s="60" t="n"/>
      <c r="Z324" s="60" t="n"/>
      <c r="AA324" s="60" t="n">
        <v>1</v>
      </c>
      <c r="AB324" s="60" t="n"/>
      <c r="AC324" s="60" t="n"/>
      <c r="AD324" s="60" t="n"/>
      <c r="AE324" s="60" t="n"/>
      <c r="AF324" s="60" t="n"/>
      <c r="AG324" s="60" t="n"/>
      <c r="AH324" s="60" t="n"/>
      <c r="AI324" s="60" t="n"/>
      <c r="AJ324" s="60" t="n"/>
      <c r="AK324" s="120">
        <f>IF(L324&gt;0,L324*90.44,0)+IF(M324&gt;0,M324*348.12,0)+IF(N324&gt;0,N324*151.63,0)+IF(O324&gt;0,O324*197.82,0)+IF(P324&gt;0,P324*244.09,0)+IF(Q324&gt;0,Q324*315.35,0)+IF(R324&gt;0,R324*1067.3,0)+IF(T324&gt;0,T324*567.47,0)+IF(U324&gt;0,U324*151.63,0)+IF(V324&gt;0,V324*197.84,0)+IF(W324&gt;0,W324*470.51,0)+IF(X324&gt;0,X324*701.69,0)+IF(Z324&gt;0,Z324*151.63,0)+IF(AA324&gt;0,AA324*197.84)+IF(AB324&gt;0,AB324*308.4,0)+IF(AC324&gt;0,AC324*496.16,0)</f>
        <v/>
      </c>
    </row>
    <row r="325" hidden="1">
      <c r="A325" s="58" t="inlineStr">
        <is>
          <t>SIM</t>
        </is>
      </c>
      <c r="B325" s="59">
        <f>IF(H325&lt;$B$1,"VENCIDO","NA VALIDADE")</f>
        <v/>
      </c>
      <c r="C325" s="60" t="inlineStr">
        <is>
          <t>SUBESTAÇÃO</t>
        </is>
      </c>
      <c r="D325" s="61" t="inlineStr">
        <is>
          <t>SE ITAQUARA</t>
        </is>
      </c>
      <c r="E325" s="62" t="inlineStr">
        <is>
          <t>ITAQUARA</t>
        </is>
      </c>
      <c r="F325" s="61" t="inlineStr">
        <is>
          <t>VITÓRIA DA CONQUISTA</t>
        </is>
      </c>
      <c r="G325" s="60" t="inlineStr">
        <is>
          <t>BA</t>
        </is>
      </c>
      <c r="H325" s="119" t="n">
        <v>45444</v>
      </c>
      <c r="I325" s="119" t="n">
        <v>45444</v>
      </c>
      <c r="J325" s="60">
        <f>SUM(L325:AE325)</f>
        <v/>
      </c>
      <c r="K325" s="60">
        <f>SUM(AF325:AJ325)</f>
        <v/>
      </c>
      <c r="L325" s="60" t="n"/>
      <c r="M325" s="60" t="n"/>
      <c r="N325" s="60" t="n"/>
      <c r="O325" s="60" t="n"/>
      <c r="P325" s="60" t="n"/>
      <c r="Q325" s="60" t="n">
        <v>1</v>
      </c>
      <c r="R325" s="60" t="n"/>
      <c r="S325" s="60" t="n"/>
      <c r="T325" s="60" t="n"/>
      <c r="U325" s="60" t="n"/>
      <c r="V325" s="60" t="n"/>
      <c r="W325" s="60" t="n"/>
      <c r="X325" s="60" t="n"/>
      <c r="Y325" s="60" t="n"/>
      <c r="Z325" s="60" t="n"/>
      <c r="AA325" s="60" t="n">
        <v>1</v>
      </c>
      <c r="AB325" s="60" t="n"/>
      <c r="AC325" s="60" t="n"/>
      <c r="AD325" s="60" t="n"/>
      <c r="AE325" s="60" t="n"/>
      <c r="AF325" s="60" t="n"/>
      <c r="AG325" s="60" t="n"/>
      <c r="AH325" s="60" t="n"/>
      <c r="AI325" s="60" t="n"/>
      <c r="AJ325" s="60" t="n"/>
      <c r="AK325" s="120">
        <f>IF(L325&gt;0,L325*90.44,0)+IF(M325&gt;0,M325*348.12,0)+IF(N325&gt;0,N325*151.63,0)+IF(O325&gt;0,O325*197.82,0)+IF(P325&gt;0,P325*244.09,0)+IF(Q325&gt;0,Q325*315.35,0)+IF(R325&gt;0,R325*1067.3,0)+IF(T325&gt;0,T325*567.47,0)+IF(U325&gt;0,U325*151.63,0)+IF(V325&gt;0,V325*197.84,0)+IF(W325&gt;0,W325*470.51,0)+IF(X325&gt;0,X325*701.69,0)+IF(Z325&gt;0,Z325*151.63,0)+IF(AA325&gt;0,AA325*197.84)+IF(AB325&gt;0,AB325*308.4,0)+IF(AC325&gt;0,AC325*496.16,0)</f>
        <v/>
      </c>
    </row>
    <row r="326">
      <c r="A326" s="58" t="inlineStr">
        <is>
          <t>FEIRA 06/12</t>
        </is>
      </c>
      <c r="B326" s="59">
        <f>IF(H326&lt;$B$1,"VENCIDO","NA VALIDADE")</f>
        <v/>
      </c>
      <c r="C326" s="60" t="inlineStr">
        <is>
          <t>SUBESTAÇÃO</t>
        </is>
      </c>
      <c r="D326" s="61" t="inlineStr">
        <is>
          <t>SE ITINGA</t>
        </is>
      </c>
      <c r="E326" s="62" t="inlineStr">
        <is>
          <t>LAURO DE FREITAS</t>
        </is>
      </c>
      <c r="F326" s="61" t="inlineStr">
        <is>
          <t>FEIRA DE  SANTANA</t>
        </is>
      </c>
      <c r="G326" s="60" t="inlineStr">
        <is>
          <t>BA</t>
        </is>
      </c>
      <c r="H326" s="119" t="n">
        <v>45444</v>
      </c>
      <c r="I326" s="119" t="n">
        <v>45292</v>
      </c>
      <c r="J326" s="60">
        <f>SUM(L326:AE326)</f>
        <v/>
      </c>
      <c r="K326" s="60">
        <f>SUM(AF326:AJ326)</f>
        <v/>
      </c>
      <c r="L326" s="60" t="n"/>
      <c r="M326" s="60" t="n"/>
      <c r="N326" s="60" t="n"/>
      <c r="O326" s="60" t="n"/>
      <c r="P326" s="60" t="n"/>
      <c r="Q326" s="60" t="n">
        <v>2</v>
      </c>
      <c r="R326" s="60" t="n"/>
      <c r="S326" s="60" t="n"/>
      <c r="T326" s="60" t="n"/>
      <c r="U326" s="60" t="n"/>
      <c r="V326" s="60" t="n"/>
      <c r="W326" s="60" t="n"/>
      <c r="X326" s="60" t="n"/>
      <c r="Y326" s="60" t="n"/>
      <c r="Z326" s="60" t="n"/>
      <c r="AA326" s="60" t="n">
        <v>2</v>
      </c>
      <c r="AB326" s="60" t="n"/>
      <c r="AC326" s="60" t="n"/>
      <c r="AD326" s="60" t="n"/>
      <c r="AE326" s="60" t="n"/>
      <c r="AF326" s="60" t="n"/>
      <c r="AG326" s="60" t="n"/>
      <c r="AH326" s="60" t="n"/>
      <c r="AI326" s="60" t="n"/>
      <c r="AJ326" s="60" t="n"/>
      <c r="AK326" s="120">
        <f>IF(L326&gt;0,L326*90.44,0)+IF(M326&gt;0,M326*348.12,0)+IF(N326&gt;0,N326*151.63,0)+IF(O326&gt;0,O326*197.82,0)+IF(P326&gt;0,P326*244.09,0)+IF(Q326&gt;0,Q326*315.35,0)+IF(R326&gt;0,R326*1067.3,0)+IF(T326&gt;0,T326*567.47,0)+IF(U326&gt;0,U326*151.63,0)+IF(V326&gt;0,V326*197.84,0)+IF(W326&gt;0,W326*470.51,0)+IF(X326&gt;0,X326*701.69,0)+IF(Z326&gt;0,Z326*151.63,0)+IF(AA326&gt;0,AA326*197.84)+IF(AB326&gt;0,AB326*308.4,0)+IF(AC326&gt;0,AC326*496.16,0)</f>
        <v/>
      </c>
    </row>
    <row r="327">
      <c r="A327" s="58" t="inlineStr">
        <is>
          <t>SIM</t>
        </is>
      </c>
      <c r="B327" s="59">
        <f>IF(H327&lt;$B$1,"VENCIDO","NA VALIDADE")</f>
        <v/>
      </c>
      <c r="C327" s="60" t="inlineStr">
        <is>
          <t>SUBESTAÇÃO</t>
        </is>
      </c>
      <c r="D327" s="61" t="inlineStr">
        <is>
          <t>SE ITIUBA</t>
        </is>
      </c>
      <c r="E327" s="62" t="inlineStr">
        <is>
          <t>ITIÚBA</t>
        </is>
      </c>
      <c r="F327" s="61" t="inlineStr">
        <is>
          <t>FEIRA DE  SANTANA</t>
        </is>
      </c>
      <c r="G327" s="60" t="inlineStr">
        <is>
          <t>BA</t>
        </is>
      </c>
      <c r="H327" s="119" t="n">
        <v>45444</v>
      </c>
      <c r="I327" s="119" t="n">
        <v>45444</v>
      </c>
      <c r="J327" s="60">
        <f>SUM(L327:AE327)</f>
        <v/>
      </c>
      <c r="K327" s="60">
        <f>SUM(AF327:AJ327)</f>
        <v/>
      </c>
      <c r="L327" s="60" t="n"/>
      <c r="M327" s="60" t="n"/>
      <c r="N327" s="60" t="n"/>
      <c r="O327" s="60" t="n">
        <v>1</v>
      </c>
      <c r="P327" s="60" t="n"/>
      <c r="Q327" s="60" t="n">
        <v>3</v>
      </c>
      <c r="R327" s="60" t="n"/>
      <c r="S327" s="60" t="n"/>
      <c r="T327" s="60" t="n">
        <v>1</v>
      </c>
      <c r="U327" s="60" t="n"/>
      <c r="V327" s="60" t="n"/>
      <c r="W327" s="60" t="n"/>
      <c r="X327" s="60" t="n"/>
      <c r="Y327" s="60" t="n"/>
      <c r="Z327" s="60" t="n"/>
      <c r="AA327" s="60" t="n">
        <v>1</v>
      </c>
      <c r="AB327" s="60" t="n"/>
      <c r="AC327" s="60" t="n"/>
      <c r="AD327" s="60" t="n"/>
      <c r="AE327" s="60" t="n"/>
      <c r="AF327" s="60" t="n"/>
      <c r="AG327" s="60" t="n"/>
      <c r="AH327" s="60" t="n"/>
      <c r="AI327" s="60" t="n"/>
      <c r="AJ327" s="60" t="n"/>
      <c r="AK327" s="120">
        <f>IF(L327&gt;0,L327*90.44,0)+IF(M327&gt;0,M327*348.12,0)+IF(N327&gt;0,N327*151.63,0)+IF(O327&gt;0,O327*197.82,0)+IF(P327&gt;0,P327*244.09,0)+IF(Q327&gt;0,Q327*315.35,0)+IF(R327&gt;0,R327*1067.3,0)+IF(T327&gt;0,T327*567.47,0)+IF(U327&gt;0,U327*151.63,0)+IF(V327&gt;0,V327*197.84,0)+IF(W327&gt;0,W327*470.51,0)+IF(X327&gt;0,X327*701.69,0)+IF(Z327&gt;0,Z327*151.63,0)+IF(AA327&gt;0,AA327*197.84)+IF(AB327&gt;0,AB327*308.4,0)+IF(AC327&gt;0,AC327*496.16,0)</f>
        <v/>
      </c>
    </row>
    <row r="328" hidden="1">
      <c r="A328" s="58" t="inlineStr">
        <is>
          <t>LEONIDAS</t>
        </is>
      </c>
      <c r="B328" s="59">
        <f>IF(H328&lt;$B$1,"VENCIDO","NA VALIDADE")</f>
        <v/>
      </c>
      <c r="C328" s="60" t="inlineStr">
        <is>
          <t>SUBESTAÇÃO</t>
        </is>
      </c>
      <c r="D328" s="61" t="inlineStr">
        <is>
          <t>SE JACARACI</t>
        </is>
      </c>
      <c r="E328" s="62" t="inlineStr">
        <is>
          <t>JACARACI</t>
        </is>
      </c>
      <c r="F328" s="61" t="inlineStr">
        <is>
          <t>VITÓRIA DA CONQUISTA</t>
        </is>
      </c>
      <c r="G328" s="60" t="inlineStr">
        <is>
          <t>BA</t>
        </is>
      </c>
      <c r="H328" s="119" t="n">
        <v>45292</v>
      </c>
      <c r="I328" s="119">
        <f>H328-180</f>
        <v/>
      </c>
      <c r="J328" s="60">
        <f>SUM(L328:AE328)</f>
        <v/>
      </c>
      <c r="K328" s="60">
        <f>SUM(AF328:AJ328)</f>
        <v/>
      </c>
      <c r="L328" s="60" t="n"/>
      <c r="M328" s="60" t="n"/>
      <c r="N328" s="60" t="n"/>
      <c r="O328" s="60" t="n"/>
      <c r="P328" s="60" t="n"/>
      <c r="Q328" s="60" t="n">
        <v>2</v>
      </c>
      <c r="R328" s="60" t="n"/>
      <c r="S328" s="60" t="n"/>
      <c r="T328" s="60" t="n"/>
      <c r="U328" s="60" t="n"/>
      <c r="V328" s="60" t="n"/>
      <c r="W328" s="60" t="n"/>
      <c r="X328" s="60" t="n"/>
      <c r="Y328" s="60" t="n"/>
      <c r="Z328" s="60" t="n"/>
      <c r="AA328" s="60" t="n">
        <v>2</v>
      </c>
      <c r="AB328" s="60" t="n"/>
      <c r="AC328" s="60" t="n"/>
      <c r="AD328" s="60" t="n"/>
      <c r="AE328" s="60" t="n"/>
      <c r="AF328" s="60" t="n"/>
      <c r="AG328" s="60" t="n"/>
      <c r="AH328" s="60" t="n"/>
      <c r="AI328" s="60" t="n"/>
      <c r="AJ328" s="60" t="n"/>
      <c r="AK328" s="120">
        <f>IF(L328&gt;0,L328*90.44,0)+IF(M328&gt;0,M328*348.12,0)+IF(N328&gt;0,N328*151.63,0)+IF(O328&gt;0,O328*197.82,0)+IF(P328&gt;0,P328*244.09,0)+IF(Q328&gt;0,Q328*315.35,0)+IF(R328&gt;0,R328*1067.3,0)+IF(T328&gt;0,T328*567.47,0)+IF(U328&gt;0,U328*151.63,0)+IF(V328&gt;0,V328*197.84,0)+IF(W328&gt;0,W328*470.51,0)+IF(X328&gt;0,X328*701.69,0)+IF(Z328&gt;0,Z328*151.63,0)+IF(AA328&gt;0,AA328*197.84)+IF(AB328&gt;0,AB328*308.4,0)+IF(AC328&gt;0,AC328*496.16,0)</f>
        <v/>
      </c>
    </row>
    <row r="329">
      <c r="A329" s="58" t="n"/>
      <c r="B329" s="59">
        <f>IF(H329&lt;$B$1,"VENCIDO","NA VALIDADE")</f>
        <v/>
      </c>
      <c r="C329" s="60" t="inlineStr">
        <is>
          <t>SUBESTAÇÃO</t>
        </is>
      </c>
      <c r="D329" s="61" t="inlineStr">
        <is>
          <t>SE JACOBINA</t>
        </is>
      </c>
      <c r="E329" s="62" t="inlineStr">
        <is>
          <t>JACOBINA</t>
        </is>
      </c>
      <c r="F329" s="61" t="inlineStr">
        <is>
          <t>FEIRA DE  SANTANA</t>
        </is>
      </c>
      <c r="G329" s="60" t="inlineStr">
        <is>
          <t>BA</t>
        </is>
      </c>
      <c r="H329" s="119" t="n">
        <v>45444</v>
      </c>
      <c r="I329" s="119" t="n">
        <v>45444</v>
      </c>
      <c r="J329" s="60">
        <f>SUM(L329:AE329)</f>
        <v/>
      </c>
      <c r="K329" s="60">
        <f>SUM(AF329:AJ329)</f>
        <v/>
      </c>
      <c r="L329" s="60" t="n"/>
      <c r="M329" s="60" t="n"/>
      <c r="N329" s="60" t="n"/>
      <c r="O329" s="60" t="n"/>
      <c r="P329" s="60" t="n"/>
      <c r="Q329" s="60" t="n"/>
      <c r="R329" s="60" t="n">
        <v>1</v>
      </c>
      <c r="S329" s="60" t="n"/>
      <c r="T329" s="60" t="n"/>
      <c r="U329" s="60" t="n"/>
      <c r="V329" s="60" t="n"/>
      <c r="W329" s="60" t="n"/>
      <c r="X329" s="60" t="n"/>
      <c r="Y329" s="60" t="n"/>
      <c r="Z329" s="60" t="n"/>
      <c r="AA329" s="60" t="n">
        <v>3</v>
      </c>
      <c r="AB329" s="60" t="n"/>
      <c r="AC329" s="60" t="n"/>
      <c r="AD329" s="60" t="n"/>
      <c r="AE329" s="60" t="n"/>
      <c r="AF329" s="60" t="n"/>
      <c r="AG329" s="60" t="n"/>
      <c r="AH329" s="60" t="n"/>
      <c r="AI329" s="60" t="n"/>
      <c r="AJ329" s="60" t="n"/>
      <c r="AK329" s="120">
        <f>IF(L329&gt;0,L329*90.44,0)+IF(M329&gt;0,M329*348.12,0)+IF(N329&gt;0,N329*151.63,0)+IF(O329&gt;0,O329*197.82,0)+IF(P329&gt;0,P329*244.09,0)+IF(Q329&gt;0,Q329*315.35,0)+IF(R329&gt;0,R329*1067.3,0)+IF(T329&gt;0,T329*567.47,0)+IF(U329&gt;0,U329*151.63,0)+IF(V329&gt;0,V329*197.84,0)+IF(W329&gt;0,W329*470.51,0)+IF(X329&gt;0,X329*701.69,0)+IF(Z329&gt;0,Z329*151.63,0)+IF(AA329&gt;0,AA329*197.84)+IF(AB329&gt;0,AB329*308.4,0)+IF(AC329&gt;0,AC329*496.16,0)</f>
        <v/>
      </c>
    </row>
    <row r="330">
      <c r="A330" s="58" t="inlineStr">
        <is>
          <t>SIM</t>
        </is>
      </c>
      <c r="B330" s="59">
        <f>IF(H330&lt;$B$1,"VENCIDO","NA VALIDADE")</f>
        <v/>
      </c>
      <c r="C330" s="60" t="inlineStr">
        <is>
          <t>SUBESTAÇÃO</t>
        </is>
      </c>
      <c r="D330" s="61" t="inlineStr">
        <is>
          <t>SE JACURICI (ACESSO IMPOSSIVEL ABELHA )</t>
        </is>
      </c>
      <c r="E330" s="62" t="inlineStr">
        <is>
          <t>ITIÚBA</t>
        </is>
      </c>
      <c r="F330" s="61" t="inlineStr">
        <is>
          <t>FEIRA DE  SANTANA</t>
        </is>
      </c>
      <c r="G330" s="60" t="inlineStr">
        <is>
          <t>BA</t>
        </is>
      </c>
      <c r="H330" s="119" t="n">
        <v>45078</v>
      </c>
      <c r="I330" s="119" t="n">
        <v>45078</v>
      </c>
      <c r="J330" s="60">
        <f>SUM(L330:AE330)</f>
        <v/>
      </c>
      <c r="K330" s="60">
        <f>SUM(AF330:AJ330)</f>
        <v/>
      </c>
      <c r="L330" s="60" t="n"/>
      <c r="M330" s="60" t="n"/>
      <c r="N330" s="60" t="n"/>
      <c r="O330" s="60" t="n"/>
      <c r="P330" s="60" t="n"/>
      <c r="Q330" s="60" t="n">
        <v>1</v>
      </c>
      <c r="R330" s="60" t="n"/>
      <c r="S330" s="60" t="n"/>
      <c r="T330" s="60" t="n"/>
      <c r="U330" s="60" t="n"/>
      <c r="V330" s="60" t="n"/>
      <c r="W330" s="60" t="n"/>
      <c r="X330" s="60" t="n"/>
      <c r="Y330" s="60" t="n"/>
      <c r="Z330" s="60" t="n"/>
      <c r="AA330" s="60" t="n">
        <v>1</v>
      </c>
      <c r="AB330" s="60" t="n"/>
      <c r="AC330" s="60" t="n"/>
      <c r="AD330" s="60" t="n"/>
      <c r="AE330" s="60" t="n"/>
      <c r="AF330" s="60" t="n"/>
      <c r="AG330" s="60" t="n"/>
      <c r="AH330" s="60" t="n"/>
      <c r="AI330" s="60" t="n"/>
      <c r="AJ330" s="60" t="n"/>
      <c r="AK330" s="120">
        <f>IF(L330&gt;0,L330*90.44,0)+IF(M330&gt;0,M330*348.12,0)+IF(N330&gt;0,N330*151.63,0)+IF(O330&gt;0,O330*197.82,0)+IF(P330&gt;0,P330*244.09,0)+IF(Q330&gt;0,Q330*315.35,0)+IF(R330&gt;0,R330*1067.3,0)+IF(T330&gt;0,T330*567.47,0)+IF(U330&gt;0,U330*151.63,0)+IF(V330&gt;0,V330*197.84,0)+IF(W330&gt;0,W330*470.51,0)+IF(X330&gt;0,X330*701.69,0)+IF(Z330&gt;0,Z330*151.63,0)+IF(AA330&gt;0,AA330*197.84)+IF(AB330&gt;0,AB330*308.4,0)+IF(AC330&gt;0,AC330*496.16,0)</f>
        <v/>
      </c>
    </row>
    <row r="331" hidden="1">
      <c r="A331" s="58" t="inlineStr">
        <is>
          <t>LEONIDAS</t>
        </is>
      </c>
      <c r="B331" s="59">
        <f>IF(H331&lt;$B$1,"VENCIDO","NA VALIDADE")</f>
        <v/>
      </c>
      <c r="C331" s="60" t="inlineStr">
        <is>
          <t>SUBESTAÇÃO</t>
        </is>
      </c>
      <c r="D331" s="61" t="inlineStr">
        <is>
          <t>SE JAGUAQUARA</t>
        </is>
      </c>
      <c r="E331" s="62" t="inlineStr">
        <is>
          <t>JAGUAQUARA</t>
        </is>
      </c>
      <c r="F331" s="61" t="inlineStr">
        <is>
          <t>VITÓRIA DA CONQUISTA</t>
        </is>
      </c>
      <c r="G331" s="60" t="inlineStr">
        <is>
          <t>BA</t>
        </is>
      </c>
      <c r="H331" s="119" t="n">
        <v>45352</v>
      </c>
      <c r="I331" s="119">
        <f>H331-180</f>
        <v/>
      </c>
      <c r="J331" s="60">
        <f>SUM(L331:AE331)</f>
        <v/>
      </c>
      <c r="K331" s="60">
        <f>SUM(AF331:AJ331)</f>
        <v/>
      </c>
      <c r="L331" s="60" t="n"/>
      <c r="M331" s="60" t="n"/>
      <c r="N331" s="60" t="n"/>
      <c r="O331" s="60" t="n"/>
      <c r="P331" s="60" t="n"/>
      <c r="Q331" s="60" t="n">
        <v>2</v>
      </c>
      <c r="R331" s="60" t="n"/>
      <c r="S331" s="60" t="n"/>
      <c r="T331" s="60" t="n">
        <v>1</v>
      </c>
      <c r="U331" s="60" t="n"/>
      <c r="V331" s="60" t="n"/>
      <c r="W331" s="60" t="n"/>
      <c r="X331" s="60" t="n"/>
      <c r="Y331" s="60" t="n"/>
      <c r="Z331" s="60" t="n"/>
      <c r="AA331" s="60" t="n"/>
      <c r="AB331" s="60" t="n"/>
      <c r="AC331" s="60" t="n"/>
      <c r="AD331" s="60" t="n"/>
      <c r="AE331" s="60" t="n"/>
      <c r="AF331" s="60" t="n"/>
      <c r="AG331" s="60" t="n"/>
      <c r="AH331" s="60" t="n"/>
      <c r="AI331" s="60" t="n"/>
      <c r="AJ331" s="60" t="n"/>
      <c r="AK331" s="120">
        <f>IF(L331&gt;0,L331*90.44,0)+IF(M331&gt;0,M331*348.12,0)+IF(N331&gt;0,N331*151.63,0)+IF(O331&gt;0,O331*197.82,0)+IF(P331&gt;0,P331*244.09,0)+IF(Q331&gt;0,Q331*315.35,0)+IF(R331&gt;0,R331*1067.3,0)+IF(T331&gt;0,T331*567.47,0)+IF(U331&gt;0,U331*151.63,0)+IF(V331&gt;0,V331*197.84,0)+IF(W331&gt;0,W331*470.51,0)+IF(X331&gt;0,X331*701.69,0)+IF(Z331&gt;0,Z331*151.63,0)+IF(AA331&gt;0,AA331*197.84)+IF(AB331&gt;0,AB331*308.4,0)+IF(AC331&gt;0,AC331*496.16,0)</f>
        <v/>
      </c>
    </row>
    <row r="332" hidden="1">
      <c r="A332" s="58" t="inlineStr">
        <is>
          <t>rota</t>
        </is>
      </c>
      <c r="B332" s="59">
        <f>IF(H332&lt;$B$1,"VENCIDO","NA VALIDADE")</f>
        <v/>
      </c>
      <c r="C332" s="60" t="inlineStr">
        <is>
          <t>SUBESTAÇÃO</t>
        </is>
      </c>
      <c r="D332" s="61" t="inlineStr">
        <is>
          <t>SE JEQUIÉ II</t>
        </is>
      </c>
      <c r="E332" s="62" t="inlineStr">
        <is>
          <t>JEQUIÉ</t>
        </is>
      </c>
      <c r="F332" s="61" t="inlineStr">
        <is>
          <t>VITÓRIA DA CONQUISTA</t>
        </is>
      </c>
      <c r="G332" s="60" t="inlineStr">
        <is>
          <t>BA</t>
        </is>
      </c>
      <c r="H332" s="119" t="n">
        <v>45566</v>
      </c>
      <c r="I332" s="119" t="n">
        <v>45566</v>
      </c>
      <c r="J332" s="60">
        <f>SUM(L332:AE332)</f>
        <v/>
      </c>
      <c r="K332" s="60">
        <f>SUM(AF332:AJ332)</f>
        <v/>
      </c>
      <c r="L332" s="60" t="n"/>
      <c r="M332" s="60" t="n"/>
      <c r="N332" s="60" t="n"/>
      <c r="O332" s="60" t="n"/>
      <c r="P332" s="60" t="n"/>
      <c r="Q332" s="60" t="n">
        <v>1</v>
      </c>
      <c r="R332" s="60" t="n"/>
      <c r="S332" s="60" t="n"/>
      <c r="T332" s="60" t="n"/>
      <c r="U332" s="60" t="n"/>
      <c r="V332" s="60" t="n"/>
      <c r="W332" s="60" t="n"/>
      <c r="X332" s="60" t="n"/>
      <c r="Y332" s="60" t="n"/>
      <c r="Z332" s="60" t="n"/>
      <c r="AA332" s="60" t="n">
        <v>4</v>
      </c>
      <c r="AB332" s="60" t="n"/>
      <c r="AC332" s="60" t="n"/>
      <c r="AD332" s="60" t="n"/>
      <c r="AE332" s="60" t="n"/>
      <c r="AF332" s="60" t="n"/>
      <c r="AG332" s="60" t="n"/>
      <c r="AH332" s="60" t="n"/>
      <c r="AI332" s="60" t="n"/>
      <c r="AJ332" s="60" t="n"/>
      <c r="AK332" s="120">
        <f>IF(L332&gt;0,L332*90.44,0)+IF(M332&gt;0,M332*348.12,0)+IF(N332&gt;0,N332*151.63,0)+IF(O332&gt;0,O332*197.82,0)+IF(P332&gt;0,P332*244.09,0)+IF(Q332&gt;0,Q332*315.35,0)+IF(R332&gt;0,R332*1067.3,0)+IF(T332&gt;0,T332*567.47,0)+IF(U332&gt;0,U332*151.63,0)+IF(V332&gt;0,V332*197.84,0)+IF(W332&gt;0,W332*470.51,0)+IF(X332&gt;0,X332*701.69,0)+IF(Z332&gt;0,Z332*151.63,0)+IF(AA332&gt;0,AA332*197.84)+IF(AB332&gt;0,AB332*308.4,0)+IF(AC332&gt;0,AC332*496.16,0)</f>
        <v/>
      </c>
    </row>
    <row r="333" hidden="1">
      <c r="A333" s="58" t="inlineStr">
        <is>
          <t>rota</t>
        </is>
      </c>
      <c r="B333" s="59">
        <f>IF(H333&lt;$B$1,"VENCIDO","NA VALIDADE")</f>
        <v/>
      </c>
      <c r="C333" s="60" t="inlineStr">
        <is>
          <t>SUBESTAÇÃO</t>
        </is>
      </c>
      <c r="D333" s="61" t="inlineStr">
        <is>
          <t>SE JEQUIÉ I</t>
        </is>
      </c>
      <c r="E333" s="62" t="inlineStr">
        <is>
          <t>JEQUIÉ</t>
        </is>
      </c>
      <c r="F333" s="61" t="inlineStr">
        <is>
          <t>VITÓRIA DA CONQUISTA</t>
        </is>
      </c>
      <c r="G333" s="60" t="inlineStr">
        <is>
          <t>BA</t>
        </is>
      </c>
      <c r="H333" s="119" t="n">
        <v>45566</v>
      </c>
      <c r="I333" s="119" t="n">
        <v>45566</v>
      </c>
      <c r="J333" s="60">
        <f>SUM(L333:AE333)</f>
        <v/>
      </c>
      <c r="K333" s="60">
        <f>SUM(AF333:AJ333)</f>
        <v/>
      </c>
      <c r="L333" s="60" t="n"/>
      <c r="M333" s="60" t="n"/>
      <c r="N333" s="60" t="n"/>
      <c r="O333" s="60" t="n"/>
      <c r="P333" s="60" t="n"/>
      <c r="Q333" s="60" t="n">
        <v>1</v>
      </c>
      <c r="R333" s="60" t="n"/>
      <c r="S333" s="60" t="n"/>
      <c r="T333" s="60" t="n"/>
      <c r="U333" s="60" t="n"/>
      <c r="V333" s="60" t="n"/>
      <c r="W333" s="60" t="n"/>
      <c r="X333" s="60" t="n"/>
      <c r="Y333" s="60" t="n"/>
      <c r="Z333" s="60" t="n"/>
      <c r="AA333" s="60" t="n">
        <v>1</v>
      </c>
      <c r="AB333" s="60" t="n"/>
      <c r="AC333" s="60" t="n"/>
      <c r="AD333" s="60" t="n"/>
      <c r="AE333" s="60" t="n"/>
      <c r="AF333" s="60" t="n"/>
      <c r="AG333" s="60" t="n"/>
      <c r="AH333" s="60" t="n"/>
      <c r="AI333" s="60" t="n"/>
      <c r="AJ333" s="60" t="n"/>
      <c r="AK333" s="120">
        <f>IF(L333&gt;0,L333*90.44,0)+IF(M333&gt;0,M333*348.12,0)+IF(N333&gt;0,N333*151.63,0)+IF(O333&gt;0,O333*197.82,0)+IF(P333&gt;0,P333*244.09,0)+IF(Q333&gt;0,Q333*315.35,0)+IF(R333&gt;0,R333*1067.3,0)+IF(T333&gt;0,T333*567.47,0)+IF(U333&gt;0,U333*151.63,0)+IF(V333&gt;0,V333*197.84,0)+IF(W333&gt;0,W333*470.51,0)+IF(X333&gt;0,X333*701.69,0)+IF(Z333&gt;0,Z333*151.63,0)+IF(AA333&gt;0,AA333*197.84)+IF(AB333&gt;0,AB333*308.4,0)+IF(AC333&gt;0,AC333*496.16,0)</f>
        <v/>
      </c>
    </row>
    <row r="334">
      <c r="A334" s="58" t="inlineStr">
        <is>
          <t>LEONIDAS</t>
        </is>
      </c>
      <c r="B334" s="59">
        <f>IF(H334&lt;$B$1,"VENCIDO","NA VALIDADE")</f>
        <v/>
      </c>
      <c r="C334" s="60" t="inlineStr">
        <is>
          <t>SUBESTAÇÃO</t>
        </is>
      </c>
      <c r="D334" s="66" t="inlineStr">
        <is>
          <t>SE JEREMOABO</t>
        </is>
      </c>
      <c r="E334" s="62" t="inlineStr">
        <is>
          <t>JEREMOABO</t>
        </is>
      </c>
      <c r="F334" s="61" t="inlineStr">
        <is>
          <t>FEIRA DE  SANTANA</t>
        </is>
      </c>
      <c r="G334" s="60" t="inlineStr">
        <is>
          <t>BA</t>
        </is>
      </c>
      <c r="H334" s="119" t="n">
        <v>45323</v>
      </c>
      <c r="I334" s="119" t="n">
        <v>45323</v>
      </c>
      <c r="J334" s="60">
        <f>SUM(L334:AE334)</f>
        <v/>
      </c>
      <c r="K334" s="60">
        <f>SUM(AF334:AJ334)</f>
        <v/>
      </c>
      <c r="L334" s="60" t="n"/>
      <c r="M334" s="60" t="n"/>
      <c r="N334" s="60" t="n"/>
      <c r="O334" s="60" t="n"/>
      <c r="P334" s="60" t="n">
        <v>2</v>
      </c>
      <c r="Q334" s="60" t="n">
        <v>1</v>
      </c>
      <c r="R334" s="60" t="n"/>
      <c r="S334" s="60" t="n"/>
      <c r="T334" s="60" t="n">
        <v>2</v>
      </c>
      <c r="U334" s="60" t="n"/>
      <c r="V334" s="60" t="n"/>
      <c r="W334" s="60" t="n"/>
      <c r="X334" s="60" t="n"/>
      <c r="Y334" s="60" t="n"/>
      <c r="Z334" s="60" t="n"/>
      <c r="AA334" s="60" t="n">
        <v>1</v>
      </c>
      <c r="AB334" s="60" t="n"/>
      <c r="AC334" s="60" t="n"/>
      <c r="AD334" s="60" t="n"/>
      <c r="AE334" s="60" t="n"/>
      <c r="AF334" s="60" t="n"/>
      <c r="AG334" s="60" t="n"/>
      <c r="AH334" s="60" t="n"/>
      <c r="AI334" s="60" t="n"/>
      <c r="AJ334" s="60" t="n"/>
      <c r="AK334" s="120">
        <f>IF(L334&gt;0,L334*90.44,0)+IF(M334&gt;0,M334*348.12,0)+IF(N334&gt;0,N334*151.63,0)+IF(O334&gt;0,O334*197.82,0)+IF(P334&gt;0,P334*244.09,0)+IF(Q334&gt;0,Q334*315.35,0)+IF(R334&gt;0,R334*1067.3,0)+IF(T334&gt;0,T334*567.47,0)+IF(U334&gt;0,U334*151.63,0)+IF(V334&gt;0,V334*197.84,0)+IF(W334&gt;0,W334*470.51,0)+IF(X334&gt;0,X334*701.69,0)+IF(Z334&gt;0,Z334*151.63,0)+IF(AA334&gt;0,AA334*197.84)+IF(AB334&gt;0,AB334*308.4,0)+IF(AC334&gt;0,AC334*496.16,0)</f>
        <v/>
      </c>
    </row>
    <row r="335">
      <c r="A335" s="58" t="inlineStr">
        <is>
          <t>SIM</t>
        </is>
      </c>
      <c r="B335" s="59">
        <f>IF(H335&lt;$B$1,"VENCIDO","NA VALIDADE")</f>
        <v/>
      </c>
      <c r="C335" s="60" t="inlineStr">
        <is>
          <t>SUBESTAÇÃO</t>
        </is>
      </c>
      <c r="D335" s="61" t="inlineStr">
        <is>
          <t>SE JOÃO DOURADO</t>
        </is>
      </c>
      <c r="E335" s="62" t="inlineStr">
        <is>
          <t>JOÃO DOURADO</t>
        </is>
      </c>
      <c r="F335" s="61" t="inlineStr">
        <is>
          <t>FEIRA DE  SANTANA</t>
        </is>
      </c>
      <c r="G335" s="60" t="inlineStr">
        <is>
          <t>BA</t>
        </is>
      </c>
      <c r="H335" s="119" t="n">
        <v>45597</v>
      </c>
      <c r="I335" s="119">
        <f>H335-180</f>
        <v/>
      </c>
      <c r="J335" s="60">
        <f>SUM(L335:AE335)</f>
        <v/>
      </c>
      <c r="K335" s="60">
        <f>SUM(AF335:AJ335)</f>
        <v/>
      </c>
      <c r="L335" s="60" t="n"/>
      <c r="M335" s="60" t="n"/>
      <c r="N335" s="60" t="n"/>
      <c r="O335" s="60" t="n"/>
      <c r="P335" s="60" t="n"/>
      <c r="Q335" s="60" t="n">
        <v>3</v>
      </c>
      <c r="R335" s="60" t="n"/>
      <c r="S335" s="60" t="n"/>
      <c r="T335" s="60" t="n">
        <v>1</v>
      </c>
      <c r="U335" s="60" t="n"/>
      <c r="V335" s="60" t="n"/>
      <c r="W335" s="60" t="n"/>
      <c r="X335" s="60" t="n"/>
      <c r="Y335" s="60" t="n"/>
      <c r="Z335" s="60" t="n"/>
      <c r="AA335" s="60" t="n">
        <v>2</v>
      </c>
      <c r="AB335" s="60" t="n"/>
      <c r="AC335" s="60" t="n"/>
      <c r="AD335" s="60" t="n"/>
      <c r="AE335" s="60" t="n"/>
      <c r="AF335" s="60" t="n"/>
      <c r="AG335" s="60" t="n"/>
      <c r="AH335" s="60" t="n"/>
      <c r="AI335" s="60" t="n"/>
      <c r="AJ335" s="60" t="n"/>
      <c r="AK335" s="120">
        <f>IF(L335&gt;0,L335*90.44,0)+IF(M335&gt;0,M335*348.12,0)+IF(N335&gt;0,N335*151.63,0)+IF(O335&gt;0,O335*197.82,0)+IF(P335&gt;0,P335*244.09,0)+IF(Q335&gt;0,Q335*315.35,0)+IF(R335&gt;0,R335*1067.3,0)+IF(T335&gt;0,T335*567.47,0)+IF(U335&gt;0,U335*151.63,0)+IF(V335&gt;0,V335*197.84,0)+IF(W335&gt;0,W335*470.51,0)+IF(X335&gt;0,X335*701.69,0)+IF(Z335&gt;0,Z335*151.63,0)+IF(AA335&gt;0,AA335*197.84)+IF(AB335&gt;0,AB335*308.4,0)+IF(AC335&gt;0,AC335*496.16,0)</f>
        <v/>
      </c>
    </row>
    <row r="336">
      <c r="A336" s="58" t="inlineStr">
        <is>
          <t>SIM</t>
        </is>
      </c>
      <c r="B336" s="59">
        <f>IF(H336&lt;$B$1,"VENCIDO","NA VALIDADE")</f>
        <v/>
      </c>
      <c r="C336" s="60" t="inlineStr">
        <is>
          <t>SUBESTAÇÃO</t>
        </is>
      </c>
      <c r="D336" s="61" t="inlineStr">
        <is>
          <t>SE JUAZEIRO I</t>
        </is>
      </c>
      <c r="E336" s="62" t="inlineStr">
        <is>
          <t>JUAZEIRO</t>
        </is>
      </c>
      <c r="F336" s="61" t="inlineStr">
        <is>
          <t>FEIRA DE  SANTANA</t>
        </is>
      </c>
      <c r="G336" s="60" t="inlineStr">
        <is>
          <t>BA</t>
        </is>
      </c>
      <c r="H336" s="119" t="n">
        <v>45474</v>
      </c>
      <c r="I336" s="119">
        <f>H336-180</f>
        <v/>
      </c>
      <c r="J336" s="60">
        <f>SUM(L336:AE336)</f>
        <v/>
      </c>
      <c r="K336" s="60">
        <f>SUM(AF336:AJ336)</f>
        <v/>
      </c>
      <c r="L336" s="60" t="n"/>
      <c r="M336" s="60" t="n"/>
      <c r="N336" s="60" t="n"/>
      <c r="O336" s="60" t="n"/>
      <c r="P336" s="60" t="n"/>
      <c r="Q336" s="60" t="n"/>
      <c r="R336" s="60" t="n"/>
      <c r="S336" s="60" t="n"/>
      <c r="T336" s="60" t="n"/>
      <c r="U336" s="60" t="n"/>
      <c r="V336" s="60" t="n">
        <v>1</v>
      </c>
      <c r="W336" s="60" t="n"/>
      <c r="X336" s="60" t="n"/>
      <c r="Y336" s="60" t="n"/>
      <c r="Z336" s="60" t="n"/>
      <c r="AA336" s="60" t="n">
        <v>1</v>
      </c>
      <c r="AB336" s="60" t="n"/>
      <c r="AC336" s="60" t="n"/>
      <c r="AD336" s="60" t="n"/>
      <c r="AE336" s="60" t="n"/>
      <c r="AF336" s="60" t="n"/>
      <c r="AG336" s="60" t="n"/>
      <c r="AH336" s="60" t="n"/>
      <c r="AI336" s="60" t="n"/>
      <c r="AJ336" s="60" t="n"/>
      <c r="AK336" s="120">
        <f>IF(L336&gt;0,L336*90.44,0)+IF(M336&gt;0,M336*348.12,0)+IF(N336&gt;0,N336*151.63,0)+IF(O336&gt;0,O336*197.82,0)+IF(P336&gt;0,P336*244.09,0)+IF(Q336&gt;0,Q336*315.35,0)+IF(R336&gt;0,R336*1067.3,0)+IF(T336&gt;0,T336*567.47,0)+IF(U336&gt;0,U336*151.63,0)+IF(V336&gt;0,V336*197.84,0)+IF(W336&gt;0,W336*470.51,0)+IF(X336&gt;0,X336*701.69,0)+IF(Z336&gt;0,Z336*151.63,0)+IF(AA336&gt;0,AA336*197.84)+IF(AB336&gt;0,AB336*308.4,0)+IF(AC336&gt;0,AC336*496.16,0)</f>
        <v/>
      </c>
    </row>
    <row r="337">
      <c r="A337" s="58" t="inlineStr">
        <is>
          <t>FEIRA 06/12</t>
        </is>
      </c>
      <c r="B337" s="59">
        <f>IF(H337&lt;$B$1,"VENCIDO","NA VALIDADE")</f>
        <v/>
      </c>
      <c r="C337" s="60" t="inlineStr">
        <is>
          <t>SUBESTAÇÃO</t>
        </is>
      </c>
      <c r="D337" s="61" t="inlineStr">
        <is>
          <t xml:space="preserve">SE JUNCO </t>
        </is>
      </c>
      <c r="E337" s="62" t="inlineStr">
        <is>
          <t>JUAZEIRO</t>
        </is>
      </c>
      <c r="F337" s="61" t="inlineStr">
        <is>
          <t>FEIRA DE  SANTANA</t>
        </is>
      </c>
      <c r="G337" s="60" t="inlineStr">
        <is>
          <t>BA</t>
        </is>
      </c>
      <c r="H337" s="119" t="n">
        <v>45383</v>
      </c>
      <c r="I337" s="119" t="n">
        <v>45383</v>
      </c>
      <c r="J337" s="60">
        <f>SUM(L337:AE337)</f>
        <v/>
      </c>
      <c r="K337" s="60">
        <f>SUM(AF337:AJ337)</f>
        <v/>
      </c>
      <c r="L337" s="60" t="n"/>
      <c r="M337" s="60" t="n"/>
      <c r="N337" s="60" t="n"/>
      <c r="O337" s="60" t="n"/>
      <c r="P337" s="60" t="n"/>
      <c r="Q337" s="60" t="n">
        <v>1</v>
      </c>
      <c r="R337" s="60" t="n"/>
      <c r="S337" s="60" t="n"/>
      <c r="T337" s="60" t="n"/>
      <c r="U337" s="60" t="n"/>
      <c r="V337" s="60" t="n"/>
      <c r="W337" s="60" t="n"/>
      <c r="X337" s="60" t="n"/>
      <c r="Y337" s="60" t="n"/>
      <c r="Z337" s="60" t="n"/>
      <c r="AA337" s="60" t="n">
        <v>1</v>
      </c>
      <c r="AB337" s="60" t="n"/>
      <c r="AC337" s="60" t="n"/>
      <c r="AD337" s="60" t="n"/>
      <c r="AE337" s="60" t="n"/>
      <c r="AF337" s="60" t="n"/>
      <c r="AG337" s="60" t="n"/>
      <c r="AH337" s="60" t="n"/>
      <c r="AI337" s="60" t="n"/>
      <c r="AJ337" s="60" t="n"/>
      <c r="AK337" s="120">
        <f>IF(L337&gt;0,L337*90.44,0)+IF(M337&gt;0,M337*348.12,0)+IF(N337&gt;0,N337*151.63,0)+IF(O337&gt;0,O337*197.82,0)+IF(P337&gt;0,P337*244.09,0)+IF(Q337&gt;0,Q337*315.35,0)+IF(R337&gt;0,R337*1067.3,0)+IF(T337&gt;0,T337*567.47,0)+IF(U337&gt;0,U337*151.63,0)+IF(V337&gt;0,V337*197.84,0)+IF(W337&gt;0,W337*470.51,0)+IF(X337&gt;0,X337*701.69,0)+IF(Z337&gt;0,Z337*151.63,0)+IF(AA337&gt;0,AA337*197.84)+IF(AB337&gt;0,AB337*308.4,0)+IF(AC337&gt;0,AC337*496.16,0)</f>
        <v/>
      </c>
    </row>
    <row r="338" hidden="1">
      <c r="A338" s="58" t="inlineStr">
        <is>
          <t>SIM</t>
        </is>
      </c>
      <c r="B338" s="59">
        <f>IF(H338&lt;$B$1,"VENCIDO","NA VALIDADE")</f>
        <v/>
      </c>
      <c r="C338" s="60" t="inlineStr">
        <is>
          <t>SUBESTAÇÃO</t>
        </is>
      </c>
      <c r="D338" s="61" t="inlineStr">
        <is>
          <t>SE KM - 43</t>
        </is>
      </c>
      <c r="E338" s="62" t="inlineStr">
        <is>
          <t>JAGUAQUARA</t>
        </is>
      </c>
      <c r="F338" s="61" t="inlineStr">
        <is>
          <t>VITÓRIA DA CONQUISTA</t>
        </is>
      </c>
      <c r="G338" s="60" t="inlineStr">
        <is>
          <t>BA</t>
        </is>
      </c>
      <c r="H338" s="119" t="n">
        <v>45292</v>
      </c>
      <c r="I338" s="119" t="n">
        <v>45292</v>
      </c>
      <c r="J338" s="60">
        <f>SUM(L338:AE338)</f>
        <v/>
      </c>
      <c r="K338" s="60">
        <f>SUM(AF338:AJ338)</f>
        <v/>
      </c>
      <c r="L338" s="60" t="n"/>
      <c r="M338" s="60" t="n"/>
      <c r="N338" s="60" t="n"/>
      <c r="O338" s="60" t="n"/>
      <c r="P338" s="60" t="n"/>
      <c r="Q338" s="60" t="n">
        <v>2</v>
      </c>
      <c r="R338" s="60" t="n"/>
      <c r="S338" s="60" t="n"/>
      <c r="T338" s="60" t="n">
        <v>1</v>
      </c>
      <c r="U338" s="60" t="n"/>
      <c r="V338" s="60" t="n"/>
      <c r="W338" s="60" t="n"/>
      <c r="X338" s="60" t="n"/>
      <c r="Y338" s="60" t="n"/>
      <c r="Z338" s="60" t="n"/>
      <c r="AA338" s="60" t="n">
        <v>3</v>
      </c>
      <c r="AB338" s="60" t="n"/>
      <c r="AC338" s="60" t="n"/>
      <c r="AD338" s="60" t="n"/>
      <c r="AE338" s="60" t="n"/>
      <c r="AF338" s="60" t="n"/>
      <c r="AG338" s="60" t="n"/>
      <c r="AH338" s="60" t="n"/>
      <c r="AI338" s="60" t="n"/>
      <c r="AJ338" s="60" t="n"/>
      <c r="AK338" s="120">
        <f>IF(L338&gt;0,L338*90.44,0)+IF(M338&gt;0,M338*348.12,0)+IF(N338&gt;0,N338*151.63,0)+IF(O338&gt;0,O338*197.82,0)+IF(P338&gt;0,P338*244.09,0)+IF(Q338&gt;0,Q338*315.35,0)+IF(R338&gt;0,R338*1067.3,0)+IF(T338&gt;0,T338*567.47,0)+IF(U338&gt;0,U338*151.63,0)+IF(V338&gt;0,V338*197.84,0)+IF(W338&gt;0,W338*470.51,0)+IF(X338&gt;0,X338*701.69,0)+IF(Z338&gt;0,Z338*151.63,0)+IF(AA338&gt;0,AA338*197.84)+IF(AB338&gt;0,AB338*308.4,0)+IF(AC338&gt;0,AC338*496.16,0)</f>
        <v/>
      </c>
    </row>
    <row r="339" hidden="1">
      <c r="A339" s="58" t="inlineStr">
        <is>
          <t>LUCIANO</t>
        </is>
      </c>
      <c r="B339" s="59">
        <f>IF(H339&lt;$B$1,"VENCIDO","NA VALIDADE")</f>
        <v/>
      </c>
      <c r="C339" s="60" t="inlineStr">
        <is>
          <t>SUBESTAÇÃO</t>
        </is>
      </c>
      <c r="D339" s="61" t="inlineStr">
        <is>
          <t>SE LAGOA DO MORRO</t>
        </is>
      </c>
      <c r="E339" s="62" t="inlineStr">
        <is>
          <t>BREJÕES</t>
        </is>
      </c>
      <c r="F339" s="61" t="inlineStr">
        <is>
          <t>VITÓRIA DA CONQUISTA</t>
        </is>
      </c>
      <c r="G339" s="60" t="inlineStr">
        <is>
          <t>BA</t>
        </is>
      </c>
      <c r="H339" s="119" t="n">
        <v>45444</v>
      </c>
      <c r="I339" s="119" t="n">
        <v>45444</v>
      </c>
      <c r="J339" s="60">
        <f>SUM(L339:AE339)</f>
        <v/>
      </c>
      <c r="K339" s="60">
        <f>SUM(AF339:AJ339)</f>
        <v/>
      </c>
      <c r="L339" s="60" t="n"/>
      <c r="M339" s="60" t="n"/>
      <c r="N339" s="60" t="n"/>
      <c r="O339" s="60" t="n"/>
      <c r="P339" s="60" t="n"/>
      <c r="Q339" s="60" t="n">
        <v>1</v>
      </c>
      <c r="R339" s="60" t="n"/>
      <c r="S339" s="60" t="n"/>
      <c r="T339" s="60" t="n">
        <v>1</v>
      </c>
      <c r="U339" s="60" t="n"/>
      <c r="V339" s="60" t="n"/>
      <c r="W339" s="60" t="n"/>
      <c r="X339" s="60" t="n"/>
      <c r="Y339" s="60" t="n"/>
      <c r="Z339" s="60" t="n"/>
      <c r="AA339" s="60" t="n">
        <v>1</v>
      </c>
      <c r="AB339" s="60" t="n"/>
      <c r="AC339" s="60" t="n"/>
      <c r="AD339" s="60" t="n"/>
      <c r="AE339" s="60" t="n"/>
      <c r="AF339" s="60" t="n"/>
      <c r="AG339" s="60" t="n"/>
      <c r="AH339" s="60" t="n"/>
      <c r="AI339" s="60" t="n"/>
      <c r="AJ339" s="60" t="n"/>
      <c r="AK339" s="120">
        <f>IF(L339&gt;0,L339*90.44,0)+IF(M339&gt;0,M339*348.12,0)+IF(N339&gt;0,N339*151.63,0)+IF(O339&gt;0,O339*197.82,0)+IF(P339&gt;0,P339*244.09,0)+IF(Q339&gt;0,Q339*315.35,0)+IF(R339&gt;0,R339*1067.3,0)+IF(T339&gt;0,T339*567.47,0)+IF(U339&gt;0,U339*151.63,0)+IF(V339&gt;0,V339*197.84,0)+IF(W339&gt;0,W339*470.51,0)+IF(X339&gt;0,X339*701.69,0)+IF(Z339&gt;0,Z339*151.63,0)+IF(AA339&gt;0,AA339*197.84)+IF(AB339&gt;0,AB339*308.4,0)+IF(AC339&gt;0,AC339*496.16,0)</f>
        <v/>
      </c>
    </row>
    <row r="340">
      <c r="A340" s="58" t="inlineStr">
        <is>
          <t>SIM</t>
        </is>
      </c>
      <c r="B340" s="59">
        <f>IF(H340&lt;$B$1,"VENCIDO","NA VALIDADE")</f>
        <v/>
      </c>
      <c r="C340" s="60" t="inlineStr">
        <is>
          <t>SUBESTAÇÃO</t>
        </is>
      </c>
      <c r="D340" s="61" t="inlineStr">
        <is>
          <t>SE LAPINHA</t>
        </is>
      </c>
      <c r="E340" s="62" t="inlineStr">
        <is>
          <t>SALVADOR</t>
        </is>
      </c>
      <c r="F340" s="61" t="inlineStr">
        <is>
          <t>FEIRA DE  SANTANA</t>
        </is>
      </c>
      <c r="G340" s="60" t="inlineStr">
        <is>
          <t>BA</t>
        </is>
      </c>
      <c r="H340" s="119" t="n">
        <v>45474</v>
      </c>
      <c r="I340" s="119">
        <f>H340-180</f>
        <v/>
      </c>
      <c r="J340" s="60">
        <f>SUM(L340:AE340)</f>
        <v/>
      </c>
      <c r="K340" s="60">
        <f>SUM(AF340:AJ340)</f>
        <v/>
      </c>
      <c r="L340" s="60" t="n"/>
      <c r="M340" s="60" t="n"/>
      <c r="N340" s="60" t="n"/>
      <c r="O340" s="60" t="n"/>
      <c r="P340" s="60" t="n"/>
      <c r="Q340" s="60" t="n">
        <v>1</v>
      </c>
      <c r="R340" s="60" t="n"/>
      <c r="S340" s="60" t="n"/>
      <c r="T340" s="60" t="n">
        <v>1</v>
      </c>
      <c r="U340" s="60" t="n"/>
      <c r="V340" s="60" t="n"/>
      <c r="W340" s="60" t="n"/>
      <c r="X340" s="60" t="n"/>
      <c r="Y340" s="60" t="n"/>
      <c r="Z340" s="60" t="n"/>
      <c r="AA340" s="60" t="n">
        <v>1</v>
      </c>
      <c r="AB340" s="60" t="n"/>
      <c r="AC340" s="60" t="n"/>
      <c r="AD340" s="60" t="n"/>
      <c r="AE340" s="60" t="n"/>
      <c r="AF340" s="60" t="n"/>
      <c r="AG340" s="60" t="n"/>
      <c r="AH340" s="60" t="n"/>
      <c r="AI340" s="60" t="n"/>
      <c r="AJ340" s="60" t="n"/>
      <c r="AK340" s="120">
        <f>IF(L340&gt;0,L340*90.44,0)+IF(M340&gt;0,M340*348.12,0)+IF(N340&gt;0,N340*151.63,0)+IF(O340&gt;0,O340*197.82,0)+IF(P340&gt;0,P340*244.09,0)+IF(Q340&gt;0,Q340*315.35,0)+IF(R340&gt;0,R340*1067.3,0)+IF(T340&gt;0,T340*567.47,0)+IF(U340&gt;0,U340*151.63,0)+IF(V340&gt;0,V340*197.84,0)+IF(W340&gt;0,W340*470.51,0)+IF(X340&gt;0,X340*701.69,0)+IF(Z340&gt;0,Z340*151.63,0)+IF(AA340&gt;0,AA340*197.84)+IF(AB340&gt;0,AB340*308.4,0)+IF(AC340&gt;0,AC340*496.16,0)</f>
        <v/>
      </c>
    </row>
    <row r="341">
      <c r="A341" s="58" t="inlineStr">
        <is>
          <t>SIM</t>
        </is>
      </c>
      <c r="B341" s="59">
        <f>IF(H341&lt;$B$1,"VENCIDO","NA VALIDADE")</f>
        <v/>
      </c>
      <c r="C341" s="60" t="inlineStr">
        <is>
          <t>SUBESTAÇÃO</t>
        </is>
      </c>
      <c r="D341" s="61" t="inlineStr">
        <is>
          <t>SE LAURO DE FREITAS</t>
        </is>
      </c>
      <c r="E341" s="62" t="inlineStr">
        <is>
          <t>LAURO DE FREITAS</t>
        </is>
      </c>
      <c r="F341" s="61" t="inlineStr">
        <is>
          <t>FEIRA DE  SANTANA</t>
        </is>
      </c>
      <c r="G341" s="60" t="inlineStr">
        <is>
          <t>BA</t>
        </is>
      </c>
      <c r="H341" s="119" t="n">
        <v>45352</v>
      </c>
      <c r="I341" s="119" t="n">
        <v>45352</v>
      </c>
      <c r="J341" s="60">
        <f>SUM(L341:AE341)</f>
        <v/>
      </c>
      <c r="K341" s="60">
        <f>SUM(AF341:AJ341)</f>
        <v/>
      </c>
      <c r="L341" s="60" t="n"/>
      <c r="M341" s="60" t="n"/>
      <c r="N341" s="60" t="n"/>
      <c r="O341" s="60" t="n"/>
      <c r="P341" s="60" t="n"/>
      <c r="Q341" s="60" t="n">
        <v>2</v>
      </c>
      <c r="R341" s="60" t="n"/>
      <c r="S341" s="60" t="n"/>
      <c r="T341" s="60" t="n">
        <v>1</v>
      </c>
      <c r="U341" s="60" t="n"/>
      <c r="V341" s="60" t="n"/>
      <c r="W341" s="60" t="n"/>
      <c r="X341" s="60" t="n"/>
      <c r="Y341" s="60" t="n"/>
      <c r="Z341" s="60" t="n"/>
      <c r="AA341" s="60" t="n">
        <v>2</v>
      </c>
      <c r="AB341" s="60" t="n"/>
      <c r="AC341" s="60" t="n"/>
      <c r="AD341" s="60" t="n"/>
      <c r="AE341" s="60" t="n"/>
      <c r="AF341" s="60" t="n"/>
      <c r="AG341" s="60" t="n"/>
      <c r="AH341" s="60" t="n"/>
      <c r="AI341" s="60" t="n"/>
      <c r="AJ341" s="60" t="n"/>
      <c r="AK341" s="120">
        <f>IF(L341&gt;0,L341*90.44,0)+IF(M341&gt;0,M341*348.12,0)+IF(N341&gt;0,N341*151.63,0)+IF(O341&gt;0,O341*197.82,0)+IF(P341&gt;0,P341*244.09,0)+IF(Q341&gt;0,Q341*315.35,0)+IF(R341&gt;0,R341*1067.3,0)+IF(T341&gt;0,T341*567.47,0)+IF(U341&gt;0,U341*151.63,0)+IF(V341&gt;0,V341*197.84,0)+IF(W341&gt;0,W341*470.51,0)+IF(X341&gt;0,X341*701.69,0)+IF(Z341&gt;0,Z341*151.63,0)+IF(AA341&gt;0,AA341*197.84)+IF(AB341&gt;0,AB341*308.4,0)+IF(AC341&gt;0,AC341*496.16,0)</f>
        <v/>
      </c>
    </row>
    <row r="342" hidden="1">
      <c r="A342" s="58" t="inlineStr">
        <is>
          <t>SIM</t>
        </is>
      </c>
      <c r="B342" s="59">
        <f>IF(H342&lt;$B$1,"VENCIDO","NA VALIDADE")</f>
        <v/>
      </c>
      <c r="C342" s="60" t="inlineStr">
        <is>
          <t>SUBESTAÇÃO</t>
        </is>
      </c>
      <c r="D342" s="61" t="inlineStr">
        <is>
          <t>SE LENÇOIS</t>
        </is>
      </c>
      <c r="E342" s="62" t="inlineStr">
        <is>
          <t>LENÇOIS</t>
        </is>
      </c>
      <c r="F342" s="61" t="inlineStr">
        <is>
          <t>VITÓRIA DA CONQUISTA</t>
        </is>
      </c>
      <c r="G342" s="60" t="inlineStr">
        <is>
          <t>BA</t>
        </is>
      </c>
      <c r="H342" s="119" t="n">
        <v>45292</v>
      </c>
      <c r="I342" s="119">
        <f>H342-180</f>
        <v/>
      </c>
      <c r="J342" s="60">
        <f>SUM(L342:AE342)</f>
        <v/>
      </c>
      <c r="K342" s="60">
        <f>SUM(AF342:AJ342)</f>
        <v/>
      </c>
      <c r="L342" s="60" t="n"/>
      <c r="M342" s="60" t="n"/>
      <c r="N342" s="60" t="n"/>
      <c r="O342" s="60" t="n"/>
      <c r="P342" s="60" t="n"/>
      <c r="Q342" s="60" t="n">
        <v>6</v>
      </c>
      <c r="R342" s="60" t="n"/>
      <c r="S342" s="60" t="n"/>
      <c r="T342" s="60" t="n">
        <v>2</v>
      </c>
      <c r="U342" s="60" t="n"/>
      <c r="V342" s="60" t="n">
        <v>1</v>
      </c>
      <c r="W342" s="60" t="n"/>
      <c r="X342" s="60" t="n"/>
      <c r="Y342" s="60" t="n"/>
      <c r="Z342" s="60" t="n"/>
      <c r="AA342" s="60" t="n"/>
      <c r="AB342" s="60" t="n"/>
      <c r="AC342" s="60" t="n"/>
      <c r="AD342" s="60" t="n"/>
      <c r="AE342" s="60" t="n"/>
      <c r="AF342" s="60" t="n"/>
      <c r="AG342" s="60" t="n"/>
      <c r="AH342" s="60" t="n"/>
      <c r="AI342" s="60" t="n"/>
      <c r="AJ342" s="60" t="n"/>
      <c r="AK342" s="120">
        <f>IF(L342&gt;0,L342*90.44,0)+IF(M342&gt;0,M342*348.12,0)+IF(N342&gt;0,N342*151.63,0)+IF(O342&gt;0,O342*197.82,0)+IF(P342&gt;0,P342*244.09,0)+IF(Q342&gt;0,Q342*315.35,0)+IF(R342&gt;0,R342*1067.3,0)+IF(T342&gt;0,T342*567.47,0)+IF(U342&gt;0,U342*151.63,0)+IF(V342&gt;0,V342*197.84,0)+IF(W342&gt;0,W342*470.51,0)+IF(X342&gt;0,X342*701.69,0)+IF(Z342&gt;0,Z342*151.63,0)+IF(AA342&gt;0,AA342*197.84)+IF(AB342&gt;0,AB342*308.4,0)+IF(AC342&gt;0,AC342*496.16,0)</f>
        <v/>
      </c>
    </row>
    <row r="343" hidden="1">
      <c r="A343" s="58" t="inlineStr">
        <is>
          <t>SIM</t>
        </is>
      </c>
      <c r="B343" s="59">
        <f>IF(H343&lt;$B$1,"VENCIDO","NA VALIDADE")</f>
        <v/>
      </c>
      <c r="C343" s="60" t="inlineStr">
        <is>
          <t>SUBESTAÇÃO</t>
        </is>
      </c>
      <c r="D343" s="61" t="inlineStr">
        <is>
          <t>SE LICINIO DE ALMEIDA</t>
        </is>
      </c>
      <c r="E343" s="62" t="inlineStr">
        <is>
          <t>LICÍNIO DE ALMEIDA</t>
        </is>
      </c>
      <c r="F343" s="61" t="inlineStr">
        <is>
          <t>VITÓRIA DA CONQUISTA</t>
        </is>
      </c>
      <c r="G343" s="60" t="inlineStr">
        <is>
          <t>BA</t>
        </is>
      </c>
      <c r="H343" s="119" t="n">
        <v>45323</v>
      </c>
      <c r="I343" s="119" t="n">
        <v>45323</v>
      </c>
      <c r="J343" s="60">
        <f>SUM(L343:AE343)</f>
        <v/>
      </c>
      <c r="K343" s="60">
        <f>SUM(AF343:AJ343)</f>
        <v/>
      </c>
      <c r="L343" s="60" t="n"/>
      <c r="M343" s="60" t="n"/>
      <c r="N343" s="60" t="n"/>
      <c r="O343" s="60" t="n"/>
      <c r="P343" s="60" t="n"/>
      <c r="Q343" s="60" t="n">
        <v>3</v>
      </c>
      <c r="R343" s="60" t="n"/>
      <c r="S343" s="60" t="n"/>
      <c r="T343" s="60" t="n">
        <v>1</v>
      </c>
      <c r="U343" s="60" t="n"/>
      <c r="V343" s="60" t="n"/>
      <c r="W343" s="60" t="n"/>
      <c r="X343" s="60" t="n"/>
      <c r="Y343" s="60" t="n"/>
      <c r="Z343" s="60" t="n"/>
      <c r="AA343" s="60" t="n">
        <v>1</v>
      </c>
      <c r="AB343" s="60" t="n"/>
      <c r="AC343" s="60" t="n"/>
      <c r="AD343" s="60" t="n"/>
      <c r="AE343" s="60" t="n"/>
      <c r="AF343" s="60" t="n"/>
      <c r="AG343" s="60" t="n"/>
      <c r="AH343" s="60" t="n"/>
      <c r="AI343" s="60" t="n"/>
      <c r="AJ343" s="60" t="n"/>
      <c r="AK343" s="120">
        <f>IF(L343&gt;0,L343*90.44,0)+IF(M343&gt;0,M343*348.12,0)+IF(N343&gt;0,N343*151.63,0)+IF(O343&gt;0,O343*197.82,0)+IF(P343&gt;0,P343*244.09,0)+IF(Q343&gt;0,Q343*315.35,0)+IF(R343&gt;0,R343*1067.3,0)+IF(T343&gt;0,T343*567.47,0)+IF(U343&gt;0,U343*151.63,0)+IF(V343&gt;0,V343*197.84,0)+IF(W343&gt;0,W343*470.51,0)+IF(X343&gt;0,X343*701.69,0)+IF(Z343&gt;0,Z343*151.63,0)+IF(AA343&gt;0,AA343*197.84)+IF(AB343&gt;0,AB343*308.4,0)+IF(AC343&gt;0,AC343*496.16,0)</f>
        <v/>
      </c>
    </row>
    <row r="344" hidden="1">
      <c r="A344" s="58" t="n"/>
      <c r="B344" s="59">
        <f>IF(H344&lt;$B$1,"VENCIDO","NA VALIDADE")</f>
        <v/>
      </c>
      <c r="C344" s="60" t="inlineStr">
        <is>
          <t>SUBESTAÇÃO</t>
        </is>
      </c>
      <c r="D344" s="61" t="inlineStr">
        <is>
          <t>SE LIVRAMENTO DE BRUMADO</t>
        </is>
      </c>
      <c r="E344" s="62" t="inlineStr">
        <is>
          <t>LIVRAMENTO DE NOSSA SENHORA</t>
        </is>
      </c>
      <c r="F344" s="61" t="inlineStr">
        <is>
          <t>VITÓRIA DA CONQUISTA</t>
        </is>
      </c>
      <c r="G344" s="60" t="inlineStr">
        <is>
          <t>BA</t>
        </is>
      </c>
      <c r="H344" s="119" t="n">
        <v>45323</v>
      </c>
      <c r="I344" s="119" t="n">
        <v>45323</v>
      </c>
      <c r="J344" s="60">
        <f>SUM(L344:AE344)</f>
        <v/>
      </c>
      <c r="K344" s="60">
        <f>SUM(AF344:AJ344)</f>
        <v/>
      </c>
      <c r="L344" s="60" t="n"/>
      <c r="M344" s="60" t="n"/>
      <c r="N344" s="60" t="n"/>
      <c r="O344" s="60" t="n"/>
      <c r="P344" s="60" t="n"/>
      <c r="Q344" s="60" t="n">
        <v>2</v>
      </c>
      <c r="R344" s="60" t="n"/>
      <c r="S344" s="60" t="n"/>
      <c r="T344" s="60" t="n"/>
      <c r="U344" s="60" t="n"/>
      <c r="V344" s="60" t="n"/>
      <c r="W344" s="60" t="n"/>
      <c r="X344" s="60" t="n"/>
      <c r="Y344" s="60" t="n"/>
      <c r="Z344" s="60" t="n"/>
      <c r="AA344" s="60" t="n">
        <v>2</v>
      </c>
      <c r="AB344" s="60" t="n"/>
      <c r="AC344" s="60" t="n"/>
      <c r="AD344" s="60" t="n"/>
      <c r="AE344" s="60" t="n"/>
      <c r="AF344" s="60" t="n"/>
      <c r="AG344" s="60" t="n"/>
      <c r="AH344" s="60" t="n"/>
      <c r="AI344" s="60" t="n"/>
      <c r="AJ344" s="60" t="n"/>
      <c r="AK344" s="120">
        <f>IF(L344&gt;0,L344*90.44,0)+IF(M344&gt;0,M344*348.12,0)+IF(N344&gt;0,N344*151.63,0)+IF(O344&gt;0,O344*197.82,0)+IF(P344&gt;0,P344*244.09,0)+IF(Q344&gt;0,Q344*315.35,0)+IF(R344&gt;0,R344*1067.3,0)+IF(T344&gt;0,T344*567.47,0)+IF(U344&gt;0,U344*151.63,0)+IF(V344&gt;0,V344*197.84,0)+IF(W344&gt;0,W344*470.51,0)+IF(X344&gt;0,X344*701.69,0)+IF(Z344&gt;0,Z344*151.63,0)+IF(AA344&gt;0,AA344*197.84)+IF(AB344&gt;0,AB344*308.4,0)+IF(AC344&gt;0,AC344*496.16,0)</f>
        <v/>
      </c>
    </row>
    <row r="345">
      <c r="A345" s="58" t="inlineStr">
        <is>
          <t>SIM</t>
        </is>
      </c>
      <c r="B345" s="59">
        <f>IF(H345&lt;$B$1,"VENCIDO","NA VALIDADE")</f>
        <v/>
      </c>
      <c r="C345" s="60" t="inlineStr">
        <is>
          <t>SUBESTAÇÃO</t>
        </is>
      </c>
      <c r="D345" s="61" t="inlineStr">
        <is>
          <t>SE LOBATO</t>
        </is>
      </c>
      <c r="E345" s="62" t="inlineStr">
        <is>
          <t>SALVADOR</t>
        </is>
      </c>
      <c r="F345" s="61" t="inlineStr">
        <is>
          <t>FEIRA DE  SANTANA</t>
        </is>
      </c>
      <c r="G345" s="60" t="inlineStr">
        <is>
          <t>BA</t>
        </is>
      </c>
      <c r="H345" s="119" t="n">
        <v>45413</v>
      </c>
      <c r="I345" s="119" t="n">
        <v>45413</v>
      </c>
      <c r="J345" s="60">
        <f>SUM(L345:AE345)</f>
        <v/>
      </c>
      <c r="K345" s="60">
        <f>SUM(AF345:AJ345)</f>
        <v/>
      </c>
      <c r="L345" s="60" t="n"/>
      <c r="M345" s="60" t="n"/>
      <c r="N345" s="60" t="n"/>
      <c r="O345" s="60" t="n"/>
      <c r="P345" s="60" t="n"/>
      <c r="Q345" s="60" t="n">
        <v>2</v>
      </c>
      <c r="R345" s="60" t="n"/>
      <c r="S345" s="60" t="n"/>
      <c r="T345" s="60" t="n">
        <v>1</v>
      </c>
      <c r="U345" s="60" t="n"/>
      <c r="V345" s="60" t="n"/>
      <c r="W345" s="60" t="n"/>
      <c r="X345" s="60" t="n"/>
      <c r="Y345" s="60" t="n"/>
      <c r="Z345" s="60" t="n"/>
      <c r="AA345" s="60" t="n">
        <v>2</v>
      </c>
      <c r="AB345" s="60" t="n"/>
      <c r="AC345" s="60" t="n"/>
      <c r="AD345" s="60" t="n"/>
      <c r="AE345" s="60" t="n"/>
      <c r="AF345" s="60" t="n"/>
      <c r="AG345" s="60" t="n"/>
      <c r="AH345" s="60" t="n"/>
      <c r="AI345" s="60" t="n"/>
      <c r="AJ345" s="60" t="n"/>
      <c r="AK345" s="120">
        <f>IF(L345&gt;0,L345*90.44,0)+IF(M345&gt;0,M345*348.12,0)+IF(N345&gt;0,N345*151.63,0)+IF(O345&gt;0,O345*197.82,0)+IF(P345&gt;0,P345*244.09,0)+IF(Q345&gt;0,Q345*315.35,0)+IF(R345&gt;0,R345*1067.3,0)+IF(T345&gt;0,T345*567.47,0)+IF(U345&gt;0,U345*151.63,0)+IF(V345&gt;0,V345*197.84,0)+IF(W345&gt;0,W345*470.51,0)+IF(X345&gt;0,X345*701.69,0)+IF(Z345&gt;0,Z345*151.63,0)+IF(AA345&gt;0,AA345*197.84)+IF(AB345&gt;0,AB345*308.4,0)+IF(AC345&gt;0,AC345*496.16,0)</f>
        <v/>
      </c>
    </row>
    <row r="346" hidden="1">
      <c r="A346" s="58" t="inlineStr">
        <is>
          <t>SIM</t>
        </is>
      </c>
      <c r="B346" s="59">
        <f>IF(H346&lt;$B$1,"VENCIDO","NA VALIDADE")</f>
        <v/>
      </c>
      <c r="C346" s="60" t="inlineStr">
        <is>
          <t>SUBESTAÇÃO</t>
        </is>
      </c>
      <c r="D346" s="66" t="inlineStr">
        <is>
          <t>SE MACAÚBAS</t>
        </is>
      </c>
      <c r="E346" s="62" t="inlineStr">
        <is>
          <t>MACAÚBAS</t>
        </is>
      </c>
      <c r="F346" s="61" t="inlineStr">
        <is>
          <t>VITÓRIA DA CONQUISTA</t>
        </is>
      </c>
      <c r="G346" s="60" t="inlineStr">
        <is>
          <t>BA</t>
        </is>
      </c>
      <c r="H346" s="119" t="n">
        <v>45566</v>
      </c>
      <c r="I346" s="119">
        <f>H346-180</f>
        <v/>
      </c>
      <c r="J346" s="60">
        <f>SUM(L346:AE346)</f>
        <v/>
      </c>
      <c r="K346" s="60">
        <f>SUM(AF346:AJ346)</f>
        <v/>
      </c>
      <c r="L346" s="60" t="n"/>
      <c r="M346" s="60" t="n"/>
      <c r="N346" s="60" t="n"/>
      <c r="O346" s="60" t="n"/>
      <c r="P346" s="60" t="n"/>
      <c r="Q346" s="60" t="n">
        <v>1</v>
      </c>
      <c r="R346" s="60" t="n"/>
      <c r="S346" s="60" t="n"/>
      <c r="T346" s="60" t="n"/>
      <c r="U346" s="60" t="n"/>
      <c r="V346" s="60" t="n"/>
      <c r="W346" s="60" t="n"/>
      <c r="X346" s="60" t="n"/>
      <c r="Y346" s="60" t="n"/>
      <c r="Z346" s="60" t="n"/>
      <c r="AA346" s="60" t="n">
        <v>1</v>
      </c>
      <c r="AB346" s="60" t="n"/>
      <c r="AC346" s="60" t="n"/>
      <c r="AD346" s="60" t="n"/>
      <c r="AE346" s="60" t="n"/>
      <c r="AF346" s="60" t="n"/>
      <c r="AG346" s="60" t="n"/>
      <c r="AH346" s="60" t="n"/>
      <c r="AI346" s="60" t="n"/>
      <c r="AJ346" s="60" t="n"/>
      <c r="AK346" s="120">
        <f>IF(L346&gt;0,L346*90.44,0)+IF(M346&gt;0,M346*348.12,0)+IF(N346&gt;0,N346*151.63,0)+IF(O346&gt;0,O346*197.82,0)+IF(P346&gt;0,P346*244.09,0)+IF(Q346&gt;0,Q346*315.35,0)+IF(R346&gt;0,R346*1067.3,0)+IF(T346&gt;0,T346*567.47,0)+IF(U346&gt;0,U346*151.63,0)+IF(V346&gt;0,V346*197.84,0)+IF(W346&gt;0,W346*470.51,0)+IF(X346&gt;0,X346*701.69,0)+IF(Z346&gt;0,Z346*151.63,0)+IF(AA346&gt;0,AA346*197.84)+IF(AB346&gt;0,AB346*308.4,0)+IF(AC346&gt;0,AC346*496.16,0)</f>
        <v/>
      </c>
    </row>
    <row r="347">
      <c r="A347" s="58" t="n"/>
      <c r="B347" s="59">
        <f>IF(H347&lt;$B$1,"VENCIDO","NA VALIDADE")</f>
        <v/>
      </c>
      <c r="C347" s="60" t="inlineStr">
        <is>
          <t>SUBESTAÇÃO</t>
        </is>
      </c>
      <c r="D347" s="61" t="inlineStr">
        <is>
          <t>SE MACURURÉ</t>
        </is>
      </c>
      <c r="E347" s="62" t="inlineStr">
        <is>
          <t>MACURURÉ</t>
        </is>
      </c>
      <c r="F347" s="61" t="inlineStr">
        <is>
          <t>FEIRA DE  SANTANA</t>
        </is>
      </c>
      <c r="G347" s="60" t="inlineStr">
        <is>
          <t>BA</t>
        </is>
      </c>
      <c r="H347" s="119" t="n">
        <v>45323</v>
      </c>
      <c r="I347" s="119" t="n">
        <v>45323</v>
      </c>
      <c r="J347" s="60">
        <f>SUM(L347:AE347)</f>
        <v/>
      </c>
      <c r="K347" s="60">
        <f>SUM(AF347:AJ347)</f>
        <v/>
      </c>
      <c r="L347" s="60" t="n"/>
      <c r="M347" s="60" t="n"/>
      <c r="N347" s="60" t="n"/>
      <c r="O347" s="60" t="n"/>
      <c r="P347" s="60" t="n">
        <v>1</v>
      </c>
      <c r="Q347" s="60" t="n">
        <v>1</v>
      </c>
      <c r="R347" s="60" t="n"/>
      <c r="S347" s="60" t="n"/>
      <c r="T347" s="60" t="n">
        <v>1</v>
      </c>
      <c r="U347" s="60" t="n"/>
      <c r="V347" s="60" t="n"/>
      <c r="W347" s="60" t="n"/>
      <c r="X347" s="60" t="n"/>
      <c r="Y347" s="60" t="n"/>
      <c r="Z347" s="60" t="n"/>
      <c r="AA347" s="60" t="n">
        <v>1</v>
      </c>
      <c r="AB347" s="60" t="n"/>
      <c r="AC347" s="60" t="n"/>
      <c r="AD347" s="60" t="n"/>
      <c r="AE347" s="60" t="n"/>
      <c r="AF347" s="60" t="n"/>
      <c r="AG347" s="60" t="n"/>
      <c r="AH347" s="60" t="n"/>
      <c r="AI347" s="60" t="n"/>
      <c r="AJ347" s="60" t="n"/>
      <c r="AK347" s="120">
        <f>IF(L347&gt;0,L347*90.44,0)+IF(M347&gt;0,M347*348.12,0)+IF(N347&gt;0,N347*151.63,0)+IF(O347&gt;0,O347*197.82,0)+IF(P347&gt;0,P347*244.09,0)+IF(Q347&gt;0,Q347*315.35,0)+IF(R347&gt;0,R347*1067.3,0)+IF(T347&gt;0,T347*567.47,0)+IF(U347&gt;0,U347*151.63,0)+IF(V347&gt;0,V347*197.84,0)+IF(W347&gt;0,W347*470.51,0)+IF(X347&gt;0,X347*701.69,0)+IF(Z347&gt;0,Z347*151.63,0)+IF(AA347&gt;0,AA347*197.84)+IF(AB347&gt;0,AB347*308.4,0)+IF(AC347&gt;0,AC347*496.16,0)</f>
        <v/>
      </c>
    </row>
    <row r="348" hidden="1">
      <c r="A348" s="58" t="inlineStr">
        <is>
          <t>SIM</t>
        </is>
      </c>
      <c r="B348" s="59">
        <f>IF(H348&lt;$B$1,"VENCIDO","NA VALIDADE")</f>
        <v/>
      </c>
      <c r="C348" s="60" t="inlineStr">
        <is>
          <t>SUBESTAÇÃO</t>
        </is>
      </c>
      <c r="D348" s="61" t="inlineStr">
        <is>
          <t>SE MAIQUINIQUE</t>
        </is>
      </c>
      <c r="E348" s="62" t="inlineStr">
        <is>
          <t>MAIQUINIQUE</t>
        </is>
      </c>
      <c r="F348" s="61" t="inlineStr">
        <is>
          <t>VITÓRIA DA CONQUISTA</t>
        </is>
      </c>
      <c r="G348" s="60" t="inlineStr">
        <is>
          <t>BA</t>
        </is>
      </c>
      <c r="H348" s="119" t="n">
        <v>45566</v>
      </c>
      <c r="I348" s="119">
        <f>H348-180</f>
        <v/>
      </c>
      <c r="J348" s="60">
        <f>SUM(L348:AE348)</f>
        <v/>
      </c>
      <c r="K348" s="60">
        <f>SUM(AF348:AJ348)</f>
        <v/>
      </c>
      <c r="L348" s="60" t="n"/>
      <c r="M348" s="60" t="n"/>
      <c r="N348" s="60" t="n"/>
      <c r="O348" s="60" t="n"/>
      <c r="P348" s="60" t="n"/>
      <c r="Q348" s="60" t="n">
        <v>3</v>
      </c>
      <c r="R348" s="60" t="n"/>
      <c r="S348" s="60" t="n"/>
      <c r="T348" s="60" t="n">
        <v>1</v>
      </c>
      <c r="U348" s="60" t="n"/>
      <c r="V348" s="60" t="n"/>
      <c r="W348" s="60" t="n"/>
      <c r="X348" s="60" t="n"/>
      <c r="Y348" s="60" t="n"/>
      <c r="Z348" s="60" t="n"/>
      <c r="AA348" s="60" t="n">
        <v>1</v>
      </c>
      <c r="AB348" s="60" t="n"/>
      <c r="AC348" s="60" t="n"/>
      <c r="AD348" s="60" t="n"/>
      <c r="AE348" s="60" t="n"/>
      <c r="AF348" s="60" t="n"/>
      <c r="AG348" s="60" t="n"/>
      <c r="AH348" s="60" t="n"/>
      <c r="AI348" s="60" t="n"/>
      <c r="AJ348" s="60" t="n"/>
      <c r="AK348" s="120">
        <f>IF(L348&gt;0,L348*90.44,0)+IF(M348&gt;0,M348*348.12,0)+IF(N348&gt;0,N348*151.63,0)+IF(O348&gt;0,O348*197.82,0)+IF(P348&gt;0,P348*244.09,0)+IF(Q348&gt;0,Q348*315.35,0)+IF(R348&gt;0,R348*1067.3,0)+IF(T348&gt;0,T348*567.47,0)+IF(U348&gt;0,U348*151.63,0)+IF(V348&gt;0,V348*197.84,0)+IF(W348&gt;0,W348*470.51,0)+IF(X348&gt;0,X348*701.69,0)+IF(Z348&gt;0,Z348*151.63,0)+IF(AA348&gt;0,AA348*197.84)+IF(AB348&gt;0,AB348*308.4,0)+IF(AC348&gt;0,AC348*496.16,0)</f>
        <v/>
      </c>
    </row>
    <row r="349" hidden="1">
      <c r="A349" s="58" t="n"/>
      <c r="B349" s="59">
        <f>IF(H349&lt;$B$1,"VENCIDO","NA VALIDADE")</f>
        <v/>
      </c>
      <c r="C349" s="60" t="inlineStr">
        <is>
          <t>SUBESTAÇÃO</t>
        </is>
      </c>
      <c r="D349" s="61" t="inlineStr">
        <is>
          <t xml:space="preserve">SE MALHADA </t>
        </is>
      </c>
      <c r="E349" s="62" t="inlineStr">
        <is>
          <t>MALHADA</t>
        </is>
      </c>
      <c r="F349" s="61" t="inlineStr">
        <is>
          <t>VITÓRIA DA CONQUISTA</t>
        </is>
      </c>
      <c r="G349" s="60" t="inlineStr">
        <is>
          <t>BA</t>
        </is>
      </c>
      <c r="H349" s="119" t="n">
        <v>45352</v>
      </c>
      <c r="I349" s="119" t="n">
        <v>45352</v>
      </c>
      <c r="J349" s="60">
        <f>SUM(L349:AE349)</f>
        <v/>
      </c>
      <c r="K349" s="60">
        <f>SUM(AF349:AJ349)</f>
        <v/>
      </c>
      <c r="L349" s="60" t="n"/>
      <c r="M349" s="60" t="n"/>
      <c r="N349" s="60" t="n"/>
      <c r="O349" s="60" t="n">
        <v>1</v>
      </c>
      <c r="P349" s="60" t="n"/>
      <c r="Q349" s="60" t="n"/>
      <c r="R349" s="60" t="n"/>
      <c r="S349" s="60" t="n"/>
      <c r="T349" s="60" t="n"/>
      <c r="U349" s="60" t="n"/>
      <c r="V349" s="60" t="n"/>
      <c r="W349" s="60" t="n"/>
      <c r="X349" s="60" t="n"/>
      <c r="Y349" s="60" t="n"/>
      <c r="Z349" s="60" t="n"/>
      <c r="AA349" s="60" t="n">
        <v>1</v>
      </c>
      <c r="AB349" s="60" t="n"/>
      <c r="AC349" s="60" t="n"/>
      <c r="AD349" s="60" t="n"/>
      <c r="AE349" s="60" t="n"/>
      <c r="AF349" s="60" t="n"/>
      <c r="AG349" s="60" t="n"/>
      <c r="AH349" s="60" t="n"/>
      <c r="AI349" s="60" t="n"/>
      <c r="AJ349" s="60" t="n"/>
      <c r="AK349" s="120">
        <f>IF(L349&gt;0,L349*90.44,0)+IF(M349&gt;0,M349*348.12,0)+IF(N349&gt;0,N349*151.63,0)+IF(O349&gt;0,O349*197.82,0)+IF(P349&gt;0,P349*244.09,0)+IF(Q349&gt;0,Q349*315.35,0)+IF(R349&gt;0,R349*1067.3,0)+IF(T349&gt;0,T349*567.47,0)+IF(U349&gt;0,U349*151.63,0)+IF(V349&gt;0,V349*197.84,0)+IF(W349&gt;0,W349*470.51,0)+IF(X349&gt;0,X349*701.69,0)+IF(Z349&gt;0,Z349*151.63,0)+IF(AA349&gt;0,AA349*197.84)+IF(AB349&gt;0,AB349*308.4,0)+IF(AC349&gt;0,AC349*496.16,0)</f>
        <v/>
      </c>
    </row>
    <row r="350">
      <c r="A350" s="58" t="n"/>
      <c r="B350" s="59">
        <f>IF(H350&lt;$B$1,"VENCIDO","NA VALIDADE")</f>
        <v/>
      </c>
      <c r="C350" s="60" t="inlineStr">
        <is>
          <t>SUBESTAÇÃO</t>
        </is>
      </c>
      <c r="D350" s="61" t="inlineStr">
        <is>
          <t>SE MANIÇOBA</t>
        </is>
      </c>
      <c r="E350" s="62" t="inlineStr">
        <is>
          <t>JUAZEIRO</t>
        </is>
      </c>
      <c r="F350" s="61" t="inlineStr">
        <is>
          <t>FEIRA DE  SANTANA</t>
        </is>
      </c>
      <c r="G350" s="60" t="inlineStr">
        <is>
          <t>BA</t>
        </is>
      </c>
      <c r="H350" s="119" t="n">
        <v>45383</v>
      </c>
      <c r="I350" s="119" t="n">
        <v>45383</v>
      </c>
      <c r="J350" s="60">
        <f>SUM(L350:AE350)</f>
        <v/>
      </c>
      <c r="K350" s="60">
        <f>SUM(AF350:AJ350)</f>
        <v/>
      </c>
      <c r="L350" s="60" t="n"/>
      <c r="M350" s="60" t="n"/>
      <c r="N350" s="60" t="n"/>
      <c r="O350" s="60" t="n"/>
      <c r="P350" s="60" t="n"/>
      <c r="Q350" s="60" t="n">
        <v>1</v>
      </c>
      <c r="R350" s="60" t="n"/>
      <c r="S350" s="60" t="n"/>
      <c r="T350" s="60" t="n"/>
      <c r="U350" s="60" t="n"/>
      <c r="V350" s="60" t="n"/>
      <c r="W350" s="60" t="n"/>
      <c r="X350" s="60" t="n"/>
      <c r="Y350" s="60" t="n"/>
      <c r="Z350" s="60" t="n"/>
      <c r="AA350" s="60" t="n">
        <v>1</v>
      </c>
      <c r="AB350" s="60" t="n"/>
      <c r="AC350" s="60" t="n"/>
      <c r="AD350" s="60" t="n"/>
      <c r="AE350" s="60" t="n"/>
      <c r="AF350" s="60" t="n"/>
      <c r="AG350" s="60" t="n"/>
      <c r="AH350" s="60" t="n"/>
      <c r="AI350" s="60" t="n"/>
      <c r="AJ350" s="60" t="n"/>
      <c r="AK350" s="120">
        <f>IF(L350&gt;0,L350*90.44,0)+IF(M350&gt;0,M350*348.12,0)+IF(N350&gt;0,N350*151.63,0)+IF(O350&gt;0,O350*197.82,0)+IF(P350&gt;0,P350*244.09,0)+IF(Q350&gt;0,Q350*315.35,0)+IF(R350&gt;0,R350*1067.3,0)+IF(T350&gt;0,T350*567.47,0)+IF(U350&gt;0,U350*151.63,0)+IF(V350&gt;0,V350*197.84,0)+IF(W350&gt;0,W350*470.51,0)+IF(X350&gt;0,X350*701.69,0)+IF(Z350&gt;0,Z350*151.63,0)+IF(AA350&gt;0,AA350*197.84)+IF(AB350&gt;0,AB350*308.4,0)+IF(AC350&gt;0,AC350*496.16,0)</f>
        <v/>
      </c>
    </row>
    <row r="351" hidden="1">
      <c r="A351" s="58" t="n"/>
      <c r="B351" s="59">
        <f>IF(H351&lt;$B$1,"VENCIDO","NA VALIDADE")</f>
        <v/>
      </c>
      <c r="C351" s="60" t="inlineStr">
        <is>
          <t>SUBESTAÇÃO</t>
        </is>
      </c>
      <c r="D351" s="61" t="inlineStr">
        <is>
          <t>SE MARAÚ</t>
        </is>
      </c>
      <c r="E351" s="62" t="inlineStr">
        <is>
          <t>MARAÚ</t>
        </is>
      </c>
      <c r="F351" s="61" t="inlineStr">
        <is>
          <t>ILHÉUS</t>
        </is>
      </c>
      <c r="G351" s="60" t="inlineStr">
        <is>
          <t>BA</t>
        </is>
      </c>
      <c r="H351" s="119" t="n">
        <v>45474</v>
      </c>
      <c r="I351" s="119">
        <f>H351-180</f>
        <v/>
      </c>
      <c r="J351" s="60">
        <f>SUM(L351:AE351)</f>
        <v/>
      </c>
      <c r="K351" s="60">
        <f>SUM(AF351:AJ351)</f>
        <v/>
      </c>
      <c r="L351" s="60" t="n"/>
      <c r="M351" s="60" t="n"/>
      <c r="N351" s="60" t="n"/>
      <c r="O351" s="60" t="n"/>
      <c r="P351" s="60" t="n"/>
      <c r="Q351" s="60" t="n">
        <v>2</v>
      </c>
      <c r="R351" s="60" t="n"/>
      <c r="S351" s="60" t="n"/>
      <c r="T351" s="60" t="n">
        <v>1</v>
      </c>
      <c r="U351" s="60" t="n"/>
      <c r="V351" s="60" t="n"/>
      <c r="W351" s="60" t="n"/>
      <c r="X351" s="60" t="n"/>
      <c r="Y351" s="60" t="n"/>
      <c r="Z351" s="60" t="n"/>
      <c r="AA351" s="60" t="n">
        <v>1</v>
      </c>
      <c r="AB351" s="60" t="n"/>
      <c r="AC351" s="60" t="n"/>
      <c r="AD351" s="60" t="n"/>
      <c r="AE351" s="60" t="n"/>
      <c r="AF351" s="60" t="n"/>
      <c r="AG351" s="60" t="n"/>
      <c r="AH351" s="60" t="n"/>
      <c r="AI351" s="60" t="n"/>
      <c r="AJ351" s="60" t="n"/>
      <c r="AK351" s="120">
        <f>IF(L351&gt;0,L351*90.44,0)+IF(M351&gt;0,M351*348.12,0)+IF(N351&gt;0,N351*151.63,0)+IF(O351&gt;0,O351*197.82,0)+IF(P351&gt;0,P351*244.09,0)+IF(Q351&gt;0,Q351*315.35,0)+IF(R351&gt;0,R351*1067.3,0)+IF(T351&gt;0,T351*567.47,0)+IF(U351&gt;0,U351*151.63,0)+IF(V351&gt;0,V351*197.84,0)+IF(W351&gt;0,W351*470.51,0)+IF(X351&gt;0,X351*701.69,0)+IF(Z351&gt;0,Z351*151.63,0)+IF(AA351&gt;0,AA351*197.84)+IF(AB351&gt;0,AB351*308.4,0)+IF(AC351&gt;0,AC351*496.16,0)</f>
        <v/>
      </c>
    </row>
    <row r="352" hidden="1">
      <c r="A352" s="58" t="n"/>
      <c r="B352" s="59">
        <f>IF(H352&lt;$B$1,"VENCIDO","NA VALIDADE")</f>
        <v/>
      </c>
      <c r="C352" s="60" t="inlineStr">
        <is>
          <t>SUBESTAÇÃO</t>
        </is>
      </c>
      <c r="D352" s="61" t="inlineStr">
        <is>
          <t>SE MARACÁS</t>
        </is>
      </c>
      <c r="E352" s="62" t="inlineStr">
        <is>
          <t>MARACÁS</t>
        </is>
      </c>
      <c r="F352" s="61" t="inlineStr">
        <is>
          <t>VITÓRIA DA CONQUISTA</t>
        </is>
      </c>
      <c r="G352" s="60" t="inlineStr">
        <is>
          <t>BA</t>
        </is>
      </c>
      <c r="H352" s="119" t="n">
        <v>45292</v>
      </c>
      <c r="I352" s="119">
        <f>H352-180</f>
        <v/>
      </c>
      <c r="J352" s="60">
        <f>SUM(L352:AE352)</f>
        <v/>
      </c>
      <c r="K352" s="60">
        <f>SUM(AF352:AJ352)</f>
        <v/>
      </c>
      <c r="L352" s="60" t="n"/>
      <c r="M352" s="60" t="n"/>
      <c r="N352" s="60" t="n"/>
      <c r="O352" s="60" t="n"/>
      <c r="P352" s="60" t="n"/>
      <c r="Q352" s="60" t="n">
        <v>1</v>
      </c>
      <c r="R352" s="60" t="n"/>
      <c r="S352" s="60" t="n"/>
      <c r="T352" s="60" t="n"/>
      <c r="U352" s="60" t="n"/>
      <c r="V352" s="60" t="n"/>
      <c r="W352" s="60" t="n"/>
      <c r="X352" s="60" t="n"/>
      <c r="Y352" s="60" t="n"/>
      <c r="Z352" s="60" t="n"/>
      <c r="AA352" s="60" t="n"/>
      <c r="AB352" s="60" t="n"/>
      <c r="AC352" s="60" t="n"/>
      <c r="AD352" s="60" t="n"/>
      <c r="AE352" s="60" t="n"/>
      <c r="AF352" s="60" t="n"/>
      <c r="AG352" s="60" t="n"/>
      <c r="AH352" s="60" t="n"/>
      <c r="AI352" s="60" t="n"/>
      <c r="AJ352" s="60" t="n"/>
      <c r="AK352" s="120">
        <f>IF(L352&gt;0,L352*90.44,0)+IF(M352&gt;0,M352*348.12,0)+IF(N352&gt;0,N352*151.63,0)+IF(O352&gt;0,O352*197.82,0)+IF(P352&gt;0,P352*244.09,0)+IF(Q352&gt;0,Q352*315.35,0)+IF(R352&gt;0,R352*1067.3,0)+IF(T352&gt;0,T352*567.47,0)+IF(U352&gt;0,U352*151.63,0)+IF(V352&gt;0,V352*197.84,0)+IF(W352&gt;0,W352*470.51,0)+IF(X352&gt;0,X352*701.69,0)+IF(Z352&gt;0,Z352*151.63,0)+IF(AA352&gt;0,AA352*197.84)+IF(AB352&gt;0,AB352*308.4,0)+IF(AC352&gt;0,AC352*496.16,0)</f>
        <v/>
      </c>
    </row>
    <row r="353">
      <c r="A353" s="58" t="inlineStr">
        <is>
          <t>1 DEZ CABO</t>
        </is>
      </c>
      <c r="B353" s="59">
        <f>IF(H353&lt;$B$1,"VENCIDO","NA VALIDADE")</f>
        <v/>
      </c>
      <c r="C353" s="60" t="inlineStr">
        <is>
          <t>SUBESTAÇÃO</t>
        </is>
      </c>
      <c r="D353" s="61" t="inlineStr">
        <is>
          <t>SE MARAGOGIPE</t>
        </is>
      </c>
      <c r="E353" s="62" t="inlineStr">
        <is>
          <t>MARAGOGIPE</t>
        </is>
      </c>
      <c r="F353" s="61" t="inlineStr">
        <is>
          <t>FEIRA DE  SANTANA</t>
        </is>
      </c>
      <c r="G353" s="60" t="inlineStr">
        <is>
          <t>BA</t>
        </is>
      </c>
      <c r="H353" s="119" t="n">
        <v>45352</v>
      </c>
      <c r="I353" s="119" t="n">
        <v>45352</v>
      </c>
      <c r="J353" s="60">
        <f>SUM(L353:AE353)</f>
        <v/>
      </c>
      <c r="K353" s="60">
        <f>SUM(AF353:AJ353)</f>
        <v/>
      </c>
      <c r="L353" s="60" t="n"/>
      <c r="M353" s="60" t="n"/>
      <c r="N353" s="60" t="n"/>
      <c r="O353" s="60" t="n"/>
      <c r="P353" s="60" t="n"/>
      <c r="Q353" s="60" t="n">
        <v>2</v>
      </c>
      <c r="R353" s="60" t="n"/>
      <c r="S353" s="60" t="n"/>
      <c r="T353" s="60" t="n">
        <v>1</v>
      </c>
      <c r="U353" s="60" t="n"/>
      <c r="V353" s="60" t="n"/>
      <c r="W353" s="60" t="n"/>
      <c r="X353" s="60" t="n"/>
      <c r="Y353" s="60" t="n"/>
      <c r="Z353" s="60" t="n"/>
      <c r="AA353" s="60" t="n">
        <v>1</v>
      </c>
      <c r="AB353" s="60" t="n"/>
      <c r="AC353" s="60" t="n"/>
      <c r="AD353" s="60" t="n"/>
      <c r="AE353" s="60" t="n"/>
      <c r="AF353" s="60" t="n"/>
      <c r="AG353" s="60" t="n"/>
      <c r="AH353" s="60" t="n"/>
      <c r="AI353" s="60" t="n"/>
      <c r="AJ353" s="60" t="n"/>
      <c r="AK353" s="120">
        <f>IF(L353&gt;0,L353*90.44,0)+IF(M353&gt;0,M353*348.12,0)+IF(N353&gt;0,N353*151.63,0)+IF(O353&gt;0,O353*197.82,0)+IF(P353&gt;0,P353*244.09,0)+IF(Q353&gt;0,Q353*315.35,0)+IF(R353&gt;0,R353*1067.3,0)+IF(T353&gt;0,T353*567.47,0)+IF(U353&gt;0,U353*151.63,0)+IF(V353&gt;0,V353*197.84,0)+IF(W353&gt;0,W353*470.51,0)+IF(X353&gt;0,X353*701.69,0)+IF(Z353&gt;0,Z353*151.63,0)+IF(AA353&gt;0,AA353*197.84)+IF(AB353&gt;0,AB353*308.4,0)+IF(AC353&gt;0,AC353*496.16,0)</f>
        <v/>
      </c>
    </row>
    <row r="354">
      <c r="A354" s="58" t="inlineStr">
        <is>
          <t>SIM</t>
        </is>
      </c>
      <c r="B354" s="59">
        <f>IF(H354&lt;$B$1,"VENCIDO","NA VALIDADE")</f>
        <v/>
      </c>
      <c r="C354" s="60" t="inlineStr">
        <is>
          <t>SUBESTAÇÃO</t>
        </is>
      </c>
      <c r="D354" s="61" t="inlineStr">
        <is>
          <t>SE MASSANGANO II</t>
        </is>
      </c>
      <c r="E354" s="62" t="inlineStr">
        <is>
          <t>SOBRADINHO</t>
        </is>
      </c>
      <c r="F354" s="61" t="inlineStr">
        <is>
          <t>FEIRA DE  SANTANA</t>
        </is>
      </c>
      <c r="G354" s="60" t="inlineStr">
        <is>
          <t>BA</t>
        </is>
      </c>
      <c r="H354" s="119" t="n">
        <v>45505</v>
      </c>
      <c r="I354" s="119">
        <f>H354-180</f>
        <v/>
      </c>
      <c r="J354" s="60">
        <f>SUM(L354:AE354)</f>
        <v/>
      </c>
      <c r="K354" s="60">
        <f>SUM(AF354:AJ354)</f>
        <v/>
      </c>
      <c r="L354" s="60" t="n"/>
      <c r="M354" s="60" t="n"/>
      <c r="N354" s="60" t="n"/>
      <c r="O354" s="60" t="n"/>
      <c r="P354" s="60" t="n"/>
      <c r="Q354" s="60" t="n">
        <v>1</v>
      </c>
      <c r="R354" s="60" t="n"/>
      <c r="S354" s="60" t="n"/>
      <c r="T354" s="60" t="n"/>
      <c r="U354" s="60" t="n"/>
      <c r="V354" s="60" t="n"/>
      <c r="W354" s="60" t="n"/>
      <c r="X354" s="60" t="n"/>
      <c r="Y354" s="60" t="n"/>
      <c r="Z354" s="60" t="n"/>
      <c r="AA354" s="60" t="n">
        <v>1</v>
      </c>
      <c r="AB354" s="60" t="n"/>
      <c r="AC354" s="60" t="n"/>
      <c r="AD354" s="60" t="n"/>
      <c r="AE354" s="60" t="n"/>
      <c r="AF354" s="60" t="n"/>
      <c r="AG354" s="60" t="n"/>
      <c r="AH354" s="60" t="n"/>
      <c r="AI354" s="60" t="n"/>
      <c r="AJ354" s="60" t="n"/>
      <c r="AK354" s="120">
        <f>IF(L354&gt;0,L354*90.44,0)+IF(M354&gt;0,M354*348.12,0)+IF(N354&gt;0,N354*151.63,0)+IF(O354&gt;0,O354*197.82,0)+IF(P354&gt;0,P354*244.09,0)+IF(Q354&gt;0,Q354*315.35,0)+IF(R354&gt;0,R354*1067.3,0)+IF(T354&gt;0,T354*567.47,0)+IF(U354&gt;0,U354*151.63,0)+IF(V354&gt;0,V354*197.84,0)+IF(W354&gt;0,W354*470.51,0)+IF(X354&gt;0,X354*701.69,0)+IF(Z354&gt;0,Z354*151.63,0)+IF(AA354&gt;0,AA354*197.84)+IF(AB354&gt;0,AB354*308.4,0)+IF(AC354&gt;0,AC354*496.16,0)</f>
        <v/>
      </c>
    </row>
    <row r="355">
      <c r="A355" s="58" t="n"/>
      <c r="B355" s="59">
        <f>IF(H355&lt;$B$1,"VENCIDO","NA VALIDADE")</f>
        <v/>
      </c>
      <c r="C355" s="60" t="inlineStr">
        <is>
          <t>SUBESTAÇÃO</t>
        </is>
      </c>
      <c r="D355" s="61" t="inlineStr">
        <is>
          <t>SE MARCIONÍLIO SOUZA</t>
        </is>
      </c>
      <c r="E355" s="62" t="inlineStr">
        <is>
          <t>MARCIONILO SOUZA</t>
        </is>
      </c>
      <c r="F355" s="61" t="inlineStr">
        <is>
          <t>FEIRA DE  SANTANA</t>
        </is>
      </c>
      <c r="G355" s="60" t="inlineStr">
        <is>
          <t>BA</t>
        </is>
      </c>
      <c r="H355" s="119" t="n">
        <v>45444</v>
      </c>
      <c r="I355" s="119" t="n">
        <v>45444</v>
      </c>
      <c r="J355" s="60">
        <f>SUM(L355:AE355)</f>
        <v/>
      </c>
      <c r="K355" s="60">
        <f>SUM(AF355:AJ355)</f>
        <v/>
      </c>
      <c r="L355" s="60" t="n"/>
      <c r="M355" s="60" t="n"/>
      <c r="N355" s="60" t="n"/>
      <c r="O355" s="60" t="n"/>
      <c r="P355" s="60" t="n"/>
      <c r="Q355" s="60" t="n">
        <v>2</v>
      </c>
      <c r="R355" s="60" t="n"/>
      <c r="S355" s="60" t="n"/>
      <c r="T355" s="60" t="n">
        <v>1</v>
      </c>
      <c r="U355" s="60" t="n"/>
      <c r="V355" s="60" t="n"/>
      <c r="W355" s="60" t="n"/>
      <c r="X355" s="60" t="n"/>
      <c r="Y355" s="60" t="n"/>
      <c r="Z355" s="60" t="n"/>
      <c r="AA355" s="60" t="n">
        <v>1</v>
      </c>
      <c r="AB355" s="60" t="n"/>
      <c r="AC355" s="60" t="n"/>
      <c r="AD355" s="60" t="n"/>
      <c r="AE355" s="60" t="n"/>
      <c r="AF355" s="60" t="n"/>
      <c r="AG355" s="60" t="n"/>
      <c r="AH355" s="60" t="n"/>
      <c r="AI355" s="60" t="n"/>
      <c r="AJ355" s="60" t="n"/>
      <c r="AK355" s="120">
        <f>IF(L355&gt;0,L355*90.44,0)+IF(M355&gt;0,M355*348.12,0)+IF(N355&gt;0,N355*151.63,0)+IF(O355&gt;0,O355*197.82,0)+IF(P355&gt;0,P355*244.09,0)+IF(Q355&gt;0,Q355*315.35,0)+IF(R355&gt;0,R355*1067.3,0)+IF(T355&gt;0,T355*567.47,0)+IF(U355&gt;0,U355*151.63,0)+IF(V355&gt;0,V355*197.84,0)+IF(W355&gt;0,W355*470.51,0)+IF(X355&gt;0,X355*701.69,0)+IF(Z355&gt;0,Z355*151.63,0)+IF(AA355&gt;0,AA355*197.84)+IF(AB355&gt;0,AB355*308.4,0)+IF(AC355&gt;0,AC355*496.16,0)</f>
        <v/>
      </c>
    </row>
    <row r="356">
      <c r="A356" s="58" t="inlineStr">
        <is>
          <t>SIM</t>
        </is>
      </c>
      <c r="B356" s="59">
        <f>IF(H356&lt;$B$1,"VENCIDO","NA VALIDADE")</f>
        <v/>
      </c>
      <c r="C356" s="60" t="inlineStr">
        <is>
          <t>SUBESTAÇÃO</t>
        </is>
      </c>
      <c r="D356" s="61" t="inlineStr">
        <is>
          <t>SE MATA DE SÃO JOÃO</t>
        </is>
      </c>
      <c r="E356" s="62" t="inlineStr">
        <is>
          <t>MATA DE SÃO JOÃO</t>
        </is>
      </c>
      <c r="F356" s="61" t="inlineStr">
        <is>
          <t>FEIRA DE  SANTANA</t>
        </is>
      </c>
      <c r="G356" s="60" t="inlineStr">
        <is>
          <t>BA</t>
        </is>
      </c>
      <c r="H356" s="119" t="n">
        <v>45474</v>
      </c>
      <c r="I356" s="119">
        <f>H356-180</f>
        <v/>
      </c>
      <c r="J356" s="60">
        <f>SUM(L356:AE356)</f>
        <v/>
      </c>
      <c r="K356" s="60">
        <f>SUM(AF356:AJ356)</f>
        <v/>
      </c>
      <c r="L356" s="60" t="n"/>
      <c r="M356" s="60" t="n"/>
      <c r="N356" s="60" t="n"/>
      <c r="O356" s="60" t="n"/>
      <c r="P356" s="60" t="n"/>
      <c r="Q356" s="60" t="n">
        <v>5</v>
      </c>
      <c r="R356" s="60" t="n"/>
      <c r="S356" s="60" t="n"/>
      <c r="T356" s="60" t="n">
        <v>1</v>
      </c>
      <c r="U356" s="60" t="n"/>
      <c r="V356" s="60" t="n"/>
      <c r="W356" s="60" t="n"/>
      <c r="X356" s="60" t="n"/>
      <c r="Y356" s="60" t="n"/>
      <c r="Z356" s="60" t="n"/>
      <c r="AA356" s="60" t="n">
        <v>1</v>
      </c>
      <c r="AB356" s="60" t="n"/>
      <c r="AC356" s="60" t="n"/>
      <c r="AD356" s="60" t="n"/>
      <c r="AE356" s="60" t="n"/>
      <c r="AF356" s="60" t="n"/>
      <c r="AG356" s="60" t="n"/>
      <c r="AH356" s="60" t="n"/>
      <c r="AI356" s="60" t="n"/>
      <c r="AJ356" s="60" t="n"/>
      <c r="AK356" s="120">
        <f>IF(L356&gt;0,L356*90.44,0)+IF(M356&gt;0,M356*348.12,0)+IF(N356&gt;0,N356*151.63,0)+IF(O356&gt;0,O356*197.82,0)+IF(P356&gt;0,P356*244.09,0)+IF(Q356&gt;0,Q356*315.35,0)+IF(R356&gt;0,R356*1067.3,0)+IF(T356&gt;0,T356*567.47,0)+IF(U356&gt;0,U356*151.63,0)+IF(V356&gt;0,V356*197.84,0)+IF(W356&gt;0,W356*470.51,0)+IF(X356&gt;0,X356*701.69,0)+IF(Z356&gt;0,Z356*151.63,0)+IF(AA356&gt;0,AA356*197.84)+IF(AB356&gt;0,AB356*308.4,0)+IF(AC356&gt;0,AC356*496.16,0)</f>
        <v/>
      </c>
    </row>
    <row r="357">
      <c r="A357" s="58" t="inlineStr">
        <is>
          <t>SIM</t>
        </is>
      </c>
      <c r="B357" s="59">
        <f>IF(H357&lt;$B$1,"VENCIDO","NA VALIDADE")</f>
        <v/>
      </c>
      <c r="C357" s="60" t="inlineStr">
        <is>
          <t>SUBESTAÇÃO</t>
        </is>
      </c>
      <c r="D357" s="61" t="inlineStr">
        <is>
          <t>SE MATARANDIBA</t>
        </is>
      </c>
      <c r="E357" s="62" t="inlineStr">
        <is>
          <t>VERA CRUZ</t>
        </is>
      </c>
      <c r="F357" s="61" t="inlineStr">
        <is>
          <t>FEIRA DE  SANTANA</t>
        </is>
      </c>
      <c r="G357" s="60" t="inlineStr">
        <is>
          <t>BA</t>
        </is>
      </c>
      <c r="H357" s="119" t="n">
        <v>45505</v>
      </c>
      <c r="I357" s="119">
        <f>H357-180</f>
        <v/>
      </c>
      <c r="J357" s="60">
        <f>SUM(L357:AE357)</f>
        <v/>
      </c>
      <c r="K357" s="60">
        <f>SUM(AF357:AJ357)</f>
        <v/>
      </c>
      <c r="L357" s="60" t="n"/>
      <c r="M357" s="60" t="n"/>
      <c r="N357" s="60" t="n"/>
      <c r="O357" s="60" t="n"/>
      <c r="P357" s="60" t="n"/>
      <c r="Q357" s="60" t="n">
        <v>1</v>
      </c>
      <c r="R357" s="60" t="n"/>
      <c r="S357" s="60" t="n"/>
      <c r="T357" s="60" t="n"/>
      <c r="U357" s="60" t="n"/>
      <c r="V357" s="60" t="n"/>
      <c r="W357" s="60" t="n"/>
      <c r="X357" s="60" t="n"/>
      <c r="Y357" s="60" t="n"/>
      <c r="Z357" s="60" t="n"/>
      <c r="AA357" s="60" t="n">
        <v>1</v>
      </c>
      <c r="AB357" s="60" t="n"/>
      <c r="AC357" s="60" t="n"/>
      <c r="AD357" s="60" t="n"/>
      <c r="AE357" s="60" t="n"/>
      <c r="AF357" s="60" t="n"/>
      <c r="AG357" s="60" t="n"/>
      <c r="AH357" s="60" t="n"/>
      <c r="AI357" s="60" t="n"/>
      <c r="AJ357" s="60" t="n"/>
      <c r="AK357" s="120">
        <f>IF(L357&gt;0,L357*90.44,0)+IF(M357&gt;0,M357*348.12,0)+IF(N357&gt;0,N357*151.63,0)+IF(O357&gt;0,O357*197.82,0)+IF(P357&gt;0,P357*244.09,0)+IF(Q357&gt;0,Q357*315.35,0)+IF(R357&gt;0,R357*1067.3,0)+IF(T357&gt;0,T357*567.47,0)+IF(U357&gt;0,U357*151.63,0)+IF(V357&gt;0,V357*197.84,0)+IF(W357&gt;0,W357*470.51,0)+IF(X357&gt;0,X357*701.69,0)+IF(Z357&gt;0,Z357*151.63,0)+IF(AA357&gt;0,AA357*197.84)+IF(AB357&gt;0,AB357*308.4,0)+IF(AC357&gt;0,AC357*496.16,0)</f>
        <v/>
      </c>
    </row>
    <row r="358">
      <c r="A358" s="58" t="inlineStr">
        <is>
          <t>SIM</t>
        </is>
      </c>
      <c r="B358" s="59">
        <f>IF(H358&lt;$B$1,"VENCIDO","NA VALIDADE")</f>
        <v/>
      </c>
      <c r="C358" s="60" t="inlineStr">
        <is>
          <t>SUBESTAÇÃO</t>
        </is>
      </c>
      <c r="D358" s="61" t="inlineStr">
        <is>
          <t>SE MATARIPE</t>
        </is>
      </c>
      <c r="E358" s="62" t="inlineStr">
        <is>
          <t>CANDEIAS</t>
        </is>
      </c>
      <c r="F358" s="61" t="inlineStr">
        <is>
          <t>FEIRA DE  SANTANA</t>
        </is>
      </c>
      <c r="G358" s="60" t="inlineStr">
        <is>
          <t>BA</t>
        </is>
      </c>
      <c r="H358" s="119" t="n">
        <v>45536</v>
      </c>
      <c r="I358" s="119">
        <f>H358-180</f>
        <v/>
      </c>
      <c r="J358" s="60">
        <f>SUM(L358:AE358)</f>
        <v/>
      </c>
      <c r="K358" s="60">
        <f>SUM(AF358:AJ358)</f>
        <v/>
      </c>
      <c r="L358" s="60" t="n"/>
      <c r="M358" s="60" t="n"/>
      <c r="N358" s="60" t="n"/>
      <c r="O358" s="60" t="n"/>
      <c r="P358" s="60" t="n"/>
      <c r="Q358" s="60" t="n">
        <v>2</v>
      </c>
      <c r="R358" s="60" t="n"/>
      <c r="S358" s="60" t="n"/>
      <c r="T358" s="60" t="n">
        <v>1</v>
      </c>
      <c r="U358" s="60" t="n"/>
      <c r="V358" s="60" t="n">
        <v>2</v>
      </c>
      <c r="W358" s="60" t="n"/>
      <c r="X358" s="60" t="n"/>
      <c r="Y358" s="60" t="n"/>
      <c r="Z358" s="60" t="n"/>
      <c r="AA358" s="60" t="n">
        <v>1</v>
      </c>
      <c r="AB358" s="60" t="n"/>
      <c r="AC358" s="60" t="n"/>
      <c r="AD358" s="60" t="n"/>
      <c r="AE358" s="60" t="n"/>
      <c r="AF358" s="60" t="n"/>
      <c r="AG358" s="60" t="n"/>
      <c r="AH358" s="60" t="n"/>
      <c r="AI358" s="60" t="n"/>
      <c r="AJ358" s="60" t="n"/>
      <c r="AK358" s="120">
        <f>IF(L358&gt;0,L358*90.44,0)+IF(M358&gt;0,M358*348.12,0)+IF(N358&gt;0,N358*151.63,0)+IF(O358&gt;0,O358*197.82,0)+IF(P358&gt;0,P358*244.09,0)+IF(Q358&gt;0,Q358*315.35,0)+IF(R358&gt;0,R358*1067.3,0)+IF(T358&gt;0,T358*567.47,0)+IF(U358&gt;0,U358*151.63,0)+IF(V358&gt;0,V358*197.84,0)+IF(W358&gt;0,W358*470.51,0)+IF(X358&gt;0,X358*701.69,0)+IF(Z358&gt;0,Z358*151.63,0)+IF(AA358&gt;0,AA358*197.84)+IF(AB358&gt;0,AB358*308.4,0)+IF(AC358&gt;0,AC358*496.16,0)</f>
        <v/>
      </c>
    </row>
    <row r="359" hidden="1">
      <c r="A359" s="58" t="inlineStr">
        <is>
          <t>SIM</t>
        </is>
      </c>
      <c r="B359" s="59">
        <f>IF(H359&lt;$B$1,"VENCIDO","NA VALIDADE")</f>
        <v/>
      </c>
      <c r="C359" s="60" t="inlineStr">
        <is>
          <t>SUBESTAÇÃO</t>
        </is>
      </c>
      <c r="D359" s="61" t="inlineStr">
        <is>
          <t>SE MEDEIROS NETO</t>
        </is>
      </c>
      <c r="E359" s="62" t="inlineStr">
        <is>
          <t>MEDEIROS NETO</t>
        </is>
      </c>
      <c r="F359" s="61" t="inlineStr">
        <is>
          <t>ILHÉUS</t>
        </is>
      </c>
      <c r="G359" s="60" t="inlineStr">
        <is>
          <t>BA</t>
        </is>
      </c>
      <c r="H359" s="119" t="n">
        <v>45413</v>
      </c>
      <c r="I359" s="119" t="n">
        <v>45413</v>
      </c>
      <c r="J359" s="60">
        <f>SUM(L359:AE359)</f>
        <v/>
      </c>
      <c r="K359" s="60">
        <f>SUM(AF359:AJ359)</f>
        <v/>
      </c>
      <c r="L359" s="60" t="n"/>
      <c r="M359" s="60" t="n"/>
      <c r="N359" s="60" t="n"/>
      <c r="O359" s="60" t="n">
        <v>1</v>
      </c>
      <c r="P359" s="60" t="n"/>
      <c r="Q359" s="60" t="n">
        <v>3</v>
      </c>
      <c r="R359" s="60" t="n"/>
      <c r="S359" s="60" t="n"/>
      <c r="T359" s="60" t="n">
        <v>1</v>
      </c>
      <c r="U359" s="60" t="n"/>
      <c r="V359" s="60" t="n"/>
      <c r="W359" s="60" t="n"/>
      <c r="X359" s="60" t="n"/>
      <c r="Y359" s="60" t="n"/>
      <c r="Z359" s="60" t="n"/>
      <c r="AA359" s="60" t="n">
        <v>1</v>
      </c>
      <c r="AB359" s="60" t="n"/>
      <c r="AC359" s="60" t="n"/>
      <c r="AD359" s="60" t="n"/>
      <c r="AE359" s="60" t="n"/>
      <c r="AF359" s="60" t="n"/>
      <c r="AG359" s="60" t="n"/>
      <c r="AH359" s="60" t="n"/>
      <c r="AI359" s="60" t="n"/>
      <c r="AJ359" s="60" t="n"/>
      <c r="AK359" s="120">
        <f>IF(L359&gt;0,L359*90.44,0)+IF(M359&gt;0,M359*348.12,0)+IF(N359&gt;0,N359*151.63,0)+IF(O359&gt;0,O359*197.82,0)+IF(P359&gt;0,P359*244.09,0)+IF(Q359&gt;0,Q359*315.35,0)+IF(R359&gt;0,R359*1067.3,0)+IF(T359&gt;0,T359*567.47,0)+IF(U359&gt;0,U359*151.63,0)+IF(V359&gt;0,V359*197.84,0)+IF(W359&gt;0,W359*470.51,0)+IF(X359&gt;0,X359*701.69,0)+IF(Z359&gt;0,Z359*151.63,0)+IF(AA359&gt;0,AA359*197.84)+IF(AB359&gt;0,AB359*308.4,0)+IF(AC359&gt;0,AC359*496.16,0)</f>
        <v/>
      </c>
    </row>
    <row r="360">
      <c r="A360" s="58" t="inlineStr">
        <is>
          <t>SIM</t>
        </is>
      </c>
      <c r="B360" s="59">
        <f>IF(H360&lt;$B$1,"VENCIDO","NA VALIDADE")</f>
        <v/>
      </c>
      <c r="C360" s="60" t="inlineStr">
        <is>
          <t>SUBESTAÇÃO</t>
        </is>
      </c>
      <c r="D360" s="66" t="inlineStr">
        <is>
          <t>SE MIGUEL CALMON</t>
        </is>
      </c>
      <c r="E360" s="62" t="inlineStr">
        <is>
          <t>MIGUEL CALMON</t>
        </is>
      </c>
      <c r="F360" s="61" t="inlineStr">
        <is>
          <t>FEIRA DE  SANTANA</t>
        </is>
      </c>
      <c r="G360" s="60" t="inlineStr">
        <is>
          <t>BA</t>
        </is>
      </c>
      <c r="H360" s="119" t="n">
        <v>45597</v>
      </c>
      <c r="I360" s="119">
        <f>H360-180</f>
        <v/>
      </c>
      <c r="J360" s="60">
        <f>SUM(L360:AE360)</f>
        <v/>
      </c>
      <c r="K360" s="60">
        <f>SUM(AF360:AJ360)</f>
        <v/>
      </c>
      <c r="L360" s="60" t="n"/>
      <c r="M360" s="60" t="n"/>
      <c r="N360" s="60" t="n"/>
      <c r="O360" s="60" t="n"/>
      <c r="P360" s="60" t="n"/>
      <c r="Q360" s="60" t="n">
        <v>2</v>
      </c>
      <c r="R360" s="60" t="n"/>
      <c r="S360" s="60" t="n"/>
      <c r="T360" s="60" t="n"/>
      <c r="U360" s="60" t="n"/>
      <c r="V360" s="60" t="n"/>
      <c r="W360" s="60" t="n"/>
      <c r="X360" s="60" t="n"/>
      <c r="Y360" s="60" t="n"/>
      <c r="Z360" s="60" t="n"/>
      <c r="AA360" s="60" t="n"/>
      <c r="AB360" s="60" t="n"/>
      <c r="AC360" s="60" t="n"/>
      <c r="AD360" s="60" t="n"/>
      <c r="AE360" s="60" t="n"/>
      <c r="AF360" s="60" t="n"/>
      <c r="AG360" s="60" t="n"/>
      <c r="AH360" s="60" t="n"/>
      <c r="AI360" s="60" t="n"/>
      <c r="AJ360" s="60" t="n"/>
      <c r="AK360" s="120">
        <f>IF(L360&gt;0,L360*90.44,0)+IF(M360&gt;0,M360*348.12,0)+IF(N360&gt;0,N360*151.63,0)+IF(O360&gt;0,O360*197.82,0)+IF(P360&gt;0,P360*244.09,0)+IF(Q360&gt;0,Q360*315.35,0)+IF(R360&gt;0,R360*1067.3,0)+IF(T360&gt;0,T360*567.47,0)+IF(U360&gt;0,U360*151.63,0)+IF(V360&gt;0,V360*197.84,0)+IF(W360&gt;0,W360*470.51,0)+IF(X360&gt;0,X360*701.69,0)+IF(Z360&gt;0,Z360*151.63,0)+IF(AA360&gt;0,AA360*197.84)+IF(AB360&gt;0,AB360*308.4,0)+IF(AC360&gt;0,AC360*496.16,0)</f>
        <v/>
      </c>
    </row>
    <row r="361">
      <c r="A361" s="58" t="inlineStr">
        <is>
          <t>SIM</t>
        </is>
      </c>
      <c r="B361" s="59">
        <f>IF(H361&lt;$B$1,"VENCIDO","NA VALIDADE")</f>
        <v/>
      </c>
      <c r="C361" s="60" t="inlineStr">
        <is>
          <t>SUBESTAÇÃO</t>
        </is>
      </c>
      <c r="D361" s="61" t="inlineStr">
        <is>
          <t>SE MILAGRES</t>
        </is>
      </c>
      <c r="E361" s="62" t="inlineStr">
        <is>
          <t>MILAGRES</t>
        </is>
      </c>
      <c r="F361" s="61" t="inlineStr">
        <is>
          <t>FEIRA DE  SANTANA</t>
        </is>
      </c>
      <c r="G361" s="60" t="inlineStr">
        <is>
          <t>BA</t>
        </is>
      </c>
      <c r="H361" s="119" t="n">
        <v>45566</v>
      </c>
      <c r="I361" s="119">
        <f>H361-180</f>
        <v/>
      </c>
      <c r="J361" s="60">
        <f>SUM(L361:AE361)</f>
        <v/>
      </c>
      <c r="K361" s="60">
        <f>SUM(AF361:AJ361)</f>
        <v/>
      </c>
      <c r="L361" s="60" t="n"/>
      <c r="M361" s="60" t="n"/>
      <c r="N361" s="60" t="n"/>
      <c r="O361" s="60" t="n"/>
      <c r="P361" s="60" t="n">
        <v>2</v>
      </c>
      <c r="Q361" s="60" t="n">
        <v>1</v>
      </c>
      <c r="R361" s="60" t="n"/>
      <c r="S361" s="60" t="n"/>
      <c r="T361" s="60" t="n">
        <v>2</v>
      </c>
      <c r="U361" s="60" t="n"/>
      <c r="V361" s="60" t="n"/>
      <c r="W361" s="60" t="n"/>
      <c r="X361" s="60" t="n"/>
      <c r="Y361" s="60" t="n"/>
      <c r="Z361" s="60" t="n"/>
      <c r="AA361" s="60" t="n">
        <v>1</v>
      </c>
      <c r="AB361" s="60" t="n"/>
      <c r="AC361" s="60" t="n"/>
      <c r="AD361" s="60" t="n"/>
      <c r="AE361" s="60" t="n"/>
      <c r="AF361" s="60" t="n"/>
      <c r="AG361" s="60" t="n"/>
      <c r="AH361" s="60" t="n"/>
      <c r="AI361" s="60" t="n"/>
      <c r="AJ361" s="60" t="n"/>
      <c r="AK361" s="120">
        <f>IF(L361&gt;0,L361*90.44,0)+IF(M361&gt;0,M361*348.12,0)+IF(N361&gt;0,N361*151.63,0)+IF(O361&gt;0,O361*197.82,0)+IF(P361&gt;0,P361*244.09,0)+IF(Q361&gt;0,Q361*315.35,0)+IF(R361&gt;0,R361*1067.3,0)+IF(T361&gt;0,T361*567.47,0)+IF(U361&gt;0,U361*151.63,0)+IF(V361&gt;0,V361*197.84,0)+IF(W361&gt;0,W361*470.51,0)+IF(X361&gt;0,X361*701.69,0)+IF(Z361&gt;0,Z361*151.63,0)+IF(AA361&gt;0,AA361*197.84)+IF(AB361&gt;0,AB361*308.4,0)+IF(AC361&gt;0,AC361*496.16,0)</f>
        <v/>
      </c>
    </row>
    <row r="362">
      <c r="A362" s="58" t="inlineStr">
        <is>
          <t>SIM</t>
        </is>
      </c>
      <c r="B362" s="59">
        <f>IF(H362&lt;$B$1,"VENCIDO","NA VALIDADE")</f>
        <v/>
      </c>
      <c r="C362" s="60" t="inlineStr">
        <is>
          <t>SUBESTAÇÃO</t>
        </is>
      </c>
      <c r="D362" s="66" t="inlineStr">
        <is>
          <t>SE MIRORÓS</t>
        </is>
      </c>
      <c r="E362" s="62" t="inlineStr">
        <is>
          <t>IBIPEBA</t>
        </is>
      </c>
      <c r="F362" s="61" t="inlineStr">
        <is>
          <t>FEIRA DE  SANTANA</t>
        </is>
      </c>
      <c r="G362" s="60" t="inlineStr">
        <is>
          <t>BA</t>
        </is>
      </c>
      <c r="H362" s="119" t="n">
        <v>45352</v>
      </c>
      <c r="I362" s="119">
        <f>H362-180</f>
        <v/>
      </c>
      <c r="J362" s="60">
        <f>SUM(L362:AE362)</f>
        <v/>
      </c>
      <c r="K362" s="60">
        <f>SUM(AF362:AJ362)</f>
        <v/>
      </c>
      <c r="L362" s="60" t="n"/>
      <c r="M362" s="60" t="n"/>
      <c r="N362" s="60" t="n"/>
      <c r="O362" s="60" t="n"/>
      <c r="P362" s="60" t="n"/>
      <c r="Q362" s="60" t="n">
        <v>1</v>
      </c>
      <c r="R362" s="60" t="n"/>
      <c r="S362" s="60" t="n"/>
      <c r="T362" s="60" t="n"/>
      <c r="U362" s="60" t="n"/>
      <c r="V362" s="60" t="n"/>
      <c r="W362" s="60" t="n">
        <v>1</v>
      </c>
      <c r="X362" s="60" t="n"/>
      <c r="Y362" s="60" t="n"/>
      <c r="Z362" s="60" t="n"/>
      <c r="AA362" s="60" t="n"/>
      <c r="AB362" s="60" t="n"/>
      <c r="AC362" s="60" t="n"/>
      <c r="AD362" s="60" t="n"/>
      <c r="AE362" s="60" t="n"/>
      <c r="AF362" s="60" t="n"/>
      <c r="AG362" s="60" t="n"/>
      <c r="AH362" s="60" t="n"/>
      <c r="AI362" s="60" t="n"/>
      <c r="AJ362" s="60" t="n"/>
      <c r="AK362" s="120">
        <f>IF(L362&gt;0,L362*90.44,0)+IF(M362&gt;0,M362*348.12,0)+IF(N362&gt;0,N362*151.63,0)+IF(O362&gt;0,O362*197.82,0)+IF(P362&gt;0,P362*244.09,0)+IF(Q362&gt;0,Q362*315.35,0)+IF(R362&gt;0,R362*1067.3,0)+IF(T362&gt;0,T362*567.47,0)+IF(U362&gt;0,U362*151.63,0)+IF(V362&gt;0,V362*197.84,0)+IF(W362&gt;0,W362*470.51,0)+IF(X362&gt;0,X362*701.69,0)+IF(Z362&gt;0,Z362*151.63,0)+IF(AA362&gt;0,AA362*197.84)+IF(AB362&gt;0,AB362*308.4,0)+IF(AC362&gt;0,AC362*496.16,0)</f>
        <v/>
      </c>
    </row>
    <row r="363" hidden="1">
      <c r="A363" s="58" t="inlineStr">
        <is>
          <t>SIM</t>
        </is>
      </c>
      <c r="B363" s="59">
        <f>IF(H363&lt;$B$1,"VENCIDO","NA VALIDADE")</f>
        <v/>
      </c>
      <c r="C363" s="60" t="inlineStr">
        <is>
          <t>SUBESTAÇÃO</t>
        </is>
      </c>
      <c r="D363" s="61" t="inlineStr">
        <is>
          <t>SE MONTE PASCOAL</t>
        </is>
      </c>
      <c r="E363" s="62" t="inlineStr">
        <is>
          <t>ITABELA</t>
        </is>
      </c>
      <c r="F363" s="61" t="inlineStr">
        <is>
          <t>ILHÉUS</t>
        </is>
      </c>
      <c r="G363" s="60" t="inlineStr">
        <is>
          <t>BA</t>
        </is>
      </c>
      <c r="H363" s="119" t="n">
        <v>45505</v>
      </c>
      <c r="I363" s="119">
        <f>H363-180</f>
        <v/>
      </c>
      <c r="J363" s="60">
        <f>SUM(L363:AE363)</f>
        <v/>
      </c>
      <c r="K363" s="60">
        <f>SUM(AF363:AJ363)</f>
        <v/>
      </c>
      <c r="L363" s="60" t="n"/>
      <c r="M363" s="60" t="n"/>
      <c r="N363" s="60" t="n"/>
      <c r="O363" s="60" t="n"/>
      <c r="P363" s="60" t="n"/>
      <c r="Q363" s="60" t="n">
        <v>1</v>
      </c>
      <c r="R363" s="60" t="n"/>
      <c r="S363" s="60" t="n"/>
      <c r="T363" s="60" t="n"/>
      <c r="U363" s="60" t="n"/>
      <c r="V363" s="60" t="n"/>
      <c r="W363" s="60" t="n"/>
      <c r="X363" s="60" t="n"/>
      <c r="Y363" s="60" t="n"/>
      <c r="Z363" s="60" t="n"/>
      <c r="AA363" s="60" t="n">
        <v>1</v>
      </c>
      <c r="AB363" s="60" t="n"/>
      <c r="AC363" s="60" t="n"/>
      <c r="AD363" s="60" t="n"/>
      <c r="AE363" s="60" t="n"/>
      <c r="AF363" s="60" t="n"/>
      <c r="AG363" s="60" t="n"/>
      <c r="AH363" s="60" t="n"/>
      <c r="AI363" s="60" t="n"/>
      <c r="AJ363" s="60" t="n"/>
      <c r="AK363" s="120">
        <f>IF(L363&gt;0,L363*90.44,0)+IF(M363&gt;0,M363*348.12,0)+IF(N363&gt;0,N363*151.63,0)+IF(O363&gt;0,O363*197.82,0)+IF(P363&gt;0,P363*244.09,0)+IF(Q363&gt;0,Q363*315.35,0)+IF(R363&gt;0,R363*1067.3,0)+IF(T363&gt;0,T363*567.47,0)+IF(U363&gt;0,U363*151.63,0)+IF(V363&gt;0,V363*197.84,0)+IF(W363&gt;0,W363*470.51,0)+IF(X363&gt;0,X363*701.69,0)+IF(Z363&gt;0,Z363*151.63,0)+IF(AA363&gt;0,AA363*197.84)+IF(AB363&gt;0,AB363*308.4,0)+IF(AC363&gt;0,AC363*496.16,0)</f>
        <v/>
      </c>
    </row>
    <row r="364" hidden="1">
      <c r="A364" s="58" t="n"/>
      <c r="B364" s="59">
        <f>IF(H364&lt;$B$1,"VENCIDO","NA VALIDADE")</f>
        <v/>
      </c>
      <c r="C364" s="60" t="inlineStr">
        <is>
          <t>SUBESTAÇÃO</t>
        </is>
      </c>
      <c r="D364" s="61" t="inlineStr">
        <is>
          <t>SE MUCURI</t>
        </is>
      </c>
      <c r="E364" s="62" t="inlineStr">
        <is>
          <t>MUCURI</t>
        </is>
      </c>
      <c r="F364" s="61" t="inlineStr">
        <is>
          <t>ILHÉUS</t>
        </is>
      </c>
      <c r="G364" s="60" t="inlineStr">
        <is>
          <t>BA</t>
        </is>
      </c>
      <c r="H364" s="119" t="n">
        <v>45444</v>
      </c>
      <c r="I364" s="119">
        <f>H364-180</f>
        <v/>
      </c>
      <c r="J364" s="60">
        <f>SUM(L364:AE364)</f>
        <v/>
      </c>
      <c r="K364" s="60">
        <f>SUM(AF364:AJ364)</f>
        <v/>
      </c>
      <c r="L364" s="60" t="n"/>
      <c r="M364" s="60" t="n"/>
      <c r="N364" s="60" t="n"/>
      <c r="O364" s="60" t="n">
        <v>1</v>
      </c>
      <c r="P364" s="60" t="n"/>
      <c r="Q364" s="60" t="n"/>
      <c r="R364" s="60" t="n"/>
      <c r="S364" s="60" t="n"/>
      <c r="T364" s="60" t="n"/>
      <c r="U364" s="60" t="n"/>
      <c r="V364" s="60" t="n"/>
      <c r="W364" s="60" t="n"/>
      <c r="X364" s="60" t="n"/>
      <c r="Y364" s="60" t="n"/>
      <c r="Z364" s="60" t="n"/>
      <c r="AA364" s="60" t="n"/>
      <c r="AB364" s="60" t="n"/>
      <c r="AC364" s="60" t="n"/>
      <c r="AD364" s="60" t="n"/>
      <c r="AE364" s="60" t="n"/>
      <c r="AF364" s="60" t="n"/>
      <c r="AG364" s="60" t="n"/>
      <c r="AH364" s="60" t="n"/>
      <c r="AI364" s="60" t="n"/>
      <c r="AJ364" s="60" t="n"/>
      <c r="AK364" s="120">
        <f>IF(L364&gt;0,L364*90.44,0)+IF(M364&gt;0,M364*348.12,0)+IF(N364&gt;0,N364*151.63,0)+IF(O364&gt;0,O364*197.82,0)+IF(P364&gt;0,P364*244.09,0)+IF(Q364&gt;0,Q364*315.35,0)+IF(R364&gt;0,R364*1067.3,0)+IF(T364&gt;0,T364*567.47,0)+IF(U364&gt;0,U364*151.63,0)+IF(V364&gt;0,V364*197.84,0)+IF(W364&gt;0,W364*470.51,0)+IF(X364&gt;0,X364*701.69,0)+IF(Z364&gt;0,Z364*151.63,0)+IF(AA364&gt;0,AA364*197.84)+IF(AB364&gt;0,AB364*308.4,0)+IF(AC364&gt;0,AC364*496.16,0)</f>
        <v/>
      </c>
    </row>
    <row r="365">
      <c r="A365" s="58" t="inlineStr">
        <is>
          <t>1 DEZ VI</t>
        </is>
      </c>
      <c r="B365" s="59">
        <f>IF(H365&lt;$B$1,"VENCIDO","NA VALIDADE")</f>
        <v/>
      </c>
      <c r="C365" s="60" t="inlineStr">
        <is>
          <t>SUBESTAÇÃO</t>
        </is>
      </c>
      <c r="D365" s="61" t="inlineStr">
        <is>
          <t xml:space="preserve">SE MORRO DO CHAPÉU </t>
        </is>
      </c>
      <c r="E365" s="62" t="inlineStr">
        <is>
          <t>MORRO DO CHAPÉU</t>
        </is>
      </c>
      <c r="F365" s="61" t="inlineStr">
        <is>
          <t>FEIRA DE  SANTANA</t>
        </is>
      </c>
      <c r="G365" s="60" t="inlineStr">
        <is>
          <t>BA</t>
        </is>
      </c>
      <c r="H365" s="119" t="n">
        <v>45444</v>
      </c>
      <c r="I365" s="119" t="n">
        <v>45444</v>
      </c>
      <c r="J365" s="60">
        <f>SUM(L365:AE365)</f>
        <v/>
      </c>
      <c r="K365" s="60">
        <f>SUM(AF365:AJ365)</f>
        <v/>
      </c>
      <c r="L365" s="60" t="n"/>
      <c r="M365" s="60" t="n"/>
      <c r="N365" s="60" t="n"/>
      <c r="O365" s="60" t="n">
        <v>3</v>
      </c>
      <c r="P365" s="60" t="n"/>
      <c r="Q365" s="60" t="n"/>
      <c r="R365" s="60" t="n">
        <v>1</v>
      </c>
      <c r="S365" s="60" t="n"/>
      <c r="T365" s="60" t="n"/>
      <c r="U365" s="60" t="n"/>
      <c r="V365" s="60" t="n"/>
      <c r="W365" s="60" t="n"/>
      <c r="X365" s="60" t="n">
        <v>2</v>
      </c>
      <c r="Y365" s="60" t="n"/>
      <c r="Z365" s="60" t="n"/>
      <c r="AA365" s="60" t="n">
        <v>2</v>
      </c>
      <c r="AB365" s="60" t="n"/>
      <c r="AC365" s="60" t="n"/>
      <c r="AD365" s="60" t="n"/>
      <c r="AE365" s="60" t="n"/>
      <c r="AF365" s="60" t="n"/>
      <c r="AG365" s="60" t="n"/>
      <c r="AH365" s="60" t="n"/>
      <c r="AI365" s="60" t="n"/>
      <c r="AJ365" s="60" t="n"/>
      <c r="AK365" s="120">
        <f>IF(L365&gt;0,L365*90.44,0)+IF(M365&gt;0,M365*348.12,0)+IF(N365&gt;0,N365*151.63,0)+IF(O365&gt;0,O365*197.82,0)+IF(P365&gt;0,P365*244.09,0)+IF(Q365&gt;0,Q365*315.35,0)+IF(R365&gt;0,R365*1067.3,0)+IF(T365&gt;0,T365*567.47,0)+IF(U365&gt;0,U365*151.63,0)+IF(V365&gt;0,V365*197.84,0)+IF(W365&gt;0,W365*470.51,0)+IF(X365&gt;0,X365*701.69,0)+IF(Z365&gt;0,Z365*151.63,0)+IF(AA365&gt;0,AA365*197.84)+IF(AB365&gt;0,AB365*308.4,0)+IF(AC365&gt;0,AC365*496.16,0)</f>
        <v/>
      </c>
    </row>
    <row r="366" hidden="1">
      <c r="A366" s="58" t="inlineStr">
        <is>
          <t>SIM</t>
        </is>
      </c>
      <c r="B366" s="59">
        <f>IF(H366&lt;$B$1,"VENCIDO","NA VALIDADE")</f>
        <v/>
      </c>
      <c r="C366" s="60" t="inlineStr">
        <is>
          <t>SUBESTAÇÃO</t>
        </is>
      </c>
      <c r="D366" s="61" t="inlineStr">
        <is>
          <t>SE MUCUGÊ</t>
        </is>
      </c>
      <c r="E366" s="62" t="inlineStr">
        <is>
          <t>MUCUGÊ</t>
        </is>
      </c>
      <c r="F366" s="61" t="inlineStr">
        <is>
          <t>VITÓRIA DA CONQUISTA</t>
        </is>
      </c>
      <c r="G366" s="60" t="inlineStr">
        <is>
          <t>BA</t>
        </is>
      </c>
      <c r="H366" s="119" t="n">
        <v>45474</v>
      </c>
      <c r="I366" s="119">
        <f>H366-180</f>
        <v/>
      </c>
      <c r="J366" s="60">
        <f>SUM(L366:AE366)</f>
        <v/>
      </c>
      <c r="K366" s="60">
        <f>SUM(AF366:AJ366)</f>
        <v/>
      </c>
      <c r="L366" s="60" t="n"/>
      <c r="M366" s="60" t="n"/>
      <c r="N366" s="60" t="n"/>
      <c r="O366" s="60" t="n"/>
      <c r="P366" s="60" t="n"/>
      <c r="Q366" s="60" t="n">
        <v>6</v>
      </c>
      <c r="R366" s="60" t="n"/>
      <c r="S366" s="60" t="n"/>
      <c r="T366" s="60" t="n">
        <v>1</v>
      </c>
      <c r="U366" s="60" t="n"/>
      <c r="V366" s="60" t="n"/>
      <c r="W366" s="60" t="n"/>
      <c r="X366" s="60" t="n"/>
      <c r="Y366" s="60" t="n"/>
      <c r="Z366" s="60" t="n"/>
      <c r="AA366" s="60" t="n">
        <v>2</v>
      </c>
      <c r="AB366" s="60" t="n"/>
      <c r="AC366" s="60" t="n"/>
      <c r="AD366" s="60" t="n"/>
      <c r="AE366" s="60" t="n"/>
      <c r="AF366" s="60" t="n"/>
      <c r="AG366" s="60" t="n"/>
      <c r="AH366" s="60" t="n"/>
      <c r="AI366" s="60" t="n"/>
      <c r="AJ366" s="60" t="n"/>
      <c r="AK366" s="120">
        <f>IF(L366&gt;0,L366*90.44,0)+IF(M366&gt;0,M366*348.12,0)+IF(N366&gt;0,N366*151.63,0)+IF(O366&gt;0,O366*197.82,0)+IF(P366&gt;0,P366*244.09,0)+IF(Q366&gt;0,Q366*315.35,0)+IF(R366&gt;0,R366*1067.3,0)+IF(T366&gt;0,T366*567.47,0)+IF(U366&gt;0,U366*151.63,0)+IF(V366&gt;0,V366*197.84,0)+IF(W366&gt;0,W366*470.51,0)+IF(X366&gt;0,X366*701.69,0)+IF(Z366&gt;0,Z366*151.63,0)+IF(AA366&gt;0,AA366*197.84)+IF(AB366&gt;0,AB366*308.4,0)+IF(AC366&gt;0,AC366*496.16,0)</f>
        <v/>
      </c>
    </row>
    <row r="367" hidden="1">
      <c r="A367" s="58" t="inlineStr">
        <is>
          <t>SIM</t>
        </is>
      </c>
      <c r="B367" s="59">
        <f>IF(H367&lt;$B$1,"VENCIDO","NA VALIDADE")</f>
        <v/>
      </c>
      <c r="C367" s="60" t="inlineStr">
        <is>
          <t>SUBESTAÇÃO</t>
        </is>
      </c>
      <c r="D367" s="61" t="inlineStr">
        <is>
          <t>SE POSTO DA MATA</t>
        </is>
      </c>
      <c r="E367" s="62" t="inlineStr">
        <is>
          <t>POSTO DA MATA</t>
        </is>
      </c>
      <c r="F367" s="61" t="inlineStr">
        <is>
          <t>ILHÉUS</t>
        </is>
      </c>
      <c r="G367" s="60" t="inlineStr">
        <is>
          <t>BA</t>
        </is>
      </c>
      <c r="H367" s="119" t="n">
        <v>45444</v>
      </c>
      <c r="I367" s="119" t="n">
        <v>45444</v>
      </c>
      <c r="J367" s="60">
        <f>SUM(L367:AE367)</f>
        <v/>
      </c>
      <c r="K367" s="60">
        <f>SUM(AF367:AJ367)</f>
        <v/>
      </c>
      <c r="L367" s="60" t="n"/>
      <c r="M367" s="60" t="n"/>
      <c r="N367" s="60" t="n"/>
      <c r="O367" s="60" t="n"/>
      <c r="P367" s="60" t="n"/>
      <c r="Q367" s="60" t="n">
        <v>1</v>
      </c>
      <c r="R367" s="60" t="n"/>
      <c r="S367" s="60" t="n"/>
      <c r="T367" s="60" t="n"/>
      <c r="U367" s="60" t="n"/>
      <c r="V367" s="60" t="n"/>
      <c r="W367" s="60" t="n"/>
      <c r="X367" s="60" t="n"/>
      <c r="Y367" s="60" t="n"/>
      <c r="Z367" s="60" t="n"/>
      <c r="AA367" s="60" t="n">
        <v>1</v>
      </c>
      <c r="AB367" s="60" t="n"/>
      <c r="AC367" s="60" t="n"/>
      <c r="AD367" s="60" t="n"/>
      <c r="AE367" s="60" t="n"/>
      <c r="AF367" s="60" t="n"/>
      <c r="AG367" s="60" t="n"/>
      <c r="AH367" s="60" t="n"/>
      <c r="AI367" s="60" t="n"/>
      <c r="AJ367" s="60" t="n"/>
      <c r="AK367" s="120">
        <f>IF(L367&gt;0,L367*90.44,0)+IF(M367&gt;0,M367*348.12,0)+IF(N367&gt;0,N367*151.63,0)+IF(O367&gt;0,O367*197.82,0)+IF(P367&gt;0,P367*244.09,0)+IF(Q367&gt;0,Q367*315.35,0)+IF(R367&gt;0,R367*1067.3,0)+IF(T367&gt;0,T367*567.47,0)+IF(U367&gt;0,U367*151.63,0)+IF(V367&gt;0,V367*197.84,0)+IF(W367&gt;0,W367*470.51,0)+IF(X367&gt;0,X367*701.69,0)+IF(Z367&gt;0,Z367*151.63,0)+IF(AA367&gt;0,AA367*197.84)+IF(AB367&gt;0,AB367*308.4,0)+IF(AC367&gt;0,AC367*496.16,0)</f>
        <v/>
      </c>
    </row>
    <row r="368">
      <c r="A368" s="58" t="inlineStr">
        <is>
          <t>SIM</t>
        </is>
      </c>
      <c r="B368" s="59">
        <f>IF(H368&lt;$B$1,"VENCIDO","NA VALIDADE")</f>
        <v/>
      </c>
      <c r="C368" s="60" t="inlineStr">
        <is>
          <t>SUBESTAÇÃO</t>
        </is>
      </c>
      <c r="D368" s="61" t="inlineStr">
        <is>
          <t>SE MUNDO NOVO</t>
        </is>
      </c>
      <c r="E368" s="62" t="inlineStr">
        <is>
          <t>MUNDO NOVO</t>
        </is>
      </c>
      <c r="F368" s="61" t="inlineStr">
        <is>
          <t>FEIRA DE  SANTANA</t>
        </is>
      </c>
      <c r="G368" s="60" t="inlineStr">
        <is>
          <t>BA</t>
        </is>
      </c>
      <c r="H368" s="119" t="n">
        <v>45323</v>
      </c>
      <c r="I368" s="119" t="n">
        <v>45323</v>
      </c>
      <c r="J368" s="60">
        <f>SUM(L368:AE368)</f>
        <v/>
      </c>
      <c r="K368" s="60">
        <f>SUM(AF368:AJ368)</f>
        <v/>
      </c>
      <c r="L368" s="60" t="n"/>
      <c r="M368" s="60" t="n"/>
      <c r="N368" s="60" t="n"/>
      <c r="O368" s="60" t="n"/>
      <c r="P368" s="60" t="n"/>
      <c r="Q368" s="60" t="n">
        <v>2</v>
      </c>
      <c r="R368" s="60" t="n"/>
      <c r="S368" s="60" t="n"/>
      <c r="T368" s="60" t="n"/>
      <c r="U368" s="60" t="n"/>
      <c r="V368" s="60" t="n"/>
      <c r="W368" s="60" t="n"/>
      <c r="X368" s="60" t="n"/>
      <c r="Y368" s="60" t="n"/>
      <c r="Z368" s="60" t="n"/>
      <c r="AA368" s="60" t="n">
        <v>1</v>
      </c>
      <c r="AB368" s="60" t="n"/>
      <c r="AC368" s="60" t="n"/>
      <c r="AD368" s="60" t="n"/>
      <c r="AE368" s="60" t="n"/>
      <c r="AF368" s="60" t="n"/>
      <c r="AG368" s="60" t="n"/>
      <c r="AH368" s="60" t="n"/>
      <c r="AI368" s="60" t="n"/>
      <c r="AJ368" s="60" t="n"/>
      <c r="AK368" s="120">
        <f>IF(L368&gt;0,L368*90.44,0)+IF(M368&gt;0,M368*348.12,0)+IF(N368&gt;0,N368*151.63,0)+IF(O368&gt;0,O368*197.82,0)+IF(P368&gt;0,P368*244.09,0)+IF(Q368&gt;0,Q368*315.35,0)+IF(R368&gt;0,R368*1067.3,0)+IF(T368&gt;0,T368*567.47,0)+IF(U368&gt;0,U368*151.63,0)+IF(V368&gt;0,V368*197.84,0)+IF(W368&gt;0,W368*470.51,0)+IF(X368&gt;0,X368*701.69,0)+IF(Z368&gt;0,Z368*151.63,0)+IF(AA368&gt;0,AA368*197.84)+IF(AB368&gt;0,AB368*308.4,0)+IF(AC368&gt;0,AC368*496.16,0)</f>
        <v/>
      </c>
    </row>
    <row r="369" hidden="1">
      <c r="A369" s="58" t="inlineStr">
        <is>
          <t>rota</t>
        </is>
      </c>
      <c r="B369" s="59">
        <f>IF(H369&lt;$B$1,"VENCIDO","NA VALIDADE")</f>
        <v/>
      </c>
      <c r="C369" s="60" t="inlineStr">
        <is>
          <t>SUBESTAÇÃO</t>
        </is>
      </c>
      <c r="D369" s="61" t="inlineStr">
        <is>
          <t>SE MUNDO VERDE</t>
        </is>
      </c>
      <c r="E369" s="62" t="inlineStr">
        <is>
          <t>BARREIRAS</t>
        </is>
      </c>
      <c r="F369" s="61" t="inlineStr">
        <is>
          <t>VITÓRIA DA CONQUISTA</t>
        </is>
      </c>
      <c r="G369" s="60" t="inlineStr">
        <is>
          <t>BA</t>
        </is>
      </c>
      <c r="H369" s="119" t="n">
        <v>45597</v>
      </c>
      <c r="I369" s="119">
        <f>H369-180</f>
        <v/>
      </c>
      <c r="J369" s="60">
        <f>SUM(L369:AE369)</f>
        <v/>
      </c>
      <c r="K369" s="60">
        <f>SUM(AF369:AJ369)</f>
        <v/>
      </c>
      <c r="L369" s="60" t="n"/>
      <c r="M369" s="60" t="n"/>
      <c r="N369" s="60" t="n"/>
      <c r="O369" s="60" t="n"/>
      <c r="P369" s="60" t="n"/>
      <c r="Q369" s="60" t="n">
        <v>1</v>
      </c>
      <c r="R369" s="60" t="n"/>
      <c r="S369" s="60" t="n"/>
      <c r="T369" s="60" t="n"/>
      <c r="U369" s="60" t="n"/>
      <c r="V369" s="60" t="n"/>
      <c r="W369" s="60" t="n"/>
      <c r="X369" s="60" t="n"/>
      <c r="Y369" s="60" t="n"/>
      <c r="Z369" s="60" t="n"/>
      <c r="AA369" s="60" t="n">
        <v>1</v>
      </c>
      <c r="AB369" s="60" t="n"/>
      <c r="AC369" s="60" t="n"/>
      <c r="AD369" s="60" t="n"/>
      <c r="AE369" s="60" t="n"/>
      <c r="AF369" s="60" t="n"/>
      <c r="AG369" s="60" t="n"/>
      <c r="AH369" s="60" t="n"/>
      <c r="AI369" s="60" t="n"/>
      <c r="AJ369" s="60" t="n"/>
      <c r="AK369" s="120">
        <f>IF(L369&gt;0,L369*90.44,0)+IF(M369&gt;0,M369*348.12,0)+IF(N369&gt;0,N369*151.63,0)+IF(O369&gt;0,O369*197.82,0)+IF(P369&gt;0,P369*244.09,0)+IF(Q369&gt;0,Q369*315.35,0)+IF(R369&gt;0,R369*1067.3,0)+IF(T369&gt;0,T369*567.47,0)+IF(U369&gt;0,U369*151.63,0)+IF(V369&gt;0,V369*197.84,0)+IF(W369&gt;0,W369*470.51,0)+IF(X369&gt;0,X369*701.69,0)+IF(Z369&gt;0,Z369*151.63,0)+IF(AA369&gt;0,AA369*197.84)+IF(AB369&gt;0,AB369*308.4,0)+IF(AC369&gt;0,AC369*496.16,0)</f>
        <v/>
      </c>
    </row>
    <row r="370">
      <c r="A370" s="58" t="inlineStr">
        <is>
          <t>VITÓRIA 06/12</t>
        </is>
      </c>
      <c r="B370" s="59">
        <f>IF(H370&lt;$B$1,"VENCIDO","NA VALIDADE")</f>
        <v/>
      </c>
      <c r="C370" s="60" t="inlineStr">
        <is>
          <t>SUBESTAÇÃO</t>
        </is>
      </c>
      <c r="D370" s="61" t="inlineStr">
        <is>
          <t>SE MURITIBA</t>
        </is>
      </c>
      <c r="E370" s="62" t="inlineStr">
        <is>
          <t>MURITIBA</t>
        </is>
      </c>
      <c r="F370" s="61" t="inlineStr">
        <is>
          <t>FEIRA DE  SANTANA</t>
        </is>
      </c>
      <c r="G370" s="60" t="inlineStr">
        <is>
          <t>BA</t>
        </is>
      </c>
      <c r="H370" s="119" t="n">
        <v>45505</v>
      </c>
      <c r="I370" s="119">
        <f>H370-180</f>
        <v/>
      </c>
      <c r="J370" s="60">
        <f>SUM(L370:AE370)</f>
        <v/>
      </c>
      <c r="K370" s="60">
        <f>SUM(AF370:AJ370)</f>
        <v/>
      </c>
      <c r="L370" s="60" t="n"/>
      <c r="M370" s="60" t="n"/>
      <c r="N370" s="60" t="n"/>
      <c r="O370" s="60" t="n">
        <v>1</v>
      </c>
      <c r="P370" s="60" t="n"/>
      <c r="Q370" s="60" t="n">
        <v>2</v>
      </c>
      <c r="R370" s="60" t="n"/>
      <c r="S370" s="60" t="n"/>
      <c r="T370" s="60" t="n">
        <v>1</v>
      </c>
      <c r="U370" s="60" t="n"/>
      <c r="V370" s="60" t="n"/>
      <c r="W370" s="60" t="n"/>
      <c r="X370" s="60" t="n"/>
      <c r="Y370" s="60" t="n"/>
      <c r="Z370" s="60" t="n"/>
      <c r="AA370" s="60" t="n">
        <v>1</v>
      </c>
      <c r="AB370" s="60" t="n"/>
      <c r="AC370" s="60" t="n"/>
      <c r="AD370" s="60" t="n"/>
      <c r="AE370" s="60" t="n"/>
      <c r="AF370" s="60" t="n"/>
      <c r="AG370" s="60" t="n"/>
      <c r="AH370" s="60" t="n"/>
      <c r="AI370" s="60" t="n"/>
      <c r="AJ370" s="60" t="n"/>
      <c r="AK370" s="120">
        <f>IF(L370&gt;0,L370*90.44,0)+IF(M370&gt;0,M370*348.12,0)+IF(N370&gt;0,N370*151.63,0)+IF(O370&gt;0,O370*197.82,0)+IF(P370&gt;0,P370*244.09,0)+IF(Q370&gt;0,Q370*315.35,0)+IF(R370&gt;0,R370*1067.3,0)+IF(T370&gt;0,T370*567.47,0)+IF(U370&gt;0,U370*151.63,0)+IF(V370&gt;0,V370*197.84,0)+IF(W370&gt;0,W370*470.51,0)+IF(X370&gt;0,X370*701.69,0)+IF(Z370&gt;0,Z370*151.63,0)+IF(AA370&gt;0,AA370*197.84)+IF(AB370&gt;0,AB370*308.4,0)+IF(AC370&gt;0,AC370*496.16,0)</f>
        <v/>
      </c>
    </row>
    <row r="371">
      <c r="A371" s="58" t="inlineStr">
        <is>
          <t>SIM</t>
        </is>
      </c>
      <c r="B371" s="59">
        <f>IF(H371&lt;$B$1,"VENCIDO","NA VALIDADE")</f>
        <v/>
      </c>
      <c r="C371" s="60" t="inlineStr">
        <is>
          <t>SUBESTAÇÃO</t>
        </is>
      </c>
      <c r="D371" s="61" t="inlineStr">
        <is>
          <t>SE NAZARÉ</t>
        </is>
      </c>
      <c r="E371" s="62" t="inlineStr">
        <is>
          <t>NAZARÉ</t>
        </is>
      </c>
      <c r="F371" s="61" t="inlineStr">
        <is>
          <t>FEIRA DE  SANTANA</t>
        </is>
      </c>
      <c r="G371" s="60" t="inlineStr">
        <is>
          <t>BA</t>
        </is>
      </c>
      <c r="H371" s="119" t="n">
        <v>45536</v>
      </c>
      <c r="I371" s="119">
        <f>H371-180</f>
        <v/>
      </c>
      <c r="J371" s="60">
        <f>SUM(L371:AE371)</f>
        <v/>
      </c>
      <c r="K371" s="60">
        <f>SUM(AF371:AJ371)</f>
        <v/>
      </c>
      <c r="L371" s="60" t="n"/>
      <c r="M371" s="60" t="n"/>
      <c r="N371" s="60" t="n"/>
      <c r="O371" s="60" t="n"/>
      <c r="P371" s="60" t="n"/>
      <c r="Q371" s="60" t="n">
        <v>1</v>
      </c>
      <c r="R371" s="60" t="n"/>
      <c r="S371" s="60" t="n"/>
      <c r="T371" s="60" t="n"/>
      <c r="U371" s="60" t="n"/>
      <c r="V371" s="60" t="n"/>
      <c r="W371" s="60" t="n"/>
      <c r="X371" s="60" t="n"/>
      <c r="Y371" s="60" t="n"/>
      <c r="Z371" s="60" t="n"/>
      <c r="AA371" s="60" t="n">
        <v>1</v>
      </c>
      <c r="AB371" s="60" t="n"/>
      <c r="AC371" s="60" t="n"/>
      <c r="AD371" s="60" t="n"/>
      <c r="AE371" s="60" t="n"/>
      <c r="AF371" s="60" t="n"/>
      <c r="AG371" s="60" t="n"/>
      <c r="AH371" s="60" t="n"/>
      <c r="AI371" s="60" t="n"/>
      <c r="AJ371" s="60" t="n"/>
      <c r="AK371" s="120">
        <f>IF(L371&gt;0,L371*90.44,0)+IF(M371&gt;0,M371*348.12,0)+IF(N371&gt;0,N371*151.63,0)+IF(O371&gt;0,O371*197.82,0)+IF(P371&gt;0,P371*244.09,0)+IF(Q371&gt;0,Q371*315.35,0)+IF(R371&gt;0,R371*1067.3,0)+IF(T371&gt;0,T371*567.47,0)+IF(U371&gt;0,U371*151.63,0)+IF(V371&gt;0,V371*197.84,0)+IF(W371&gt;0,W371*470.51,0)+IF(X371&gt;0,X371*701.69,0)+IF(Z371&gt;0,Z371*151.63,0)+IF(AA371&gt;0,AA371*197.84)+IF(AB371&gt;0,AB371*308.4,0)+IF(AC371&gt;0,AC371*496.16,0)</f>
        <v/>
      </c>
    </row>
    <row r="372" hidden="1">
      <c r="A372" s="58" t="inlineStr">
        <is>
          <t>rota</t>
        </is>
      </c>
      <c r="B372" s="59">
        <f>IF(H372&lt;$B$1,"VENCIDO","NA VALIDADE")</f>
        <v/>
      </c>
      <c r="C372" s="60" t="inlineStr">
        <is>
          <t>SUBESTAÇÃO</t>
        </is>
      </c>
      <c r="D372" s="61" t="inlineStr">
        <is>
          <t>SE NOVA VIÇOSA</t>
        </is>
      </c>
      <c r="E372" s="62" t="inlineStr">
        <is>
          <t>NOVA VIÇOSA</t>
        </is>
      </c>
      <c r="F372" s="61" t="inlineStr">
        <is>
          <t>ILHÉUS</t>
        </is>
      </c>
      <c r="G372" s="60" t="inlineStr">
        <is>
          <t>BA</t>
        </is>
      </c>
      <c r="H372" s="119" t="n">
        <v>45413</v>
      </c>
      <c r="I372" s="119">
        <f>H372-180</f>
        <v/>
      </c>
      <c r="J372" s="60">
        <f>SUM(L372:AE372)</f>
        <v/>
      </c>
      <c r="K372" s="60">
        <f>SUM(AF372:AJ372)</f>
        <v/>
      </c>
      <c r="L372" s="60" t="n"/>
      <c r="M372" s="60" t="n"/>
      <c r="N372" s="60" t="n"/>
      <c r="O372" s="60" t="n"/>
      <c r="P372" s="60" t="n"/>
      <c r="Q372" s="60" t="n">
        <v>1</v>
      </c>
      <c r="R372" s="60" t="n"/>
      <c r="S372" s="60" t="n"/>
      <c r="T372" s="60" t="n"/>
      <c r="U372" s="60" t="n"/>
      <c r="V372" s="60" t="n"/>
      <c r="W372" s="60" t="n"/>
      <c r="X372" s="60" t="n"/>
      <c r="Y372" s="60" t="n"/>
      <c r="Z372" s="60" t="n"/>
      <c r="AA372" s="60" t="n"/>
      <c r="AB372" s="60" t="n"/>
      <c r="AC372" s="60" t="n"/>
      <c r="AD372" s="60" t="n"/>
      <c r="AE372" s="60" t="n"/>
      <c r="AF372" s="60" t="n"/>
      <c r="AG372" s="60" t="n"/>
      <c r="AH372" s="60" t="n"/>
      <c r="AI372" s="60" t="n"/>
      <c r="AJ372" s="60" t="n"/>
      <c r="AK372" s="120">
        <f>IF(L372&gt;0,L372*90.44,0)+IF(M372&gt;0,M372*348.12,0)+IF(N372&gt;0,N372*151.63,0)+IF(O372&gt;0,O372*197.82,0)+IF(P372&gt;0,P372*244.09,0)+IF(Q372&gt;0,Q372*315.35,0)+IF(R372&gt;0,R372*1067.3,0)+IF(T372&gt;0,T372*567.47,0)+IF(U372&gt;0,U372*151.63,0)+IF(V372&gt;0,V372*197.84,0)+IF(W372&gt;0,W372*470.51,0)+IF(X372&gt;0,X372*701.69,0)+IF(Z372&gt;0,Z372*151.63,0)+IF(AA372&gt;0,AA372*197.84)+IF(AB372&gt;0,AB372*308.4,0)+IF(AC372&gt;0,AC372*496.16,0)</f>
        <v/>
      </c>
    </row>
    <row r="373">
      <c r="A373" s="58" t="inlineStr">
        <is>
          <t>rota</t>
        </is>
      </c>
      <c r="B373" s="59">
        <f>IF(H373&lt;$B$1,"VENCIDO","NA VALIDADE")</f>
        <v/>
      </c>
      <c r="C373" s="60" t="inlineStr">
        <is>
          <t>SUBESTAÇÃO</t>
        </is>
      </c>
      <c r="D373" s="61" t="inlineStr">
        <is>
          <t>SE NOVA REDENÇÃO</t>
        </is>
      </c>
      <c r="E373" s="62" t="inlineStr">
        <is>
          <t>NOVA REDENÇÃO</t>
        </is>
      </c>
      <c r="F373" s="61" t="inlineStr">
        <is>
          <t>FEIRA DE  SANTANA</t>
        </is>
      </c>
      <c r="G373" s="60" t="inlineStr">
        <is>
          <t>BA</t>
        </is>
      </c>
      <c r="H373" s="119" t="n">
        <v>45323</v>
      </c>
      <c r="I373" s="119" t="n">
        <v>45323</v>
      </c>
      <c r="J373" s="60">
        <f>SUM(L373:AE373)</f>
        <v/>
      </c>
      <c r="K373" s="60">
        <f>SUM(AF373:AJ373)</f>
        <v/>
      </c>
      <c r="L373" s="60" t="n"/>
      <c r="M373" s="60" t="n"/>
      <c r="N373" s="60" t="n"/>
      <c r="O373" s="60" t="n"/>
      <c r="P373" s="60" t="n">
        <v>1</v>
      </c>
      <c r="Q373" s="60" t="n">
        <v>1</v>
      </c>
      <c r="R373" s="60" t="n"/>
      <c r="S373" s="60" t="n"/>
      <c r="T373" s="60" t="n">
        <v>1</v>
      </c>
      <c r="U373" s="60" t="n"/>
      <c r="V373" s="60" t="n"/>
      <c r="W373" s="60" t="n"/>
      <c r="X373" s="60" t="n"/>
      <c r="Y373" s="60" t="n"/>
      <c r="Z373" s="60" t="n"/>
      <c r="AA373" s="60" t="n">
        <v>1</v>
      </c>
      <c r="AB373" s="60" t="n"/>
      <c r="AC373" s="60" t="n"/>
      <c r="AD373" s="60" t="n"/>
      <c r="AE373" s="60" t="n"/>
      <c r="AF373" s="60" t="n"/>
      <c r="AG373" s="60" t="n"/>
      <c r="AH373" s="60" t="n"/>
      <c r="AI373" s="60" t="n"/>
      <c r="AJ373" s="60" t="n"/>
      <c r="AK373" s="120">
        <f>IF(L373&gt;0,L373*90.44,0)+IF(M373&gt;0,M373*348.12,0)+IF(N373&gt;0,N373*151.63,0)+IF(O373&gt;0,O373*197.82,0)+IF(P373&gt;0,P373*244.09,0)+IF(Q373&gt;0,Q373*315.35,0)+IF(R373&gt;0,R373*1067.3,0)+IF(T373&gt;0,T373*567.47,0)+IF(U373&gt;0,U373*151.63,0)+IF(V373&gt;0,V373*197.84,0)+IF(W373&gt;0,W373*470.51,0)+IF(X373&gt;0,X373*701.69,0)+IF(Z373&gt;0,Z373*151.63,0)+IF(AA373&gt;0,AA373*197.84)+IF(AB373&gt;0,AB373*308.4,0)+IF(AC373&gt;0,AC373*496.16,0)</f>
        <v/>
      </c>
    </row>
    <row r="374" hidden="1">
      <c r="A374" s="58" t="inlineStr">
        <is>
          <t>LEONIDAS</t>
        </is>
      </c>
      <c r="B374" s="59">
        <f>IF(H374&lt;$B$1,"VENCIDO","NA VALIDADE")</f>
        <v/>
      </c>
      <c r="C374" s="60" t="inlineStr">
        <is>
          <t>SUBESTAÇÃO</t>
        </is>
      </c>
      <c r="D374" s="61" t="inlineStr">
        <is>
          <t>SE OLIVEIRA DOS BREJINHOS</t>
        </is>
      </c>
      <c r="E374" s="62" t="inlineStr">
        <is>
          <t>OLIVEIRA DOS BREJINHOS</t>
        </is>
      </c>
      <c r="F374" s="61" t="inlineStr">
        <is>
          <t>VITÓRIA DA CONQUISTA</t>
        </is>
      </c>
      <c r="G374" s="60" t="inlineStr">
        <is>
          <t>BA</t>
        </is>
      </c>
      <c r="H374" s="119" t="n">
        <v>45566</v>
      </c>
      <c r="I374" s="119" t="n">
        <v>45566</v>
      </c>
      <c r="J374" s="60">
        <f>SUM(L374:AE374)</f>
        <v/>
      </c>
      <c r="K374" s="60">
        <f>SUM(AF374:AJ374)</f>
        <v/>
      </c>
      <c r="L374" s="60" t="n"/>
      <c r="M374" s="60" t="n"/>
      <c r="N374" s="60" t="n"/>
      <c r="O374" s="60" t="n">
        <v>1</v>
      </c>
      <c r="P374" s="60" t="n"/>
      <c r="Q374" s="60" t="n"/>
      <c r="R374" s="60" t="n"/>
      <c r="S374" s="60" t="n"/>
      <c r="T374" s="60" t="n"/>
      <c r="U374" s="60" t="n"/>
      <c r="V374" s="60" t="n"/>
      <c r="W374" s="60" t="n"/>
      <c r="X374" s="60" t="n"/>
      <c r="Y374" s="60" t="n"/>
      <c r="Z374" s="60" t="n"/>
      <c r="AA374" s="60" t="n">
        <v>3</v>
      </c>
      <c r="AB374" s="60" t="n"/>
      <c r="AC374" s="60" t="n"/>
      <c r="AD374" s="60" t="n"/>
      <c r="AE374" s="60" t="n"/>
      <c r="AF374" s="60" t="n"/>
      <c r="AG374" s="60" t="n"/>
      <c r="AH374" s="60" t="n"/>
      <c r="AI374" s="60" t="n"/>
      <c r="AJ374" s="60" t="n"/>
      <c r="AK374" s="120">
        <f>IF(L374&gt;0,L374*90.44,0)+IF(M374&gt;0,M374*348.12,0)+IF(N374&gt;0,N374*151.63,0)+IF(O374&gt;0,O374*197.82,0)+IF(P374&gt;0,P374*244.09,0)+IF(Q374&gt;0,Q374*315.35,0)+IF(R374&gt;0,R374*1067.3,0)+IF(T374&gt;0,T374*567.47,0)+IF(U374&gt;0,U374*151.63,0)+IF(V374&gt;0,V374*197.84,0)+IF(W374&gt;0,W374*470.51,0)+IF(X374&gt;0,X374*701.69,0)+IF(Z374&gt;0,Z374*151.63,0)+IF(AA374&gt;0,AA374*197.84)+IF(AB374&gt;0,AB374*308.4,0)+IF(AC374&gt;0,AC374*496.16,0)</f>
        <v/>
      </c>
    </row>
    <row r="375" hidden="1">
      <c r="A375" s="58" t="inlineStr">
        <is>
          <t>SIM</t>
        </is>
      </c>
      <c r="B375" s="59">
        <f>IF(H375&lt;$B$1,"VENCIDO","NA VALIDADE")</f>
        <v/>
      </c>
      <c r="C375" s="60" t="inlineStr">
        <is>
          <t>SUBESTAÇÃO</t>
        </is>
      </c>
      <c r="D375" s="66" t="inlineStr">
        <is>
          <t>SE PALMEIRAS</t>
        </is>
      </c>
      <c r="E375" s="62" t="inlineStr">
        <is>
          <t>PALMEIRAS</t>
        </is>
      </c>
      <c r="F375" s="61" t="inlineStr">
        <is>
          <t>VITÓRIA DA CONQUISTA</t>
        </is>
      </c>
      <c r="G375" s="60" t="inlineStr">
        <is>
          <t>BA</t>
        </is>
      </c>
      <c r="H375" s="119" t="n">
        <v>45566</v>
      </c>
      <c r="I375" s="119">
        <f>H375-180</f>
        <v/>
      </c>
      <c r="J375" s="60">
        <f>SUM(L375:AE375)</f>
        <v/>
      </c>
      <c r="K375" s="60">
        <f>SUM(AF375:AJ375)</f>
        <v/>
      </c>
      <c r="L375" s="60" t="n"/>
      <c r="M375" s="60" t="n"/>
      <c r="N375" s="60" t="n"/>
      <c r="O375" s="60" t="n"/>
      <c r="P375" s="60" t="n"/>
      <c r="Q375" s="60" t="n">
        <v>1</v>
      </c>
      <c r="R375" s="60" t="n"/>
      <c r="S375" s="60" t="n"/>
      <c r="T375" s="60" t="n"/>
      <c r="U375" s="60" t="n"/>
      <c r="V375" s="60" t="n"/>
      <c r="W375" s="60" t="n"/>
      <c r="X375" s="60" t="n"/>
      <c r="Y375" s="60" t="n"/>
      <c r="Z375" s="60" t="n"/>
      <c r="AA375" s="60" t="n">
        <v>1</v>
      </c>
      <c r="AB375" s="60" t="n"/>
      <c r="AC375" s="60" t="n"/>
      <c r="AD375" s="60" t="n"/>
      <c r="AE375" s="60" t="n"/>
      <c r="AF375" s="60" t="n"/>
      <c r="AG375" s="60" t="n"/>
      <c r="AH375" s="60" t="n"/>
      <c r="AI375" s="60" t="n"/>
      <c r="AJ375" s="60" t="n"/>
      <c r="AK375" s="120">
        <f>IF(L375&gt;0,L375*90.44,0)+IF(M375&gt;0,M375*348.12,0)+IF(N375&gt;0,N375*151.63,0)+IF(O375&gt;0,O375*197.82,0)+IF(P375&gt;0,P375*244.09,0)+IF(Q375&gt;0,Q375*315.35,0)+IF(R375&gt;0,R375*1067.3,0)+IF(T375&gt;0,T375*567.47,0)+IF(U375&gt;0,U375*151.63,0)+IF(V375&gt;0,V375*197.84,0)+IF(W375&gt;0,W375*470.51,0)+IF(X375&gt;0,X375*701.69,0)+IF(Z375&gt;0,Z375*151.63,0)+IF(AA375&gt;0,AA375*197.84)+IF(AB375&gt;0,AB375*308.4,0)+IF(AC375&gt;0,AC375*496.16,0)</f>
        <v/>
      </c>
    </row>
    <row r="376" hidden="1">
      <c r="A376" s="58" t="inlineStr">
        <is>
          <t>VITÓRIA 06/12</t>
        </is>
      </c>
      <c r="B376" s="59">
        <f>IF(H376&lt;$B$1,"VENCIDO","NA VALIDADE")</f>
        <v/>
      </c>
      <c r="C376" s="60" t="inlineStr">
        <is>
          <t>SUBESTAÇÃO</t>
        </is>
      </c>
      <c r="D376" s="61" t="inlineStr">
        <is>
          <t>SE PARAMIRIM</t>
        </is>
      </c>
      <c r="E376" s="62" t="inlineStr">
        <is>
          <t>PARAMIRIM</t>
        </is>
      </c>
      <c r="F376" s="61" t="inlineStr">
        <is>
          <t>VITÓRIA DA CONQUISTA</t>
        </is>
      </c>
      <c r="G376" s="60" t="inlineStr">
        <is>
          <t>BA</t>
        </is>
      </c>
      <c r="H376" s="119" t="n">
        <v>45444</v>
      </c>
      <c r="I376" s="119" t="n">
        <v>45444</v>
      </c>
      <c r="J376" s="60">
        <f>SUM(L376:AE376)</f>
        <v/>
      </c>
      <c r="K376" s="60">
        <f>SUM(AF376:AJ376)</f>
        <v/>
      </c>
      <c r="L376" s="60" t="n"/>
      <c r="M376" s="60" t="n"/>
      <c r="N376" s="60" t="n"/>
      <c r="O376" s="60" t="n">
        <v>2</v>
      </c>
      <c r="P376" s="60" t="n"/>
      <c r="Q376" s="60" t="n">
        <v>3</v>
      </c>
      <c r="R376" s="60" t="n"/>
      <c r="S376" s="60" t="n"/>
      <c r="T376" s="60" t="n">
        <v>1</v>
      </c>
      <c r="U376" s="60" t="n"/>
      <c r="V376" s="60" t="n"/>
      <c r="W376" s="60" t="n"/>
      <c r="X376" s="60" t="n"/>
      <c r="Y376" s="60" t="n"/>
      <c r="Z376" s="60" t="n"/>
      <c r="AA376" s="60" t="n">
        <v>1</v>
      </c>
      <c r="AB376" s="60" t="n"/>
      <c r="AC376" s="60" t="n"/>
      <c r="AD376" s="60" t="n"/>
      <c r="AE376" s="60" t="n"/>
      <c r="AF376" s="60" t="n"/>
      <c r="AG376" s="60" t="n"/>
      <c r="AH376" s="60" t="n"/>
      <c r="AI376" s="60" t="n"/>
      <c r="AJ376" s="60" t="n"/>
      <c r="AK376" s="120">
        <f>IF(L376&gt;0,L376*90.44,0)+IF(M376&gt;0,M376*348.12,0)+IF(N376&gt;0,N376*151.63,0)+IF(O376&gt;0,O376*197.82,0)+IF(P376&gt;0,P376*244.09,0)+IF(Q376&gt;0,Q376*315.35,0)+IF(R376&gt;0,R376*1067.3,0)+IF(T376&gt;0,T376*567.47,0)+IF(U376&gt;0,U376*151.63,0)+IF(V376&gt;0,V376*197.84,0)+IF(W376&gt;0,W376*470.51,0)+IF(X376&gt;0,X376*701.69,0)+IF(Z376&gt;0,Z376*151.63,0)+IF(AA376&gt;0,AA376*197.84)+IF(AB376&gt;0,AB376*308.4,0)+IF(AC376&gt;0,AC376*496.16,0)</f>
        <v/>
      </c>
    </row>
    <row r="377" hidden="1">
      <c r="A377" s="58" t="inlineStr">
        <is>
          <t>SIM</t>
        </is>
      </c>
      <c r="B377" s="59">
        <f>IF(H377&lt;$B$1,"VENCIDO","NA VALIDADE")</f>
        <v/>
      </c>
      <c r="C377" s="60" t="inlineStr">
        <is>
          <t>SUBESTAÇÃO</t>
        </is>
      </c>
      <c r="D377" s="61" t="inlineStr">
        <is>
          <t>SE PARATINGA</t>
        </is>
      </c>
      <c r="E377" s="62" t="inlineStr">
        <is>
          <t>PARATINGA</t>
        </is>
      </c>
      <c r="F377" s="61" t="inlineStr">
        <is>
          <t>VITÓRIA DA CONQUISTA</t>
        </is>
      </c>
      <c r="G377" s="60" t="inlineStr">
        <is>
          <t>BA</t>
        </is>
      </c>
      <c r="H377" s="119" t="n">
        <v>45566</v>
      </c>
      <c r="I377" s="119">
        <f>H377-180</f>
        <v/>
      </c>
      <c r="J377" s="60">
        <f>SUM(L377:AE377)</f>
        <v/>
      </c>
      <c r="K377" s="60">
        <f>SUM(AF377:AJ377)</f>
        <v/>
      </c>
      <c r="L377" s="60" t="n"/>
      <c r="M377" s="60" t="n"/>
      <c r="N377" s="60" t="n"/>
      <c r="O377" s="60" t="n"/>
      <c r="P377" s="60" t="n">
        <v>2</v>
      </c>
      <c r="Q377" s="60" t="n"/>
      <c r="R377" s="60" t="n"/>
      <c r="S377" s="60" t="n"/>
      <c r="T377" s="60" t="n"/>
      <c r="U377" s="60" t="n"/>
      <c r="V377" s="60" t="n"/>
      <c r="W377" s="60" t="n"/>
      <c r="X377" s="60" t="n"/>
      <c r="Y377" s="60" t="n"/>
      <c r="Z377" s="60" t="n"/>
      <c r="AA377" s="60" t="n">
        <v>2</v>
      </c>
      <c r="AB377" s="60" t="n"/>
      <c r="AC377" s="60" t="n"/>
      <c r="AD377" s="60" t="n"/>
      <c r="AE377" s="60" t="n"/>
      <c r="AF377" s="60" t="n"/>
      <c r="AG377" s="60" t="n"/>
      <c r="AH377" s="60" t="n"/>
      <c r="AI377" s="60" t="n"/>
      <c r="AJ377" s="60" t="n"/>
      <c r="AK377" s="120">
        <f>IF(L377&gt;0,L377*90.44,0)+IF(M377&gt;0,M377*348.12,0)+IF(N377&gt;0,N377*151.63,0)+IF(O377&gt;0,O377*197.82,0)+IF(P377&gt;0,P377*244.09,0)+IF(Q377&gt;0,Q377*315.35,0)+IF(R377&gt;0,R377*1067.3,0)+IF(T377&gt;0,T377*567.47,0)+IF(U377&gt;0,U377*151.63,0)+IF(V377&gt;0,V377*197.84,0)+IF(W377&gt;0,W377*470.51,0)+IF(X377&gt;0,X377*701.69,0)+IF(Z377&gt;0,Z377*151.63,0)+IF(AA377&gt;0,AA377*197.84)+IF(AB377&gt;0,AB377*308.4,0)+IF(AC377&gt;0,AC377*496.16,0)</f>
        <v/>
      </c>
    </row>
    <row r="378">
      <c r="A378" s="58" t="inlineStr">
        <is>
          <t>LUCIANO</t>
        </is>
      </c>
      <c r="B378" s="59">
        <f>IF(H378&lt;$B$1,"VENCIDO","NA VALIDADE")</f>
        <v/>
      </c>
      <c r="C378" s="60" t="inlineStr">
        <is>
          <t>SUBESTAÇÃO</t>
        </is>
      </c>
      <c r="D378" s="61" t="inlineStr">
        <is>
          <t>SE PARIPE</t>
        </is>
      </c>
      <c r="E378" s="62" t="inlineStr">
        <is>
          <t>SALVADOR</t>
        </is>
      </c>
      <c r="F378" s="61" t="inlineStr">
        <is>
          <t>FEIRA DE  SANTANA</t>
        </is>
      </c>
      <c r="G378" s="60" t="inlineStr">
        <is>
          <t>BA</t>
        </is>
      </c>
      <c r="H378" s="119" t="n">
        <v>45566</v>
      </c>
      <c r="I378" s="119">
        <f>H378-180</f>
        <v/>
      </c>
      <c r="J378" s="60">
        <f>SUM(L378:AE378)</f>
        <v/>
      </c>
      <c r="K378" s="60">
        <f>SUM(AF378:AJ378)</f>
        <v/>
      </c>
      <c r="L378" s="60" t="n"/>
      <c r="M378" s="60" t="n"/>
      <c r="N378" s="60" t="n"/>
      <c r="O378" s="60" t="n"/>
      <c r="P378" s="60" t="n"/>
      <c r="Q378" s="60" t="n">
        <v>16</v>
      </c>
      <c r="R378" s="60" t="n"/>
      <c r="S378" s="60" t="n"/>
      <c r="T378" s="60" t="n">
        <v>4</v>
      </c>
      <c r="U378" s="60" t="n"/>
      <c r="V378" s="60" t="n"/>
      <c r="W378" s="60" t="n"/>
      <c r="X378" s="60" t="n"/>
      <c r="Y378" s="60" t="n"/>
      <c r="Z378" s="60" t="n"/>
      <c r="AA378" s="60" t="n">
        <v>2</v>
      </c>
      <c r="AB378" s="60" t="n"/>
      <c r="AC378" s="60" t="n"/>
      <c r="AD378" s="60" t="n"/>
      <c r="AE378" s="60" t="n"/>
      <c r="AF378" s="60" t="n"/>
      <c r="AG378" s="60" t="n"/>
      <c r="AH378" s="60" t="n"/>
      <c r="AI378" s="60" t="n"/>
      <c r="AJ378" s="60" t="n"/>
      <c r="AK378" s="120">
        <f>IF(L378&gt;0,L378*90.44,0)+IF(M378&gt;0,M378*348.12,0)+IF(N378&gt;0,N378*151.63,0)+IF(O378&gt;0,O378*197.82,0)+IF(P378&gt;0,P378*244.09,0)+IF(Q378&gt;0,Q378*315.35,0)+IF(R378&gt;0,R378*1067.3,0)+IF(T378&gt;0,T378*567.47,0)+IF(U378&gt;0,U378*151.63,0)+IF(V378&gt;0,V378*197.84,0)+IF(W378&gt;0,W378*470.51,0)+IF(X378&gt;0,X378*701.69,0)+IF(Z378&gt;0,Z378*151.63,0)+IF(AA378&gt;0,AA378*197.84)+IF(AB378&gt;0,AB378*308.4,0)+IF(AC378&gt;0,AC378*496.16,0)</f>
        <v/>
      </c>
    </row>
    <row r="379" hidden="1">
      <c r="A379" s="58" t="inlineStr">
        <is>
          <t>LEONIDAS</t>
        </is>
      </c>
      <c r="B379" s="59">
        <f>IF(H379&lt;$B$1,"VENCIDO","NA VALIDADE")</f>
        <v/>
      </c>
      <c r="C379" s="60" t="inlineStr">
        <is>
          <t>SUBESTAÇÃO</t>
        </is>
      </c>
      <c r="D379" s="61" t="inlineStr">
        <is>
          <t>SE PATAGÔNIA</t>
        </is>
      </c>
      <c r="E379" s="62" t="inlineStr">
        <is>
          <t>VITÓRIA DA CONQUISTA</t>
        </is>
      </c>
      <c r="F379" s="61" t="inlineStr">
        <is>
          <t>VITÓRIA DA CONQUISTA</t>
        </is>
      </c>
      <c r="G379" s="60" t="inlineStr">
        <is>
          <t>BA</t>
        </is>
      </c>
      <c r="H379" s="119" t="n">
        <v>45444</v>
      </c>
      <c r="I379" s="119" t="n">
        <v>45444</v>
      </c>
      <c r="J379" s="60">
        <f>SUM(L379:AE379)</f>
        <v/>
      </c>
      <c r="K379" s="60">
        <f>SUM(AF379:AJ379)</f>
        <v/>
      </c>
      <c r="L379" s="60" t="n"/>
      <c r="M379" s="60" t="n"/>
      <c r="N379" s="60" t="n"/>
      <c r="O379" s="60" t="n"/>
      <c r="P379" s="60" t="n"/>
      <c r="Q379" s="60" t="n"/>
      <c r="R379" s="60" t="n"/>
      <c r="S379" s="60" t="n"/>
      <c r="T379" s="60" t="n"/>
      <c r="U379" s="60" t="n"/>
      <c r="V379" s="60" t="n">
        <v>1</v>
      </c>
      <c r="W379" s="60" t="n"/>
      <c r="X379" s="60" t="n"/>
      <c r="Y379" s="60" t="n"/>
      <c r="Z379" s="60" t="n"/>
      <c r="AA379" s="60" t="n">
        <v>1</v>
      </c>
      <c r="AB379" s="60" t="n"/>
      <c r="AC379" s="60" t="n"/>
      <c r="AD379" s="60" t="n"/>
      <c r="AE379" s="60" t="n"/>
      <c r="AF379" s="60" t="n"/>
      <c r="AG379" s="60" t="n"/>
      <c r="AH379" s="60" t="n"/>
      <c r="AI379" s="60" t="n"/>
      <c r="AJ379" s="60" t="n"/>
      <c r="AK379" s="120">
        <f>IF(L379&gt;0,L379*90.44,0)+IF(M379&gt;0,M379*348.12,0)+IF(N379&gt;0,N379*151.63,0)+IF(O379&gt;0,O379*197.82,0)+IF(P379&gt;0,P379*244.09,0)+IF(Q379&gt;0,Q379*315.35,0)+IF(R379&gt;0,R379*1067.3,0)+IF(T379&gt;0,T379*567.47,0)+IF(U379&gt;0,U379*151.63,0)+IF(V379&gt;0,V379*197.84,0)+IF(W379&gt;0,W379*470.51,0)+IF(X379&gt;0,X379*701.69,0)+IF(Z379&gt;0,Z379*151.63,0)+IF(AA379&gt;0,AA379*197.84)+IF(AB379&gt;0,AB379*308.4,0)+IF(AC379&gt;0,AC379*496.16,0)</f>
        <v/>
      </c>
    </row>
    <row r="380">
      <c r="A380" s="58" t="inlineStr">
        <is>
          <t>SIM</t>
        </is>
      </c>
      <c r="B380" s="59">
        <f>IF(H380&lt;$B$1,"VENCIDO","NA VALIDADE")</f>
        <v/>
      </c>
      <c r="C380" s="60" t="inlineStr">
        <is>
          <t>SUBESTAÇÃO</t>
        </is>
      </c>
      <c r="D380" s="61" t="inlineStr">
        <is>
          <t>SE PATAMARES</t>
        </is>
      </c>
      <c r="E380" s="62" t="inlineStr">
        <is>
          <t>SALVADOR</t>
        </is>
      </c>
      <c r="F380" s="61" t="inlineStr">
        <is>
          <t>FEIRA DE  SANTANA</t>
        </is>
      </c>
      <c r="G380" s="60" t="inlineStr">
        <is>
          <t>BA</t>
        </is>
      </c>
      <c r="H380" s="119" t="n">
        <v>45413</v>
      </c>
      <c r="I380" s="119" t="n">
        <v>45413</v>
      </c>
      <c r="J380" s="60">
        <f>SUM(L380:AE380)</f>
        <v/>
      </c>
      <c r="K380" s="60">
        <f>SUM(AF380:AJ380)</f>
        <v/>
      </c>
      <c r="L380" s="60" t="n"/>
      <c r="M380" s="60" t="n"/>
      <c r="N380" s="60" t="n"/>
      <c r="O380" s="60" t="n"/>
      <c r="P380" s="60" t="n"/>
      <c r="Q380" s="60" t="n">
        <v>10</v>
      </c>
      <c r="R380" s="60" t="n"/>
      <c r="S380" s="60" t="n"/>
      <c r="T380" s="60" t="n">
        <v>2</v>
      </c>
      <c r="U380" s="60" t="n"/>
      <c r="V380" s="60" t="n"/>
      <c r="W380" s="60" t="n"/>
      <c r="X380" s="60" t="n"/>
      <c r="Y380" s="60" t="n"/>
      <c r="Z380" s="60" t="n"/>
      <c r="AA380" s="60" t="n">
        <v>1</v>
      </c>
      <c r="AB380" s="60" t="n"/>
      <c r="AC380" s="60" t="n"/>
      <c r="AD380" s="60" t="n"/>
      <c r="AE380" s="60" t="n"/>
      <c r="AF380" s="60" t="n"/>
      <c r="AG380" s="60" t="n"/>
      <c r="AH380" s="60" t="n"/>
      <c r="AI380" s="60" t="n"/>
      <c r="AJ380" s="60" t="n"/>
      <c r="AK380" s="120">
        <f>IF(L380&gt;0,L380*90.44,0)+IF(M380&gt;0,M380*348.12,0)+IF(N380&gt;0,N380*151.63,0)+IF(O380&gt;0,O380*197.82,0)+IF(P380&gt;0,P380*244.09,0)+IF(Q380&gt;0,Q380*315.35,0)+IF(R380&gt;0,R380*1067.3,0)+IF(T380&gt;0,T380*567.47,0)+IF(U380&gt;0,U380*151.63,0)+IF(V380&gt;0,V380*197.84,0)+IF(W380&gt;0,W380*470.51,0)+IF(X380&gt;0,X380*701.69,0)+IF(Z380&gt;0,Z380*151.63,0)+IF(AA380&gt;0,AA380*197.84)+IF(AB380&gt;0,AB380*308.4,0)+IF(AC380&gt;0,AC380*496.16,0)</f>
        <v/>
      </c>
    </row>
    <row r="381">
      <c r="A381" s="58" t="inlineStr">
        <is>
          <t>SIM</t>
        </is>
      </c>
      <c r="B381" s="59">
        <f>IF(H381&lt;$B$1,"VENCIDO","NA VALIDADE")</f>
        <v/>
      </c>
      <c r="C381" s="60" t="inlineStr">
        <is>
          <t>SUBESTAÇÃO</t>
        </is>
      </c>
      <c r="D381" s="61" t="inlineStr">
        <is>
          <t>SE PEDRA BRANCA</t>
        </is>
      </c>
      <c r="E381" s="62" t="inlineStr">
        <is>
          <t>CURAÇÁ</t>
        </is>
      </c>
      <c r="F381" s="61" t="inlineStr">
        <is>
          <t>FEIRA DE  SANTANA</t>
        </is>
      </c>
      <c r="G381" s="60" t="inlineStr">
        <is>
          <t>BA</t>
        </is>
      </c>
      <c r="H381" s="119" t="n">
        <v>45474</v>
      </c>
      <c r="I381" s="119">
        <f>H381-180</f>
        <v/>
      </c>
      <c r="J381" s="60">
        <f>SUM(L381:AE381)</f>
        <v/>
      </c>
      <c r="K381" s="60">
        <f>SUM(AF381:AJ381)</f>
        <v/>
      </c>
      <c r="L381" s="60" t="n"/>
      <c r="M381" s="60" t="n"/>
      <c r="N381" s="60" t="n"/>
      <c r="O381" s="60" t="n"/>
      <c r="P381" s="60" t="n"/>
      <c r="Q381" s="60" t="n">
        <v>1</v>
      </c>
      <c r="R381" s="60" t="n"/>
      <c r="S381" s="60" t="n"/>
      <c r="T381" s="60" t="n"/>
      <c r="U381" s="60" t="n"/>
      <c r="V381" s="60" t="n"/>
      <c r="W381" s="60" t="n"/>
      <c r="X381" s="60" t="n"/>
      <c r="Y381" s="60" t="n"/>
      <c r="Z381" s="60" t="n"/>
      <c r="AA381" s="60" t="n">
        <v>1</v>
      </c>
      <c r="AB381" s="60" t="n"/>
      <c r="AC381" s="60" t="n"/>
      <c r="AD381" s="60" t="n"/>
      <c r="AE381" s="60" t="n"/>
      <c r="AF381" s="60" t="n"/>
      <c r="AG381" s="60" t="n"/>
      <c r="AH381" s="60" t="n"/>
      <c r="AI381" s="60" t="n"/>
      <c r="AJ381" s="60" t="n"/>
      <c r="AK381" s="120">
        <f>IF(L381&gt;0,L381*90.44,0)+IF(M381&gt;0,M381*348.12,0)+IF(N381&gt;0,N381*151.63,0)+IF(O381&gt;0,O381*197.82,0)+IF(P381&gt;0,P381*244.09,0)+IF(Q381&gt;0,Q381*315.35,0)+IF(R381&gt;0,R381*1067.3,0)+IF(T381&gt;0,T381*567.47,0)+IF(U381&gt;0,U381*151.63,0)+IF(V381&gt;0,V381*197.84,0)+IF(W381&gt;0,W381*470.51,0)+IF(X381&gt;0,X381*701.69,0)+IF(Z381&gt;0,Z381*151.63,0)+IF(AA381&gt;0,AA381*197.84)+IF(AB381&gt;0,AB381*308.4,0)+IF(AC381&gt;0,AC381*496.16,0)</f>
        <v/>
      </c>
    </row>
    <row r="382" hidden="1">
      <c r="A382" s="58" t="inlineStr">
        <is>
          <t>LEONIDAS</t>
        </is>
      </c>
      <c r="B382" s="59">
        <f>IF(H382&lt;$B$1,"VENCIDO","NA VALIDADE")</f>
        <v/>
      </c>
      <c r="C382" s="60" t="inlineStr">
        <is>
          <t>SUBESTAÇÃO</t>
        </is>
      </c>
      <c r="D382" s="61" t="inlineStr">
        <is>
          <t>SE PADRO</t>
        </is>
      </c>
      <c r="E382" s="62" t="inlineStr">
        <is>
          <t>PADRO</t>
        </is>
      </c>
      <c r="F382" s="61" t="inlineStr">
        <is>
          <t>ILHÉUS</t>
        </is>
      </c>
      <c r="G382" s="60" t="inlineStr">
        <is>
          <t>BA</t>
        </is>
      </c>
      <c r="H382" s="119" t="n">
        <v>45383</v>
      </c>
      <c r="I382" s="119" t="n">
        <v>45383</v>
      </c>
      <c r="J382" s="60">
        <f>SUM(L382:AE382)</f>
        <v/>
      </c>
      <c r="K382" s="60">
        <f>SUM(AF382:AJ382)</f>
        <v/>
      </c>
      <c r="L382" s="60" t="n"/>
      <c r="M382" s="60" t="n"/>
      <c r="N382" s="60" t="n"/>
      <c r="O382" s="60" t="n"/>
      <c r="P382" s="60" t="n"/>
      <c r="Q382" s="60" t="n">
        <v>1</v>
      </c>
      <c r="R382" s="60" t="n"/>
      <c r="S382" s="60" t="n"/>
      <c r="T382" s="60" t="n"/>
      <c r="U382" s="60" t="n"/>
      <c r="V382" s="60" t="n"/>
      <c r="W382" s="60" t="n"/>
      <c r="X382" s="60" t="n"/>
      <c r="Y382" s="60" t="n"/>
      <c r="Z382" s="60" t="n"/>
      <c r="AA382" s="60" t="n">
        <v>1</v>
      </c>
      <c r="AB382" s="60" t="n"/>
      <c r="AC382" s="60" t="n"/>
      <c r="AD382" s="60" t="n"/>
      <c r="AE382" s="60" t="n"/>
      <c r="AF382" s="60" t="n"/>
      <c r="AG382" s="60" t="n"/>
      <c r="AH382" s="60" t="n"/>
      <c r="AI382" s="60" t="n"/>
      <c r="AJ382" s="60" t="n"/>
      <c r="AK382" s="120">
        <f>IF(L382&gt;0,L382*90.44,0)+IF(M382&gt;0,M382*348.12,0)+IF(N382&gt;0,N382*151.63,0)+IF(O382&gt;0,O382*197.82,0)+IF(P382&gt;0,P382*244.09,0)+IF(Q382&gt;0,Q382*315.35,0)+IF(R382&gt;0,R382*1067.3,0)+IF(T382&gt;0,T382*567.47,0)+IF(U382&gt;0,U382*151.63,0)+IF(V382&gt;0,V382*197.84,0)+IF(W382&gt;0,W382*470.51,0)+IF(X382&gt;0,X382*701.69,0)+IF(Z382&gt;0,Z382*151.63,0)+IF(AA382&gt;0,AA382*197.84)+IF(AB382&gt;0,AB382*308.4,0)+IF(AC382&gt;0,AC382*496.16,0)</f>
        <v/>
      </c>
    </row>
    <row r="383">
      <c r="A383" s="58" t="inlineStr">
        <is>
          <t>SIM</t>
        </is>
      </c>
      <c r="B383" s="59">
        <f>IF(H383&lt;$B$1,"VENCIDO","NA VALIDADE")</f>
        <v/>
      </c>
      <c r="C383" s="60" t="inlineStr">
        <is>
          <t>SUBESTAÇÃO</t>
        </is>
      </c>
      <c r="D383" s="66" t="inlineStr">
        <is>
          <t>SE PEDRINHAS</t>
        </is>
      </c>
      <c r="E383" s="62" t="inlineStr">
        <is>
          <t>CAMPO FORMOSO</t>
        </is>
      </c>
      <c r="F383" s="61" t="inlineStr">
        <is>
          <t>FEIRA DE  SANTANA</t>
        </is>
      </c>
      <c r="G383" s="60" t="inlineStr">
        <is>
          <t>BA</t>
        </is>
      </c>
      <c r="H383" s="119" t="n">
        <v>45505</v>
      </c>
      <c r="I383" s="119">
        <f>H383-180</f>
        <v/>
      </c>
      <c r="J383" s="60">
        <f>SUM(L383:AE383)</f>
        <v/>
      </c>
      <c r="K383" s="60">
        <f>SUM(AF383:AJ383)</f>
        <v/>
      </c>
      <c r="L383" s="60" t="n"/>
      <c r="M383" s="60" t="n"/>
      <c r="N383" s="60" t="n"/>
      <c r="O383" s="60" t="n"/>
      <c r="P383" s="60" t="n"/>
      <c r="Q383" s="60" t="n">
        <v>2</v>
      </c>
      <c r="R383" s="60" t="n"/>
      <c r="S383" s="60" t="n"/>
      <c r="T383" s="60" t="n"/>
      <c r="U383" s="60" t="n"/>
      <c r="V383" s="60" t="n"/>
      <c r="W383" s="60" t="n"/>
      <c r="X383" s="60" t="n"/>
      <c r="Y383" s="60" t="n"/>
      <c r="Z383" s="60" t="n"/>
      <c r="AA383" s="60" t="n"/>
      <c r="AB383" s="60" t="n"/>
      <c r="AC383" s="60" t="n"/>
      <c r="AD383" s="60" t="n"/>
      <c r="AE383" s="60" t="n"/>
      <c r="AF383" s="60" t="n"/>
      <c r="AG383" s="60" t="n"/>
      <c r="AH383" s="60" t="n"/>
      <c r="AI383" s="60" t="n"/>
      <c r="AJ383" s="60" t="n"/>
      <c r="AK383" s="120">
        <f>IF(L383&gt;0,L383*90.44,0)+IF(M383&gt;0,M383*348.12,0)+IF(N383&gt;0,N383*151.63,0)+IF(O383&gt;0,O383*197.82,0)+IF(P383&gt;0,P383*244.09,0)+IF(Q383&gt;0,Q383*315.35,0)+IF(R383&gt;0,R383*1067.3,0)+IF(T383&gt;0,T383*567.47,0)+IF(U383&gt;0,U383*151.63,0)+IF(V383&gt;0,V383*197.84,0)+IF(W383&gt;0,W383*470.51,0)+IF(X383&gt;0,X383*701.69,0)+IF(Z383&gt;0,Z383*151.63,0)+IF(AA383&gt;0,AA383*197.84)+IF(AB383&gt;0,AB383*308.4,0)+IF(AC383&gt;0,AC383*496.16,0)</f>
        <v/>
      </c>
    </row>
    <row r="384">
      <c r="A384" s="58" t="inlineStr">
        <is>
          <t>rota</t>
        </is>
      </c>
      <c r="B384" s="59">
        <f>IF(H384&lt;$B$1,"VENCIDO","NA VALIDADE")</f>
        <v/>
      </c>
      <c r="C384" s="60" t="inlineStr">
        <is>
          <t>SUBESTAÇÃO</t>
        </is>
      </c>
      <c r="D384" s="61" t="inlineStr">
        <is>
          <t>SE PERIPERI</t>
        </is>
      </c>
      <c r="E384" s="62" t="inlineStr">
        <is>
          <t>SALVADOR</t>
        </is>
      </c>
      <c r="F384" s="61" t="inlineStr">
        <is>
          <t>FEIRA DE  SANTANA</t>
        </is>
      </c>
      <c r="G384" s="60" t="inlineStr">
        <is>
          <t>BA</t>
        </is>
      </c>
      <c r="H384" s="119" t="n">
        <v>45444</v>
      </c>
      <c r="I384" s="119" t="n">
        <v>45444</v>
      </c>
      <c r="J384" s="60">
        <f>SUM(L384:AE384)</f>
        <v/>
      </c>
      <c r="K384" s="60">
        <f>SUM(AF384:AJ384)</f>
        <v/>
      </c>
      <c r="L384" s="60" t="n"/>
      <c r="M384" s="60" t="n"/>
      <c r="N384" s="60" t="n"/>
      <c r="O384" s="60" t="n"/>
      <c r="P384" s="60" t="n"/>
      <c r="Q384" s="60" t="n">
        <v>4</v>
      </c>
      <c r="R384" s="60" t="n"/>
      <c r="S384" s="60" t="n"/>
      <c r="T384" s="60" t="n">
        <v>1</v>
      </c>
      <c r="U384" s="60" t="n"/>
      <c r="V384" s="60" t="n"/>
      <c r="W384" s="60" t="n"/>
      <c r="X384" s="60" t="n"/>
      <c r="Y384" s="60" t="n"/>
      <c r="Z384" s="60" t="n"/>
      <c r="AA384" s="60" t="n">
        <v>2</v>
      </c>
      <c r="AB384" s="60" t="n"/>
      <c r="AC384" s="60" t="n"/>
      <c r="AD384" s="60" t="n"/>
      <c r="AE384" s="60" t="n"/>
      <c r="AF384" s="60" t="n"/>
      <c r="AG384" s="60" t="n"/>
      <c r="AH384" s="60" t="n"/>
      <c r="AI384" s="60" t="n"/>
      <c r="AJ384" s="60" t="n"/>
      <c r="AK384" s="120">
        <f>IF(L384&gt;0,L384*90.44,0)+IF(M384&gt;0,M384*348.12,0)+IF(N384&gt;0,N384*151.63,0)+IF(O384&gt;0,O384*197.82,0)+IF(P384&gt;0,P384*244.09,0)+IF(Q384&gt;0,Q384*315.35,0)+IF(R384&gt;0,R384*1067.3,0)+IF(T384&gt;0,T384*567.47,0)+IF(U384&gt;0,U384*151.63,0)+IF(V384&gt;0,V384*197.84,0)+IF(W384&gt;0,W384*470.51,0)+IF(X384&gt;0,X384*701.69,0)+IF(Z384&gt;0,Z384*151.63,0)+IF(AA384&gt;0,AA384*197.84)+IF(AB384&gt;0,AB384*308.4,0)+IF(AC384&gt;0,AC384*496.16,0)</f>
        <v/>
      </c>
    </row>
    <row r="385">
      <c r="A385" s="58" t="inlineStr">
        <is>
          <t>rota</t>
        </is>
      </c>
      <c r="B385" s="59">
        <f>IF(H385&lt;$B$1,"VENCIDO","NA VALIDADE")</f>
        <v/>
      </c>
      <c r="C385" s="60" t="inlineStr">
        <is>
          <t>SUBESTAÇÃO</t>
        </is>
      </c>
      <c r="D385" s="61" t="inlineStr">
        <is>
          <t>SE PINTADAS</t>
        </is>
      </c>
      <c r="E385" s="62" t="inlineStr">
        <is>
          <t>PINTADAS</t>
        </is>
      </c>
      <c r="F385" s="61" t="inlineStr">
        <is>
          <t>FEIRA DE  SANTANA</t>
        </is>
      </c>
      <c r="G385" s="60" t="inlineStr">
        <is>
          <t>BA</t>
        </is>
      </c>
      <c r="H385" s="119" t="n">
        <v>45323</v>
      </c>
      <c r="I385" s="119" t="n">
        <v>45323</v>
      </c>
      <c r="J385" s="60">
        <f>SUM(L385:AE385)</f>
        <v/>
      </c>
      <c r="K385" s="60">
        <f>SUM(AF385:AJ385)</f>
        <v/>
      </c>
      <c r="L385" s="60" t="n"/>
      <c r="M385" s="60" t="n"/>
      <c r="N385" s="60" t="n"/>
      <c r="O385" s="60" t="n"/>
      <c r="P385" s="60" t="n"/>
      <c r="Q385" s="60" t="n">
        <v>1</v>
      </c>
      <c r="R385" s="60" t="n"/>
      <c r="S385" s="60" t="n"/>
      <c r="T385" s="60" t="n"/>
      <c r="U385" s="60" t="n"/>
      <c r="V385" s="60" t="n"/>
      <c r="W385" s="60" t="n"/>
      <c r="X385" s="60" t="n"/>
      <c r="Y385" s="60" t="n"/>
      <c r="Z385" s="60" t="n"/>
      <c r="AA385" s="60" t="n">
        <v>1</v>
      </c>
      <c r="AB385" s="60" t="n"/>
      <c r="AC385" s="60" t="n"/>
      <c r="AD385" s="60" t="n"/>
      <c r="AE385" s="60" t="n"/>
      <c r="AF385" s="60" t="n"/>
      <c r="AG385" s="60" t="n"/>
      <c r="AH385" s="60" t="n"/>
      <c r="AI385" s="60" t="n"/>
      <c r="AJ385" s="60" t="n"/>
      <c r="AK385" s="120">
        <f>IF(L385&gt;0,L385*90.44,0)+IF(M385&gt;0,M385*348.12,0)+IF(N385&gt;0,N385*151.63,0)+IF(O385&gt;0,O385*197.82,0)+IF(P385&gt;0,P385*244.09,0)+IF(Q385&gt;0,Q385*315.35,0)+IF(R385&gt;0,R385*1067.3,0)+IF(T385&gt;0,T385*567.47,0)+IF(U385&gt;0,U385*151.63,0)+IF(V385&gt;0,V385*197.84,0)+IF(W385&gt;0,W385*470.51,0)+IF(X385&gt;0,X385*701.69,0)+IF(Z385&gt;0,Z385*151.63,0)+IF(AA385&gt;0,AA385*197.84)+IF(AB385&gt;0,AB385*308.4,0)+IF(AC385&gt;0,AC385*496.16,0)</f>
        <v/>
      </c>
    </row>
    <row r="386">
      <c r="A386" s="58" t="inlineStr">
        <is>
          <t>rota</t>
        </is>
      </c>
      <c r="B386" s="59">
        <f>IF(H386&lt;$B$1,"VENCIDO","NA VALIDADE")</f>
        <v/>
      </c>
      <c r="C386" s="60" t="inlineStr">
        <is>
          <t>SUBESTAÇÃO</t>
        </is>
      </c>
      <c r="D386" s="61" t="inlineStr">
        <is>
          <t>SE PITUAÇU II</t>
        </is>
      </c>
      <c r="E386" s="62" t="inlineStr">
        <is>
          <t>SALVADOR</t>
        </is>
      </c>
      <c r="F386" s="61" t="inlineStr">
        <is>
          <t>FEIRA DE  SANTANA</t>
        </is>
      </c>
      <c r="G386" s="60" t="inlineStr">
        <is>
          <t>BA</t>
        </is>
      </c>
      <c r="H386" s="119" t="n">
        <v>45292</v>
      </c>
      <c r="I386" s="119" t="n">
        <v>45292</v>
      </c>
      <c r="J386" s="60">
        <f>SUM(L386:AE386)</f>
        <v/>
      </c>
      <c r="K386" s="60">
        <f>SUM(AF386:AJ386)</f>
        <v/>
      </c>
      <c r="L386" s="60" t="n"/>
      <c r="M386" s="60" t="n"/>
      <c r="N386" s="60" t="n"/>
      <c r="O386" s="60" t="n"/>
      <c r="P386" s="60" t="n"/>
      <c r="Q386" s="60" t="n">
        <v>3</v>
      </c>
      <c r="R386" s="60" t="n"/>
      <c r="S386" s="60" t="n"/>
      <c r="T386" s="60" t="n">
        <v>1</v>
      </c>
      <c r="U386" s="60" t="n"/>
      <c r="V386" s="60" t="n"/>
      <c r="W386" s="60" t="n"/>
      <c r="X386" s="60" t="n"/>
      <c r="Y386" s="60" t="n"/>
      <c r="Z386" s="60" t="n"/>
      <c r="AA386" s="60" t="n">
        <v>1</v>
      </c>
      <c r="AB386" s="60" t="n"/>
      <c r="AC386" s="60" t="n"/>
      <c r="AD386" s="60" t="n"/>
      <c r="AE386" s="60" t="n"/>
      <c r="AF386" s="60" t="n"/>
      <c r="AG386" s="60" t="n"/>
      <c r="AH386" s="60" t="n"/>
      <c r="AI386" s="60" t="n"/>
      <c r="AJ386" s="60" t="n"/>
      <c r="AK386" s="120">
        <f>IF(L386&gt;0,L386*90.44,0)+IF(M386&gt;0,M386*348.12,0)+IF(N386&gt;0,N386*151.63,0)+IF(O386&gt;0,O386*197.82,0)+IF(P386&gt;0,P386*244.09,0)+IF(Q386&gt;0,Q386*315.35,0)+IF(R386&gt;0,R386*1067.3,0)+IF(T386&gt;0,T386*567.47,0)+IF(U386&gt;0,U386*151.63,0)+IF(V386&gt;0,V386*197.84,0)+IF(W386&gt;0,W386*470.51,0)+IF(X386&gt;0,X386*701.69,0)+IF(Z386&gt;0,Z386*151.63,0)+IF(AA386&gt;0,AA386*197.84)+IF(AB386&gt;0,AB386*308.4,0)+IF(AC386&gt;0,AC386*496.16,0)</f>
        <v/>
      </c>
    </row>
    <row r="387">
      <c r="A387" s="58" t="n"/>
      <c r="B387" s="59">
        <f>IF(H387&lt;$B$1,"VENCIDO","NA VALIDADE")</f>
        <v/>
      </c>
      <c r="C387" s="60" t="inlineStr">
        <is>
          <t>SUBESTAÇÃO</t>
        </is>
      </c>
      <c r="D387" s="61" t="inlineStr">
        <is>
          <t>SE PITUBA</t>
        </is>
      </c>
      <c r="E387" s="62" t="inlineStr">
        <is>
          <t>SALVADOR</t>
        </is>
      </c>
      <c r="F387" s="61" t="inlineStr">
        <is>
          <t>FEIRA DE  SANTANA</t>
        </is>
      </c>
      <c r="G387" s="60" t="inlineStr">
        <is>
          <t>BA</t>
        </is>
      </c>
      <c r="H387" s="119" t="n">
        <v>45413</v>
      </c>
      <c r="I387" s="119" t="n">
        <v>45413</v>
      </c>
      <c r="J387" s="60">
        <f>SUM(L387:AE387)</f>
        <v/>
      </c>
      <c r="K387" s="60">
        <f>SUM(AF387:AJ387)</f>
        <v/>
      </c>
      <c r="L387" s="60" t="n"/>
      <c r="M387" s="60" t="n"/>
      <c r="N387" s="60" t="n"/>
      <c r="O387" s="60" t="n"/>
      <c r="P387" s="60" t="n"/>
      <c r="Q387" s="60" t="n">
        <v>2</v>
      </c>
      <c r="R387" s="60" t="n"/>
      <c r="S387" s="60" t="n"/>
      <c r="T387" s="60" t="n">
        <v>2</v>
      </c>
      <c r="U387" s="60" t="n"/>
      <c r="V387" s="60" t="n"/>
      <c r="W387" s="60" t="n"/>
      <c r="X387" s="60" t="n">
        <v>1</v>
      </c>
      <c r="Y387" s="60" t="n"/>
      <c r="Z387" s="60" t="n"/>
      <c r="AA387" s="60" t="n">
        <v>2</v>
      </c>
      <c r="AB387" s="60" t="n"/>
      <c r="AC387" s="60" t="n"/>
      <c r="AD387" s="60" t="n"/>
      <c r="AE387" s="60" t="n"/>
      <c r="AF387" s="60" t="n"/>
      <c r="AG387" s="60" t="n"/>
      <c r="AH387" s="60" t="n"/>
      <c r="AI387" s="60" t="n"/>
      <c r="AJ387" s="60" t="n"/>
      <c r="AK387" s="120">
        <f>IF(L387&gt;0,L387*90.44,0)+IF(M387&gt;0,M387*348.12,0)+IF(N387&gt;0,N387*151.63,0)+IF(O387&gt;0,O387*197.82,0)+IF(P387&gt;0,P387*244.09,0)+IF(Q387&gt;0,Q387*315.35,0)+IF(R387&gt;0,R387*1067.3,0)+IF(T387&gt;0,T387*567.47,0)+IF(U387&gt;0,U387*151.63,0)+IF(V387&gt;0,V387*197.84,0)+IF(W387&gt;0,W387*470.51,0)+IF(X387&gt;0,X387*701.69,0)+IF(Z387&gt;0,Z387*151.63,0)+IF(AA387&gt;0,AA387*197.84)+IF(AB387&gt;0,AB387*308.4,0)+IF(AC387&gt;0,AC387*496.16,0)</f>
        <v/>
      </c>
    </row>
    <row r="388" hidden="1">
      <c r="A388" s="58" t="inlineStr">
        <is>
          <t>rota</t>
        </is>
      </c>
      <c r="B388" s="59">
        <f>IF(H388&lt;$B$1,"VENCIDO","NA VALIDADE")</f>
        <v/>
      </c>
      <c r="C388" s="60" t="inlineStr">
        <is>
          <t>SUBESTAÇÃO</t>
        </is>
      </c>
      <c r="D388" s="61" t="inlineStr">
        <is>
          <t>SE POÇÕES</t>
        </is>
      </c>
      <c r="E388" s="62" t="inlineStr">
        <is>
          <t>POÇÕES</t>
        </is>
      </c>
      <c r="F388" s="61" t="inlineStr">
        <is>
          <t>VITÓRIA DA CONQUISTA</t>
        </is>
      </c>
      <c r="G388" s="60" t="inlineStr">
        <is>
          <t>BA</t>
        </is>
      </c>
      <c r="H388" s="119" t="n">
        <v>45474</v>
      </c>
      <c r="I388" s="119">
        <f>H388-180</f>
        <v/>
      </c>
      <c r="J388" s="60">
        <f>SUM(L388:AE388)</f>
        <v/>
      </c>
      <c r="K388" s="60">
        <f>SUM(AF388:AJ388)</f>
        <v/>
      </c>
      <c r="L388" s="60" t="n"/>
      <c r="M388" s="60" t="n"/>
      <c r="N388" s="60" t="n"/>
      <c r="O388" s="60" t="n"/>
      <c r="P388" s="60" t="n"/>
      <c r="Q388" s="60" t="n">
        <v>1</v>
      </c>
      <c r="R388" s="60" t="n"/>
      <c r="S388" s="60" t="n"/>
      <c r="T388" s="60" t="n"/>
      <c r="U388" s="60" t="n"/>
      <c r="V388" s="60" t="n"/>
      <c r="W388" s="60" t="n"/>
      <c r="X388" s="60" t="n"/>
      <c r="Y388" s="60" t="n"/>
      <c r="Z388" s="60" t="n"/>
      <c r="AA388" s="60" t="n">
        <v>1</v>
      </c>
      <c r="AB388" s="60" t="n"/>
      <c r="AC388" s="60" t="n"/>
      <c r="AD388" s="60" t="n"/>
      <c r="AE388" s="60" t="n"/>
      <c r="AF388" s="60" t="n"/>
      <c r="AG388" s="60" t="n"/>
      <c r="AH388" s="60" t="n"/>
      <c r="AI388" s="60" t="n"/>
      <c r="AJ388" s="60" t="n"/>
      <c r="AK388" s="120">
        <f>IF(L388&gt;0,L388*90.44,0)+IF(M388&gt;0,M388*348.12,0)+IF(N388&gt;0,N388*151.63,0)+IF(O388&gt;0,O388*197.82,0)+IF(P388&gt;0,P388*244.09,0)+IF(Q388&gt;0,Q388*315.35,0)+IF(R388&gt;0,R388*1067.3,0)+IF(T388&gt;0,T388*567.47,0)+IF(U388&gt;0,U388*151.63,0)+IF(V388&gt;0,V388*197.84,0)+IF(W388&gt;0,W388*470.51,0)+IF(X388&gt;0,X388*701.69,0)+IF(Z388&gt;0,Z388*151.63,0)+IF(AA388&gt;0,AA388*197.84)+IF(AB388&gt;0,AB388*308.4,0)+IF(AC388&gt;0,AC388*496.16,0)</f>
        <v/>
      </c>
    </row>
    <row r="389" hidden="1">
      <c r="A389" s="58" t="inlineStr">
        <is>
          <t>SIM</t>
        </is>
      </c>
      <c r="B389" s="59">
        <f>IF(H389&lt;$B$1,"VENCIDO","NA VALIDADE")</f>
        <v/>
      </c>
      <c r="C389" s="60" t="inlineStr">
        <is>
          <t>SUBESTAÇÃO</t>
        </is>
      </c>
      <c r="D389" s="61" t="inlineStr">
        <is>
          <t>SE PONTO DO ASTERIO</t>
        </is>
      </c>
      <c r="E389" s="62" t="inlineStr">
        <is>
          <t>FIRMINO ALVES</t>
        </is>
      </c>
      <c r="F389" s="61" t="inlineStr">
        <is>
          <t>VITÓRIA DA CONQUISTA</t>
        </is>
      </c>
      <c r="G389" s="60" t="inlineStr">
        <is>
          <t>BA</t>
        </is>
      </c>
      <c r="H389" s="119" t="n">
        <v>45352</v>
      </c>
      <c r="I389" s="119">
        <f>H389-180</f>
        <v/>
      </c>
      <c r="J389" s="60">
        <f>SUM(L389:AE389)</f>
        <v/>
      </c>
      <c r="K389" s="60">
        <f>SUM(AF389:AJ389)</f>
        <v/>
      </c>
      <c r="L389" s="60" t="n"/>
      <c r="M389" s="60" t="n"/>
      <c r="N389" s="60" t="n"/>
      <c r="O389" s="60" t="n"/>
      <c r="P389" s="60" t="n"/>
      <c r="Q389" s="60" t="n">
        <v>6</v>
      </c>
      <c r="R389" s="60" t="n"/>
      <c r="S389" s="60" t="n"/>
      <c r="T389" s="60" t="n">
        <v>2</v>
      </c>
      <c r="U389" s="60" t="n"/>
      <c r="V389" s="60" t="n"/>
      <c r="W389" s="60" t="n"/>
      <c r="X389" s="60" t="n"/>
      <c r="Y389" s="60" t="n"/>
      <c r="Z389" s="60" t="n"/>
      <c r="AA389" s="60" t="n"/>
      <c r="AB389" s="60" t="n"/>
      <c r="AC389" s="60" t="n"/>
      <c r="AD389" s="60" t="n"/>
      <c r="AE389" s="60" t="n"/>
      <c r="AF389" s="60" t="n"/>
      <c r="AG389" s="60" t="n"/>
      <c r="AH389" s="60" t="n"/>
      <c r="AI389" s="60" t="n"/>
      <c r="AJ389" s="60" t="n"/>
      <c r="AK389" s="120">
        <f>IF(L389&gt;0,L389*90.44,0)+IF(M389&gt;0,M389*348.12,0)+IF(N389&gt;0,N389*151.63,0)+IF(O389&gt;0,O389*197.82,0)+IF(P389&gt;0,P389*244.09,0)+IF(Q389&gt;0,Q389*315.35,0)+IF(R389&gt;0,R389*1067.3,0)+IF(T389&gt;0,T389*567.47,0)+IF(U389&gt;0,U389*151.63,0)+IF(V389&gt;0,V389*197.84,0)+IF(W389&gt;0,W389*470.51,0)+IF(X389&gt;0,X389*701.69,0)+IF(Z389&gt;0,Z389*151.63,0)+IF(AA389&gt;0,AA389*197.84)+IF(AB389&gt;0,AB389*308.4,0)+IF(AC389&gt;0,AC389*496.16,0)</f>
        <v/>
      </c>
    </row>
    <row r="390">
      <c r="A390" s="58" t="inlineStr">
        <is>
          <t>rota</t>
        </is>
      </c>
      <c r="B390" s="59">
        <f>IF(H390&lt;$B$1,"VENCIDO","NA VALIDADE")</f>
        <v/>
      </c>
      <c r="C390" s="60" t="inlineStr">
        <is>
          <t>SUBESTAÇÃO</t>
        </is>
      </c>
      <c r="D390" s="61" t="inlineStr">
        <is>
          <t>SE PONTO NOVO</t>
        </is>
      </c>
      <c r="E390" s="62" t="inlineStr">
        <is>
          <t>PONTO NOVO</t>
        </is>
      </c>
      <c r="F390" s="61" t="inlineStr">
        <is>
          <t>FEIRA DE  SANTANA</t>
        </is>
      </c>
      <c r="G390" s="60" t="inlineStr">
        <is>
          <t>BA</t>
        </is>
      </c>
      <c r="H390" s="119" t="n">
        <v>45566</v>
      </c>
      <c r="I390" s="119">
        <f>H390-180</f>
        <v/>
      </c>
      <c r="J390" s="60">
        <f>SUM(L390:AE390)</f>
        <v/>
      </c>
      <c r="K390" s="60">
        <f>SUM(AF390:AJ390)</f>
        <v/>
      </c>
      <c r="L390" s="60" t="n"/>
      <c r="M390" s="60" t="n"/>
      <c r="N390" s="60" t="n"/>
      <c r="O390" s="60" t="n"/>
      <c r="P390" s="60" t="n">
        <v>2</v>
      </c>
      <c r="Q390" s="60" t="n">
        <v>3</v>
      </c>
      <c r="R390" s="60" t="n"/>
      <c r="S390" s="60" t="n"/>
      <c r="T390" s="60" t="n">
        <v>2</v>
      </c>
      <c r="U390" s="60" t="n"/>
      <c r="V390" s="60" t="n"/>
      <c r="W390" s="60" t="n"/>
      <c r="X390" s="60" t="n"/>
      <c r="Y390" s="60" t="n"/>
      <c r="Z390" s="60" t="n"/>
      <c r="AA390" s="60" t="n">
        <v>1</v>
      </c>
      <c r="AB390" s="60" t="n"/>
      <c r="AC390" s="60" t="n"/>
      <c r="AD390" s="60" t="n"/>
      <c r="AE390" s="60" t="n"/>
      <c r="AF390" s="60" t="n"/>
      <c r="AG390" s="60" t="n"/>
      <c r="AH390" s="60" t="n"/>
      <c r="AI390" s="60" t="n"/>
      <c r="AJ390" s="60" t="n"/>
      <c r="AK390" s="120">
        <f>IF(L390&gt;0,L390*90.44,0)+IF(M390&gt;0,M390*348.12,0)+IF(N390&gt;0,N390*151.63,0)+IF(O390&gt;0,O390*197.82,0)+IF(P390&gt;0,P390*244.09,0)+IF(Q390&gt;0,Q390*315.35,0)+IF(R390&gt;0,R390*1067.3,0)+IF(T390&gt;0,T390*567.47,0)+IF(U390&gt;0,U390*151.63,0)+IF(V390&gt;0,V390*197.84,0)+IF(W390&gt;0,W390*470.51,0)+IF(X390&gt;0,X390*701.69,0)+IF(Z390&gt;0,Z390*151.63,0)+IF(AA390&gt;0,AA390*197.84)+IF(AB390&gt;0,AB390*308.4,0)+IF(AC390&gt;0,AC390*496.16,0)</f>
        <v/>
      </c>
    </row>
    <row r="391">
      <c r="A391" s="58" t="n"/>
      <c r="B391" s="59">
        <f>IF(H391&lt;$B$1,"VENCIDO","NA VALIDADE")</f>
        <v/>
      </c>
      <c r="C391" s="60" t="inlineStr">
        <is>
          <t>SUBESTAÇÃO</t>
        </is>
      </c>
      <c r="D391" s="61" t="inlineStr">
        <is>
          <t>SE PORTO DE SAUIPE</t>
        </is>
      </c>
      <c r="E391" s="62" t="inlineStr">
        <is>
          <t>MATA DE SÃO JOÃO</t>
        </is>
      </c>
      <c r="F391" s="61" t="inlineStr">
        <is>
          <t>FEIRA DE  SANTANA</t>
        </is>
      </c>
      <c r="G391" s="60" t="inlineStr">
        <is>
          <t>BA</t>
        </is>
      </c>
      <c r="H391" s="119" t="n">
        <v>45413</v>
      </c>
      <c r="I391" s="119" t="n">
        <v>45413</v>
      </c>
      <c r="J391" s="60">
        <f>SUM(L391:AE391)</f>
        <v/>
      </c>
      <c r="K391" s="60">
        <f>SUM(AF391:AJ391)</f>
        <v/>
      </c>
      <c r="L391" s="60" t="n"/>
      <c r="M391" s="60" t="n"/>
      <c r="N391" s="60" t="n"/>
      <c r="O391" s="60" t="n">
        <v>1</v>
      </c>
      <c r="P391" s="60" t="n">
        <v>1</v>
      </c>
      <c r="Q391" s="60" t="n"/>
      <c r="R391" s="60" t="n"/>
      <c r="S391" s="60" t="n"/>
      <c r="T391" s="60" t="n">
        <v>2</v>
      </c>
      <c r="U391" s="60" t="n"/>
      <c r="V391" s="60" t="n"/>
      <c r="W391" s="60" t="n"/>
      <c r="X391" s="60" t="n"/>
      <c r="Y391" s="60" t="n"/>
      <c r="Z391" s="60" t="n"/>
      <c r="AA391" s="60" t="n">
        <v>2</v>
      </c>
      <c r="AB391" s="60" t="n"/>
      <c r="AC391" s="60" t="n"/>
      <c r="AD391" s="60" t="n"/>
      <c r="AE391" s="60" t="n"/>
      <c r="AF391" s="60" t="n"/>
      <c r="AG391" s="60" t="n"/>
      <c r="AH391" s="60" t="n"/>
      <c r="AI391" s="60" t="n"/>
      <c r="AJ391" s="60" t="n"/>
      <c r="AK391" s="120">
        <f>IF(L391&gt;0,L391*90.44,0)+IF(M391&gt;0,M391*348.12,0)+IF(N391&gt;0,N391*151.63,0)+IF(O391&gt;0,O391*197.82,0)+IF(P391&gt;0,P391*244.09,0)+IF(Q391&gt;0,Q391*315.35,0)+IF(R391&gt;0,R391*1067.3,0)+IF(T391&gt;0,T391*567.47,0)+IF(U391&gt;0,U391*151.63,0)+IF(V391&gt;0,V391*197.84,0)+IF(W391&gt;0,W391*470.51,0)+IF(X391&gt;0,X391*701.69,0)+IF(Z391&gt;0,Z391*151.63,0)+IF(AA391&gt;0,AA391*197.84)+IF(AB391&gt;0,AB391*308.4,0)+IF(AC391&gt;0,AC391*496.16,0)</f>
        <v/>
      </c>
    </row>
    <row r="392" hidden="1">
      <c r="A392" s="58" t="inlineStr">
        <is>
          <t>rota</t>
        </is>
      </c>
      <c r="B392" s="59">
        <f>IF(H392&lt;$B$1,"VENCIDO","NA VALIDADE")</f>
        <v/>
      </c>
      <c r="C392" s="60" t="inlineStr">
        <is>
          <t>SUBESTAÇÃO</t>
        </is>
      </c>
      <c r="D392" s="61" t="inlineStr">
        <is>
          <t>SE PORTO SEGURO</t>
        </is>
      </c>
      <c r="E392" s="62" t="inlineStr">
        <is>
          <t>PORTO SEGURO</t>
        </is>
      </c>
      <c r="F392" s="61" t="inlineStr">
        <is>
          <t>ILHÉUS</t>
        </is>
      </c>
      <c r="G392" s="60" t="inlineStr">
        <is>
          <t>BA</t>
        </is>
      </c>
      <c r="H392" s="119" t="n">
        <v>45352</v>
      </c>
      <c r="I392" s="119">
        <f>H392-180</f>
        <v/>
      </c>
      <c r="J392" s="60">
        <f>SUM(L392:AE392)</f>
        <v/>
      </c>
      <c r="K392" s="60">
        <f>SUM(AF392:AJ392)</f>
        <v/>
      </c>
      <c r="L392" s="60" t="n"/>
      <c r="M392" s="60" t="n"/>
      <c r="N392" s="60" t="n"/>
      <c r="O392" s="60" t="n"/>
      <c r="P392" s="60" t="n">
        <v>2</v>
      </c>
      <c r="Q392" s="60" t="n">
        <v>4</v>
      </c>
      <c r="R392" s="60" t="n"/>
      <c r="S392" s="60" t="n"/>
      <c r="T392" s="60" t="n">
        <v>2</v>
      </c>
      <c r="U392" s="60" t="n"/>
      <c r="V392" s="60" t="n"/>
      <c r="W392" s="60" t="n"/>
      <c r="X392" s="60" t="n"/>
      <c r="Y392" s="60" t="n"/>
      <c r="Z392" s="60" t="n"/>
      <c r="AA392" s="60" t="n"/>
      <c r="AB392" s="60" t="n"/>
      <c r="AC392" s="60" t="n"/>
      <c r="AD392" s="60" t="n"/>
      <c r="AE392" s="60" t="n"/>
      <c r="AF392" s="60" t="n"/>
      <c r="AG392" s="60" t="n"/>
      <c r="AH392" s="60" t="n"/>
      <c r="AI392" s="60" t="n"/>
      <c r="AJ392" s="60" t="n"/>
      <c r="AK392" s="120">
        <f>IF(L392&gt;0,L392*90.44,0)+IF(M392&gt;0,M392*348.12,0)+IF(N392&gt;0,N392*151.63,0)+IF(O392&gt;0,O392*197.82,0)+IF(P392&gt;0,P392*244.09,0)+IF(Q392&gt;0,Q392*315.35,0)+IF(R392&gt;0,R392*1067.3,0)+IF(T392&gt;0,T392*567.47,0)+IF(U392&gt;0,U392*151.63,0)+IF(V392&gt;0,V392*197.84,0)+IF(W392&gt;0,W392*470.51,0)+IF(X392&gt;0,X392*701.69,0)+IF(Z392&gt;0,Z392*151.63,0)+IF(AA392&gt;0,AA392*197.84)+IF(AB392&gt;0,AB392*308.4,0)+IF(AC392&gt;0,AC392*496.16,0)</f>
        <v/>
      </c>
    </row>
    <row r="393" hidden="1">
      <c r="A393" s="58" t="n"/>
      <c r="B393" s="59">
        <f>IF(H393&lt;$B$1,"VENCIDO","NA VALIDADE")</f>
        <v/>
      </c>
      <c r="C393" s="60" t="inlineStr">
        <is>
          <t>SUBESTAÇÃO</t>
        </is>
      </c>
      <c r="D393" s="61" t="inlineStr">
        <is>
          <t>SE SÃO JOSÉ DO BELMONTE</t>
        </is>
      </c>
      <c r="E393" s="62" t="inlineStr">
        <is>
          <t>BELMONTE</t>
        </is>
      </c>
      <c r="F393" s="61" t="inlineStr">
        <is>
          <t>ILHÉUS</t>
        </is>
      </c>
      <c r="G393" s="60" t="inlineStr">
        <is>
          <t>BA</t>
        </is>
      </c>
      <c r="H393" s="119" t="n">
        <v>45505</v>
      </c>
      <c r="I393" s="119">
        <f>H393-180</f>
        <v/>
      </c>
      <c r="J393" s="60">
        <f>SUM(L393:AE393)</f>
        <v/>
      </c>
      <c r="K393" s="60">
        <f>SUM(AF393:AJ393)</f>
        <v/>
      </c>
      <c r="L393" s="60" t="n"/>
      <c r="M393" s="60" t="n"/>
      <c r="N393" s="60" t="n"/>
      <c r="O393" s="60" t="n">
        <v>1</v>
      </c>
      <c r="P393" s="60" t="n"/>
      <c r="Q393" s="60" t="n"/>
      <c r="R393" s="60" t="n"/>
      <c r="S393" s="60" t="n"/>
      <c r="T393" s="60" t="n">
        <v>1</v>
      </c>
      <c r="U393" s="60" t="n"/>
      <c r="V393" s="60" t="n"/>
      <c r="W393" s="60" t="n"/>
      <c r="X393" s="60" t="n"/>
      <c r="Y393" s="60" t="n"/>
      <c r="Z393" s="60" t="n"/>
      <c r="AA393" s="60" t="n">
        <v>3</v>
      </c>
      <c r="AB393" s="60" t="n"/>
      <c r="AC393" s="60" t="n"/>
      <c r="AD393" s="60" t="n"/>
      <c r="AE393" s="60" t="n"/>
      <c r="AF393" s="60" t="n"/>
      <c r="AG393" s="60" t="n"/>
      <c r="AH393" s="60" t="n"/>
      <c r="AI393" s="60" t="n"/>
      <c r="AJ393" s="60" t="n"/>
      <c r="AK393" s="120">
        <f>IF(L393&gt;0,L393*90.44,0)+IF(M393&gt;0,M393*348.12,0)+IF(N393&gt;0,N393*151.63,0)+IF(O393&gt;0,O393*197.82,0)+IF(P393&gt;0,P393*244.09,0)+IF(Q393&gt;0,Q393*315.35,0)+IF(R393&gt;0,R393*1067.3,0)+IF(T393&gt;0,T393*567.47,0)+IF(U393&gt;0,U393*151.63,0)+IF(V393&gt;0,V393*197.84,0)+IF(W393&gt;0,W393*470.51,0)+IF(X393&gt;0,X393*701.69,0)+IF(Z393&gt;0,Z393*151.63,0)+IF(AA393&gt;0,AA393*197.84)+IF(AB393&gt;0,AB393*308.4,0)+IF(AC393&gt;0,AC393*496.16,0)</f>
        <v/>
      </c>
    </row>
    <row r="394">
      <c r="A394" s="58" t="inlineStr">
        <is>
          <t>SIM</t>
        </is>
      </c>
      <c r="B394" s="59">
        <f>IF(H394&lt;$B$1,"VENCIDO","NA VALIDADE")</f>
        <v/>
      </c>
      <c r="C394" s="60" t="inlineStr">
        <is>
          <t>SUBESTAÇÃO</t>
        </is>
      </c>
      <c r="D394" s="61" t="inlineStr">
        <is>
          <t>SE PRAIA DO FORTE</t>
        </is>
      </c>
      <c r="E394" s="62" t="inlineStr">
        <is>
          <t>MATA DE SÃO JOÃO</t>
        </is>
      </c>
      <c r="F394" s="61" t="inlineStr">
        <is>
          <t>FEIRA DE  SANTANA</t>
        </is>
      </c>
      <c r="G394" s="60" t="inlineStr">
        <is>
          <t>BA</t>
        </is>
      </c>
      <c r="H394" s="119" t="n">
        <v>45444</v>
      </c>
      <c r="I394" s="119" t="n">
        <v>45444</v>
      </c>
      <c r="J394" s="60">
        <f>SUM(L394:AE394)</f>
        <v/>
      </c>
      <c r="K394" s="60">
        <f>SUM(AF394:AJ394)</f>
        <v/>
      </c>
      <c r="L394" s="60" t="n"/>
      <c r="M394" s="60" t="n"/>
      <c r="N394" s="60" t="n"/>
      <c r="O394" s="60" t="n"/>
      <c r="P394" s="60" t="n"/>
      <c r="Q394" s="60" t="n">
        <v>9</v>
      </c>
      <c r="R394" s="60" t="n"/>
      <c r="S394" s="60" t="n"/>
      <c r="T394" s="60" t="n">
        <v>2</v>
      </c>
      <c r="U394" s="60" t="n"/>
      <c r="V394" s="60" t="n"/>
      <c r="W394" s="60" t="n"/>
      <c r="X394" s="60" t="n"/>
      <c r="Y394" s="60" t="n"/>
      <c r="Z394" s="60" t="n"/>
      <c r="AA394" s="60" t="n">
        <v>1</v>
      </c>
      <c r="AB394" s="60" t="n"/>
      <c r="AC394" s="60" t="n"/>
      <c r="AD394" s="60" t="n"/>
      <c r="AE394" s="60" t="n"/>
      <c r="AF394" s="60" t="n"/>
      <c r="AG394" s="60" t="n"/>
      <c r="AH394" s="60" t="n"/>
      <c r="AI394" s="60" t="n"/>
      <c r="AJ394" s="60" t="n"/>
      <c r="AK394" s="120">
        <f>IF(L394&gt;0,L394*90.44,0)+IF(M394&gt;0,M394*348.12,0)+IF(N394&gt;0,N394*151.63,0)+IF(O394&gt;0,O394*197.82,0)+IF(P394&gt;0,P394*244.09,0)+IF(Q394&gt;0,Q394*315.35,0)+IF(R394&gt;0,R394*1067.3,0)+IF(T394&gt;0,T394*567.47,0)+IF(U394&gt;0,U394*151.63,0)+IF(V394&gt;0,V394*197.84,0)+IF(W394&gt;0,W394*470.51,0)+IF(X394&gt;0,X394*701.69,0)+IF(Z394&gt;0,Z394*151.63,0)+IF(AA394&gt;0,AA394*197.84)+IF(AB394&gt;0,AB394*308.4,0)+IF(AC394&gt;0,AC394*496.16,0)</f>
        <v/>
      </c>
    </row>
    <row r="395" hidden="1">
      <c r="A395" s="58" t="inlineStr">
        <is>
          <t>SIM</t>
        </is>
      </c>
      <c r="B395" s="59">
        <f>IF(H395&lt;$B$1,"VENCIDO","NA VALIDADE")</f>
        <v/>
      </c>
      <c r="C395" s="60" t="inlineStr">
        <is>
          <t>SUBESTAÇÃO</t>
        </is>
      </c>
      <c r="D395" s="61" t="inlineStr">
        <is>
          <t>SE PRATUDINHO</t>
        </is>
      </c>
      <c r="E395" s="62" t="inlineStr">
        <is>
          <t>JABORANDI</t>
        </is>
      </c>
      <c r="F395" s="61" t="inlineStr">
        <is>
          <t>VITÓRIA DA CONQUISTA</t>
        </is>
      </c>
      <c r="G395" s="60" t="inlineStr">
        <is>
          <t>BA</t>
        </is>
      </c>
      <c r="H395" s="119" t="n">
        <v>45597</v>
      </c>
      <c r="I395" s="119">
        <f>H395-180</f>
        <v/>
      </c>
      <c r="J395" s="60">
        <f>SUM(L395:AE395)</f>
        <v/>
      </c>
      <c r="K395" s="60">
        <f>SUM(AF395:AJ395)</f>
        <v/>
      </c>
      <c r="L395" s="60" t="n"/>
      <c r="M395" s="60" t="n"/>
      <c r="N395" s="60" t="n"/>
      <c r="O395" s="60" t="n"/>
      <c r="P395" s="60" t="n"/>
      <c r="Q395" s="60" t="n"/>
      <c r="R395" s="60" t="n"/>
      <c r="S395" s="60" t="n"/>
      <c r="T395" s="60" t="n"/>
      <c r="U395" s="60" t="n"/>
      <c r="V395" s="60" t="n"/>
      <c r="W395" s="60" t="n"/>
      <c r="X395" s="60" t="n"/>
      <c r="Y395" s="60" t="n"/>
      <c r="Z395" s="60" t="n"/>
      <c r="AA395" s="60" t="n">
        <v>2</v>
      </c>
      <c r="AB395" s="60" t="n"/>
      <c r="AC395" s="60" t="n"/>
      <c r="AD395" s="60" t="n"/>
      <c r="AE395" s="60" t="n"/>
      <c r="AF395" s="60" t="n"/>
      <c r="AG395" s="60" t="n"/>
      <c r="AH395" s="60" t="n"/>
      <c r="AI395" s="60" t="n"/>
      <c r="AJ395" s="60" t="n"/>
      <c r="AK395" s="120">
        <f>IF(L395&gt;0,L395*90.44,0)+IF(M395&gt;0,M395*348.12,0)+IF(N395&gt;0,N395*151.63,0)+IF(O395&gt;0,O395*197.82,0)+IF(P395&gt;0,P395*244.09,0)+IF(Q395&gt;0,Q395*315.35,0)+IF(R395&gt;0,R395*1067.3,0)+IF(T395&gt;0,T395*567.47,0)+IF(U395&gt;0,U395*151.63,0)+IF(V395&gt;0,V395*197.84,0)+IF(W395&gt;0,W395*470.51,0)+IF(X395&gt;0,X395*701.69,0)+IF(Z395&gt;0,Z395*151.63,0)+IF(AA395&gt;0,AA395*197.84)+IF(AB395&gt;0,AB395*308.4,0)+IF(AC395&gt;0,AC395*496.16,0)</f>
        <v/>
      </c>
    </row>
    <row r="396" hidden="1">
      <c r="A396" s="58" t="inlineStr">
        <is>
          <t>SIM</t>
        </is>
      </c>
      <c r="B396" s="59">
        <f>IF(H396&lt;$B$1,"VENCIDO","NA VALIDADE")</f>
        <v/>
      </c>
      <c r="C396" s="60" t="inlineStr">
        <is>
          <t>SUBESTAÇÃO</t>
        </is>
      </c>
      <c r="D396" s="61" t="inlineStr">
        <is>
          <t>SE PRESIDENTE JÂNIO QUADROS</t>
        </is>
      </c>
      <c r="E396" s="62" t="inlineStr">
        <is>
          <t>PRESIDENTE JÂNIO QUADROS</t>
        </is>
      </c>
      <c r="F396" s="61" t="inlineStr">
        <is>
          <t>VITÓRIA DA CONQUISTA</t>
        </is>
      </c>
      <c r="G396" s="60" t="inlineStr">
        <is>
          <t>BA</t>
        </is>
      </c>
      <c r="H396" s="119" t="n">
        <v>45505</v>
      </c>
      <c r="I396" s="119">
        <f>H396-180</f>
        <v/>
      </c>
      <c r="J396" s="60">
        <f>SUM(L396:AE396)</f>
        <v/>
      </c>
      <c r="K396" s="60">
        <f>SUM(AF396:AJ396)</f>
        <v/>
      </c>
      <c r="L396" s="60" t="n"/>
      <c r="M396" s="60" t="n"/>
      <c r="N396" s="60" t="n"/>
      <c r="O396" s="60" t="n"/>
      <c r="P396" s="60" t="n"/>
      <c r="Q396" s="60" t="n">
        <v>1</v>
      </c>
      <c r="R396" s="60" t="n"/>
      <c r="S396" s="60" t="n"/>
      <c r="T396" s="60" t="n"/>
      <c r="U396" s="60" t="n"/>
      <c r="V396" s="60" t="n"/>
      <c r="W396" s="60" t="n"/>
      <c r="X396" s="60" t="n"/>
      <c r="Y396" s="60" t="n"/>
      <c r="Z396" s="60" t="n"/>
      <c r="AA396" s="60" t="n">
        <v>1</v>
      </c>
      <c r="AB396" s="60" t="n"/>
      <c r="AC396" s="60" t="n"/>
      <c r="AD396" s="60" t="n"/>
      <c r="AE396" s="60" t="n"/>
      <c r="AF396" s="60" t="n"/>
      <c r="AG396" s="60" t="n"/>
      <c r="AH396" s="60" t="n"/>
      <c r="AI396" s="60" t="n"/>
      <c r="AJ396" s="60" t="n"/>
      <c r="AK396" s="120">
        <f>IF(L396&gt;0,L396*90.44,0)+IF(M396&gt;0,M396*348.12,0)+IF(N396&gt;0,N396*151.63,0)+IF(O396&gt;0,O396*197.82,0)+IF(P396&gt;0,P396*244.09,0)+IF(Q396&gt;0,Q396*315.35,0)+IF(R396&gt;0,R396*1067.3,0)+IF(T396&gt;0,T396*567.47,0)+IF(U396&gt;0,U396*151.63,0)+IF(V396&gt;0,V396*197.84,0)+IF(W396&gt;0,W396*470.51,0)+IF(X396&gt;0,X396*701.69,0)+IF(Z396&gt;0,Z396*151.63,0)+IF(AA396&gt;0,AA396*197.84)+IF(AB396&gt;0,AB396*308.4,0)+IF(AC396&gt;0,AC396*496.16,0)</f>
        <v/>
      </c>
    </row>
    <row r="397" hidden="1">
      <c r="A397" s="58" t="inlineStr">
        <is>
          <t>SIM</t>
        </is>
      </c>
      <c r="B397" s="59">
        <f>IF(H397&lt;$B$1,"VENCIDO","NA VALIDADE")</f>
        <v/>
      </c>
      <c r="C397" s="60" t="inlineStr">
        <is>
          <t>SUBESTAÇÃO</t>
        </is>
      </c>
      <c r="D397" s="61" t="inlineStr">
        <is>
          <t>SE TEIXEIRA DE FREITAS II</t>
        </is>
      </c>
      <c r="E397" s="62" t="inlineStr">
        <is>
          <t>TEIXEIRA DE FREITAS</t>
        </is>
      </c>
      <c r="F397" s="61" t="inlineStr">
        <is>
          <t>ILHÉUS</t>
        </is>
      </c>
      <c r="G397" s="60" t="inlineStr">
        <is>
          <t>BA</t>
        </is>
      </c>
      <c r="H397" s="119" t="n">
        <v>45505</v>
      </c>
      <c r="I397" s="119">
        <f>H397-180</f>
        <v/>
      </c>
      <c r="J397" s="60">
        <f>SUM(L397:AE397)</f>
        <v/>
      </c>
      <c r="K397" s="60">
        <f>SUM(AF397:AJ397)</f>
        <v/>
      </c>
      <c r="L397" s="60" t="n"/>
      <c r="M397" s="60" t="n"/>
      <c r="N397" s="60" t="n"/>
      <c r="O397" s="60" t="n"/>
      <c r="P397" s="60" t="n"/>
      <c r="Q397" s="60" t="n">
        <v>8</v>
      </c>
      <c r="R397" s="60" t="n"/>
      <c r="S397" s="60" t="n"/>
      <c r="T397" s="60" t="n">
        <v>2</v>
      </c>
      <c r="U397" s="60" t="n"/>
      <c r="V397" s="60" t="n">
        <v>1</v>
      </c>
      <c r="W397" s="60" t="n"/>
      <c r="X397" s="60" t="n"/>
      <c r="Y397" s="60" t="n"/>
      <c r="Z397" s="60" t="n"/>
      <c r="AA397" s="60" t="n">
        <v>3</v>
      </c>
      <c r="AB397" s="60" t="n"/>
      <c r="AC397" s="60" t="n"/>
      <c r="AD397" s="60" t="n"/>
      <c r="AE397" s="60" t="n"/>
      <c r="AF397" s="60" t="n"/>
      <c r="AG397" s="60" t="n"/>
      <c r="AH397" s="60" t="n"/>
      <c r="AI397" s="60" t="n"/>
      <c r="AJ397" s="60" t="n"/>
      <c r="AK397" s="120">
        <f>IF(L397&gt;0,L397*90.44,0)+IF(M397&gt;0,M397*348.12,0)+IF(N397&gt;0,N397*151.63,0)+IF(O397&gt;0,O397*197.82,0)+IF(P397&gt;0,P397*244.09,0)+IF(Q397&gt;0,Q397*315.35,0)+IF(R397&gt;0,R397*1067.3,0)+IF(T397&gt;0,T397*567.47,0)+IF(U397&gt;0,U397*151.63,0)+IF(V397&gt;0,V397*197.84,0)+IF(W397&gt;0,W397*470.51,0)+IF(X397&gt;0,X397*701.69,0)+IF(Z397&gt;0,Z397*151.63,0)+IF(AA397&gt;0,AA397*197.84)+IF(AB397&gt;0,AB397*308.4,0)+IF(AC397&gt;0,AC397*496.16,0)</f>
        <v/>
      </c>
    </row>
    <row r="398">
      <c r="A398" s="58" t="inlineStr">
        <is>
          <t>SIM</t>
        </is>
      </c>
      <c r="B398" s="59">
        <f>IF(H398&lt;$B$1,"VENCIDO","NA VALIDADE")</f>
        <v/>
      </c>
      <c r="C398" s="60" t="inlineStr">
        <is>
          <t>SUBESTAÇÃO</t>
        </is>
      </c>
      <c r="D398" s="61" t="inlineStr">
        <is>
          <t>SE QUEIMADAS</t>
        </is>
      </c>
      <c r="E398" s="62" t="inlineStr">
        <is>
          <t>QUEIMADAS</t>
        </is>
      </c>
      <c r="F398" s="61" t="inlineStr">
        <is>
          <t>FEIRA DE  SANTANA</t>
        </is>
      </c>
      <c r="G398" s="60" t="inlineStr">
        <is>
          <t>BA</t>
        </is>
      </c>
      <c r="H398" s="119" t="n">
        <v>45352</v>
      </c>
      <c r="I398" s="119">
        <f>H398-180</f>
        <v/>
      </c>
      <c r="J398" s="60">
        <f>SUM(L398:AE398)</f>
        <v/>
      </c>
      <c r="K398" s="60">
        <f>SUM(AF398:AJ398)</f>
        <v/>
      </c>
      <c r="L398" s="60" t="n"/>
      <c r="M398" s="60" t="n"/>
      <c r="N398" s="60" t="n"/>
      <c r="O398" s="60" t="n"/>
      <c r="P398" s="60" t="n">
        <v>1</v>
      </c>
      <c r="Q398" s="60" t="n">
        <v>1</v>
      </c>
      <c r="R398" s="60" t="n"/>
      <c r="S398" s="60" t="n"/>
      <c r="T398" s="60" t="n">
        <v>1</v>
      </c>
      <c r="U398" s="60" t="n"/>
      <c r="V398" s="60" t="n"/>
      <c r="W398" s="60" t="n"/>
      <c r="X398" s="60" t="n"/>
      <c r="Y398" s="60" t="n"/>
      <c r="Z398" s="60" t="n"/>
      <c r="AA398" s="60" t="n"/>
      <c r="AB398" s="60" t="n"/>
      <c r="AC398" s="60" t="n"/>
      <c r="AD398" s="60" t="n"/>
      <c r="AE398" s="60" t="n"/>
      <c r="AF398" s="60" t="n"/>
      <c r="AG398" s="60" t="n"/>
      <c r="AH398" s="60" t="n"/>
      <c r="AI398" s="60" t="n"/>
      <c r="AJ398" s="60" t="n"/>
      <c r="AK398" s="120">
        <f>IF(L398&gt;0,L398*90.44,0)+IF(M398&gt;0,M398*348.12,0)+IF(N398&gt;0,N398*151.63,0)+IF(O398&gt;0,O398*197.82,0)+IF(P398&gt;0,P398*244.09,0)+IF(Q398&gt;0,Q398*315.35,0)+IF(R398&gt;0,R398*1067.3,0)+IF(T398&gt;0,T398*567.47,0)+IF(U398&gt;0,U398*151.63,0)+IF(V398&gt;0,V398*197.84,0)+IF(W398&gt;0,W398*470.51,0)+IF(X398&gt;0,X398*701.69,0)+IF(Z398&gt;0,Z398*151.63,0)+IF(AA398&gt;0,AA398*197.84)+IF(AB398&gt;0,AB398*308.4,0)+IF(AC398&gt;0,AC398*496.16,0)</f>
        <v/>
      </c>
    </row>
    <row r="399">
      <c r="A399" s="58" t="inlineStr">
        <is>
          <t>SIM</t>
        </is>
      </c>
      <c r="B399" s="59">
        <f>IF(H399&lt;$B$1,"VENCIDO","NA VALIDADE")</f>
        <v/>
      </c>
      <c r="C399" s="60" t="inlineStr">
        <is>
          <t>SUBESTAÇÃO</t>
        </is>
      </c>
      <c r="D399" s="61" t="inlineStr">
        <is>
          <t>SE QUEIMADAS II</t>
        </is>
      </c>
      <c r="E399" s="62" t="inlineStr">
        <is>
          <t>QUEIMADAS</t>
        </is>
      </c>
      <c r="F399" s="61" t="inlineStr">
        <is>
          <t>FEIRA DE  SANTANA</t>
        </is>
      </c>
      <c r="G399" s="60" t="inlineStr">
        <is>
          <t>BA</t>
        </is>
      </c>
      <c r="H399" s="119" t="n">
        <v>45597</v>
      </c>
      <c r="I399" s="119">
        <f>H399-180</f>
        <v/>
      </c>
      <c r="J399" s="60">
        <f>SUM(L399:AE399)</f>
        <v/>
      </c>
      <c r="K399" s="60">
        <f>SUM(AF399:AJ399)</f>
        <v/>
      </c>
      <c r="L399" s="60" t="n"/>
      <c r="M399" s="60" t="n"/>
      <c r="N399" s="60" t="n"/>
      <c r="O399" s="60" t="n"/>
      <c r="P399" s="60" t="n">
        <v>1</v>
      </c>
      <c r="Q399" s="60" t="n">
        <v>1</v>
      </c>
      <c r="R399" s="60" t="n"/>
      <c r="S399" s="60" t="n"/>
      <c r="T399" s="60" t="n">
        <v>1</v>
      </c>
      <c r="U399" s="60" t="n"/>
      <c r="V399" s="60" t="n"/>
      <c r="W399" s="60" t="n"/>
      <c r="X399" s="60" t="n"/>
      <c r="Y399" s="60" t="n"/>
      <c r="Z399" s="60" t="n"/>
      <c r="AA399" s="60" t="n">
        <v>2</v>
      </c>
      <c r="AB399" s="60" t="n"/>
      <c r="AC399" s="60" t="n"/>
      <c r="AD399" s="60" t="n"/>
      <c r="AE399" s="60" t="n"/>
      <c r="AF399" s="60" t="n"/>
      <c r="AG399" s="60" t="n"/>
      <c r="AH399" s="60" t="n"/>
      <c r="AI399" s="60" t="n"/>
      <c r="AJ399" s="60" t="n"/>
      <c r="AK399" s="120">
        <f>IF(L399&gt;0,L399*90.44,0)+IF(M399&gt;0,M399*348.12,0)+IF(N399&gt;0,N399*151.63,0)+IF(O399&gt;0,O399*197.82,0)+IF(P399&gt;0,P399*244.09,0)+IF(Q399&gt;0,Q399*315.35,0)+IF(R399&gt;0,R399*1067.3,0)+IF(T399&gt;0,T399*567.47,0)+IF(U399&gt;0,U399*151.63,0)+IF(V399&gt;0,V399*197.84,0)+IF(W399&gt;0,W399*470.51,0)+IF(X399&gt;0,X399*701.69,0)+IF(Z399&gt;0,Z399*151.63,0)+IF(AA399&gt;0,AA399*197.84)+IF(AB399&gt;0,AB399*308.4,0)+IF(AC399&gt;0,AC399*496.16,0)</f>
        <v/>
      </c>
    </row>
    <row r="400">
      <c r="A400" s="58" t="inlineStr">
        <is>
          <t>SIM</t>
        </is>
      </c>
      <c r="B400" s="59">
        <f>IF(H400&lt;$B$1,"VENCIDO","NA VALIDADE")</f>
        <v/>
      </c>
      <c r="C400" s="60" t="inlineStr">
        <is>
          <t>SUBESTAÇÃO</t>
        </is>
      </c>
      <c r="D400" s="61" t="inlineStr">
        <is>
          <t>SE RAFAEL JAMBEIRO</t>
        </is>
      </c>
      <c r="E400" s="62" t="inlineStr">
        <is>
          <t>RAFAEL JAMBEIRO</t>
        </is>
      </c>
      <c r="F400" s="61" t="inlineStr">
        <is>
          <t>FEIRA DE  SANTANA</t>
        </is>
      </c>
      <c r="G400" s="60" t="inlineStr">
        <is>
          <t>BA</t>
        </is>
      </c>
      <c r="H400" s="119" t="n">
        <v>45383</v>
      </c>
      <c r="I400" s="119" t="n">
        <v>45383</v>
      </c>
      <c r="J400" s="60">
        <f>SUM(L400:AE400)</f>
        <v/>
      </c>
      <c r="K400" s="60">
        <f>SUM(AF400:AJ400)</f>
        <v/>
      </c>
      <c r="L400" s="60" t="n"/>
      <c r="M400" s="60" t="n"/>
      <c r="N400" s="60" t="n"/>
      <c r="O400" s="60" t="n"/>
      <c r="P400" s="60" t="n"/>
      <c r="Q400" s="60" t="n">
        <v>1</v>
      </c>
      <c r="R400" s="60" t="n"/>
      <c r="S400" s="60" t="n"/>
      <c r="T400" s="60" t="n"/>
      <c r="U400" s="60" t="n"/>
      <c r="V400" s="60" t="n"/>
      <c r="W400" s="60" t="n"/>
      <c r="X400" s="60" t="n"/>
      <c r="Y400" s="60" t="n"/>
      <c r="Z400" s="60" t="n"/>
      <c r="AA400" s="60" t="n">
        <v>1</v>
      </c>
      <c r="AB400" s="60" t="n"/>
      <c r="AC400" s="60" t="n"/>
      <c r="AD400" s="60" t="n"/>
      <c r="AE400" s="60" t="n"/>
      <c r="AF400" s="60" t="n"/>
      <c r="AG400" s="60" t="n"/>
      <c r="AH400" s="60" t="n"/>
      <c r="AI400" s="60" t="n"/>
      <c r="AJ400" s="60" t="n"/>
      <c r="AK400" s="120">
        <f>IF(L400&gt;0,L400*90.44,0)+IF(M400&gt;0,M400*348.12,0)+IF(N400&gt;0,N400*151.63,0)+IF(O400&gt;0,O400*197.82,0)+IF(P400&gt;0,P400*244.09,0)+IF(Q400&gt;0,Q400*315.35,0)+IF(R400&gt;0,R400*1067.3,0)+IF(T400&gt;0,T400*567.47,0)+IF(U400&gt;0,U400*151.63,0)+IF(V400&gt;0,V400*197.84,0)+IF(W400&gt;0,W400*470.51,0)+IF(X400&gt;0,X400*701.69,0)+IF(Z400&gt;0,Z400*151.63,0)+IF(AA400&gt;0,AA400*197.84)+IF(AB400&gt;0,AB400*308.4,0)+IF(AC400&gt;0,AC400*496.16,0)</f>
        <v/>
      </c>
    </row>
    <row r="401">
      <c r="A401" s="58" t="inlineStr">
        <is>
          <t>SIM</t>
        </is>
      </c>
      <c r="B401" s="59">
        <f>IF(H401&lt;$B$1,"VENCIDO","NA VALIDADE")</f>
        <v/>
      </c>
      <c r="C401" s="60" t="inlineStr">
        <is>
          <t>SUBESTAÇÃO</t>
        </is>
      </c>
      <c r="D401" s="61" t="inlineStr">
        <is>
          <t>SE RANGEL</t>
        </is>
      </c>
      <c r="E401" s="62" t="inlineStr">
        <is>
          <t>ANTAS</t>
        </is>
      </c>
      <c r="F401" s="61" t="inlineStr">
        <is>
          <t>FEIRA DE  SANTANA</t>
        </is>
      </c>
      <c r="G401" s="60" t="inlineStr">
        <is>
          <t>BA</t>
        </is>
      </c>
      <c r="H401" s="119" t="n">
        <v>45352</v>
      </c>
      <c r="I401" s="119" t="n">
        <v>45352</v>
      </c>
      <c r="J401" s="60">
        <f>SUM(L401:AE401)</f>
        <v/>
      </c>
      <c r="K401" s="60">
        <f>SUM(AF401:AJ401)</f>
        <v/>
      </c>
      <c r="L401" s="60" t="n"/>
      <c r="M401" s="60" t="n"/>
      <c r="N401" s="60" t="n"/>
      <c r="O401" s="60" t="n"/>
      <c r="P401" s="60" t="n">
        <v>1</v>
      </c>
      <c r="Q401" s="60" t="n"/>
      <c r="R401" s="60" t="n"/>
      <c r="S401" s="60" t="n"/>
      <c r="T401" s="60" t="n"/>
      <c r="U401" s="60" t="n"/>
      <c r="V401" s="60" t="n"/>
      <c r="W401" s="60" t="n"/>
      <c r="X401" s="60" t="n"/>
      <c r="Y401" s="60" t="n"/>
      <c r="Z401" s="60" t="n"/>
      <c r="AA401" s="60" t="n">
        <v>1</v>
      </c>
      <c r="AB401" s="60" t="n"/>
      <c r="AC401" s="60" t="n"/>
      <c r="AD401" s="60" t="n"/>
      <c r="AE401" s="60" t="n"/>
      <c r="AF401" s="60" t="n"/>
      <c r="AG401" s="60" t="n"/>
      <c r="AH401" s="60" t="n"/>
      <c r="AI401" s="60" t="n"/>
      <c r="AJ401" s="60" t="n"/>
      <c r="AK401" s="120">
        <f>IF(L401&gt;0,L401*90.44,0)+IF(M401&gt;0,M401*348.12,0)+IF(N401&gt;0,N401*151.63,0)+IF(O401&gt;0,O401*197.82,0)+IF(P401&gt;0,P401*244.09,0)+IF(Q401&gt;0,Q401*315.35,0)+IF(R401&gt;0,R401*1067.3,0)+IF(T401&gt;0,T401*567.47,0)+IF(U401&gt;0,U401*151.63,0)+IF(V401&gt;0,V401*197.84,0)+IF(W401&gt;0,W401*470.51,0)+IF(X401&gt;0,X401*701.69,0)+IF(Z401&gt;0,Z401*151.63,0)+IF(AA401&gt;0,AA401*197.84)+IF(AB401&gt;0,AB401*308.4,0)+IF(AC401&gt;0,AC401*496.16,0)</f>
        <v/>
      </c>
    </row>
    <row r="402">
      <c r="A402" s="58" t="inlineStr">
        <is>
          <t>SIM</t>
        </is>
      </c>
      <c r="B402" s="59">
        <f>IF(H402&lt;$B$1,"VENCIDO","NA VALIDADE")</f>
        <v/>
      </c>
      <c r="C402" s="60" t="inlineStr">
        <is>
          <t>SUBESTAÇÃO</t>
        </is>
      </c>
      <c r="D402" s="61" t="inlineStr">
        <is>
          <t>SE REMANSO</t>
        </is>
      </c>
      <c r="E402" s="62" t="inlineStr">
        <is>
          <t>REMANSO</t>
        </is>
      </c>
      <c r="F402" s="61" t="inlineStr">
        <is>
          <t>FEIRA DE  SANTANA</t>
        </is>
      </c>
      <c r="G402" s="60" t="inlineStr">
        <is>
          <t>BA</t>
        </is>
      </c>
      <c r="H402" s="119" t="n">
        <v>45474</v>
      </c>
      <c r="I402" s="119">
        <f>H402-180</f>
        <v/>
      </c>
      <c r="J402" s="60">
        <f>SUM(L402:AE402)</f>
        <v/>
      </c>
      <c r="K402" s="60">
        <f>SUM(AF402:AJ402)</f>
        <v/>
      </c>
      <c r="L402" s="60" t="n"/>
      <c r="M402" s="60" t="n"/>
      <c r="N402" s="60" t="n"/>
      <c r="O402" s="60" t="n"/>
      <c r="P402" s="60" t="n"/>
      <c r="Q402" s="60" t="n">
        <v>7</v>
      </c>
      <c r="R402" s="60" t="n"/>
      <c r="S402" s="60" t="n"/>
      <c r="T402" s="60" t="n">
        <v>2</v>
      </c>
      <c r="U402" s="60" t="n"/>
      <c r="V402" s="60" t="n"/>
      <c r="W402" s="60" t="n"/>
      <c r="X402" s="60" t="n"/>
      <c r="Y402" s="60" t="n"/>
      <c r="Z402" s="60" t="n"/>
      <c r="AA402" s="60" t="n">
        <v>1</v>
      </c>
      <c r="AB402" s="60" t="n"/>
      <c r="AC402" s="60" t="n"/>
      <c r="AD402" s="60" t="n"/>
      <c r="AE402" s="60" t="n"/>
      <c r="AF402" s="60" t="n"/>
      <c r="AG402" s="60" t="n"/>
      <c r="AH402" s="60" t="n"/>
      <c r="AI402" s="60" t="n"/>
      <c r="AJ402" s="60" t="n"/>
      <c r="AK402" s="120">
        <f>IF(L402&gt;0,L402*90.44,0)+IF(M402&gt;0,M402*348.12,0)+IF(N402&gt;0,N402*151.63,0)+IF(O402&gt;0,O402*197.82,0)+IF(P402&gt;0,P402*244.09,0)+IF(Q402&gt;0,Q402*315.35,0)+IF(R402&gt;0,R402*1067.3,0)+IF(T402&gt;0,T402*567.47,0)+IF(U402&gt;0,U402*151.63,0)+IF(V402&gt;0,V402*197.84,0)+IF(W402&gt;0,W402*470.51,0)+IF(X402&gt;0,X402*701.69,0)+IF(Z402&gt;0,Z402*151.63,0)+IF(AA402&gt;0,AA402*197.84)+IF(AB402&gt;0,AB402*308.4,0)+IF(AC402&gt;0,AC402*496.16,0)</f>
        <v/>
      </c>
    </row>
    <row r="403">
      <c r="A403" s="58" t="n"/>
      <c r="B403" s="59">
        <f>IF(H403&lt;$B$1,"VENCIDO","NA VALIDADE")</f>
        <v/>
      </c>
      <c r="C403" s="60" t="inlineStr">
        <is>
          <t>SUBESTAÇÃO</t>
        </is>
      </c>
      <c r="D403" s="61" t="inlineStr">
        <is>
          <t>SE RETIRO</t>
        </is>
      </c>
      <c r="E403" s="62" t="inlineStr">
        <is>
          <t>SALVADOR</t>
        </is>
      </c>
      <c r="F403" s="61" t="inlineStr">
        <is>
          <t>FEIRA DE  SANTANA</t>
        </is>
      </c>
      <c r="G403" s="60" t="inlineStr">
        <is>
          <t>BA</t>
        </is>
      </c>
      <c r="H403" s="119" t="n">
        <v>45474</v>
      </c>
      <c r="I403" s="119">
        <f>H403-180</f>
        <v/>
      </c>
      <c r="J403" s="60">
        <f>SUM(L403:AE403)</f>
        <v/>
      </c>
      <c r="K403" s="60">
        <f>SUM(AF403:AJ403)</f>
        <v/>
      </c>
      <c r="L403" s="60" t="n"/>
      <c r="M403" s="60" t="n"/>
      <c r="N403" s="60" t="n"/>
      <c r="O403" s="60" t="n">
        <v>2</v>
      </c>
      <c r="P403" s="60" t="n"/>
      <c r="Q403" s="60" t="n"/>
      <c r="R403" s="60" t="n"/>
      <c r="S403" s="60" t="n"/>
      <c r="T403" s="60" t="n"/>
      <c r="U403" s="60" t="n"/>
      <c r="V403" s="60" t="n"/>
      <c r="W403" s="60" t="n"/>
      <c r="X403" s="60" t="n">
        <v>1</v>
      </c>
      <c r="Y403" s="60" t="n"/>
      <c r="Z403" s="60" t="n"/>
      <c r="AA403" s="60" t="n">
        <v>2</v>
      </c>
      <c r="AB403" s="60" t="n"/>
      <c r="AC403" s="60" t="n"/>
      <c r="AD403" s="60" t="n"/>
      <c r="AE403" s="60" t="n"/>
      <c r="AF403" s="60" t="n"/>
      <c r="AG403" s="60" t="n"/>
      <c r="AH403" s="60" t="n"/>
      <c r="AI403" s="60" t="n"/>
      <c r="AJ403" s="60" t="n"/>
      <c r="AK403" s="120">
        <f>IF(L403&gt;0,L403*90.44,0)+IF(M403&gt;0,M403*348.12,0)+IF(N403&gt;0,N403*151.63,0)+IF(O403&gt;0,O403*197.82,0)+IF(P403&gt;0,P403*244.09,0)+IF(Q403&gt;0,Q403*315.35,0)+IF(R403&gt;0,R403*1067.3,0)+IF(T403&gt;0,T403*567.47,0)+IF(U403&gt;0,U403*151.63,0)+IF(V403&gt;0,V403*197.84,0)+IF(W403&gt;0,W403*470.51,0)+IF(X403&gt;0,X403*701.69,0)+IF(Z403&gt;0,Z403*151.63,0)+IF(AA403&gt;0,AA403*197.84)+IF(AB403&gt;0,AB403*308.4,0)+IF(AC403&gt;0,AC403*496.16,0)</f>
        <v/>
      </c>
    </row>
    <row r="404" hidden="1">
      <c r="A404" s="58" t="inlineStr">
        <is>
          <t>rota</t>
        </is>
      </c>
      <c r="B404" s="59">
        <f>IF(H404&lt;$B$1,"VENCIDO","NA VALIDADE")</f>
        <v/>
      </c>
      <c r="C404" s="60" t="inlineStr">
        <is>
          <t>SUBESTAÇÃO</t>
        </is>
      </c>
      <c r="D404" s="61" t="inlineStr">
        <is>
          <t>SE RIACHÃO DAS NEVES</t>
        </is>
      </c>
      <c r="E404" s="62" t="inlineStr">
        <is>
          <t>RIACHÃO DAS NEVES</t>
        </is>
      </c>
      <c r="F404" s="61" t="inlineStr">
        <is>
          <t>VITÓRIA DA CONQUISTA</t>
        </is>
      </c>
      <c r="G404" s="60" t="inlineStr">
        <is>
          <t>BA</t>
        </is>
      </c>
      <c r="H404" s="119" t="n">
        <v>45597</v>
      </c>
      <c r="I404" s="119">
        <f>H404-180</f>
        <v/>
      </c>
      <c r="J404" s="60">
        <f>SUM(L404:AE404)</f>
        <v/>
      </c>
      <c r="K404" s="60">
        <f>SUM(AF404:AJ404)</f>
        <v/>
      </c>
      <c r="L404" s="60" t="n"/>
      <c r="M404" s="60" t="n"/>
      <c r="N404" s="60" t="n"/>
      <c r="O404" s="60" t="n"/>
      <c r="P404" s="60" t="n"/>
      <c r="Q404" s="60" t="n">
        <v>2</v>
      </c>
      <c r="R404" s="60" t="n"/>
      <c r="S404" s="60" t="n"/>
      <c r="T404" s="60" t="n">
        <v>1</v>
      </c>
      <c r="U404" s="60" t="n"/>
      <c r="V404" s="60" t="n"/>
      <c r="W404" s="60" t="n"/>
      <c r="X404" s="60" t="n"/>
      <c r="Y404" s="60" t="n"/>
      <c r="Z404" s="60" t="n"/>
      <c r="AA404" s="60" t="n">
        <v>1</v>
      </c>
      <c r="AB404" s="60" t="n"/>
      <c r="AC404" s="60" t="n"/>
      <c r="AD404" s="60" t="n"/>
      <c r="AE404" s="60" t="n"/>
      <c r="AF404" s="60" t="n"/>
      <c r="AG404" s="60" t="n"/>
      <c r="AH404" s="60" t="n"/>
      <c r="AI404" s="60" t="n"/>
      <c r="AJ404" s="60" t="n"/>
      <c r="AK404" s="120">
        <f>IF(L404&gt;0,L404*90.44,0)+IF(M404&gt;0,M404*348.12,0)+IF(N404&gt;0,N404*151.63,0)+IF(O404&gt;0,O404*197.82,0)+IF(P404&gt;0,P404*244.09,0)+IF(Q404&gt;0,Q404*315.35,0)+IF(R404&gt;0,R404*1067.3,0)+IF(T404&gt;0,T404*567.47,0)+IF(U404&gt;0,U404*151.63,0)+IF(V404&gt;0,V404*197.84,0)+IF(W404&gt;0,W404*470.51,0)+IF(X404&gt;0,X404*701.69,0)+IF(Z404&gt;0,Z404*151.63,0)+IF(AA404&gt;0,AA404*197.84)+IF(AB404&gt;0,AB404*308.4,0)+IF(AC404&gt;0,AC404*496.16,0)</f>
        <v/>
      </c>
    </row>
    <row r="405">
      <c r="A405" s="58" t="inlineStr">
        <is>
          <t>SIM</t>
        </is>
      </c>
      <c r="B405" s="59">
        <f>IF(H405&lt;$B$1,"VENCIDO","NA VALIDADE")</f>
        <v/>
      </c>
      <c r="C405" s="60" t="inlineStr">
        <is>
          <t>SUBESTAÇÃO</t>
        </is>
      </c>
      <c r="D405" s="61" t="inlineStr">
        <is>
          <t>SE RIACHÃO DO JACUIPE</t>
        </is>
      </c>
      <c r="E405" s="62" t="inlineStr">
        <is>
          <t>RIACHÃO DO JACUÍPE</t>
        </is>
      </c>
      <c r="F405" s="61" t="inlineStr">
        <is>
          <t>FEIRA DE  SANTANA</t>
        </is>
      </c>
      <c r="G405" s="60" t="inlineStr">
        <is>
          <t>BA</t>
        </is>
      </c>
      <c r="H405" s="119" t="n">
        <v>45566</v>
      </c>
      <c r="I405" s="119">
        <f>H405-180</f>
        <v/>
      </c>
      <c r="J405" s="60">
        <f>SUM(L405:AE405)</f>
        <v/>
      </c>
      <c r="K405" s="60">
        <f>SUM(AF405:AJ405)</f>
        <v/>
      </c>
      <c r="L405" s="60" t="n"/>
      <c r="M405" s="60" t="n"/>
      <c r="N405" s="60" t="n"/>
      <c r="O405" s="60" t="n"/>
      <c r="P405" s="60" t="n"/>
      <c r="Q405" s="60" t="n">
        <v>3</v>
      </c>
      <c r="R405" s="60" t="n"/>
      <c r="S405" s="60" t="n"/>
      <c r="T405" s="60" t="n">
        <v>1</v>
      </c>
      <c r="U405" s="60" t="n"/>
      <c r="V405" s="60" t="n"/>
      <c r="W405" s="60" t="n"/>
      <c r="X405" s="60" t="n"/>
      <c r="Y405" s="60" t="n"/>
      <c r="Z405" s="60" t="n"/>
      <c r="AA405" s="60" t="n">
        <v>1</v>
      </c>
      <c r="AB405" s="60" t="n"/>
      <c r="AC405" s="60" t="n"/>
      <c r="AD405" s="60" t="n"/>
      <c r="AE405" s="60" t="n"/>
      <c r="AF405" s="60" t="n"/>
      <c r="AG405" s="60" t="n"/>
      <c r="AH405" s="60" t="n"/>
      <c r="AI405" s="60" t="n"/>
      <c r="AJ405" s="60" t="n"/>
      <c r="AK405" s="120">
        <f>IF(L405&gt;0,L405*90.44,0)+IF(M405&gt;0,M405*348.12,0)+IF(N405&gt;0,N405*151.63,0)+IF(O405&gt;0,O405*197.82,0)+IF(P405&gt;0,P405*244.09,0)+IF(Q405&gt;0,Q405*315.35,0)+IF(R405&gt;0,R405*1067.3,0)+IF(T405&gt;0,T405*567.47,0)+IF(U405&gt;0,U405*151.63,0)+IF(V405&gt;0,V405*197.84,0)+IF(W405&gt;0,W405*470.51,0)+IF(X405&gt;0,X405*701.69,0)+IF(Z405&gt;0,Z405*151.63,0)+IF(AA405&gt;0,AA405*197.84)+IF(AB405&gt;0,AB405*308.4,0)+IF(AC405&gt;0,AC405*496.16,0)</f>
        <v/>
      </c>
    </row>
    <row r="406" hidden="1">
      <c r="A406" s="58" t="n"/>
      <c r="B406" s="59">
        <f>IF(H406&lt;$B$1,"VENCIDO","NA VALIDADE")</f>
        <v/>
      </c>
      <c r="C406" s="60" t="inlineStr">
        <is>
          <t>SUBESTAÇÃO</t>
        </is>
      </c>
      <c r="D406" s="61" t="inlineStr">
        <is>
          <t>SE RIACHO DE SANTANA</t>
        </is>
      </c>
      <c r="E406" s="62" t="inlineStr">
        <is>
          <t>RIACHO DE SANTANA</t>
        </is>
      </c>
      <c r="F406" s="61" t="inlineStr">
        <is>
          <t>VITÓRIA DA CONQUISTA</t>
        </is>
      </c>
      <c r="G406" s="60" t="inlineStr">
        <is>
          <t>BA</t>
        </is>
      </c>
      <c r="H406" s="119" t="n">
        <v>45536</v>
      </c>
      <c r="I406" s="119">
        <f>H406-180</f>
        <v/>
      </c>
      <c r="J406" s="60">
        <f>SUM(L406:AE406)</f>
        <v/>
      </c>
      <c r="K406" s="60">
        <f>SUM(AF406:AJ406)</f>
        <v/>
      </c>
      <c r="L406" s="60" t="n"/>
      <c r="M406" s="60" t="n"/>
      <c r="N406" s="60" t="n"/>
      <c r="O406" s="60" t="n"/>
      <c r="P406" s="60" t="n"/>
      <c r="Q406" s="60" t="n">
        <v>1</v>
      </c>
      <c r="R406" s="60" t="n"/>
      <c r="S406" s="60" t="n"/>
      <c r="T406" s="60" t="n"/>
      <c r="U406" s="60" t="n"/>
      <c r="V406" s="60" t="n"/>
      <c r="W406" s="60" t="n"/>
      <c r="X406" s="60" t="n"/>
      <c r="Y406" s="60" t="n"/>
      <c r="Z406" s="60" t="n"/>
      <c r="AA406" s="60" t="n">
        <v>1</v>
      </c>
      <c r="AB406" s="60" t="n"/>
      <c r="AC406" s="60" t="n"/>
      <c r="AD406" s="60" t="n"/>
      <c r="AE406" s="60" t="n"/>
      <c r="AF406" s="60" t="n"/>
      <c r="AG406" s="60" t="n"/>
      <c r="AH406" s="60" t="n"/>
      <c r="AI406" s="60" t="n"/>
      <c r="AJ406" s="60" t="n"/>
      <c r="AK406" s="120">
        <f>IF(L406&gt;0,L406*90.44,0)+IF(M406&gt;0,M406*348.12,0)+IF(N406&gt;0,N406*151.63,0)+IF(O406&gt;0,O406*197.82,0)+IF(P406&gt;0,P406*244.09,0)+IF(Q406&gt;0,Q406*315.35,0)+IF(R406&gt;0,R406*1067.3,0)+IF(T406&gt;0,T406*567.47,0)+IF(U406&gt;0,U406*151.63,0)+IF(V406&gt;0,V406*197.84,0)+IF(W406&gt;0,W406*470.51,0)+IF(X406&gt;0,X406*701.69,0)+IF(Z406&gt;0,Z406*151.63,0)+IF(AA406&gt;0,AA406*197.84)+IF(AB406&gt;0,AB406*308.4,0)+IF(AC406&gt;0,AC406*496.16,0)</f>
        <v/>
      </c>
    </row>
    <row r="407">
      <c r="A407" s="58" t="n"/>
      <c r="B407" s="59">
        <f>IF(H407&lt;$B$1,"VENCIDO","NA VALIDADE")</f>
        <v/>
      </c>
      <c r="C407" s="60" t="inlineStr">
        <is>
          <t>SUBESTAÇÃO</t>
        </is>
      </c>
      <c r="D407" s="66" t="inlineStr">
        <is>
          <t>SE RIBEIRA DO POMBAL III</t>
        </is>
      </c>
      <c r="E407" s="62" t="inlineStr">
        <is>
          <t>RIBEIRA DO POMBAL</t>
        </is>
      </c>
      <c r="F407" s="61" t="inlineStr">
        <is>
          <t>FEIRA DE  SANTANA</t>
        </is>
      </c>
      <c r="G407" s="60" t="inlineStr">
        <is>
          <t>BA</t>
        </is>
      </c>
      <c r="H407" s="119" t="n">
        <v>45444</v>
      </c>
      <c r="I407" s="119">
        <f>H407-180</f>
        <v/>
      </c>
      <c r="J407" s="60">
        <f>SUM(L407:AE407)</f>
        <v/>
      </c>
      <c r="K407" s="60">
        <f>SUM(AF407:AJ407)</f>
        <v/>
      </c>
      <c r="L407" s="60" t="n"/>
      <c r="M407" s="60" t="n"/>
      <c r="N407" s="60" t="n"/>
      <c r="O407" s="60" t="n"/>
      <c r="P407" s="60" t="n"/>
      <c r="Q407" s="60" t="n">
        <v>3</v>
      </c>
      <c r="R407" s="60" t="n"/>
      <c r="S407" s="60" t="n"/>
      <c r="T407" s="60" t="n">
        <v>1</v>
      </c>
      <c r="U407" s="60" t="n"/>
      <c r="V407" s="60" t="n"/>
      <c r="W407" s="60" t="n"/>
      <c r="X407" s="60" t="n"/>
      <c r="Y407" s="60" t="n"/>
      <c r="Z407" s="60" t="n"/>
      <c r="AA407" s="60" t="n"/>
      <c r="AB407" s="60" t="n"/>
      <c r="AC407" s="60" t="n"/>
      <c r="AD407" s="60" t="n"/>
      <c r="AE407" s="60" t="n"/>
      <c r="AF407" s="60" t="n"/>
      <c r="AG407" s="60" t="n"/>
      <c r="AH407" s="60" t="n"/>
      <c r="AI407" s="60" t="n"/>
      <c r="AJ407" s="60" t="n"/>
      <c r="AK407" s="120">
        <f>IF(L407&gt;0,L407*90.44,0)+IF(M407&gt;0,M407*348.12,0)+IF(N407&gt;0,N407*151.63,0)+IF(O407&gt;0,O407*197.82,0)+IF(P407&gt;0,P407*244.09,0)+IF(Q407&gt;0,Q407*315.35,0)+IF(R407&gt;0,R407*1067.3,0)+IF(T407&gt;0,T407*567.47,0)+IF(U407&gt;0,U407*151.63,0)+IF(V407&gt;0,V407*197.84,0)+IF(W407&gt;0,W407*470.51,0)+IF(X407&gt;0,X407*701.69,0)+IF(Z407&gt;0,Z407*151.63,0)+IF(AA407&gt;0,AA407*197.84)+IF(AB407&gt;0,AB407*308.4,0)+IF(AC407&gt;0,AC407*496.16,0)</f>
        <v/>
      </c>
    </row>
    <row r="408" hidden="1">
      <c r="A408" s="58" t="inlineStr">
        <is>
          <t>SIM</t>
        </is>
      </c>
      <c r="B408" s="59">
        <f>IF(H408&lt;$B$1,"VENCIDO","NA VALIDADE")</f>
        <v/>
      </c>
      <c r="C408" s="60" t="inlineStr">
        <is>
          <t>SUBESTAÇÃO</t>
        </is>
      </c>
      <c r="D408" s="61" t="inlineStr">
        <is>
          <t>SE RIO BRANCO</t>
        </is>
      </c>
      <c r="E408" s="62" t="inlineStr">
        <is>
          <t>BARREIRAS</t>
        </is>
      </c>
      <c r="F408" s="61" t="inlineStr">
        <is>
          <t>VITÓRIA DA CONQUISTA</t>
        </is>
      </c>
      <c r="G408" s="60" t="inlineStr">
        <is>
          <t>BA</t>
        </is>
      </c>
      <c r="H408" s="119" t="n">
        <v>45566</v>
      </c>
      <c r="I408" s="119">
        <f>H408-180</f>
        <v/>
      </c>
      <c r="J408" s="60">
        <f>SUM(L408:AE408)</f>
        <v/>
      </c>
      <c r="K408" s="60">
        <f>SUM(AF408:AJ408)</f>
        <v/>
      </c>
      <c r="L408" s="60" t="n"/>
      <c r="M408" s="60" t="n"/>
      <c r="N408" s="60" t="n"/>
      <c r="O408" s="60" t="n"/>
      <c r="P408" s="60" t="n"/>
      <c r="Q408" s="60" t="n">
        <v>2</v>
      </c>
      <c r="R408" s="60" t="n"/>
      <c r="S408" s="60" t="n"/>
      <c r="T408" s="60" t="n"/>
      <c r="U408" s="60" t="n"/>
      <c r="V408" s="60" t="n"/>
      <c r="W408" s="60" t="n"/>
      <c r="X408" s="60" t="n"/>
      <c r="Y408" s="60" t="n"/>
      <c r="Z408" s="60" t="n"/>
      <c r="AA408" s="60" t="n">
        <v>1</v>
      </c>
      <c r="AB408" s="60" t="n"/>
      <c r="AC408" s="60" t="n"/>
      <c r="AD408" s="60" t="n"/>
      <c r="AE408" s="60" t="n"/>
      <c r="AF408" s="60" t="n"/>
      <c r="AG408" s="60" t="n"/>
      <c r="AH408" s="60" t="n"/>
      <c r="AI408" s="60" t="n"/>
      <c r="AJ408" s="60" t="n"/>
      <c r="AK408" s="120">
        <f>IF(L408&gt;0,L408*90.44,0)+IF(M408&gt;0,M408*348.12,0)+IF(N408&gt;0,N408*151.63,0)+IF(O408&gt;0,O408*197.82,0)+IF(P408&gt;0,P408*244.09,0)+IF(Q408&gt;0,Q408*315.35,0)+IF(R408&gt;0,R408*1067.3,0)+IF(T408&gt;0,T408*567.47,0)+IF(U408&gt;0,U408*151.63,0)+IF(V408&gt;0,V408*197.84,0)+IF(W408&gt;0,W408*470.51,0)+IF(X408&gt;0,X408*701.69,0)+IF(Z408&gt;0,Z408*151.63,0)+IF(AA408&gt;0,AA408*197.84)+IF(AB408&gt;0,AB408*308.4,0)+IF(AC408&gt;0,AC408*496.16,0)</f>
        <v/>
      </c>
    </row>
    <row r="409" hidden="1">
      <c r="A409" s="58" t="inlineStr">
        <is>
          <t>rota</t>
        </is>
      </c>
      <c r="B409" s="59">
        <f>IF(H409&lt;$B$1,"VENCIDO","NA VALIDADE")</f>
        <v/>
      </c>
      <c r="C409" s="60" t="inlineStr">
        <is>
          <t>SUBESTAÇÃO</t>
        </is>
      </c>
      <c r="D409" s="61" t="inlineStr">
        <is>
          <t>SE RIO CORRENTE</t>
        </is>
      </c>
      <c r="E409" s="62" t="inlineStr">
        <is>
          <t>SÃO FÉLIX DO CORIBE</t>
        </is>
      </c>
      <c r="F409" s="61" t="inlineStr">
        <is>
          <t>VITÓRIA DA CONQUISTA</t>
        </is>
      </c>
      <c r="G409" s="60" t="inlineStr">
        <is>
          <t>BA</t>
        </is>
      </c>
      <c r="H409" s="119" t="n">
        <v>45566</v>
      </c>
      <c r="I409" s="119">
        <f>H409-180</f>
        <v/>
      </c>
      <c r="J409" s="60">
        <f>SUM(L409:AE409)</f>
        <v/>
      </c>
      <c r="K409" s="60">
        <f>SUM(AF409:AJ409)</f>
        <v/>
      </c>
      <c r="L409" s="60" t="n"/>
      <c r="M409" s="60" t="n"/>
      <c r="N409" s="60" t="n"/>
      <c r="O409" s="60" t="n"/>
      <c r="P409" s="60" t="n"/>
      <c r="Q409" s="60" t="n">
        <v>1</v>
      </c>
      <c r="R409" s="60" t="n"/>
      <c r="S409" s="60" t="n"/>
      <c r="T409" s="60" t="n"/>
      <c r="U409" s="60" t="n"/>
      <c r="V409" s="60" t="n"/>
      <c r="W409" s="60" t="n"/>
      <c r="X409" s="60" t="n"/>
      <c r="Y409" s="60" t="n"/>
      <c r="Z409" s="60" t="n"/>
      <c r="AA409" s="60" t="n">
        <v>2</v>
      </c>
      <c r="AB409" s="60" t="n"/>
      <c r="AC409" s="60" t="n"/>
      <c r="AD409" s="60" t="n"/>
      <c r="AE409" s="60" t="n"/>
      <c r="AF409" s="60" t="n"/>
      <c r="AG409" s="60" t="n"/>
      <c r="AH409" s="60" t="n"/>
      <c r="AI409" s="60" t="n"/>
      <c r="AJ409" s="60" t="n"/>
      <c r="AK409" s="120">
        <f>IF(L409&gt;0,L409*90.44,0)+IF(M409&gt;0,M409*348.12,0)+IF(N409&gt;0,N409*151.63,0)+IF(O409&gt;0,O409*197.82,0)+IF(P409&gt;0,P409*244.09,0)+IF(Q409&gt;0,Q409*315.35,0)+IF(R409&gt;0,R409*1067.3,0)+IF(T409&gt;0,T409*567.47,0)+IF(U409&gt;0,U409*151.63,0)+IF(V409&gt;0,V409*197.84,0)+IF(W409&gt;0,W409*470.51,0)+IF(X409&gt;0,X409*701.69,0)+IF(Z409&gt;0,Z409*151.63,0)+IF(AA409&gt;0,AA409*197.84)+IF(AB409&gt;0,AB409*308.4,0)+IF(AC409&gt;0,AC409*496.16,0)</f>
        <v/>
      </c>
    </row>
    <row r="410" hidden="1">
      <c r="A410" s="58" t="inlineStr">
        <is>
          <t>1 DEZ VI</t>
        </is>
      </c>
      <c r="B410" s="59">
        <f>IF(H410&lt;$B$1,"VENCIDO","NA VALIDADE")</f>
        <v/>
      </c>
      <c r="C410" s="60" t="inlineStr">
        <is>
          <t>SUBESTAÇÃO</t>
        </is>
      </c>
      <c r="D410" s="61" t="inlineStr">
        <is>
          <t>SE RIO DAS ÉGUAS</t>
        </is>
      </c>
      <c r="E410" s="62" t="inlineStr">
        <is>
          <t>CORRENTINA</t>
        </is>
      </c>
      <c r="F410" s="61" t="inlineStr">
        <is>
          <t>VITÓRIA DA CONQUISTA</t>
        </is>
      </c>
      <c r="G410" s="60" t="inlineStr">
        <is>
          <t>BA</t>
        </is>
      </c>
      <c r="H410" s="119" t="n">
        <v>45566</v>
      </c>
      <c r="I410" s="119">
        <f>H410-180</f>
        <v/>
      </c>
      <c r="J410" s="60">
        <f>SUM(L410:AE410)</f>
        <v/>
      </c>
      <c r="K410" s="60">
        <f>SUM(AF410:AJ410)</f>
        <v/>
      </c>
      <c r="L410" s="60" t="n"/>
      <c r="M410" s="60" t="n"/>
      <c r="N410" s="60" t="n"/>
      <c r="O410" s="60" t="n"/>
      <c r="P410" s="60" t="n"/>
      <c r="Q410" s="60" t="n">
        <v>1</v>
      </c>
      <c r="R410" s="60" t="n"/>
      <c r="S410" s="60" t="n"/>
      <c r="T410" s="60" t="n"/>
      <c r="U410" s="60" t="n"/>
      <c r="V410" s="60" t="n"/>
      <c r="W410" s="60" t="n"/>
      <c r="X410" s="60" t="n"/>
      <c r="Y410" s="60" t="n"/>
      <c r="Z410" s="60" t="n"/>
      <c r="AA410" s="60" t="n">
        <v>1</v>
      </c>
      <c r="AB410" s="60" t="n"/>
      <c r="AC410" s="60" t="n"/>
      <c r="AD410" s="60" t="n"/>
      <c r="AE410" s="60" t="n"/>
      <c r="AF410" s="60" t="n"/>
      <c r="AG410" s="60" t="n"/>
      <c r="AH410" s="60" t="n"/>
      <c r="AI410" s="60" t="n"/>
      <c r="AJ410" s="60" t="n"/>
      <c r="AK410" s="120">
        <f>IF(L410&gt;0,L410*90.44,0)+IF(M410&gt;0,M410*348.12,0)+IF(N410&gt;0,N410*151.63,0)+IF(O410&gt;0,O410*197.82,0)+IF(P410&gt;0,P410*244.09,0)+IF(Q410&gt;0,Q410*315.35,0)+IF(R410&gt;0,R410*1067.3,0)+IF(T410&gt;0,T410*567.47,0)+IF(U410&gt;0,U410*151.63,0)+IF(V410&gt;0,V410*197.84,0)+IF(W410&gt;0,W410*470.51,0)+IF(X410&gt;0,X410*701.69,0)+IF(Z410&gt;0,Z410*151.63,0)+IF(AA410&gt;0,AA410*197.84)+IF(AB410&gt;0,AB410*308.4,0)+IF(AC410&gt;0,AC410*496.16,0)</f>
        <v/>
      </c>
    </row>
    <row r="411" hidden="1">
      <c r="A411" s="58" t="inlineStr">
        <is>
          <t>LEONIDAS</t>
        </is>
      </c>
      <c r="B411" s="59">
        <f>IF(H411&lt;$B$1,"VENCIDO","NA VALIDADE")</f>
        <v/>
      </c>
      <c r="C411" s="60" t="inlineStr">
        <is>
          <t>SUBESTAÇÃO</t>
        </is>
      </c>
      <c r="D411" s="61" t="inlineStr">
        <is>
          <t>SE RIO DAS PEDRAS</t>
        </is>
      </c>
      <c r="E411" s="62" t="inlineStr">
        <is>
          <t>LUIS EDUARDO MAGALHÃES</t>
        </is>
      </c>
      <c r="F411" s="61" t="inlineStr">
        <is>
          <t>VITÓRIA DA CONQUISTA</t>
        </is>
      </c>
      <c r="G411" s="60" t="inlineStr">
        <is>
          <t>BA</t>
        </is>
      </c>
      <c r="H411" s="119" t="n">
        <v>45566</v>
      </c>
      <c r="I411" s="119">
        <f>H411-180</f>
        <v/>
      </c>
      <c r="J411" s="60">
        <f>SUM(L411:AE411)</f>
        <v/>
      </c>
      <c r="K411" s="60">
        <f>SUM(AF411:AJ411)</f>
        <v/>
      </c>
      <c r="L411" s="60" t="n"/>
      <c r="M411" s="60" t="n"/>
      <c r="N411" s="60" t="n"/>
      <c r="O411" s="60" t="n"/>
      <c r="P411" s="60" t="n"/>
      <c r="Q411" s="60" t="n">
        <v>2</v>
      </c>
      <c r="R411" s="60" t="n"/>
      <c r="S411" s="60" t="n"/>
      <c r="T411" s="60" t="n"/>
      <c r="U411" s="60" t="n"/>
      <c r="V411" s="60" t="n"/>
      <c r="W411" s="60" t="n"/>
      <c r="X411" s="60" t="n"/>
      <c r="Y411" s="60" t="n"/>
      <c r="Z411" s="60" t="n"/>
      <c r="AA411" s="60" t="n">
        <v>1</v>
      </c>
      <c r="AB411" s="60" t="n"/>
      <c r="AC411" s="60" t="n"/>
      <c r="AD411" s="60" t="n"/>
      <c r="AE411" s="60" t="n"/>
      <c r="AF411" s="60" t="n"/>
      <c r="AG411" s="60" t="n"/>
      <c r="AH411" s="60" t="n"/>
      <c r="AI411" s="60" t="n"/>
      <c r="AJ411" s="60" t="n"/>
      <c r="AK411" s="120">
        <f>IF(L411&gt;0,L411*90.44,0)+IF(M411&gt;0,M411*348.12,0)+IF(N411&gt;0,N411*151.63,0)+IF(O411&gt;0,O411*197.82,0)+IF(P411&gt;0,P411*244.09,0)+IF(Q411&gt;0,Q411*315.35,0)+IF(R411&gt;0,R411*1067.3,0)+IF(T411&gt;0,T411*567.47,0)+IF(U411&gt;0,U411*151.63,0)+IF(V411&gt;0,V411*197.84,0)+IF(W411&gt;0,W411*470.51,0)+IF(X411&gt;0,X411*701.69,0)+IF(Z411&gt;0,Z411*151.63,0)+IF(AA411&gt;0,AA411*197.84)+IF(AB411&gt;0,AB411*308.4,0)+IF(AC411&gt;0,AC411*496.16,0)</f>
        <v/>
      </c>
    </row>
    <row r="412" hidden="1">
      <c r="A412" s="58" t="n"/>
      <c r="B412" s="59">
        <f>IF(H412&lt;$B$1,"VENCIDO","NA VALIDADE")</f>
        <v/>
      </c>
      <c r="C412" s="60" t="inlineStr">
        <is>
          <t>SUBESTAÇÃO</t>
        </is>
      </c>
      <c r="D412" s="61" t="inlineStr">
        <is>
          <t>SE CHAVEAMENTO VALE VERDE</t>
        </is>
      </c>
      <c r="E412" s="62" t="inlineStr">
        <is>
          <t>GUANAMBI</t>
        </is>
      </c>
      <c r="F412" s="61" t="inlineStr">
        <is>
          <t>VITÓRIA DA CONQUISTA</t>
        </is>
      </c>
      <c r="G412" s="60" t="inlineStr">
        <is>
          <t>BA</t>
        </is>
      </c>
      <c r="H412" s="119" t="n">
        <v>45352</v>
      </c>
      <c r="I412" s="119" t="n">
        <v>45352</v>
      </c>
      <c r="J412" s="60">
        <f>SUM(L412:AE412)</f>
        <v/>
      </c>
      <c r="K412" s="60">
        <f>SUM(AF412:AJ412)</f>
        <v/>
      </c>
      <c r="L412" s="60" t="n"/>
      <c r="M412" s="60" t="n"/>
      <c r="N412" s="60" t="n"/>
      <c r="O412" s="60" t="n"/>
      <c r="P412" s="60" t="n"/>
      <c r="Q412" s="60" t="n">
        <v>3</v>
      </c>
      <c r="R412" s="60" t="n"/>
      <c r="S412" s="60" t="n"/>
      <c r="T412" s="60" t="n"/>
      <c r="U412" s="60" t="n"/>
      <c r="V412" s="60" t="n"/>
      <c r="W412" s="60" t="n"/>
      <c r="X412" s="60" t="n"/>
      <c r="Y412" s="60" t="n"/>
      <c r="Z412" s="60" t="n"/>
      <c r="AA412" s="60" t="n">
        <v>1</v>
      </c>
      <c r="AB412" s="60" t="n"/>
      <c r="AC412" s="60" t="n"/>
      <c r="AD412" s="60" t="n"/>
      <c r="AE412" s="60" t="n"/>
      <c r="AF412" s="60" t="n"/>
      <c r="AG412" s="60" t="n"/>
      <c r="AH412" s="60" t="n"/>
      <c r="AI412" s="60" t="n"/>
      <c r="AJ412" s="60" t="n"/>
      <c r="AK412" s="120">
        <f>IF(L412&gt;0,L412*90.44,0)+IF(M412&gt;0,M412*348.12,0)+IF(N412&gt;0,N412*151.63,0)+IF(O412&gt;0,O412*197.82,0)+IF(P412&gt;0,P412*244.09,0)+IF(Q412&gt;0,Q412*315.35,0)+IF(R412&gt;0,R412*1067.3,0)+IF(T412&gt;0,T412*567.47,0)+IF(U412&gt;0,U412*151.63,0)+IF(V412&gt;0,V412*197.84,0)+IF(W412&gt;0,W412*470.51,0)+IF(X412&gt;0,X412*701.69,0)+IF(Z412&gt;0,Z412*151.63,0)+IF(AA412&gt;0,AA412*197.84)+IF(AB412&gt;0,AB412*308.4,0)+IF(AC412&gt;0,AC412*496.16,0)</f>
        <v/>
      </c>
    </row>
    <row r="413" hidden="1">
      <c r="A413" s="58" t="n"/>
      <c r="B413" s="59">
        <f>IF(H413&lt;$B$1,"VENCIDO","NA VALIDADE")</f>
        <v/>
      </c>
      <c r="C413" s="60" t="inlineStr">
        <is>
          <t>SUBESTAÇÃO</t>
        </is>
      </c>
      <c r="D413" s="61" t="inlineStr">
        <is>
          <t>SE RIO DO ANTONIO</t>
        </is>
      </c>
      <c r="E413" s="62" t="inlineStr">
        <is>
          <t>RIO DO ANTÔNIO</t>
        </is>
      </c>
      <c r="F413" s="61" t="inlineStr">
        <is>
          <t>VITÓRIA DA CONQUISTA</t>
        </is>
      </c>
      <c r="G413" s="60" t="inlineStr">
        <is>
          <t>BA</t>
        </is>
      </c>
      <c r="H413" s="119" t="n">
        <v>45352</v>
      </c>
      <c r="I413" s="119" t="n">
        <v>45352</v>
      </c>
      <c r="J413" s="60">
        <f>SUM(L413:AE413)</f>
        <v/>
      </c>
      <c r="K413" s="60">
        <f>SUM(AF413:AJ413)</f>
        <v/>
      </c>
      <c r="L413" s="60" t="n"/>
      <c r="M413" s="60" t="n"/>
      <c r="N413" s="60" t="n"/>
      <c r="O413" s="60" t="n"/>
      <c r="P413" s="60" t="n"/>
      <c r="Q413" s="60" t="n">
        <v>8</v>
      </c>
      <c r="R413" s="60" t="n"/>
      <c r="S413" s="60" t="n"/>
      <c r="T413" s="60" t="n">
        <v>2</v>
      </c>
      <c r="U413" s="60" t="n"/>
      <c r="V413" s="60" t="n"/>
      <c r="W413" s="60" t="n"/>
      <c r="X413" s="60" t="n"/>
      <c r="Y413" s="60" t="n"/>
      <c r="Z413" s="60" t="n"/>
      <c r="AA413" s="60" t="n">
        <v>2</v>
      </c>
      <c r="AB413" s="60" t="n"/>
      <c r="AC413" s="60" t="n"/>
      <c r="AD413" s="60" t="n"/>
      <c r="AE413" s="60" t="n"/>
      <c r="AF413" s="60" t="n"/>
      <c r="AG413" s="60" t="n"/>
      <c r="AH413" s="60" t="n"/>
      <c r="AI413" s="60" t="n"/>
      <c r="AJ413" s="60" t="n"/>
      <c r="AK413" s="120">
        <f>IF(L413&gt;0,L413*90.44,0)+IF(M413&gt;0,M413*348.12,0)+IF(N413&gt;0,N413*151.63,0)+IF(O413&gt;0,O413*197.82,0)+IF(P413&gt;0,P413*244.09,0)+IF(Q413&gt;0,Q413*315.35,0)+IF(R413&gt;0,R413*1067.3,0)+IF(T413&gt;0,T413*567.47,0)+IF(U413&gt;0,U413*151.63,0)+IF(V413&gt;0,V413*197.84,0)+IF(W413&gt;0,W413*470.51,0)+IF(X413&gt;0,X413*701.69,0)+IF(Z413&gt;0,Z413*151.63,0)+IF(AA413&gt;0,AA413*197.84)+IF(AB413&gt;0,AB413*308.4,0)+IF(AC413&gt;0,AC413*496.16,0)</f>
        <v/>
      </c>
    </row>
    <row r="414" hidden="1">
      <c r="A414" s="58" t="inlineStr">
        <is>
          <t>SIM</t>
        </is>
      </c>
      <c r="B414" s="59">
        <f>IF(H414&lt;$B$1,"VENCIDO","NA VALIDADE")</f>
        <v/>
      </c>
      <c r="C414" s="60" t="inlineStr">
        <is>
          <t>SUBESTAÇÃO</t>
        </is>
      </c>
      <c r="D414" s="61" t="inlineStr">
        <is>
          <t>SE RIO DO MEIO</t>
        </is>
      </c>
      <c r="E414" s="62" t="inlineStr">
        <is>
          <t>CORRENTINA</t>
        </is>
      </c>
      <c r="F414" s="61" t="inlineStr">
        <is>
          <t>VITÓRIA DA CONQUISTA</t>
        </is>
      </c>
      <c r="G414" s="60" t="inlineStr">
        <is>
          <t>BA</t>
        </is>
      </c>
      <c r="H414" s="119" t="n">
        <v>45597</v>
      </c>
      <c r="I414" s="119">
        <f>H414-180</f>
        <v/>
      </c>
      <c r="J414" s="60">
        <f>SUM(L414:AE414)</f>
        <v/>
      </c>
      <c r="K414" s="60">
        <f>SUM(AF414:AJ414)</f>
        <v/>
      </c>
      <c r="L414" s="60" t="n"/>
      <c r="M414" s="60" t="n"/>
      <c r="N414" s="60" t="n"/>
      <c r="O414" s="60" t="n"/>
      <c r="P414" s="60" t="n"/>
      <c r="Q414" s="60" t="n">
        <v>1</v>
      </c>
      <c r="R414" s="60" t="n"/>
      <c r="S414" s="60" t="n"/>
      <c r="T414" s="60" t="n"/>
      <c r="U414" s="60" t="n"/>
      <c r="V414" s="60" t="n"/>
      <c r="W414" s="60" t="n"/>
      <c r="X414" s="60" t="n"/>
      <c r="Y414" s="60" t="n"/>
      <c r="Z414" s="60" t="n"/>
      <c r="AA414" s="60" t="n">
        <v>1</v>
      </c>
      <c r="AB414" s="60" t="n"/>
      <c r="AC414" s="60" t="n"/>
      <c r="AD414" s="60" t="n"/>
      <c r="AE414" s="60" t="n"/>
      <c r="AF414" s="60" t="n"/>
      <c r="AG414" s="60" t="n"/>
      <c r="AH414" s="60" t="n"/>
      <c r="AI414" s="60" t="n"/>
      <c r="AJ414" s="60" t="n"/>
      <c r="AK414" s="120">
        <f>IF(L414&gt;0,L414*90.44,0)+IF(M414&gt;0,M414*348.12,0)+IF(N414&gt;0,N414*151.63,0)+IF(O414&gt;0,O414*197.82,0)+IF(P414&gt;0,P414*244.09,0)+IF(Q414&gt;0,Q414*315.35,0)+IF(R414&gt;0,R414*1067.3,0)+IF(T414&gt;0,T414*567.47,0)+IF(U414&gt;0,U414*151.63,0)+IF(V414&gt;0,V414*197.84,0)+IF(W414&gt;0,W414*470.51,0)+IF(X414&gt;0,X414*701.69,0)+IF(Z414&gt;0,Z414*151.63,0)+IF(AA414&gt;0,AA414*197.84)+IF(AB414&gt;0,AB414*308.4,0)+IF(AC414&gt;0,AC414*496.16,0)</f>
        <v/>
      </c>
    </row>
    <row r="415" hidden="1">
      <c r="A415" s="58" t="n"/>
      <c r="B415" s="59">
        <f>IF(H415&lt;$B$1,"VENCIDO","NA VALIDADE")</f>
        <v/>
      </c>
      <c r="C415" s="60" t="inlineStr">
        <is>
          <t>SUBESTAÇÃO</t>
        </is>
      </c>
      <c r="D415" s="61" t="inlineStr">
        <is>
          <t>SE RIO GRANDE</t>
        </is>
      </c>
      <c r="E415" s="62" t="inlineStr">
        <is>
          <t>SÃO DESIDÉRIO</t>
        </is>
      </c>
      <c r="F415" s="61" t="inlineStr">
        <is>
          <t>VITÓRIA DA CONQUISTA</t>
        </is>
      </c>
      <c r="G415" s="60" t="inlineStr">
        <is>
          <t>BA</t>
        </is>
      </c>
      <c r="H415" s="119" t="n">
        <v>45536</v>
      </c>
      <c r="I415" s="119">
        <f>H415-180</f>
        <v/>
      </c>
      <c r="J415" s="60">
        <f>SUM(L415:AE415)</f>
        <v/>
      </c>
      <c r="K415" s="60">
        <f>SUM(AF415:AJ415)</f>
        <v/>
      </c>
      <c r="L415" s="60" t="n"/>
      <c r="M415" s="60" t="n"/>
      <c r="N415" s="60" t="n"/>
      <c r="O415" s="60" t="n"/>
      <c r="P415" s="60" t="n"/>
      <c r="Q415" s="60" t="n">
        <v>2</v>
      </c>
      <c r="R415" s="60" t="n"/>
      <c r="S415" s="60" t="n"/>
      <c r="T415" s="60" t="n"/>
      <c r="U415" s="60" t="n"/>
      <c r="V415" s="60" t="n"/>
      <c r="W415" s="60" t="n"/>
      <c r="X415" s="60" t="n"/>
      <c r="Y415" s="60" t="n"/>
      <c r="Z415" s="60" t="n"/>
      <c r="AA415" s="60" t="n">
        <v>1</v>
      </c>
      <c r="AB415" s="60" t="n"/>
      <c r="AC415" s="60" t="n"/>
      <c r="AD415" s="60" t="n"/>
      <c r="AE415" s="60" t="n"/>
      <c r="AF415" s="60" t="n"/>
      <c r="AG415" s="60" t="n"/>
      <c r="AH415" s="60" t="n"/>
      <c r="AI415" s="60" t="n"/>
      <c r="AJ415" s="60" t="n"/>
      <c r="AK415" s="120">
        <f>IF(L415&gt;0,L415*90.44,0)+IF(M415&gt;0,M415*348.12,0)+IF(N415&gt;0,N415*151.63,0)+IF(O415&gt;0,O415*197.82,0)+IF(P415&gt;0,P415*244.09,0)+IF(Q415&gt;0,Q415*315.35,0)+IF(R415&gt;0,R415*1067.3,0)+IF(T415&gt;0,T415*567.47,0)+IF(U415&gt;0,U415*151.63,0)+IF(V415&gt;0,V415*197.84,0)+IF(W415&gt;0,W415*470.51,0)+IF(X415&gt;0,X415*701.69,0)+IF(Z415&gt;0,Z415*151.63,0)+IF(AA415&gt;0,AA415*197.84)+IF(AB415&gt;0,AB415*308.4,0)+IF(AC415&gt;0,AC415*496.16,0)</f>
        <v/>
      </c>
    </row>
    <row r="416">
      <c r="A416" s="58" t="inlineStr">
        <is>
          <t>SIM</t>
        </is>
      </c>
      <c r="B416" s="59">
        <f>IF(H416&lt;$B$1,"VENCIDO","NA VALIDADE")</f>
        <v/>
      </c>
      <c r="C416" s="60" t="inlineStr">
        <is>
          <t>SUBESTAÇÃO</t>
        </is>
      </c>
      <c r="D416" s="61" t="inlineStr">
        <is>
          <t>SE RIO VERDE</t>
        </is>
      </c>
      <c r="E416" s="62" t="inlineStr">
        <is>
          <t>XIQUE-XIQUE</t>
        </is>
      </c>
      <c r="F416" s="61" t="inlineStr">
        <is>
          <t>FEIRA DE  SANTANA</t>
        </is>
      </c>
      <c r="G416" s="60" t="inlineStr">
        <is>
          <t>BA</t>
        </is>
      </c>
      <c r="H416" s="119" t="n">
        <v>45444</v>
      </c>
      <c r="I416" s="119">
        <f>H416-180</f>
        <v/>
      </c>
      <c r="J416" s="60">
        <f>SUM(L416:AE416)</f>
        <v/>
      </c>
      <c r="K416" s="60">
        <f>SUM(AF416:AJ416)</f>
        <v/>
      </c>
      <c r="L416" s="60" t="n"/>
      <c r="M416" s="60" t="n"/>
      <c r="N416" s="60" t="n"/>
      <c r="O416" s="60" t="n"/>
      <c r="P416" s="60" t="n"/>
      <c r="Q416" s="60" t="n">
        <v>1</v>
      </c>
      <c r="R416" s="60" t="n"/>
      <c r="S416" s="60" t="n"/>
      <c r="T416" s="60" t="n"/>
      <c r="U416" s="60" t="n"/>
      <c r="V416" s="60" t="n"/>
      <c r="W416" s="60" t="n"/>
      <c r="X416" s="60" t="n"/>
      <c r="Y416" s="60" t="n"/>
      <c r="Z416" s="60" t="n"/>
      <c r="AA416" s="60" t="n"/>
      <c r="AB416" s="60" t="n"/>
      <c r="AC416" s="60" t="n"/>
      <c r="AD416" s="60" t="n"/>
      <c r="AE416" s="60" t="n"/>
      <c r="AF416" s="60" t="n"/>
      <c r="AG416" s="60" t="n"/>
      <c r="AH416" s="60" t="n"/>
      <c r="AI416" s="60" t="n"/>
      <c r="AJ416" s="60" t="n"/>
      <c r="AK416" s="120">
        <f>IF(L416&gt;0,L416*90.44,0)+IF(M416&gt;0,M416*348.12,0)+IF(N416&gt;0,N416*151.63,0)+IF(O416&gt;0,O416*197.82,0)+IF(P416&gt;0,P416*244.09,0)+IF(Q416&gt;0,Q416*315.35,0)+IF(R416&gt;0,R416*1067.3,0)+IF(T416&gt;0,T416*567.47,0)+IF(U416&gt;0,U416*151.63,0)+IF(V416&gt;0,V416*197.84,0)+IF(W416&gt;0,W416*470.51,0)+IF(X416&gt;0,X416*701.69,0)+IF(Z416&gt;0,Z416*151.63,0)+IF(AA416&gt;0,AA416*197.84)+IF(AB416&gt;0,AB416*308.4,0)+IF(AC416&gt;0,AC416*496.16,0)</f>
        <v/>
      </c>
    </row>
    <row r="417" hidden="1">
      <c r="A417" s="58" t="inlineStr">
        <is>
          <t>SIM</t>
        </is>
      </c>
      <c r="B417" s="59">
        <f>IF(H417&lt;$B$1,"VENCIDO","NA VALIDADE")</f>
        <v/>
      </c>
      <c r="C417" s="60" t="inlineStr">
        <is>
          <t>SUBESTAÇÃO</t>
        </is>
      </c>
      <c r="D417" s="61" t="inlineStr">
        <is>
          <t>SE RODA VELHA</t>
        </is>
      </c>
      <c r="E417" s="62" t="inlineStr">
        <is>
          <t>SÃO DESIDÉRIO</t>
        </is>
      </c>
      <c r="F417" s="61" t="inlineStr">
        <is>
          <t>VITÓRIA DA CONQUISTA</t>
        </is>
      </c>
      <c r="G417" s="60" t="inlineStr">
        <is>
          <t>BA</t>
        </is>
      </c>
      <c r="H417" s="119" t="n">
        <v>45566</v>
      </c>
      <c r="I417" s="119">
        <f>H417-180</f>
        <v/>
      </c>
      <c r="J417" s="60">
        <f>SUM(L417:AE417)</f>
        <v/>
      </c>
      <c r="K417" s="60">
        <f>SUM(AF417:AJ417)</f>
        <v/>
      </c>
      <c r="L417" s="60" t="n">
        <v>1</v>
      </c>
      <c r="M417" s="60" t="n"/>
      <c r="N417" s="60" t="n"/>
      <c r="O417" s="60" t="n"/>
      <c r="P417" s="60" t="n"/>
      <c r="Q417" s="60" t="n">
        <v>1</v>
      </c>
      <c r="R417" s="60" t="n"/>
      <c r="S417" s="60" t="n"/>
      <c r="T417" s="60" t="n">
        <v>1</v>
      </c>
      <c r="U417" s="60" t="n"/>
      <c r="V417" s="60" t="n">
        <v>1</v>
      </c>
      <c r="W417" s="60" t="n"/>
      <c r="X417" s="60" t="n"/>
      <c r="Y417" s="60" t="n"/>
      <c r="Z417" s="60" t="n"/>
      <c r="AA417" s="60" t="n">
        <v>1</v>
      </c>
      <c r="AB417" s="60" t="n"/>
      <c r="AC417" s="60" t="n"/>
      <c r="AD417" s="60" t="n"/>
      <c r="AE417" s="60" t="n"/>
      <c r="AF417" s="60" t="n"/>
      <c r="AG417" s="60" t="n"/>
      <c r="AH417" s="60" t="n"/>
      <c r="AI417" s="60" t="n"/>
      <c r="AJ417" s="60" t="n"/>
      <c r="AK417" s="120">
        <f>IF(L417&gt;0,L417*90.44,0)+IF(M417&gt;0,M417*348.12,0)+IF(N417&gt;0,N417*151.63,0)+IF(O417&gt;0,O417*197.82,0)+IF(P417&gt;0,P417*244.09,0)+IF(Q417&gt;0,Q417*315.35,0)+IF(R417&gt;0,R417*1067.3,0)+IF(T417&gt;0,T417*567.47,0)+IF(U417&gt;0,U417*151.63,0)+IF(V417&gt;0,V417*197.84,0)+IF(W417&gt;0,W417*470.51,0)+IF(X417&gt;0,X417*701.69,0)+IF(Z417&gt;0,Z417*151.63,0)+IF(AA417&gt;0,AA417*197.84)+IF(AB417&gt;0,AB417*308.4,0)+IF(AC417&gt;0,AC417*496.16,0)</f>
        <v/>
      </c>
    </row>
    <row r="418">
      <c r="A418" s="58" t="inlineStr">
        <is>
          <t>rota</t>
        </is>
      </c>
      <c r="B418" s="59">
        <f>IF(H418&lt;$B$1,"VENCIDO","NA VALIDADE")</f>
        <v/>
      </c>
      <c r="C418" s="60" t="inlineStr">
        <is>
          <t>SUBESTAÇÃO</t>
        </is>
      </c>
      <c r="D418" s="61" t="inlineStr">
        <is>
          <t>SE RODELAS</t>
        </is>
      </c>
      <c r="E418" s="62" t="inlineStr">
        <is>
          <t>RODELAS</t>
        </is>
      </c>
      <c r="F418" s="61" t="inlineStr">
        <is>
          <t>FEIRA DE  SANTANA</t>
        </is>
      </c>
      <c r="G418" s="60" t="inlineStr">
        <is>
          <t>BA</t>
        </is>
      </c>
      <c r="H418" s="119" t="n">
        <v>45444</v>
      </c>
      <c r="I418" s="119">
        <f>H418-180</f>
        <v/>
      </c>
      <c r="J418" s="60">
        <f>SUM(L418:AE418)</f>
        <v/>
      </c>
      <c r="K418" s="60">
        <f>SUM(AF418:AJ418)</f>
        <v/>
      </c>
      <c r="L418" s="60" t="n"/>
      <c r="M418" s="60" t="n"/>
      <c r="N418" s="60" t="n"/>
      <c r="O418" s="60" t="n"/>
      <c r="P418" s="60" t="n"/>
      <c r="Q418" s="60" t="n">
        <v>2</v>
      </c>
      <c r="R418" s="60" t="n"/>
      <c r="S418" s="60" t="n"/>
      <c r="T418" s="60" t="n">
        <v>1</v>
      </c>
      <c r="U418" s="60" t="n"/>
      <c r="V418" s="60" t="n"/>
      <c r="W418" s="60" t="n"/>
      <c r="X418" s="60" t="n"/>
      <c r="Y418" s="60" t="n"/>
      <c r="Z418" s="60" t="n"/>
      <c r="AA418" s="60" t="n"/>
      <c r="AB418" s="60" t="n"/>
      <c r="AC418" s="60" t="n"/>
      <c r="AD418" s="60" t="n"/>
      <c r="AE418" s="60" t="n"/>
      <c r="AF418" s="60" t="n"/>
      <c r="AG418" s="60" t="n"/>
      <c r="AH418" s="60" t="n"/>
      <c r="AI418" s="60" t="n"/>
      <c r="AJ418" s="60" t="n"/>
      <c r="AK418" s="120">
        <f>IF(L418&gt;0,L418*90.44,0)+IF(M418&gt;0,M418*348.12,0)+IF(N418&gt;0,N418*151.63,0)+IF(O418&gt;0,O418*197.82,0)+IF(P418&gt;0,P418*244.09,0)+IF(Q418&gt;0,Q418*315.35,0)+IF(R418&gt;0,R418*1067.3,0)+IF(T418&gt;0,T418*567.47,0)+IF(U418&gt;0,U418*151.63,0)+IF(V418&gt;0,V418*197.84,0)+IF(W418&gt;0,W418*470.51,0)+IF(X418&gt;0,X418*701.69,0)+IF(Z418&gt;0,Z418*151.63,0)+IF(AA418&gt;0,AA418*197.84)+IF(AB418&gt;0,AB418*308.4,0)+IF(AC418&gt;0,AC418*496.16,0)</f>
        <v/>
      </c>
    </row>
    <row r="419">
      <c r="A419" s="58" t="inlineStr">
        <is>
          <t>FEIRA 06/12</t>
        </is>
      </c>
      <c r="B419" s="59">
        <f>IF(H419&lt;$B$1,"VENCIDO","NA VALIDADE")</f>
        <v/>
      </c>
      <c r="C419" s="60" t="inlineStr">
        <is>
          <t>SUBESTAÇÃO</t>
        </is>
      </c>
      <c r="D419" s="61" t="inlineStr">
        <is>
          <t>SE SAUDE</t>
        </is>
      </c>
      <c r="E419" s="62" t="inlineStr">
        <is>
          <t>SAUDE</t>
        </is>
      </c>
      <c r="F419" s="61" t="inlineStr">
        <is>
          <t>FEIRA DE  SANTANA</t>
        </is>
      </c>
      <c r="G419" s="60" t="inlineStr">
        <is>
          <t>BA</t>
        </is>
      </c>
      <c r="H419" s="119" t="n">
        <v>45597</v>
      </c>
      <c r="I419" s="119">
        <f>H419-180</f>
        <v/>
      </c>
      <c r="J419" s="60">
        <f>SUM(L419:AE419)</f>
        <v/>
      </c>
      <c r="K419" s="60">
        <f>SUM(AF419:AJ419)</f>
        <v/>
      </c>
      <c r="L419" s="60" t="n"/>
      <c r="M419" s="60" t="n"/>
      <c r="N419" s="60" t="n"/>
      <c r="O419" s="60" t="n"/>
      <c r="P419" s="60" t="n"/>
      <c r="Q419" s="60" t="n">
        <v>2</v>
      </c>
      <c r="R419" s="60" t="n"/>
      <c r="S419" s="60" t="n"/>
      <c r="T419" s="60" t="n">
        <v>1</v>
      </c>
      <c r="U419" s="60" t="n"/>
      <c r="V419" s="60" t="n"/>
      <c r="W419" s="60" t="n"/>
      <c r="X419" s="60" t="n"/>
      <c r="Y419" s="60" t="n"/>
      <c r="Z419" s="60" t="n"/>
      <c r="AA419" s="60" t="n">
        <v>1</v>
      </c>
      <c r="AB419" s="60" t="n"/>
      <c r="AC419" s="60" t="n"/>
      <c r="AD419" s="60" t="n"/>
      <c r="AE419" s="60" t="n"/>
      <c r="AF419" s="60" t="n"/>
      <c r="AG419" s="60" t="n"/>
      <c r="AH419" s="60" t="n"/>
      <c r="AI419" s="60" t="n"/>
      <c r="AJ419" s="60" t="n"/>
      <c r="AK419" s="120">
        <f>IF(L419&gt;0,L419*90.44,0)+IF(M419&gt;0,M419*348.12,0)+IF(N419&gt;0,N419*151.63,0)+IF(O419&gt;0,O419*197.82,0)+IF(P419&gt;0,P419*244.09,0)+IF(Q419&gt;0,Q419*315.35,0)+IF(R419&gt;0,R419*1067.3,0)+IF(T419&gt;0,T419*567.47,0)+IF(U419&gt;0,U419*151.63,0)+IF(V419&gt;0,V419*197.84,0)+IF(W419&gt;0,W419*470.51,0)+IF(X419&gt;0,X419*701.69,0)+IF(Z419&gt;0,Z419*151.63,0)+IF(AA419&gt;0,AA419*197.84)+IF(AB419&gt;0,AB419*308.4,0)+IF(AC419&gt;0,AC419*496.16,0)</f>
        <v/>
      </c>
    </row>
    <row r="420">
      <c r="A420" s="58" t="inlineStr">
        <is>
          <t>rota</t>
        </is>
      </c>
      <c r="B420" s="59">
        <f>IF(H420&lt;$B$1,"VENCIDO","NA VALIDADE")</f>
        <v/>
      </c>
      <c r="C420" s="60" t="inlineStr">
        <is>
          <t>SUBESTAÇÃO</t>
        </is>
      </c>
      <c r="D420" s="61" t="inlineStr">
        <is>
          <t>SE RUI BARBOSA</t>
        </is>
      </c>
      <c r="E420" s="62" t="inlineStr">
        <is>
          <t>RUI BARBOSA</t>
        </is>
      </c>
      <c r="F420" s="61" t="inlineStr">
        <is>
          <t>FEIRA DE  SANTANA</t>
        </is>
      </c>
      <c r="G420" s="60" t="inlineStr">
        <is>
          <t>BA</t>
        </is>
      </c>
      <c r="H420" s="119" t="n">
        <v>45444</v>
      </c>
      <c r="I420" s="119" t="n">
        <v>45444</v>
      </c>
      <c r="J420" s="60">
        <f>SUM(L420:AE420)</f>
        <v/>
      </c>
      <c r="K420" s="60">
        <f>SUM(AF420:AJ420)</f>
        <v/>
      </c>
      <c r="L420" s="60" t="n"/>
      <c r="M420" s="60" t="n"/>
      <c r="N420" s="60" t="n"/>
      <c r="O420" s="60" t="n"/>
      <c r="P420" s="60" t="n"/>
      <c r="Q420" s="60" t="n">
        <v>1</v>
      </c>
      <c r="R420" s="60" t="n"/>
      <c r="S420" s="60" t="n"/>
      <c r="T420" s="60" t="n"/>
      <c r="U420" s="60" t="n"/>
      <c r="V420" s="60" t="n"/>
      <c r="W420" s="60" t="n"/>
      <c r="X420" s="60" t="n"/>
      <c r="Y420" s="60" t="n"/>
      <c r="Z420" s="60" t="n"/>
      <c r="AA420" s="60" t="n">
        <v>1</v>
      </c>
      <c r="AB420" s="60" t="n"/>
      <c r="AC420" s="60" t="n"/>
      <c r="AD420" s="60" t="n"/>
      <c r="AE420" s="60" t="n"/>
      <c r="AF420" s="60" t="n"/>
      <c r="AG420" s="60" t="n"/>
      <c r="AH420" s="60" t="n"/>
      <c r="AI420" s="60" t="n"/>
      <c r="AJ420" s="60" t="n"/>
      <c r="AK420" s="120">
        <f>IF(L420&gt;0,L420*90.44,0)+IF(M420&gt;0,M420*348.12,0)+IF(N420&gt;0,N420*151.63,0)+IF(O420&gt;0,O420*197.82,0)+IF(P420&gt;0,P420*244.09,0)+IF(Q420&gt;0,Q420*315.35,0)+IF(R420&gt;0,R420*1067.3,0)+IF(T420&gt;0,T420*567.47,0)+IF(U420&gt;0,U420*151.63,0)+IF(V420&gt;0,V420*197.84,0)+IF(W420&gt;0,W420*470.51,0)+IF(X420&gt;0,X420*701.69,0)+IF(Z420&gt;0,Z420*151.63,0)+IF(AA420&gt;0,AA420*197.84)+IF(AB420&gt;0,AB420*308.4,0)+IF(AC420&gt;0,AC420*496.16,0)</f>
        <v/>
      </c>
    </row>
    <row r="421">
      <c r="A421" s="58" t="inlineStr">
        <is>
          <t>SIM</t>
        </is>
      </c>
      <c r="B421" s="59">
        <f>IF(H421&lt;$B$1,"VENCIDO","NA VALIDADE")</f>
        <v/>
      </c>
      <c r="C421" s="60" t="inlineStr">
        <is>
          <t>SUBESTAÇÃO</t>
        </is>
      </c>
      <c r="D421" s="61" t="inlineStr">
        <is>
          <t>SE SALITRE I</t>
        </is>
      </c>
      <c r="E421" s="62" t="inlineStr">
        <is>
          <t>JUAZEIRO</t>
        </is>
      </c>
      <c r="F421" s="61" t="inlineStr">
        <is>
          <t>FEIRA DE  SANTANA</t>
        </is>
      </c>
      <c r="G421" s="60" t="inlineStr">
        <is>
          <t>BA</t>
        </is>
      </c>
      <c r="H421" s="119" t="n">
        <v>45474</v>
      </c>
      <c r="I421" s="119">
        <f>H421-180</f>
        <v/>
      </c>
      <c r="J421" s="60">
        <f>SUM(L421:AE421)</f>
        <v/>
      </c>
      <c r="K421" s="60">
        <f>SUM(AF421:AJ421)</f>
        <v/>
      </c>
      <c r="L421" s="60" t="n"/>
      <c r="M421" s="60" t="n"/>
      <c r="N421" s="60" t="n"/>
      <c r="O421" s="60" t="n"/>
      <c r="P421" s="60" t="n"/>
      <c r="Q421" s="60" t="n">
        <v>2</v>
      </c>
      <c r="R421" s="60" t="n"/>
      <c r="S421" s="60" t="n"/>
      <c r="T421" s="60" t="n">
        <v>1</v>
      </c>
      <c r="U421" s="60" t="n"/>
      <c r="V421" s="60" t="n"/>
      <c r="W421" s="60" t="n"/>
      <c r="X421" s="60" t="n"/>
      <c r="Y421" s="60" t="n"/>
      <c r="Z421" s="60" t="n"/>
      <c r="AA421" s="60" t="n">
        <v>1</v>
      </c>
      <c r="AB421" s="60" t="n"/>
      <c r="AC421" s="60" t="n"/>
      <c r="AD421" s="60" t="n"/>
      <c r="AE421" s="60" t="n"/>
      <c r="AF421" s="60" t="n"/>
      <c r="AG421" s="60" t="n"/>
      <c r="AH421" s="60" t="n"/>
      <c r="AI421" s="60" t="n"/>
      <c r="AJ421" s="60" t="n"/>
      <c r="AK421" s="120">
        <f>IF(L421&gt;0,L421*90.44,0)+IF(M421&gt;0,M421*348.12,0)+IF(N421&gt;0,N421*151.63,0)+IF(O421&gt;0,O421*197.82,0)+IF(P421&gt;0,P421*244.09,0)+IF(Q421&gt;0,Q421*315.35,0)+IF(R421&gt;0,R421*1067.3,0)+IF(T421&gt;0,T421*567.47,0)+IF(U421&gt;0,U421*151.63,0)+IF(V421&gt;0,V421*197.84,0)+IF(W421&gt;0,W421*470.51,0)+IF(X421&gt;0,X421*701.69,0)+IF(Z421&gt;0,Z421*151.63,0)+IF(AA421&gt;0,AA421*197.84)+IF(AB421&gt;0,AB421*308.4,0)+IF(AC421&gt;0,AC421*496.16,0)</f>
        <v/>
      </c>
    </row>
    <row r="422">
      <c r="A422" s="58" t="inlineStr">
        <is>
          <t>rota</t>
        </is>
      </c>
      <c r="B422" s="59">
        <f>IF(H422&lt;$B$1,"VENCIDO","NA VALIDADE")</f>
        <v/>
      </c>
      <c r="C422" s="60" t="inlineStr">
        <is>
          <t>SUBESTAÇÃO</t>
        </is>
      </c>
      <c r="D422" s="61" t="inlineStr">
        <is>
          <t>SE SALITRE II</t>
        </is>
      </c>
      <c r="E422" s="62" t="inlineStr">
        <is>
          <t>JUAZEIRO</t>
        </is>
      </c>
      <c r="F422" s="61" t="inlineStr">
        <is>
          <t>FEIRA DE  SANTANA</t>
        </is>
      </c>
      <c r="G422" s="60" t="inlineStr">
        <is>
          <t>BA</t>
        </is>
      </c>
      <c r="H422" s="119" t="n">
        <v>45383</v>
      </c>
      <c r="I422" s="119" t="n">
        <v>45383</v>
      </c>
      <c r="J422" s="60">
        <f>SUM(L422:AE422)</f>
        <v/>
      </c>
      <c r="K422" s="60">
        <f>SUM(AF422:AJ422)</f>
        <v/>
      </c>
      <c r="L422" s="60" t="n"/>
      <c r="M422" s="60" t="n"/>
      <c r="N422" s="60" t="n"/>
      <c r="O422" s="60" t="n"/>
      <c r="P422" s="60" t="n"/>
      <c r="Q422" s="60" t="n">
        <v>1</v>
      </c>
      <c r="R422" s="60" t="n"/>
      <c r="S422" s="60" t="n"/>
      <c r="T422" s="60" t="n"/>
      <c r="U422" s="60" t="n"/>
      <c r="V422" s="60" t="n"/>
      <c r="W422" s="60" t="n"/>
      <c r="X422" s="60" t="n"/>
      <c r="Y422" s="60" t="n"/>
      <c r="Z422" s="60" t="n"/>
      <c r="AA422" s="60" t="n">
        <v>1</v>
      </c>
      <c r="AB422" s="60" t="n"/>
      <c r="AC422" s="60" t="n"/>
      <c r="AD422" s="60" t="n"/>
      <c r="AE422" s="60" t="n"/>
      <c r="AF422" s="60" t="n"/>
      <c r="AG422" s="60" t="n"/>
      <c r="AH422" s="60" t="n"/>
      <c r="AI422" s="60" t="n"/>
      <c r="AJ422" s="60" t="n"/>
      <c r="AK422" s="120">
        <f>IF(L422&gt;0,L422*90.44,0)+IF(M422&gt;0,M422*348.12,0)+IF(N422&gt;0,N422*151.63,0)+IF(O422&gt;0,O422*197.82,0)+IF(P422&gt;0,P422*244.09,0)+IF(Q422&gt;0,Q422*315.35,0)+IF(R422&gt;0,R422*1067.3,0)+IF(T422&gt;0,T422*567.47,0)+IF(U422&gt;0,U422*151.63,0)+IF(V422&gt;0,V422*197.84,0)+IF(W422&gt;0,W422*470.51,0)+IF(X422&gt;0,X422*701.69,0)+IF(Z422&gt;0,Z422*151.63,0)+IF(AA422&gt;0,AA422*197.84)+IF(AB422&gt;0,AB422*308.4,0)+IF(AC422&gt;0,AC422*496.16,0)</f>
        <v/>
      </c>
    </row>
    <row r="423">
      <c r="A423" s="58" t="inlineStr">
        <is>
          <t>rota</t>
        </is>
      </c>
      <c r="B423" s="59">
        <f>IF(H423&lt;$B$1,"VENCIDO","NA VALIDADE")</f>
        <v/>
      </c>
      <c r="C423" s="60" t="inlineStr">
        <is>
          <t>SUBESTAÇÃO</t>
        </is>
      </c>
      <c r="D423" s="61" t="inlineStr">
        <is>
          <t>SE SALITRE III</t>
        </is>
      </c>
      <c r="E423" s="62" t="inlineStr">
        <is>
          <t>JUAZEIRO</t>
        </is>
      </c>
      <c r="F423" s="61" t="inlineStr">
        <is>
          <t>FEIRA DE  SANTANA</t>
        </is>
      </c>
      <c r="G423" s="60" t="inlineStr">
        <is>
          <t>BA</t>
        </is>
      </c>
      <c r="H423" s="119" t="n">
        <v>45505</v>
      </c>
      <c r="I423" s="119">
        <f>H423-180</f>
        <v/>
      </c>
      <c r="J423" s="60">
        <f>SUM(L423:AE423)</f>
        <v/>
      </c>
      <c r="K423" s="60">
        <f>SUM(AF423:AJ423)</f>
        <v/>
      </c>
      <c r="L423" s="60" t="n"/>
      <c r="M423" s="60" t="n"/>
      <c r="N423" s="60" t="n"/>
      <c r="O423" s="60" t="n"/>
      <c r="P423" s="60" t="n"/>
      <c r="Q423" s="60" t="n">
        <v>4</v>
      </c>
      <c r="R423" s="60" t="n"/>
      <c r="S423" s="60" t="n"/>
      <c r="T423" s="60" t="n">
        <v>2</v>
      </c>
      <c r="U423" s="60" t="n"/>
      <c r="V423" s="60" t="n"/>
      <c r="W423" s="60" t="n"/>
      <c r="X423" s="60" t="n">
        <v>2</v>
      </c>
      <c r="Y423" s="60" t="n"/>
      <c r="Z423" s="60" t="n"/>
      <c r="AA423" s="60" t="n">
        <v>2</v>
      </c>
      <c r="AB423" s="60" t="n"/>
      <c r="AC423" s="60" t="n"/>
      <c r="AD423" s="60" t="n"/>
      <c r="AE423" s="60" t="n"/>
      <c r="AF423" s="60" t="n"/>
      <c r="AG423" s="60" t="n"/>
      <c r="AH423" s="60" t="n"/>
      <c r="AI423" s="60" t="n"/>
      <c r="AJ423" s="60" t="n"/>
      <c r="AK423" s="120">
        <f>IF(L423&gt;0,L423*90.44,0)+IF(M423&gt;0,M423*348.12,0)+IF(N423&gt;0,N423*151.63,0)+IF(O423&gt;0,O423*197.82,0)+IF(P423&gt;0,P423*244.09,0)+IF(Q423&gt;0,Q423*315.35,0)+IF(R423&gt;0,R423*1067.3,0)+IF(T423&gt;0,T423*567.47,0)+IF(U423&gt;0,U423*151.63,0)+IF(V423&gt;0,V423*197.84,0)+IF(W423&gt;0,W423*470.51,0)+IF(X423&gt;0,X423*701.69,0)+IF(Z423&gt;0,Z423*151.63,0)+IF(AA423&gt;0,AA423*197.84)+IF(AB423&gt;0,AB423*308.4,0)+IF(AC423&gt;0,AC423*496.16,0)</f>
        <v/>
      </c>
    </row>
    <row r="424">
      <c r="A424" s="58" t="inlineStr">
        <is>
          <t>rota</t>
        </is>
      </c>
      <c r="B424" s="59">
        <f>IF(H424&lt;$B$1,"VENCIDO","NA VALIDADE")</f>
        <v/>
      </c>
      <c r="C424" s="60" t="inlineStr">
        <is>
          <t>SUBESTAÇÃO</t>
        </is>
      </c>
      <c r="D424" s="61" t="inlineStr">
        <is>
          <t>SE SALITRE IV</t>
        </is>
      </c>
      <c r="E424" s="62" t="inlineStr">
        <is>
          <t>JUAZEIRO</t>
        </is>
      </c>
      <c r="F424" s="61" t="inlineStr">
        <is>
          <t>FEIRA DE  SANTANA</t>
        </is>
      </c>
      <c r="G424" s="60" t="inlineStr">
        <is>
          <t>BA</t>
        </is>
      </c>
      <c r="H424" s="119" t="n">
        <v>45474</v>
      </c>
      <c r="I424" s="119">
        <f>H424-180</f>
        <v/>
      </c>
      <c r="J424" s="60">
        <f>SUM(L424:AE424)</f>
        <v/>
      </c>
      <c r="K424" s="60">
        <f>SUM(AF424:AJ424)</f>
        <v/>
      </c>
      <c r="L424" s="60" t="n"/>
      <c r="M424" s="60" t="n"/>
      <c r="N424" s="60" t="n"/>
      <c r="O424" s="60" t="n"/>
      <c r="P424" s="60" t="n"/>
      <c r="Q424" s="60" t="n">
        <v>1</v>
      </c>
      <c r="R424" s="60" t="n"/>
      <c r="S424" s="60" t="n"/>
      <c r="T424" s="60" t="n"/>
      <c r="U424" s="60" t="n"/>
      <c r="V424" s="60" t="n"/>
      <c r="W424" s="60" t="n"/>
      <c r="X424" s="60" t="n"/>
      <c r="Y424" s="60" t="n"/>
      <c r="Z424" s="60" t="n"/>
      <c r="AA424" s="60" t="n">
        <v>1</v>
      </c>
      <c r="AB424" s="60" t="n"/>
      <c r="AC424" s="60" t="n"/>
      <c r="AD424" s="60" t="n"/>
      <c r="AE424" s="60" t="n"/>
      <c r="AF424" s="60" t="n"/>
      <c r="AG424" s="60" t="n"/>
      <c r="AH424" s="60" t="n"/>
      <c r="AI424" s="60" t="n"/>
      <c r="AJ424" s="60" t="n"/>
      <c r="AK424" s="120">
        <f>IF(L424&gt;0,L424*90.44,0)+IF(M424&gt;0,M424*348.12,0)+IF(N424&gt;0,N424*151.63,0)+IF(O424&gt;0,O424*197.82,0)+IF(P424&gt;0,P424*244.09,0)+IF(Q424&gt;0,Q424*315.35,0)+IF(R424&gt;0,R424*1067.3,0)+IF(T424&gt;0,T424*567.47,0)+IF(U424&gt;0,U424*151.63,0)+IF(V424&gt;0,V424*197.84,0)+IF(W424&gt;0,W424*470.51,0)+IF(X424&gt;0,X424*701.69,0)+IF(Z424&gt;0,Z424*151.63,0)+IF(AA424&gt;0,AA424*197.84)+IF(AB424&gt;0,AB424*308.4,0)+IF(AC424&gt;0,AC424*496.16,0)</f>
        <v/>
      </c>
    </row>
    <row r="425">
      <c r="A425" s="58" t="inlineStr">
        <is>
          <t>rota</t>
        </is>
      </c>
      <c r="B425" s="59">
        <f>IF(H425&lt;$B$1,"VENCIDO","NA VALIDADE")</f>
        <v/>
      </c>
      <c r="C425" s="60" t="inlineStr">
        <is>
          <t>SUBESTAÇÃO</t>
        </is>
      </c>
      <c r="D425" s="61" t="inlineStr">
        <is>
          <t>SE SANTA BARBARA</t>
        </is>
      </c>
      <c r="E425" s="62" t="inlineStr">
        <is>
          <t>SANTA BÁRBARA</t>
        </is>
      </c>
      <c r="F425" s="61" t="inlineStr">
        <is>
          <t>FEIRA DE  SANTANA</t>
        </is>
      </c>
      <c r="G425" s="60" t="inlineStr">
        <is>
          <t>BA</t>
        </is>
      </c>
      <c r="H425" s="119" t="n">
        <v>45444</v>
      </c>
      <c r="I425" s="119" t="n">
        <v>45292</v>
      </c>
      <c r="J425" s="60">
        <f>SUM(L425:AE425)</f>
        <v/>
      </c>
      <c r="K425" s="60">
        <f>SUM(AF425:AJ425)</f>
        <v/>
      </c>
      <c r="L425" s="60" t="n"/>
      <c r="M425" s="60" t="n"/>
      <c r="N425" s="60" t="n"/>
      <c r="O425" s="60" t="n"/>
      <c r="P425" s="60" t="n"/>
      <c r="Q425" s="60" t="n">
        <v>1</v>
      </c>
      <c r="R425" s="60" t="n"/>
      <c r="S425" s="60" t="n"/>
      <c r="T425" s="60" t="n"/>
      <c r="U425" s="60" t="n"/>
      <c r="V425" s="60" t="n"/>
      <c r="W425" s="60" t="n"/>
      <c r="X425" s="60" t="n"/>
      <c r="Y425" s="60" t="n"/>
      <c r="Z425" s="60" t="n"/>
      <c r="AA425" s="60" t="n">
        <v>1</v>
      </c>
      <c r="AB425" s="60" t="n"/>
      <c r="AC425" s="60" t="n"/>
      <c r="AD425" s="60" t="n"/>
      <c r="AE425" s="60" t="n"/>
      <c r="AF425" s="60" t="n"/>
      <c r="AG425" s="60" t="n"/>
      <c r="AH425" s="60" t="n"/>
      <c r="AI425" s="60" t="n"/>
      <c r="AJ425" s="60" t="n"/>
      <c r="AK425" s="120">
        <f>IF(L425&gt;0,L425*90.44,0)+IF(M425&gt;0,M425*348.12,0)+IF(N425&gt;0,N425*151.63,0)+IF(O425&gt;0,O425*197.82,0)+IF(P425&gt;0,P425*244.09,0)+IF(Q425&gt;0,Q425*315.35,0)+IF(R425&gt;0,R425*1067.3,0)+IF(T425&gt;0,T425*567.47,0)+IF(U425&gt;0,U425*151.63,0)+IF(V425&gt;0,V425*197.84,0)+IF(W425&gt;0,W425*470.51,0)+IF(X425&gt;0,X425*701.69,0)+IF(Z425&gt;0,Z425*151.63,0)+IF(AA425&gt;0,AA425*197.84)+IF(AB425&gt;0,AB425*308.4,0)+IF(AC425&gt;0,AC425*496.16,0)</f>
        <v/>
      </c>
    </row>
    <row r="426" hidden="1">
      <c r="A426" s="58" t="inlineStr">
        <is>
          <t>SIM</t>
        </is>
      </c>
      <c r="B426" s="59">
        <f>IF(H426&lt;$B$1,"VENCIDO","NA VALIDADE")</f>
        <v/>
      </c>
      <c r="C426" s="60" t="inlineStr">
        <is>
          <t>SUBESTAÇÃO</t>
        </is>
      </c>
      <c r="D426" s="61" t="inlineStr">
        <is>
          <t>SE CENTRO INDUSTRIAL TEIXEIRA DE FREITAS</t>
        </is>
      </c>
      <c r="E426" s="62" t="inlineStr">
        <is>
          <t>TEIXEIRA DE FREITAS</t>
        </is>
      </c>
      <c r="F426" s="61" t="inlineStr">
        <is>
          <t>ILHÉUS</t>
        </is>
      </c>
      <c r="G426" s="60" t="inlineStr">
        <is>
          <t>BA</t>
        </is>
      </c>
      <c r="H426" s="119" t="n">
        <v>45383</v>
      </c>
      <c r="I426" s="119">
        <f>H426-180</f>
        <v/>
      </c>
      <c r="J426" s="60">
        <f>SUM(L426:AE426)</f>
        <v/>
      </c>
      <c r="K426" s="60">
        <f>SUM(AF426:AJ426)</f>
        <v/>
      </c>
      <c r="L426" s="60" t="n"/>
      <c r="M426" s="60" t="n"/>
      <c r="N426" s="60" t="n"/>
      <c r="O426" s="60" t="n"/>
      <c r="P426" s="60" t="n"/>
      <c r="Q426" s="60" t="n">
        <v>4</v>
      </c>
      <c r="R426" s="60" t="n"/>
      <c r="S426" s="60" t="n"/>
      <c r="T426" s="60" t="n">
        <v>2</v>
      </c>
      <c r="U426" s="60" t="n"/>
      <c r="V426" s="60" t="n"/>
      <c r="W426" s="60" t="n"/>
      <c r="X426" s="60" t="n"/>
      <c r="Y426" s="60" t="n"/>
      <c r="Z426" s="60" t="n"/>
      <c r="AA426" s="60" t="n"/>
      <c r="AB426" s="60" t="n"/>
      <c r="AC426" s="60" t="n"/>
      <c r="AD426" s="60" t="n"/>
      <c r="AE426" s="60" t="n"/>
      <c r="AF426" s="60" t="n"/>
      <c r="AG426" s="60" t="n"/>
      <c r="AH426" s="60" t="n"/>
      <c r="AI426" s="60" t="n"/>
      <c r="AJ426" s="60" t="n"/>
      <c r="AK426" s="120">
        <f>IF(L426&gt;0,L426*90.44,0)+IF(M426&gt;0,M426*348.12,0)+IF(N426&gt;0,N426*151.63,0)+IF(O426&gt;0,O426*197.82,0)+IF(P426&gt;0,P426*244.09,0)+IF(Q426&gt;0,Q426*315.35,0)+IF(R426&gt;0,R426*1067.3,0)+IF(T426&gt;0,T426*567.47,0)+IF(U426&gt;0,U426*151.63,0)+IF(V426&gt;0,V426*197.84,0)+IF(W426&gt;0,W426*470.51,0)+IF(X426&gt;0,X426*701.69,0)+IF(Z426&gt;0,Z426*151.63,0)+IF(AA426&gt;0,AA426*197.84)+IF(AB426&gt;0,AB426*308.4,0)+IF(AC426&gt;0,AC426*496.16,0)</f>
        <v/>
      </c>
    </row>
    <row r="427">
      <c r="A427" s="58" t="inlineStr">
        <is>
          <t>rota</t>
        </is>
      </c>
      <c r="B427" s="59">
        <f>IF(H427&lt;$B$1,"VENCIDO","NA VALIDADE")</f>
        <v/>
      </c>
      <c r="C427" s="60" t="inlineStr">
        <is>
          <t>SUBESTAÇÃO</t>
        </is>
      </c>
      <c r="D427" s="61" t="inlineStr">
        <is>
          <t>SE SANTA BRIGIDA</t>
        </is>
      </c>
      <c r="E427" s="62" t="inlineStr">
        <is>
          <t>SANTA BRÍGIDA</t>
        </is>
      </c>
      <c r="F427" s="61" t="inlineStr">
        <is>
          <t>FEIRA DE  SANTANA</t>
        </is>
      </c>
      <c r="G427" s="60" t="inlineStr">
        <is>
          <t>BA</t>
        </is>
      </c>
      <c r="H427" s="119" t="n">
        <v>45597</v>
      </c>
      <c r="I427" s="119">
        <f>H427-180</f>
        <v/>
      </c>
      <c r="J427" s="60">
        <f>SUM(L427:AE427)</f>
        <v/>
      </c>
      <c r="K427" s="60">
        <f>SUM(AF427:AJ427)</f>
        <v/>
      </c>
      <c r="L427" s="60" t="n"/>
      <c r="M427" s="60" t="n"/>
      <c r="N427" s="60" t="n"/>
      <c r="O427" s="60" t="n"/>
      <c r="P427" s="60" t="n"/>
      <c r="Q427" s="60" t="n">
        <v>2</v>
      </c>
      <c r="R427" s="60" t="n"/>
      <c r="S427" s="60" t="n"/>
      <c r="T427" s="60" t="n">
        <v>1</v>
      </c>
      <c r="U427" s="60" t="n"/>
      <c r="V427" s="60" t="n"/>
      <c r="W427" s="60" t="n"/>
      <c r="X427" s="60" t="n"/>
      <c r="Y427" s="60" t="n"/>
      <c r="Z427" s="60" t="n"/>
      <c r="AA427" s="60" t="n"/>
      <c r="AB427" s="60" t="n"/>
      <c r="AC427" s="60" t="n"/>
      <c r="AD427" s="60" t="n"/>
      <c r="AE427" s="60" t="n"/>
      <c r="AF427" s="60" t="n"/>
      <c r="AG427" s="60" t="n"/>
      <c r="AH427" s="60" t="n"/>
      <c r="AI427" s="60" t="n"/>
      <c r="AJ427" s="60" t="n"/>
      <c r="AK427" s="120">
        <f>IF(L427&gt;0,L427*90.44,0)+IF(M427&gt;0,M427*348.12,0)+IF(N427&gt;0,N427*151.63,0)+IF(O427&gt;0,O427*197.82,0)+IF(P427&gt;0,P427*244.09,0)+IF(Q427&gt;0,Q427*315.35,0)+IF(R427&gt;0,R427*1067.3,0)+IF(T427&gt;0,T427*567.47,0)+IF(U427&gt;0,U427*151.63,0)+IF(V427&gt;0,V427*197.84,0)+IF(W427&gt;0,W427*470.51,0)+IF(X427&gt;0,X427*701.69,0)+IF(Z427&gt;0,Z427*151.63,0)+IF(AA427&gt;0,AA427*197.84)+IF(AB427&gt;0,AB427*308.4,0)+IF(AC427&gt;0,AC427*496.16,0)</f>
        <v/>
      </c>
    </row>
    <row r="428">
      <c r="A428" s="58" t="inlineStr">
        <is>
          <t>rota</t>
        </is>
      </c>
      <c r="B428" s="59">
        <f>IF(H428&lt;$B$1,"VENCIDO","NA VALIDADE")</f>
        <v/>
      </c>
      <c r="C428" s="60" t="inlineStr">
        <is>
          <t>SUBESTAÇÃO</t>
        </is>
      </c>
      <c r="D428" s="61" t="inlineStr">
        <is>
          <t>SE SANTA MÔNICA</t>
        </is>
      </c>
      <c r="E428" s="62" t="inlineStr">
        <is>
          <t>FEIRA DE SANTANA</t>
        </is>
      </c>
      <c r="F428" s="61" t="inlineStr">
        <is>
          <t>FEIRA DE  SANTANA</t>
        </is>
      </c>
      <c r="G428" s="60" t="inlineStr">
        <is>
          <t>BA</t>
        </is>
      </c>
      <c r="H428" s="119" t="n">
        <v>45474</v>
      </c>
      <c r="I428" s="119">
        <f>H428-180</f>
        <v/>
      </c>
      <c r="J428" s="60">
        <f>SUM(L428:AE428)</f>
        <v/>
      </c>
      <c r="K428" s="60">
        <f>SUM(AF428:AJ428)</f>
        <v/>
      </c>
      <c r="L428" s="60" t="n"/>
      <c r="M428" s="60" t="n"/>
      <c r="N428" s="60" t="n"/>
      <c r="O428" s="60" t="n"/>
      <c r="P428" s="60" t="n"/>
      <c r="Q428" s="60" t="n">
        <v>6</v>
      </c>
      <c r="R428" s="60" t="n"/>
      <c r="S428" s="60" t="n"/>
      <c r="T428" s="60" t="n">
        <v>2</v>
      </c>
      <c r="U428" s="60" t="n"/>
      <c r="V428" s="60" t="n"/>
      <c r="W428" s="60" t="n"/>
      <c r="X428" s="60" t="n"/>
      <c r="Y428" s="60" t="n"/>
      <c r="Z428" s="60" t="n"/>
      <c r="AA428" s="60" t="n">
        <v>1</v>
      </c>
      <c r="AB428" s="60" t="n"/>
      <c r="AC428" s="60" t="n"/>
      <c r="AD428" s="60" t="n"/>
      <c r="AE428" s="60" t="n"/>
      <c r="AF428" s="60" t="n"/>
      <c r="AG428" s="60" t="n"/>
      <c r="AH428" s="60" t="n"/>
      <c r="AI428" s="60" t="n"/>
      <c r="AJ428" s="60" t="n"/>
      <c r="AK428" s="120">
        <f>IF(L428&gt;0,L428*90.44,0)+IF(M428&gt;0,M428*348.12,0)+IF(N428&gt;0,N428*151.63,0)+IF(O428&gt;0,O428*197.82,0)+IF(P428&gt;0,P428*244.09,0)+IF(Q428&gt;0,Q428*315.35,0)+IF(R428&gt;0,R428*1067.3,0)+IF(T428&gt;0,T428*567.47,0)+IF(U428&gt;0,U428*151.63,0)+IF(V428&gt;0,V428*197.84,0)+IF(W428&gt;0,W428*470.51,0)+IF(X428&gt;0,X428*701.69,0)+IF(Z428&gt;0,Z428*151.63,0)+IF(AA428&gt;0,AA428*197.84)+IF(AB428&gt;0,AB428*308.4,0)+IF(AC428&gt;0,AC428*496.16,0)</f>
        <v/>
      </c>
    </row>
    <row r="429" hidden="1">
      <c r="A429" s="58" t="inlineStr">
        <is>
          <t>SIM</t>
        </is>
      </c>
      <c r="B429" s="59">
        <f>IF(H429&lt;$B$1,"VENCIDO","NA VALIDADE")</f>
        <v/>
      </c>
      <c r="C429" s="60" t="inlineStr">
        <is>
          <t>SUBESTAÇÃO</t>
        </is>
      </c>
      <c r="D429" s="61" t="inlineStr">
        <is>
          <t>SE SANTANA</t>
        </is>
      </c>
      <c r="E429" s="62" t="inlineStr">
        <is>
          <t>SANTANA</t>
        </is>
      </c>
      <c r="F429" s="61" t="inlineStr">
        <is>
          <t>VITÓRIA DA CONQUISTA</t>
        </is>
      </c>
      <c r="G429" s="60" t="inlineStr">
        <is>
          <t>BA</t>
        </is>
      </c>
      <c r="H429" s="119" t="n">
        <v>45566</v>
      </c>
      <c r="I429" s="119">
        <f>H429-180</f>
        <v/>
      </c>
      <c r="J429" s="60">
        <f>SUM(L429:AE429)</f>
        <v/>
      </c>
      <c r="K429" s="60">
        <f>SUM(AF429:AJ429)</f>
        <v/>
      </c>
      <c r="L429" s="60" t="n"/>
      <c r="M429" s="60" t="n"/>
      <c r="N429" s="60" t="n"/>
      <c r="O429" s="60" t="n"/>
      <c r="P429" s="60" t="n"/>
      <c r="Q429" s="60" t="n"/>
      <c r="R429" s="60" t="n"/>
      <c r="S429" s="60" t="n"/>
      <c r="T429" s="60" t="n"/>
      <c r="U429" s="60" t="n"/>
      <c r="V429" s="60" t="n">
        <v>1</v>
      </c>
      <c r="W429" s="60" t="n"/>
      <c r="X429" s="60" t="n"/>
      <c r="Y429" s="60" t="n"/>
      <c r="Z429" s="60" t="n"/>
      <c r="AA429" s="60" t="n">
        <v>1</v>
      </c>
      <c r="AB429" s="60" t="n"/>
      <c r="AC429" s="60" t="n"/>
      <c r="AD429" s="60" t="n"/>
      <c r="AE429" s="60" t="n"/>
      <c r="AF429" s="60" t="n"/>
      <c r="AG429" s="60" t="n"/>
      <c r="AH429" s="60" t="n"/>
      <c r="AI429" s="60" t="n"/>
      <c r="AJ429" s="60" t="n"/>
      <c r="AK429" s="120">
        <f>IF(L429&gt;0,L429*90.44,0)+IF(M429&gt;0,M429*348.12,0)+IF(N429&gt;0,N429*151.63,0)+IF(O429&gt;0,O429*197.82,0)+IF(P429&gt;0,P429*244.09,0)+IF(Q429&gt;0,Q429*315.35,0)+IF(R429&gt;0,R429*1067.3,0)+IF(T429&gt;0,T429*567.47,0)+IF(U429&gt;0,U429*151.63,0)+IF(V429&gt;0,V429*197.84,0)+IF(W429&gt;0,W429*470.51,0)+IF(X429&gt;0,X429*701.69,0)+IF(Z429&gt;0,Z429*151.63,0)+IF(AA429&gt;0,AA429*197.84)+IF(AB429&gt;0,AB429*308.4,0)+IF(AC429&gt;0,AC429*496.16,0)</f>
        <v/>
      </c>
    </row>
    <row r="430">
      <c r="A430" s="58" t="inlineStr">
        <is>
          <t>rota</t>
        </is>
      </c>
      <c r="B430" s="59">
        <f>IF(H430&lt;$B$1,"VENCIDO","NA VALIDADE")</f>
        <v/>
      </c>
      <c r="C430" s="60" t="inlineStr">
        <is>
          <t>SUBESTAÇÃO</t>
        </is>
      </c>
      <c r="D430" s="61" t="inlineStr">
        <is>
          <t>SE SANTO AMARO</t>
        </is>
      </c>
      <c r="E430" s="62" t="inlineStr">
        <is>
          <t>SANTO AMARO</t>
        </is>
      </c>
      <c r="F430" s="61" t="inlineStr">
        <is>
          <t>FEIRA DE  SANTANA</t>
        </is>
      </c>
      <c r="G430" s="60" t="inlineStr">
        <is>
          <t>BA</t>
        </is>
      </c>
      <c r="H430" s="119" t="n">
        <v>45352</v>
      </c>
      <c r="I430" s="119" t="n">
        <v>45352</v>
      </c>
      <c r="J430" s="60">
        <f>SUM(L430:AE430)</f>
        <v/>
      </c>
      <c r="K430" s="60">
        <f>SUM(AF430:AJ430)</f>
        <v/>
      </c>
      <c r="L430" s="60" t="n"/>
      <c r="M430" s="60" t="n"/>
      <c r="N430" s="60" t="n"/>
      <c r="O430" s="60" t="n"/>
      <c r="P430" s="60" t="n"/>
      <c r="Q430" s="60" t="n">
        <v>3</v>
      </c>
      <c r="R430" s="60" t="n"/>
      <c r="S430" s="60" t="n"/>
      <c r="T430" s="60" t="n">
        <v>1</v>
      </c>
      <c r="U430" s="60" t="n"/>
      <c r="V430" s="60" t="n"/>
      <c r="W430" s="60" t="n"/>
      <c r="X430" s="60" t="n"/>
      <c r="Y430" s="60" t="n"/>
      <c r="Z430" s="60" t="n"/>
      <c r="AA430" s="60" t="n">
        <v>1</v>
      </c>
      <c r="AB430" s="60" t="n"/>
      <c r="AC430" s="60" t="n"/>
      <c r="AD430" s="60" t="n"/>
      <c r="AE430" s="60" t="n"/>
      <c r="AF430" s="60" t="n"/>
      <c r="AG430" s="60" t="n"/>
      <c r="AH430" s="60" t="n"/>
      <c r="AI430" s="60" t="n"/>
      <c r="AJ430" s="60" t="n"/>
      <c r="AK430" s="120">
        <f>IF(L430&gt;0,L430*90.44,0)+IF(M430&gt;0,M430*348.12,0)+IF(N430&gt;0,N430*151.63,0)+IF(O430&gt;0,O430*197.82,0)+IF(P430&gt;0,P430*244.09,0)+IF(Q430&gt;0,Q430*315.35,0)+IF(R430&gt;0,R430*1067.3,0)+IF(T430&gt;0,T430*567.47,0)+IF(U430&gt;0,U430*151.63,0)+IF(V430&gt;0,V430*197.84,0)+IF(W430&gt;0,W430*470.51,0)+IF(X430&gt;0,X430*701.69,0)+IF(Z430&gt;0,Z430*151.63,0)+IF(AA430&gt;0,AA430*197.84)+IF(AB430&gt;0,AB430*308.4,0)+IF(AC430&gt;0,AC430*496.16,0)</f>
        <v/>
      </c>
    </row>
    <row r="431">
      <c r="A431" s="58" t="n"/>
      <c r="B431" s="59">
        <f>IF(H431&lt;$B$1,"VENCIDO","NA VALIDADE")</f>
        <v/>
      </c>
      <c r="C431" s="60" t="inlineStr">
        <is>
          <t>SUBESTAÇÃO</t>
        </is>
      </c>
      <c r="D431" s="61" t="inlineStr">
        <is>
          <t>SE SANTO ANTÔNIO DE JESUS</t>
        </is>
      </c>
      <c r="E431" s="62" t="inlineStr">
        <is>
          <t>SANTO ANTÔNIO DE JESUS</t>
        </is>
      </c>
      <c r="F431" s="61" t="inlineStr">
        <is>
          <t>FEIRA DE  SANTANA</t>
        </is>
      </c>
      <c r="G431" s="60" t="inlineStr">
        <is>
          <t>BA</t>
        </is>
      </c>
      <c r="H431" s="119" t="n">
        <v>45444</v>
      </c>
      <c r="I431" s="119" t="n">
        <v>45444</v>
      </c>
      <c r="J431" s="60">
        <f>SUM(L431:AE431)</f>
        <v/>
      </c>
      <c r="K431" s="60">
        <f>SUM(AF431:AJ431)</f>
        <v/>
      </c>
      <c r="L431" s="60" t="n"/>
      <c r="M431" s="60" t="n"/>
      <c r="N431" s="60" t="n"/>
      <c r="O431" s="60" t="n"/>
      <c r="P431" s="60" t="n"/>
      <c r="Q431" s="60" t="n">
        <v>1</v>
      </c>
      <c r="R431" s="60" t="n"/>
      <c r="S431" s="60" t="n"/>
      <c r="T431" s="60" t="n"/>
      <c r="U431" s="60" t="n"/>
      <c r="V431" s="60" t="n"/>
      <c r="W431" s="60" t="n"/>
      <c r="X431" s="60" t="n"/>
      <c r="Y431" s="60" t="n"/>
      <c r="Z431" s="60" t="n"/>
      <c r="AA431" s="60" t="n">
        <v>1</v>
      </c>
      <c r="AB431" s="60" t="n"/>
      <c r="AC431" s="60" t="n"/>
      <c r="AD431" s="60" t="n"/>
      <c r="AE431" s="60" t="n"/>
      <c r="AF431" s="60" t="n"/>
      <c r="AG431" s="60" t="n"/>
      <c r="AH431" s="60" t="n"/>
      <c r="AI431" s="60" t="n"/>
      <c r="AJ431" s="60" t="n"/>
      <c r="AK431" s="120">
        <f>IF(L431&gt;0,L431*90.44,0)+IF(M431&gt;0,M431*348.12,0)+IF(N431&gt;0,N431*151.63,0)+IF(O431&gt;0,O431*197.82,0)+IF(P431&gt;0,P431*244.09,0)+IF(Q431&gt;0,Q431*315.35,0)+IF(R431&gt;0,R431*1067.3,0)+IF(T431&gt;0,T431*567.47,0)+IF(U431&gt;0,U431*151.63,0)+IF(V431&gt;0,V431*197.84,0)+IF(W431&gt;0,W431*470.51,0)+IF(X431&gt;0,X431*701.69,0)+IF(Z431&gt;0,Z431*151.63,0)+IF(AA431&gt;0,AA431*197.84)+IF(AB431&gt;0,AB431*308.4,0)+IF(AC431&gt;0,AC431*496.16,0)</f>
        <v/>
      </c>
    </row>
    <row r="432">
      <c r="A432" s="58" t="inlineStr">
        <is>
          <t>SIM</t>
        </is>
      </c>
      <c r="B432" s="59">
        <f>IF(H432&lt;$B$1,"VENCIDO","NA VALIDADE")</f>
        <v/>
      </c>
      <c r="C432" s="60" t="inlineStr">
        <is>
          <t>SUBESTAÇÃO</t>
        </is>
      </c>
      <c r="D432" s="61" t="inlineStr">
        <is>
          <t>SE SANTO ANTÔNIO DE JESUS III</t>
        </is>
      </c>
      <c r="E432" s="62" t="inlineStr">
        <is>
          <t>SANTO ANTÔNIO DE JESUS</t>
        </is>
      </c>
      <c r="F432" s="61" t="inlineStr">
        <is>
          <t>FEIRA DE  SANTANA</t>
        </is>
      </c>
      <c r="G432" s="60" t="inlineStr">
        <is>
          <t>BA</t>
        </is>
      </c>
      <c r="H432" s="119" t="n">
        <v>45505</v>
      </c>
      <c r="I432" s="119">
        <f>H432-180</f>
        <v/>
      </c>
      <c r="J432" s="60">
        <f>SUM(L432:AE432)</f>
        <v/>
      </c>
      <c r="K432" s="60">
        <f>SUM(AF432:AJ432)</f>
        <v/>
      </c>
      <c r="L432" s="60" t="n"/>
      <c r="M432" s="60" t="n"/>
      <c r="N432" s="60" t="n"/>
      <c r="O432" s="60" t="n">
        <v>2</v>
      </c>
      <c r="P432" s="60" t="n"/>
      <c r="Q432" s="60" t="n">
        <v>6</v>
      </c>
      <c r="R432" s="60" t="n"/>
      <c r="S432" s="60" t="n"/>
      <c r="T432" s="60" t="n">
        <v>1</v>
      </c>
      <c r="U432" s="60" t="n"/>
      <c r="V432" s="60" t="n"/>
      <c r="W432" s="60" t="n"/>
      <c r="X432" s="60" t="n"/>
      <c r="Y432" s="60" t="n"/>
      <c r="Z432" s="60" t="n"/>
      <c r="AA432" s="60" t="n"/>
      <c r="AB432" s="60" t="n"/>
      <c r="AC432" s="60" t="n"/>
      <c r="AD432" s="60" t="n"/>
      <c r="AE432" s="60" t="n"/>
      <c r="AF432" s="60" t="n"/>
      <c r="AG432" s="60" t="n"/>
      <c r="AH432" s="60" t="n"/>
      <c r="AI432" s="60" t="n"/>
      <c r="AJ432" s="60" t="n"/>
      <c r="AK432" s="120">
        <f>IF(L432&gt;0,L432*90.44,0)+IF(M432&gt;0,M432*348.12,0)+IF(N432&gt;0,N432*151.63,0)+IF(O432&gt;0,O432*197.82,0)+IF(P432&gt;0,P432*244.09,0)+IF(Q432&gt;0,Q432*315.35,0)+IF(R432&gt;0,R432*1067.3,0)+IF(T432&gt;0,T432*567.47,0)+IF(U432&gt;0,U432*151.63,0)+IF(V432&gt;0,V432*197.84,0)+IF(W432&gt;0,W432*470.51,0)+IF(X432&gt;0,X432*701.69,0)+IF(Z432&gt;0,Z432*151.63,0)+IF(AA432&gt;0,AA432*197.84)+IF(AB432&gt;0,AB432*308.4,0)+IF(AC432&gt;0,AC432*496.16,0)</f>
        <v/>
      </c>
    </row>
    <row r="433">
      <c r="A433" s="58" t="inlineStr">
        <is>
          <t>SIM</t>
        </is>
      </c>
      <c r="B433" s="59">
        <f>IF(H433&lt;$B$1,"VENCIDO","NA VALIDADE")</f>
        <v/>
      </c>
      <c r="C433" s="60" t="inlineStr">
        <is>
          <t>SUBESTAÇÃO</t>
        </is>
      </c>
      <c r="D433" s="61" t="inlineStr">
        <is>
          <t>SE SANTO ESTÊVÃO</t>
        </is>
      </c>
      <c r="E433" s="62" t="inlineStr">
        <is>
          <t>SANTO ESTEVÃO</t>
        </is>
      </c>
      <c r="F433" s="61" t="inlineStr">
        <is>
          <t>FEIRA DE  SANTANA</t>
        </is>
      </c>
      <c r="G433" s="60" t="inlineStr">
        <is>
          <t>BA</t>
        </is>
      </c>
      <c r="H433" s="119" t="n">
        <v>45536</v>
      </c>
      <c r="I433" s="119">
        <f>H433-180</f>
        <v/>
      </c>
      <c r="J433" s="60">
        <f>SUM(L433:AE433)</f>
        <v/>
      </c>
      <c r="K433" s="60">
        <f>SUM(AF433:AJ433)</f>
        <v/>
      </c>
      <c r="L433" s="60" t="n"/>
      <c r="M433" s="60" t="n"/>
      <c r="N433" s="60" t="n"/>
      <c r="O433" s="60" t="n"/>
      <c r="P433" s="60" t="n"/>
      <c r="Q433" s="60" t="n"/>
      <c r="R433" s="60" t="n"/>
      <c r="S433" s="60" t="n"/>
      <c r="T433" s="60" t="n"/>
      <c r="U433" s="60" t="n"/>
      <c r="V433" s="60" t="n"/>
      <c r="W433" s="60" t="n"/>
      <c r="X433" s="60" t="n">
        <v>1</v>
      </c>
      <c r="Y433" s="60" t="n"/>
      <c r="Z433" s="60" t="n"/>
      <c r="AA433" s="60" t="n">
        <v>2</v>
      </c>
      <c r="AB433" s="60" t="n"/>
      <c r="AC433" s="60" t="n"/>
      <c r="AD433" s="60" t="n"/>
      <c r="AE433" s="60" t="n"/>
      <c r="AF433" s="60" t="n"/>
      <c r="AG433" s="60" t="n"/>
      <c r="AH433" s="60" t="n"/>
      <c r="AI433" s="60" t="n"/>
      <c r="AJ433" s="60" t="n"/>
      <c r="AK433" s="120">
        <f>IF(L433&gt;0,L433*90.44,0)+IF(M433&gt;0,M433*348.12,0)+IF(N433&gt;0,N433*151.63,0)+IF(O433&gt;0,O433*197.82,0)+IF(P433&gt;0,P433*244.09,0)+IF(Q433&gt;0,Q433*315.35,0)+IF(R433&gt;0,R433*1067.3,0)+IF(T433&gt;0,T433*567.47,0)+IF(U433&gt;0,U433*151.63,0)+IF(V433&gt;0,V433*197.84,0)+IF(W433&gt;0,W433*470.51,0)+IF(X433&gt;0,X433*701.69,0)+IF(Z433&gt;0,Z433*151.63,0)+IF(AA433&gt;0,AA433*197.84)+IF(AB433&gt;0,AB433*308.4,0)+IF(AC433&gt;0,AC433*496.16,0)</f>
        <v/>
      </c>
    </row>
    <row r="434">
      <c r="A434" s="58" t="inlineStr">
        <is>
          <t>SIM</t>
        </is>
      </c>
      <c r="B434" s="59">
        <f>IF(H434&lt;$B$1,"VENCIDO","NA VALIDADE")</f>
        <v/>
      </c>
      <c r="C434" s="60" t="inlineStr">
        <is>
          <t>SUBESTAÇÃO</t>
        </is>
      </c>
      <c r="D434" s="61" t="inlineStr">
        <is>
          <t>SE SÃO CRISTOVÃO</t>
        </is>
      </c>
      <c r="E434" s="62" t="inlineStr">
        <is>
          <t>SALVADOR</t>
        </is>
      </c>
      <c r="F434" s="61" t="inlineStr">
        <is>
          <t>FEIRA DE  SANTANA</t>
        </is>
      </c>
      <c r="G434" s="60" t="inlineStr">
        <is>
          <t>BA</t>
        </is>
      </c>
      <c r="H434" s="119" t="n">
        <v>45352</v>
      </c>
      <c r="I434" s="119" t="n">
        <v>45352</v>
      </c>
      <c r="J434" s="60">
        <f>SUM(L434:AE434)</f>
        <v/>
      </c>
      <c r="K434" s="60">
        <f>SUM(AF434:AJ434)</f>
        <v/>
      </c>
      <c r="L434" s="60" t="n"/>
      <c r="M434" s="60" t="n"/>
      <c r="N434" s="60" t="n"/>
      <c r="O434" s="60" t="n"/>
      <c r="P434" s="60" t="n"/>
      <c r="Q434" s="60" t="n">
        <v>7</v>
      </c>
      <c r="R434" s="60" t="n"/>
      <c r="S434" s="60" t="n"/>
      <c r="T434" s="60" t="n">
        <v>2</v>
      </c>
      <c r="U434" s="60" t="n"/>
      <c r="V434" s="60" t="n"/>
      <c r="W434" s="60" t="n"/>
      <c r="X434" s="60" t="n"/>
      <c r="Y434" s="60" t="n"/>
      <c r="Z434" s="60" t="n"/>
      <c r="AA434" s="60" t="n">
        <v>2</v>
      </c>
      <c r="AB434" s="60" t="n"/>
      <c r="AC434" s="60" t="n"/>
      <c r="AD434" s="60" t="n"/>
      <c r="AE434" s="60" t="n"/>
      <c r="AF434" s="60" t="n"/>
      <c r="AG434" s="60" t="n"/>
      <c r="AH434" s="60" t="n"/>
      <c r="AI434" s="60" t="n"/>
      <c r="AJ434" s="60" t="n"/>
      <c r="AK434" s="120">
        <f>IF(L434&gt;0,L434*90.44,0)+IF(M434&gt;0,M434*348.12,0)+IF(N434&gt;0,N434*151.63,0)+IF(O434&gt;0,O434*197.82,0)+IF(P434&gt;0,P434*244.09,0)+IF(Q434&gt;0,Q434*315.35,0)+IF(R434&gt;0,R434*1067.3,0)+IF(T434&gt;0,T434*567.47,0)+IF(U434&gt;0,U434*151.63,0)+IF(V434&gt;0,V434*197.84,0)+IF(W434&gt;0,W434*470.51,0)+IF(X434&gt;0,X434*701.69,0)+IF(Z434&gt;0,Z434*151.63,0)+IF(AA434&gt;0,AA434*197.84)+IF(AB434&gt;0,AB434*308.4,0)+IF(AC434&gt;0,AC434*496.16,0)</f>
        <v/>
      </c>
    </row>
    <row r="435" hidden="1">
      <c r="A435" s="58" t="inlineStr">
        <is>
          <t>1 DEZ CABO</t>
        </is>
      </c>
      <c r="B435" s="59">
        <f>IF(H435&lt;$B$1,"VENCIDO","NA VALIDADE")</f>
        <v/>
      </c>
      <c r="C435" s="60" t="inlineStr">
        <is>
          <t>SUBESTAÇÃO</t>
        </is>
      </c>
      <c r="D435" s="61" t="inlineStr">
        <is>
          <t>SE SÃO DESIDÉRIO</t>
        </is>
      </c>
      <c r="E435" s="62" t="inlineStr">
        <is>
          <t>SÃO DESIDÉRIO</t>
        </is>
      </c>
      <c r="F435" s="61" t="inlineStr">
        <is>
          <t>VITÓRIA DA CONQUISTA</t>
        </is>
      </c>
      <c r="G435" s="60" t="inlineStr">
        <is>
          <t>BA</t>
        </is>
      </c>
      <c r="H435" s="119" t="n">
        <v>45536</v>
      </c>
      <c r="I435" s="119">
        <f>H435-180</f>
        <v/>
      </c>
      <c r="J435" s="60">
        <f>SUM(L435:AE435)</f>
        <v/>
      </c>
      <c r="K435" s="60">
        <f>SUM(AF435:AJ435)</f>
        <v/>
      </c>
      <c r="L435" s="60" t="n"/>
      <c r="M435" s="60" t="n"/>
      <c r="N435" s="60" t="n"/>
      <c r="O435" s="60" t="n"/>
      <c r="P435" s="60" t="n">
        <v>1</v>
      </c>
      <c r="Q435" s="60" t="n">
        <v>2</v>
      </c>
      <c r="R435" s="60" t="n"/>
      <c r="S435" s="60" t="n"/>
      <c r="T435" s="60" t="n">
        <v>1</v>
      </c>
      <c r="U435" s="60" t="n"/>
      <c r="V435" s="60" t="n"/>
      <c r="W435" s="60" t="n"/>
      <c r="X435" s="60" t="n"/>
      <c r="Y435" s="60" t="n"/>
      <c r="Z435" s="60" t="n"/>
      <c r="AA435" s="60" t="n">
        <v>1</v>
      </c>
      <c r="AB435" s="60" t="n"/>
      <c r="AC435" s="60" t="n"/>
      <c r="AD435" s="60" t="n"/>
      <c r="AE435" s="60" t="n"/>
      <c r="AF435" s="60" t="n"/>
      <c r="AG435" s="60" t="n"/>
      <c r="AH435" s="60" t="n"/>
      <c r="AI435" s="60" t="n"/>
      <c r="AJ435" s="60" t="n"/>
      <c r="AK435" s="120">
        <f>IF(L435&gt;0,L435*90.44,0)+IF(M435&gt;0,M435*348.12,0)+IF(N435&gt;0,N435*151.63,0)+IF(O435&gt;0,O435*197.82,0)+IF(P435&gt;0,P435*244.09,0)+IF(Q435&gt;0,Q435*315.35,0)+IF(R435&gt;0,R435*1067.3,0)+IF(T435&gt;0,T435*567.47,0)+IF(U435&gt;0,U435*151.63,0)+IF(V435&gt;0,V435*197.84,0)+IF(W435&gt;0,W435*470.51,0)+IF(X435&gt;0,X435*701.69,0)+IF(Z435&gt;0,Z435*151.63,0)+IF(AA435&gt;0,AA435*197.84)+IF(AB435&gt;0,AB435*308.4,0)+IF(AC435&gt;0,AC435*496.16,0)</f>
        <v/>
      </c>
    </row>
    <row r="436">
      <c r="A436" s="58" t="inlineStr">
        <is>
          <t>SIM</t>
        </is>
      </c>
      <c r="B436" s="59">
        <f>IF(H436&lt;$B$1,"VENCIDO","NA VALIDADE")</f>
        <v/>
      </c>
      <c r="C436" s="60" t="inlineStr">
        <is>
          <t>SUBESTAÇÃO</t>
        </is>
      </c>
      <c r="D436" s="61" t="inlineStr">
        <is>
          <t>SE SÃO FELIPE</t>
        </is>
      </c>
      <c r="E436" s="62" t="inlineStr">
        <is>
          <t>SÃO FELIPE</t>
        </is>
      </c>
      <c r="F436" s="61" t="inlineStr">
        <is>
          <t>FEIRA DE  SANTANA</t>
        </is>
      </c>
      <c r="G436" s="60" t="inlineStr">
        <is>
          <t>BA</t>
        </is>
      </c>
      <c r="H436" s="119" t="n">
        <v>45474</v>
      </c>
      <c r="I436" s="119">
        <f>H436-180</f>
        <v/>
      </c>
      <c r="J436" s="60">
        <f>SUM(L436:AE436)</f>
        <v/>
      </c>
      <c r="K436" s="60">
        <f>SUM(AF436:AJ436)</f>
        <v/>
      </c>
      <c r="L436" s="60" t="n"/>
      <c r="M436" s="60" t="n"/>
      <c r="N436" s="60" t="n"/>
      <c r="O436" s="60" t="n"/>
      <c r="P436" s="60" t="n"/>
      <c r="Q436" s="60" t="n">
        <v>5</v>
      </c>
      <c r="R436" s="60" t="n"/>
      <c r="S436" s="60" t="n"/>
      <c r="T436" s="60" t="n">
        <v>2</v>
      </c>
      <c r="U436" s="60" t="n"/>
      <c r="V436" s="60" t="n"/>
      <c r="W436" s="60" t="n"/>
      <c r="X436" s="60" t="n"/>
      <c r="Y436" s="60" t="n"/>
      <c r="Z436" s="60" t="n"/>
      <c r="AA436" s="60" t="n">
        <v>1</v>
      </c>
      <c r="AB436" s="60" t="n"/>
      <c r="AC436" s="60" t="n"/>
      <c r="AD436" s="60" t="n"/>
      <c r="AE436" s="60" t="n"/>
      <c r="AF436" s="60" t="n"/>
      <c r="AG436" s="60" t="n"/>
      <c r="AH436" s="60" t="n"/>
      <c r="AI436" s="60" t="n"/>
      <c r="AJ436" s="60" t="n"/>
      <c r="AK436" s="120">
        <f>IF(L436&gt;0,L436*90.44,0)+IF(M436&gt;0,M436*348.12,0)+IF(N436&gt;0,N436*151.63,0)+IF(O436&gt;0,O436*197.82,0)+IF(P436&gt;0,P436*244.09,0)+IF(Q436&gt;0,Q436*315.35,0)+IF(R436&gt;0,R436*1067.3,0)+IF(T436&gt;0,T436*567.47,0)+IF(U436&gt;0,U436*151.63,0)+IF(V436&gt;0,V436*197.84,0)+IF(W436&gt;0,W436*470.51,0)+IF(X436&gt;0,X436*701.69,0)+IF(Z436&gt;0,Z436*151.63,0)+IF(AA436&gt;0,AA436*197.84)+IF(AB436&gt;0,AB436*308.4,0)+IF(AC436&gt;0,AC436*496.16,0)</f>
        <v/>
      </c>
    </row>
    <row r="437">
      <c r="A437" s="58" t="inlineStr">
        <is>
          <t>SIM</t>
        </is>
      </c>
      <c r="B437" s="59">
        <f>IF(H437&lt;$B$1,"VENCIDO","NA VALIDADE")</f>
        <v/>
      </c>
      <c r="C437" s="60" t="inlineStr">
        <is>
          <t>SUBESTAÇÃO</t>
        </is>
      </c>
      <c r="D437" s="61" t="inlineStr">
        <is>
          <t>SE SÃO GONCALO DOS CAMPOS</t>
        </is>
      </c>
      <c r="E437" s="62" t="inlineStr">
        <is>
          <t>SÃO GONÇALO DOS CAMPOS</t>
        </is>
      </c>
      <c r="F437" s="61" t="inlineStr">
        <is>
          <t>FEIRA DE  SANTANA</t>
        </is>
      </c>
      <c r="G437" s="60" t="inlineStr">
        <is>
          <t>BA</t>
        </is>
      </c>
      <c r="H437" s="119" t="n">
        <v>45536</v>
      </c>
      <c r="I437" s="119">
        <f>H437-180</f>
        <v/>
      </c>
      <c r="J437" s="60">
        <f>SUM(L437:AE437)</f>
        <v/>
      </c>
      <c r="K437" s="60">
        <f>SUM(AF437:AJ437)</f>
        <v/>
      </c>
      <c r="L437" s="60" t="n"/>
      <c r="M437" s="60" t="n"/>
      <c r="N437" s="60" t="n"/>
      <c r="O437" s="60" t="n"/>
      <c r="P437" s="60" t="n"/>
      <c r="Q437" s="60" t="n">
        <v>1</v>
      </c>
      <c r="R437" s="60" t="n"/>
      <c r="S437" s="60" t="n"/>
      <c r="T437" s="60" t="n"/>
      <c r="U437" s="60" t="n"/>
      <c r="V437" s="60" t="n"/>
      <c r="W437" s="60" t="n"/>
      <c r="X437" s="60" t="n"/>
      <c r="Y437" s="60" t="n"/>
      <c r="Z437" s="60" t="n"/>
      <c r="AA437" s="60" t="n">
        <v>1</v>
      </c>
      <c r="AB437" s="60" t="n"/>
      <c r="AC437" s="60" t="n"/>
      <c r="AD437" s="60" t="n"/>
      <c r="AE437" s="60" t="n"/>
      <c r="AF437" s="60" t="n"/>
      <c r="AG437" s="60" t="n"/>
      <c r="AH437" s="60" t="n"/>
      <c r="AI437" s="60" t="n"/>
      <c r="AJ437" s="60" t="n"/>
      <c r="AK437" s="120">
        <f>IF(L437&gt;0,L437*90.44,0)+IF(M437&gt;0,M437*348.12,0)+IF(N437&gt;0,N437*151.63,0)+IF(O437&gt;0,O437*197.82,0)+IF(P437&gt;0,P437*244.09,0)+IF(Q437&gt;0,Q437*315.35,0)+IF(R437&gt;0,R437*1067.3,0)+IF(T437&gt;0,T437*567.47,0)+IF(U437&gt;0,U437*151.63,0)+IF(V437&gt;0,V437*197.84,0)+IF(W437&gt;0,W437*470.51,0)+IF(X437&gt;0,X437*701.69,0)+IF(Z437&gt;0,Z437*151.63,0)+IF(AA437&gt;0,AA437*197.84)+IF(AB437&gt;0,AB437*308.4,0)+IF(AC437&gt;0,AC437*496.16,0)</f>
        <v/>
      </c>
    </row>
    <row r="438" hidden="1">
      <c r="A438" s="58" t="inlineStr">
        <is>
          <t>rota</t>
        </is>
      </c>
      <c r="B438" s="59">
        <f>IF(H438&lt;$B$1,"VENCIDO","NA VALIDADE")</f>
        <v/>
      </c>
      <c r="C438" s="60" t="inlineStr">
        <is>
          <t>UTD</t>
        </is>
      </c>
      <c r="D438" s="61" t="inlineStr">
        <is>
          <t>UTD EUNAPOLIS</t>
        </is>
      </c>
      <c r="E438" s="62" t="inlineStr">
        <is>
          <t>EUNÁPOLIS</t>
        </is>
      </c>
      <c r="F438" s="61" t="inlineStr">
        <is>
          <t>ILHÉUS</t>
        </is>
      </c>
      <c r="G438" s="60" t="inlineStr">
        <is>
          <t>BA</t>
        </is>
      </c>
      <c r="H438" s="119" t="n">
        <v>45323</v>
      </c>
      <c r="I438" s="119">
        <f>H438-180</f>
        <v/>
      </c>
      <c r="J438" s="60">
        <f>SUM(L438:AE438)</f>
        <v/>
      </c>
      <c r="K438" s="60">
        <f>SUM(AF438:AJ438)</f>
        <v/>
      </c>
      <c r="L438" s="60" t="n">
        <v>1</v>
      </c>
      <c r="M438" s="60" t="n"/>
      <c r="N438" s="60" t="n"/>
      <c r="O438" s="60" t="n"/>
      <c r="P438" s="60" t="n"/>
      <c r="Q438" s="60" t="n"/>
      <c r="R438" s="60" t="n"/>
      <c r="S438" s="60" t="n"/>
      <c r="T438" s="60" t="n"/>
      <c r="U438" s="60" t="n"/>
      <c r="V438" s="60" t="n">
        <v>5</v>
      </c>
      <c r="W438" s="60" t="n"/>
      <c r="X438" s="60" t="n"/>
      <c r="Y438" s="60" t="n"/>
      <c r="Z438" s="60" t="n"/>
      <c r="AA438" s="60" t="n"/>
      <c r="AB438" s="60" t="n"/>
      <c r="AC438" s="60" t="n"/>
      <c r="AD438" s="60" t="n"/>
      <c r="AE438" s="60" t="n"/>
      <c r="AF438" s="60" t="n"/>
      <c r="AG438" s="60" t="n"/>
      <c r="AH438" s="60" t="n"/>
      <c r="AI438" s="60" t="n"/>
      <c r="AJ438" s="60" t="n"/>
      <c r="AK438" s="120">
        <f>IF(L438&gt;0,L438*90.44,0)+IF(M438&gt;0,M438*348.12,0)+IF(N438&gt;0,N438*151.63,0)+IF(O438&gt;0,O438*197.82,0)+IF(P438&gt;0,P438*244.09,0)+IF(Q438&gt;0,Q438*315.35,0)+IF(R438&gt;0,R438*1067.3,0)+IF(T438&gt;0,T438*567.47,0)+IF(U438&gt;0,U438*151.63,0)+IF(V438&gt;0,V438*197.84,0)+IF(W438&gt;0,W438*470.51,0)+IF(X438&gt;0,X438*701.69,0)+IF(Z438&gt;0,Z438*151.63,0)+IF(AA438&gt;0,AA438*197.84)+IF(AB438&gt;0,AB438*308.4,0)+IF(AC438&gt;0,AC438*496.16,0)</f>
        <v/>
      </c>
    </row>
    <row r="439">
      <c r="A439" s="58" t="inlineStr">
        <is>
          <t>SIM</t>
        </is>
      </c>
      <c r="B439" s="59">
        <f>IF(H439&lt;$B$1,"VENCIDO","NA VALIDADE")</f>
        <v/>
      </c>
      <c r="C439" s="60" t="inlineStr">
        <is>
          <t>SUBESTAÇÃO</t>
        </is>
      </c>
      <c r="D439" s="61" t="inlineStr">
        <is>
          <t>SE SÃO MIGUEL</t>
        </is>
      </c>
      <c r="E439" s="62" t="inlineStr">
        <is>
          <t>LAJEDINHO</t>
        </is>
      </c>
      <c r="F439" s="61" t="inlineStr">
        <is>
          <t>FEIRA DE  SANTANA</t>
        </is>
      </c>
      <c r="G439" s="60" t="inlineStr">
        <is>
          <t>BA</t>
        </is>
      </c>
      <c r="H439" s="119" t="n">
        <v>45413</v>
      </c>
      <c r="I439" s="119" t="n">
        <v>45413</v>
      </c>
      <c r="J439" s="60">
        <f>SUM(L439:AE439)</f>
        <v/>
      </c>
      <c r="K439" s="60">
        <f>SUM(AF439:AJ439)</f>
        <v/>
      </c>
      <c r="L439" s="60" t="n"/>
      <c r="M439" s="60" t="n"/>
      <c r="N439" s="60" t="n"/>
      <c r="O439" s="60" t="n"/>
      <c r="P439" s="60" t="n"/>
      <c r="Q439" s="60" t="n">
        <v>5</v>
      </c>
      <c r="R439" s="60" t="n"/>
      <c r="S439" s="60" t="n"/>
      <c r="T439" s="60" t="n">
        <v>1</v>
      </c>
      <c r="U439" s="60" t="n"/>
      <c r="V439" s="60" t="n"/>
      <c r="W439" s="60" t="n"/>
      <c r="X439" s="60" t="n"/>
      <c r="Y439" s="60" t="n"/>
      <c r="Z439" s="60" t="n"/>
      <c r="AA439" s="60" t="n">
        <v>1</v>
      </c>
      <c r="AB439" s="60" t="n"/>
      <c r="AC439" s="60" t="n"/>
      <c r="AD439" s="60" t="n"/>
      <c r="AE439" s="60" t="n"/>
      <c r="AF439" s="60" t="n"/>
      <c r="AG439" s="60" t="n"/>
      <c r="AH439" s="60" t="n"/>
      <c r="AI439" s="60" t="n"/>
      <c r="AJ439" s="60" t="n"/>
      <c r="AK439" s="120">
        <f>IF(L439&gt;0,L439*90.44,0)+IF(M439&gt;0,M439*348.12,0)+IF(N439&gt;0,N439*151.63,0)+IF(O439&gt;0,O439*197.82,0)+IF(P439&gt;0,P439*244.09,0)+IF(Q439&gt;0,Q439*315.35,0)+IF(R439&gt;0,R439*1067.3,0)+IF(T439&gt;0,T439*567.47,0)+IF(U439&gt;0,U439*151.63,0)+IF(V439&gt;0,V439*197.84,0)+IF(W439&gt;0,W439*470.51,0)+IF(X439&gt;0,X439*701.69,0)+IF(Z439&gt;0,Z439*151.63,0)+IF(AA439&gt;0,AA439*197.84)+IF(AB439&gt;0,AB439*308.4,0)+IF(AC439&gt;0,AC439*496.16,0)</f>
        <v/>
      </c>
    </row>
    <row r="440">
      <c r="A440" s="58" t="inlineStr">
        <is>
          <t>rota</t>
        </is>
      </c>
      <c r="B440" s="59">
        <f>IF(H440&lt;$B$1,"VENCIDO","NA VALIDADE")</f>
        <v/>
      </c>
      <c r="C440" s="60" t="inlineStr">
        <is>
          <t>SUBESTAÇÃO</t>
        </is>
      </c>
      <c r="D440" s="61" t="inlineStr">
        <is>
          <t>SE SÃO ROQUE</t>
        </is>
      </c>
      <c r="E440" s="62" t="inlineStr">
        <is>
          <t>MARAGOGIPE</t>
        </is>
      </c>
      <c r="F440" s="61" t="inlineStr">
        <is>
          <t>FEIRA DE  SANTANA</t>
        </is>
      </c>
      <c r="G440" s="60" t="inlineStr">
        <is>
          <t>BA</t>
        </is>
      </c>
      <c r="H440" s="119" t="n">
        <v>45597</v>
      </c>
      <c r="I440" s="119">
        <f>H440-180</f>
        <v/>
      </c>
      <c r="J440" s="60">
        <f>SUM(L440:AE440)</f>
        <v/>
      </c>
      <c r="K440" s="60">
        <f>SUM(AF440:AJ440)</f>
        <v/>
      </c>
      <c r="L440" s="60" t="n"/>
      <c r="M440" s="60" t="n"/>
      <c r="N440" s="60" t="n"/>
      <c r="O440" s="60" t="n"/>
      <c r="P440" s="60" t="n">
        <v>1</v>
      </c>
      <c r="Q440" s="60" t="n">
        <v>2</v>
      </c>
      <c r="R440" s="60" t="n"/>
      <c r="S440" s="60" t="n"/>
      <c r="T440" s="60" t="n">
        <v>1</v>
      </c>
      <c r="U440" s="60" t="n"/>
      <c r="V440" s="60" t="n"/>
      <c r="W440" s="60" t="n"/>
      <c r="X440" s="60" t="n"/>
      <c r="Y440" s="60" t="n"/>
      <c r="Z440" s="60" t="n"/>
      <c r="AA440" s="60" t="n">
        <v>1</v>
      </c>
      <c r="AB440" s="60" t="n"/>
      <c r="AC440" s="60" t="n"/>
      <c r="AD440" s="60" t="n"/>
      <c r="AE440" s="60" t="n"/>
      <c r="AF440" s="60" t="n"/>
      <c r="AG440" s="60" t="n"/>
      <c r="AH440" s="60" t="n"/>
      <c r="AI440" s="60" t="n"/>
      <c r="AJ440" s="60" t="n"/>
      <c r="AK440" s="120">
        <f>IF(L440&gt;0,L440*90.44,0)+IF(M440&gt;0,M440*348.12,0)+IF(N440&gt;0,N440*151.63,0)+IF(O440&gt;0,O440*197.82,0)+IF(P440&gt;0,P440*244.09,0)+IF(Q440&gt;0,Q440*315.35,0)+IF(R440&gt;0,R440*1067.3,0)+IF(T440&gt;0,T440*567.47,0)+IF(U440&gt;0,U440*151.63,0)+IF(V440&gt;0,V440*197.84,0)+IF(W440&gt;0,W440*470.51,0)+IF(X440&gt;0,X440*701.69,0)+IF(Z440&gt;0,Z440*151.63,0)+IF(AA440&gt;0,AA440*197.84)+IF(AB440&gt;0,AB440*308.4,0)+IF(AC440&gt;0,AC440*496.16,0)</f>
        <v/>
      </c>
    </row>
    <row r="441" hidden="1">
      <c r="A441" s="58" t="inlineStr">
        <is>
          <t>SIM</t>
        </is>
      </c>
      <c r="B441" s="59">
        <f>IF(H441&lt;$B$1,"VENCIDO","NA VALIDADE")</f>
        <v/>
      </c>
      <c r="C441" s="60" t="inlineStr">
        <is>
          <t>SUBESTAÇÃO</t>
        </is>
      </c>
      <c r="D441" s="61" t="inlineStr">
        <is>
          <t>SE SERRA DO RAMALHO (BOM JESUS DA LAPA II )</t>
        </is>
      </c>
      <c r="E441" s="62" t="inlineStr">
        <is>
          <t>BOM JESUS DA LAPA</t>
        </is>
      </c>
      <c r="F441" s="61" t="inlineStr">
        <is>
          <t>VITÓRIA DA CONQUISTA</t>
        </is>
      </c>
      <c r="G441" s="60" t="inlineStr">
        <is>
          <t>BA</t>
        </is>
      </c>
      <c r="H441" s="119" t="n">
        <v>45352</v>
      </c>
      <c r="I441" s="119" t="n">
        <v>45352</v>
      </c>
      <c r="J441" s="60">
        <f>SUM(L441:AE441)</f>
        <v/>
      </c>
      <c r="K441" s="60">
        <f>SUM(AF441:AJ441)</f>
        <v/>
      </c>
      <c r="L441" s="60" t="n"/>
      <c r="M441" s="60" t="n"/>
      <c r="N441" s="60" t="n"/>
      <c r="O441" s="60" t="n"/>
      <c r="P441" s="60" t="n"/>
      <c r="Q441" s="60" t="n">
        <v>2</v>
      </c>
      <c r="R441" s="60" t="n"/>
      <c r="S441" s="60" t="n"/>
      <c r="T441" s="60" t="n"/>
      <c r="U441" s="60" t="n"/>
      <c r="V441" s="60" t="n"/>
      <c r="W441" s="60" t="n"/>
      <c r="X441" s="60" t="n"/>
      <c r="Y441" s="60" t="n"/>
      <c r="Z441" s="60" t="n">
        <v>2</v>
      </c>
      <c r="AA441" s="60" t="n"/>
      <c r="AB441" s="60" t="n"/>
      <c r="AC441" s="60" t="n"/>
      <c r="AD441" s="60" t="n"/>
      <c r="AE441" s="60" t="n"/>
      <c r="AF441" s="60" t="n"/>
      <c r="AG441" s="60" t="n"/>
      <c r="AH441" s="60" t="n"/>
      <c r="AI441" s="60" t="n"/>
      <c r="AJ441" s="60" t="n"/>
      <c r="AK441" s="120">
        <f>IF(L441&gt;0,L441*90.44,0)+IF(M441&gt;0,M441*348.12,0)+IF(N441&gt;0,N441*151.63,0)+IF(O441&gt;0,O441*197.82,0)+IF(P441&gt;0,P441*244.09,0)+IF(Q441&gt;0,Q441*315.35,0)+IF(R441&gt;0,R441*1067.3,0)+IF(T441&gt;0,T441*567.47,0)+IF(U441&gt;0,U441*151.63,0)+IF(V441&gt;0,V441*197.84,0)+IF(W441&gt;0,W441*470.51,0)+IF(X441&gt;0,X441*701.69,0)+IF(Z441&gt;0,Z441*151.63,0)+IF(AA441&gt;0,AA441*197.84)+IF(AB441&gt;0,AB441*308.4,0)+IF(AC441&gt;0,AC441*496.16,0)</f>
        <v/>
      </c>
    </row>
    <row r="442" hidden="1">
      <c r="A442" s="58" t="inlineStr">
        <is>
          <t>rota</t>
        </is>
      </c>
      <c r="B442" s="59">
        <f>IF(H442&lt;$B$1,"VENCIDO","NA VALIDADE")</f>
        <v/>
      </c>
      <c r="C442" s="60" t="inlineStr">
        <is>
          <t>SUBESTAÇÃO</t>
        </is>
      </c>
      <c r="D442" s="66" t="inlineStr">
        <is>
          <t>SE SEABRA</t>
        </is>
      </c>
      <c r="E442" s="62" t="inlineStr">
        <is>
          <t>SEABRA</t>
        </is>
      </c>
      <c r="F442" s="61" t="inlineStr">
        <is>
          <t>VITÓRIA DA CONQUISTA</t>
        </is>
      </c>
      <c r="G442" s="60" t="inlineStr">
        <is>
          <t>BA</t>
        </is>
      </c>
      <c r="H442" s="119" t="n">
        <v>45444</v>
      </c>
      <c r="I442" s="119" t="n">
        <v>45444</v>
      </c>
      <c r="J442" s="60">
        <f>SUM(L442:AE442)</f>
        <v/>
      </c>
      <c r="K442" s="60">
        <f>SUM(AF442:AJ442)</f>
        <v/>
      </c>
      <c r="L442" s="60" t="n"/>
      <c r="M442" s="60" t="n"/>
      <c r="N442" s="60" t="n"/>
      <c r="O442" s="60" t="n"/>
      <c r="P442" s="60" t="n"/>
      <c r="Q442" s="60" t="n">
        <v>1</v>
      </c>
      <c r="R442" s="60" t="n"/>
      <c r="S442" s="60" t="n"/>
      <c r="T442" s="60" t="n"/>
      <c r="U442" s="60" t="n"/>
      <c r="V442" s="60" t="n"/>
      <c r="W442" s="60" t="n"/>
      <c r="X442" s="60" t="n"/>
      <c r="Y442" s="60" t="n"/>
      <c r="Z442" s="60" t="n"/>
      <c r="AA442" s="60" t="n">
        <v>1</v>
      </c>
      <c r="AB442" s="60" t="n"/>
      <c r="AC442" s="60" t="n"/>
      <c r="AD442" s="60" t="n"/>
      <c r="AE442" s="60" t="n"/>
      <c r="AF442" s="60" t="n"/>
      <c r="AG442" s="60" t="n"/>
      <c r="AH442" s="60" t="n"/>
      <c r="AI442" s="60" t="n"/>
      <c r="AJ442" s="60" t="n"/>
      <c r="AK442" s="120">
        <f>IF(L442&gt;0,L442*90.44,0)+IF(M442&gt;0,M442*348.12,0)+IF(N442&gt;0,N442*151.63,0)+IF(O442&gt;0,O442*197.82,0)+IF(P442&gt;0,P442*244.09,0)+IF(Q442&gt;0,Q442*315.35,0)+IF(R442&gt;0,R442*1067.3,0)+IF(T442&gt;0,T442*567.47,0)+IF(U442&gt;0,U442*151.63,0)+IF(V442&gt;0,V442*197.84,0)+IF(W442&gt;0,W442*470.51,0)+IF(X442&gt;0,X442*701.69,0)+IF(Z442&gt;0,Z442*151.63,0)+IF(AA442&gt;0,AA442*197.84)+IF(AB442&gt;0,AB442*308.4,0)+IF(AC442&gt;0,AC442*496.16,0)</f>
        <v/>
      </c>
    </row>
    <row r="443">
      <c r="A443" s="58" t="inlineStr">
        <is>
          <t>rota</t>
        </is>
      </c>
      <c r="B443" s="59">
        <f>IF(H443&lt;$B$1,"VENCIDO","NA VALIDADE")</f>
        <v/>
      </c>
      <c r="C443" s="60" t="inlineStr">
        <is>
          <t>SUBESTAÇÃO</t>
        </is>
      </c>
      <c r="D443" s="61" t="inlineStr">
        <is>
          <t>SE SENHOR DO BOMFIM</t>
        </is>
      </c>
      <c r="E443" s="62" t="inlineStr">
        <is>
          <t>SENHOR DO BONFIM</t>
        </is>
      </c>
      <c r="F443" s="61" t="inlineStr">
        <is>
          <t>FEIRA DE  SANTANA</t>
        </is>
      </c>
      <c r="G443" s="60" t="inlineStr">
        <is>
          <t>BA</t>
        </is>
      </c>
      <c r="H443" s="119" t="n">
        <v>45505</v>
      </c>
      <c r="I443" s="119">
        <f>H443-180</f>
        <v/>
      </c>
      <c r="J443" s="60">
        <f>SUM(L443:AE443)</f>
        <v/>
      </c>
      <c r="K443" s="60">
        <f>SUM(AF443:AJ443)</f>
        <v/>
      </c>
      <c r="L443" s="60" t="n"/>
      <c r="M443" s="60" t="n"/>
      <c r="N443" s="60" t="n"/>
      <c r="O443" s="60" t="n"/>
      <c r="P443" s="60" t="n"/>
      <c r="Q443" s="60" t="n">
        <v>1</v>
      </c>
      <c r="R443" s="60" t="n"/>
      <c r="S443" s="60" t="n"/>
      <c r="T443" s="60" t="n">
        <v>1</v>
      </c>
      <c r="U443" s="60" t="n"/>
      <c r="V443" s="60" t="n"/>
      <c r="W443" s="60" t="n"/>
      <c r="X443" s="60" t="n"/>
      <c r="Y443" s="60" t="n"/>
      <c r="Z443" s="60" t="n"/>
      <c r="AA443" s="60" t="n">
        <v>1</v>
      </c>
      <c r="AB443" s="60" t="n"/>
      <c r="AC443" s="60" t="n"/>
      <c r="AD443" s="60" t="n"/>
      <c r="AE443" s="60" t="n"/>
      <c r="AF443" s="60" t="n"/>
      <c r="AG443" s="60" t="n"/>
      <c r="AH443" s="60" t="n"/>
      <c r="AI443" s="60" t="n"/>
      <c r="AJ443" s="60" t="n"/>
      <c r="AK443" s="120">
        <f>IF(L443&gt;0,L443*90.44,0)+IF(M443&gt;0,M443*348.12,0)+IF(N443&gt;0,N443*151.63,0)+IF(O443&gt;0,O443*197.82,0)+IF(P443&gt;0,P443*244.09,0)+IF(Q443&gt;0,Q443*315.35,0)+IF(R443&gt;0,R443*1067.3,0)+IF(T443&gt;0,T443*567.47,0)+IF(U443&gt;0,U443*151.63,0)+IF(V443&gt;0,V443*197.84,0)+IF(W443&gt;0,W443*470.51,0)+IF(X443&gt;0,X443*701.69,0)+IF(Z443&gt;0,Z443*151.63,0)+IF(AA443&gt;0,AA443*197.84)+IF(AB443&gt;0,AB443*308.4,0)+IF(AC443&gt;0,AC443*496.16,0)</f>
        <v/>
      </c>
    </row>
    <row r="444">
      <c r="A444" s="58" t="inlineStr">
        <is>
          <t>rota</t>
        </is>
      </c>
      <c r="B444" s="59">
        <f>IF(H444&lt;$B$1,"VENCIDO","NA VALIDADE")</f>
        <v/>
      </c>
      <c r="C444" s="60" t="inlineStr">
        <is>
          <t>SUBESTAÇÃO</t>
        </is>
      </c>
      <c r="D444" s="61" t="inlineStr">
        <is>
          <t>SE SENTO SÉ</t>
        </is>
      </c>
      <c r="E444" s="62" t="inlineStr">
        <is>
          <t>SENTO SÉ</t>
        </is>
      </c>
      <c r="F444" s="61" t="inlineStr">
        <is>
          <t>FEIRA DE  SANTANA</t>
        </is>
      </c>
      <c r="G444" s="60" t="inlineStr">
        <is>
          <t>BA</t>
        </is>
      </c>
      <c r="H444" s="119" t="n">
        <v>45536</v>
      </c>
      <c r="I444" s="119">
        <f>H444-180</f>
        <v/>
      </c>
      <c r="J444" s="60">
        <f>SUM(L444:AE444)</f>
        <v/>
      </c>
      <c r="K444" s="60">
        <f>SUM(AF444:AJ444)</f>
        <v/>
      </c>
      <c r="L444" s="60" t="n"/>
      <c r="M444" s="60" t="n"/>
      <c r="N444" s="60" t="n"/>
      <c r="O444" s="60" t="n"/>
      <c r="P444" s="60" t="n"/>
      <c r="Q444" s="60" t="n">
        <v>1</v>
      </c>
      <c r="R444" s="60" t="n"/>
      <c r="S444" s="60" t="n"/>
      <c r="T444" s="60" t="n"/>
      <c r="U444" s="60" t="n"/>
      <c r="V444" s="60" t="n"/>
      <c r="W444" s="60" t="n"/>
      <c r="X444" s="60" t="n"/>
      <c r="Y444" s="60" t="n"/>
      <c r="Z444" s="60" t="n"/>
      <c r="AA444" s="60" t="n">
        <v>2</v>
      </c>
      <c r="AB444" s="60" t="n"/>
      <c r="AC444" s="60" t="n"/>
      <c r="AD444" s="60" t="n"/>
      <c r="AE444" s="60" t="n"/>
      <c r="AF444" s="60" t="n"/>
      <c r="AG444" s="60" t="n"/>
      <c r="AH444" s="60" t="n"/>
      <c r="AI444" s="60" t="n"/>
      <c r="AJ444" s="60" t="n"/>
      <c r="AK444" s="120">
        <f>IF(L444&gt;0,L444*90.44,0)+IF(M444&gt;0,M444*348.12,0)+IF(N444&gt;0,N444*151.63,0)+IF(O444&gt;0,O444*197.82,0)+IF(P444&gt;0,P444*244.09,0)+IF(Q444&gt;0,Q444*315.35,0)+IF(R444&gt;0,R444*1067.3,0)+IF(T444&gt;0,T444*567.47,0)+IF(U444&gt;0,U444*151.63,0)+IF(V444&gt;0,V444*197.84,0)+IF(W444&gt;0,W444*470.51,0)+IF(X444&gt;0,X444*701.69,0)+IF(Z444&gt;0,Z444*151.63,0)+IF(AA444&gt;0,AA444*197.84)+IF(AB444&gt;0,AB444*308.4,0)+IF(AC444&gt;0,AC444*496.16,0)</f>
        <v/>
      </c>
    </row>
    <row r="445">
      <c r="A445" s="58" t="inlineStr">
        <is>
          <t>rota</t>
        </is>
      </c>
      <c r="B445" s="59">
        <f>IF(H445&lt;$B$1,"VENCIDO","NA VALIDADE")</f>
        <v/>
      </c>
      <c r="C445" s="60" t="inlineStr">
        <is>
          <t>SUBESTAÇÃO</t>
        </is>
      </c>
      <c r="D445" s="61" t="inlineStr">
        <is>
          <t xml:space="preserve">SE SERRA </t>
        </is>
      </c>
      <c r="E445" s="62" t="inlineStr">
        <is>
          <t>CONCEICAO DA FEIRA</t>
        </is>
      </c>
      <c r="F445" s="61" t="inlineStr">
        <is>
          <t>FEIRA DE  SANTANA</t>
        </is>
      </c>
      <c r="G445" s="60" t="inlineStr">
        <is>
          <t>BA</t>
        </is>
      </c>
      <c r="H445" s="119" t="n">
        <v>45505</v>
      </c>
      <c r="I445" s="119" t="n">
        <v>45323</v>
      </c>
      <c r="J445" s="60">
        <f>SUM(L445:AE445)</f>
        <v/>
      </c>
      <c r="K445" s="60">
        <f>SUM(AF445:AJ445)</f>
        <v/>
      </c>
      <c r="L445" s="60" t="n"/>
      <c r="M445" s="60" t="n"/>
      <c r="N445" s="60" t="n"/>
      <c r="O445" s="60" t="n"/>
      <c r="P445" s="60" t="n"/>
      <c r="Q445" s="60" t="n">
        <v>9</v>
      </c>
      <c r="R445" s="60" t="n"/>
      <c r="S445" s="60" t="n"/>
      <c r="T445" s="60" t="n">
        <v>2</v>
      </c>
      <c r="U445" s="60" t="n"/>
      <c r="V445" s="60" t="n"/>
      <c r="W445" s="60" t="n"/>
      <c r="X445" s="60" t="n"/>
      <c r="Y445" s="60" t="n"/>
      <c r="Z445" s="60" t="n"/>
      <c r="AA445" s="60" t="n">
        <v>1</v>
      </c>
      <c r="AB445" s="60" t="n"/>
      <c r="AC445" s="60" t="n"/>
      <c r="AD445" s="60" t="n"/>
      <c r="AE445" s="60" t="n"/>
      <c r="AF445" s="60" t="n"/>
      <c r="AG445" s="60" t="n"/>
      <c r="AH445" s="60" t="n"/>
      <c r="AI445" s="60" t="n"/>
      <c r="AJ445" s="60" t="n"/>
      <c r="AK445" s="120">
        <f>IF(L445&gt;0,L445*90.44,0)+IF(M445&gt;0,M445*348.12,0)+IF(N445&gt;0,N445*151.63,0)+IF(O445&gt;0,O445*197.82,0)+IF(P445&gt;0,P445*244.09,0)+IF(Q445&gt;0,Q445*315.35,0)+IF(R445&gt;0,R445*1067.3,0)+IF(T445&gt;0,T445*567.47,0)+IF(U445&gt;0,U445*151.63,0)+IF(V445&gt;0,V445*197.84,0)+IF(W445&gt;0,W445*470.51,0)+IF(X445&gt;0,X445*701.69,0)+IF(Z445&gt;0,Z445*151.63,0)+IF(AA445&gt;0,AA445*197.84)+IF(AB445&gt;0,AB445*308.4,0)+IF(AC445&gt;0,AC445*496.16,0)</f>
        <v/>
      </c>
    </row>
    <row r="446">
      <c r="A446" s="58" t="inlineStr">
        <is>
          <t>SIM</t>
        </is>
      </c>
      <c r="B446" s="59">
        <f>IF(H446&lt;$B$1,"VENCIDO","NA VALIDADE")</f>
        <v/>
      </c>
      <c r="C446" s="60" t="inlineStr">
        <is>
          <t>SUBESTAÇÃO</t>
        </is>
      </c>
      <c r="D446" s="61" t="inlineStr">
        <is>
          <t>SE SERRA BRANCA</t>
        </is>
      </c>
      <c r="E446" s="62" t="inlineStr">
        <is>
          <t>CASA NOVA</t>
        </is>
      </c>
      <c r="F446" s="61" t="inlineStr">
        <is>
          <t>FEIRA DE  SANTANA</t>
        </is>
      </c>
      <c r="G446" s="60" t="inlineStr">
        <is>
          <t>BA</t>
        </is>
      </c>
      <c r="H446" s="119" t="n">
        <v>45505</v>
      </c>
      <c r="I446" s="119">
        <f>H446-180</f>
        <v/>
      </c>
      <c r="J446" s="60">
        <f>SUM(L446:AE446)</f>
        <v/>
      </c>
      <c r="K446" s="60">
        <f>SUM(AF446:AJ446)</f>
        <v/>
      </c>
      <c r="L446" s="60" t="n"/>
      <c r="M446" s="60" t="n"/>
      <c r="N446" s="60" t="n"/>
      <c r="O446" s="60" t="n"/>
      <c r="P446" s="60" t="n"/>
      <c r="Q446" s="60" t="n">
        <v>1</v>
      </c>
      <c r="R446" s="60" t="n"/>
      <c r="S446" s="60" t="n"/>
      <c r="T446" s="60" t="n">
        <v>1</v>
      </c>
      <c r="U446" s="60" t="n"/>
      <c r="V446" s="60" t="n"/>
      <c r="W446" s="60" t="n"/>
      <c r="X446" s="60" t="n"/>
      <c r="Y446" s="60" t="n"/>
      <c r="Z446" s="60" t="n"/>
      <c r="AA446" s="60" t="n">
        <v>1</v>
      </c>
      <c r="AB446" s="60" t="n"/>
      <c r="AC446" s="60" t="n"/>
      <c r="AD446" s="60" t="n"/>
      <c r="AE446" s="60" t="n"/>
      <c r="AF446" s="60" t="n"/>
      <c r="AG446" s="60" t="n"/>
      <c r="AH446" s="60" t="n"/>
      <c r="AI446" s="60" t="n"/>
      <c r="AJ446" s="60" t="n"/>
      <c r="AK446" s="120">
        <f>IF(L446&gt;0,L446*90.44,0)+IF(M446&gt;0,M446*348.12,0)+IF(N446&gt;0,N446*151.63,0)+IF(O446&gt;0,O446*197.82,0)+IF(P446&gt;0,P446*244.09,0)+IF(Q446&gt;0,Q446*315.35,0)+IF(R446&gt;0,R446*1067.3,0)+IF(T446&gt;0,T446*567.47,0)+IF(U446&gt;0,U446*151.63,0)+IF(V446&gt;0,V446*197.84,0)+IF(W446&gt;0,W446*470.51,0)+IF(X446&gt;0,X446*701.69,0)+IF(Z446&gt;0,Z446*151.63,0)+IF(AA446&gt;0,AA446*197.84)+IF(AB446&gt;0,AB446*308.4,0)+IF(AC446&gt;0,AC446*496.16,0)</f>
        <v/>
      </c>
    </row>
    <row r="447">
      <c r="A447" s="58" t="inlineStr">
        <is>
          <t>rota</t>
        </is>
      </c>
      <c r="B447" s="59">
        <f>IF(H447&lt;$B$1,"VENCIDO","NA VALIDADE")</f>
        <v/>
      </c>
      <c r="C447" s="60" t="inlineStr">
        <is>
          <t>SUBESTAÇÃO</t>
        </is>
      </c>
      <c r="D447" s="61" t="inlineStr">
        <is>
          <t>SE SERRINHA</t>
        </is>
      </c>
      <c r="E447" s="62" t="inlineStr">
        <is>
          <t>SERRINHA</t>
        </is>
      </c>
      <c r="F447" s="61" t="inlineStr">
        <is>
          <t>FEIRA DE  SANTANA</t>
        </is>
      </c>
      <c r="G447" s="60" t="inlineStr">
        <is>
          <t>BA</t>
        </is>
      </c>
      <c r="H447" s="119" t="n">
        <v>45536</v>
      </c>
      <c r="I447" s="119">
        <f>H447-180</f>
        <v/>
      </c>
      <c r="J447" s="60">
        <f>SUM(L447:AE447)</f>
        <v/>
      </c>
      <c r="K447" s="60">
        <f>SUM(AF447:AJ447)</f>
        <v/>
      </c>
      <c r="L447" s="60" t="n"/>
      <c r="M447" s="60" t="n"/>
      <c r="N447" s="60" t="n"/>
      <c r="O447" s="60" t="n"/>
      <c r="P447" s="60" t="n"/>
      <c r="Q447" s="60" t="n">
        <v>1</v>
      </c>
      <c r="R447" s="60" t="n"/>
      <c r="S447" s="60" t="n"/>
      <c r="T447" s="60" t="n"/>
      <c r="U447" s="60" t="n"/>
      <c r="V447" s="60" t="n"/>
      <c r="W447" s="60" t="n"/>
      <c r="X447" s="60" t="n"/>
      <c r="Y447" s="60" t="n"/>
      <c r="Z447" s="60" t="n"/>
      <c r="AA447" s="60" t="n">
        <v>1</v>
      </c>
      <c r="AB447" s="60" t="n"/>
      <c r="AC447" s="60" t="n"/>
      <c r="AD447" s="60" t="n"/>
      <c r="AE447" s="60" t="n"/>
      <c r="AF447" s="60" t="n"/>
      <c r="AG447" s="60" t="n"/>
      <c r="AH447" s="60" t="n"/>
      <c r="AI447" s="60" t="n"/>
      <c r="AJ447" s="60" t="n"/>
      <c r="AK447" s="120">
        <f>IF(L447&gt;0,L447*90.44,0)+IF(M447&gt;0,M447*348.12,0)+IF(N447&gt;0,N447*151.63,0)+IF(O447&gt;0,O447*197.82,0)+IF(P447&gt;0,P447*244.09,0)+IF(Q447&gt;0,Q447*315.35,0)+IF(R447&gt;0,R447*1067.3,0)+IF(T447&gt;0,T447*567.47,0)+IF(U447&gt;0,U447*151.63,0)+IF(V447&gt;0,V447*197.84,0)+IF(W447&gt;0,W447*470.51,0)+IF(X447&gt;0,X447*701.69,0)+IF(Z447&gt;0,Z447*151.63,0)+IF(AA447&gt;0,AA447*197.84)+IF(AB447&gt;0,AB447*308.4,0)+IF(AC447&gt;0,AC447*496.16,0)</f>
        <v/>
      </c>
    </row>
    <row r="448">
      <c r="A448" s="58" t="inlineStr">
        <is>
          <t>rota</t>
        </is>
      </c>
      <c r="B448" s="59">
        <f>IF(H448&lt;$B$1,"VENCIDO","NA VALIDADE")</f>
        <v/>
      </c>
      <c r="C448" s="60" t="inlineStr">
        <is>
          <t>SUBESTAÇÃO</t>
        </is>
      </c>
      <c r="D448" s="66" t="inlineStr">
        <is>
          <t>SE SERRINHA II</t>
        </is>
      </c>
      <c r="E448" s="62" t="inlineStr">
        <is>
          <t>SERRINHA</t>
        </is>
      </c>
      <c r="F448" s="61" t="inlineStr">
        <is>
          <t>FEIRA DE  SANTANA</t>
        </is>
      </c>
      <c r="G448" s="60" t="inlineStr">
        <is>
          <t>BA</t>
        </is>
      </c>
      <c r="H448" s="119" t="n">
        <v>45536</v>
      </c>
      <c r="I448" s="119">
        <f>H448-180</f>
        <v/>
      </c>
      <c r="J448" s="60">
        <f>SUM(L448:AE448)</f>
        <v/>
      </c>
      <c r="K448" s="60">
        <f>SUM(AF448:AJ448)</f>
        <v/>
      </c>
      <c r="L448" s="60" t="n"/>
      <c r="M448" s="60" t="n"/>
      <c r="N448" s="60" t="n"/>
      <c r="O448" s="60" t="n">
        <v>1</v>
      </c>
      <c r="P448" s="60" t="n"/>
      <c r="Q448" s="60" t="n">
        <v>1</v>
      </c>
      <c r="R448" s="60" t="n"/>
      <c r="S448" s="60" t="n"/>
      <c r="T448" s="60" t="n"/>
      <c r="U448" s="60" t="n"/>
      <c r="V448" s="60" t="n"/>
      <c r="W448" s="60" t="n"/>
      <c r="X448" s="60" t="n"/>
      <c r="Y448" s="60" t="n"/>
      <c r="Z448" s="60" t="n"/>
      <c r="AA448" s="60" t="n"/>
      <c r="AB448" s="60" t="n"/>
      <c r="AC448" s="60" t="n"/>
      <c r="AD448" s="60" t="n"/>
      <c r="AE448" s="60" t="n"/>
      <c r="AF448" s="60" t="n"/>
      <c r="AG448" s="60" t="n"/>
      <c r="AH448" s="60" t="n"/>
      <c r="AI448" s="60" t="n"/>
      <c r="AJ448" s="60" t="n"/>
      <c r="AK448" s="120">
        <f>IF(L448&gt;0,L448*90.44,0)+IF(M448&gt;0,M448*348.12,0)+IF(N448&gt;0,N448*151.63,0)+IF(O448&gt;0,O448*197.82,0)+IF(P448&gt;0,P448*244.09,0)+IF(Q448&gt;0,Q448*315.35,0)+IF(R448&gt;0,R448*1067.3,0)+IF(T448&gt;0,T448*567.47,0)+IF(U448&gt;0,U448*151.63,0)+IF(V448&gt;0,V448*197.84,0)+IF(W448&gt;0,W448*470.51,0)+IF(X448&gt;0,X448*701.69,0)+IF(Z448&gt;0,Z448*151.63,0)+IF(AA448&gt;0,AA448*197.84)+IF(AB448&gt;0,AB448*308.4,0)+IF(AC448&gt;0,AC448*496.16,0)</f>
        <v/>
      </c>
    </row>
    <row r="449">
      <c r="A449" s="58" t="inlineStr">
        <is>
          <t>rota</t>
        </is>
      </c>
      <c r="B449" s="59">
        <f>IF(H449&lt;$B$1,"VENCIDO","NA VALIDADE")</f>
        <v/>
      </c>
      <c r="C449" s="60" t="inlineStr">
        <is>
          <t>SUBESTAÇÃO</t>
        </is>
      </c>
      <c r="D449" s="61" t="inlineStr">
        <is>
          <t>SE CHAVEAMENTO SOBRADINHO</t>
        </is>
      </c>
      <c r="E449" s="62" t="inlineStr">
        <is>
          <t>SOBRADINHO</t>
        </is>
      </c>
      <c r="F449" s="61" t="inlineStr">
        <is>
          <t>FEIRA DE  SANTANA</t>
        </is>
      </c>
      <c r="G449" s="60" t="inlineStr">
        <is>
          <t>BA</t>
        </is>
      </c>
      <c r="H449" s="119" t="n">
        <v>45536</v>
      </c>
      <c r="I449" s="119">
        <f>H449-180</f>
        <v/>
      </c>
      <c r="J449" s="60">
        <f>SUM(L449:AE449)</f>
        <v/>
      </c>
      <c r="K449" s="60">
        <f>SUM(AF449:AJ449)</f>
        <v/>
      </c>
      <c r="L449" s="60" t="n"/>
      <c r="M449" s="60" t="n"/>
      <c r="N449" s="60" t="n"/>
      <c r="O449" s="60" t="n"/>
      <c r="P449" s="60" t="n"/>
      <c r="Q449" s="60" t="n">
        <v>2</v>
      </c>
      <c r="R449" s="60" t="n"/>
      <c r="S449" s="60" t="n"/>
      <c r="T449" s="60" t="n">
        <v>2</v>
      </c>
      <c r="U449" s="60" t="n"/>
      <c r="V449" s="60" t="n"/>
      <c r="W449" s="60" t="n"/>
      <c r="X449" s="60" t="n"/>
      <c r="Y449" s="60" t="n"/>
      <c r="Z449" s="60" t="n"/>
      <c r="AA449" s="60" t="n">
        <v>2</v>
      </c>
      <c r="AB449" s="60" t="n"/>
      <c r="AC449" s="60" t="n"/>
      <c r="AD449" s="60" t="n"/>
      <c r="AE449" s="60" t="n"/>
      <c r="AF449" s="60" t="n"/>
      <c r="AG449" s="60" t="n"/>
      <c r="AH449" s="60" t="n"/>
      <c r="AI449" s="60" t="n"/>
      <c r="AJ449" s="60" t="n"/>
      <c r="AK449" s="120">
        <f>IF(L449&gt;0,L449*90.44,0)+IF(M449&gt;0,M449*348.12,0)+IF(N449&gt;0,N449*151.63,0)+IF(O449&gt;0,O449*197.82,0)+IF(P449&gt;0,P449*244.09,0)+IF(Q449&gt;0,Q449*315.35,0)+IF(R449&gt;0,R449*1067.3,0)+IF(T449&gt;0,T449*567.47,0)+IF(U449&gt;0,U449*151.63,0)+IF(V449&gt;0,V449*197.84,0)+IF(W449&gt;0,W449*470.51,0)+IF(X449&gt;0,X449*701.69,0)+IF(Z449&gt;0,Z449*151.63,0)+IF(AA449&gt;0,AA449*197.84)+IF(AB449&gt;0,AB449*308.4,0)+IF(AC449&gt;0,AC449*496.16,0)</f>
        <v/>
      </c>
    </row>
    <row r="450">
      <c r="A450" s="58" t="n"/>
      <c r="B450" s="59">
        <f>IF(H450&lt;$B$1,"VENCIDO","NA VALIDADE")</f>
        <v/>
      </c>
      <c r="C450" s="60" t="inlineStr">
        <is>
          <t>SUBESTAÇÃO</t>
        </is>
      </c>
      <c r="D450" s="61" t="inlineStr">
        <is>
          <t>SE SUBAÉ</t>
        </is>
      </c>
      <c r="E450" s="62" t="inlineStr">
        <is>
          <t>FEIRA DE SANTANA</t>
        </is>
      </c>
      <c r="F450" s="61" t="inlineStr">
        <is>
          <t>FEIRA DE  SANTANA</t>
        </is>
      </c>
      <c r="G450" s="60" t="inlineStr">
        <is>
          <t>BA</t>
        </is>
      </c>
      <c r="H450" s="119" t="n">
        <v>45474</v>
      </c>
      <c r="I450" s="119">
        <f>H450-180</f>
        <v/>
      </c>
      <c r="J450" s="60">
        <f>SUM(L450:AE450)</f>
        <v/>
      </c>
      <c r="K450" s="60">
        <f>SUM(AF450:AJ450)</f>
        <v/>
      </c>
      <c r="L450" s="60" t="n"/>
      <c r="M450" s="60" t="n"/>
      <c r="N450" s="60" t="n"/>
      <c r="O450" s="60" t="n"/>
      <c r="P450" s="60" t="n"/>
      <c r="Q450" s="60" t="n">
        <v>1</v>
      </c>
      <c r="R450" s="60" t="n"/>
      <c r="S450" s="60" t="n"/>
      <c r="T450" s="60" t="n"/>
      <c r="U450" s="60" t="n"/>
      <c r="V450" s="60" t="n"/>
      <c r="W450" s="60" t="n"/>
      <c r="X450" s="60" t="n"/>
      <c r="Y450" s="60" t="n"/>
      <c r="Z450" s="60" t="n"/>
      <c r="AA450" s="60" t="n">
        <v>1</v>
      </c>
      <c r="AB450" s="60" t="n"/>
      <c r="AC450" s="60" t="n"/>
      <c r="AD450" s="60" t="n"/>
      <c r="AE450" s="60" t="n"/>
      <c r="AF450" s="60" t="n"/>
      <c r="AG450" s="60" t="n"/>
      <c r="AH450" s="60" t="n"/>
      <c r="AI450" s="60" t="n"/>
      <c r="AJ450" s="60" t="n"/>
      <c r="AK450" s="120">
        <f>IF(L450&gt;0,L450*90.44,0)+IF(M450&gt;0,M450*348.12,0)+IF(N450&gt;0,N450*151.63,0)+IF(O450&gt;0,O450*197.82,0)+IF(P450&gt;0,P450*244.09,0)+IF(Q450&gt;0,Q450*315.35,0)+IF(R450&gt;0,R450*1067.3,0)+IF(T450&gt;0,T450*567.47,0)+IF(U450&gt;0,U450*151.63,0)+IF(V450&gt;0,V450*197.84,0)+IF(W450&gt;0,W450*470.51,0)+IF(X450&gt;0,X450*701.69,0)+IF(Z450&gt;0,Z450*151.63,0)+IF(AA450&gt;0,AA450*197.84)+IF(AB450&gt;0,AB450*308.4,0)+IF(AC450&gt;0,AC450*496.16,0)</f>
        <v/>
      </c>
    </row>
    <row r="451" hidden="1">
      <c r="A451" s="58" t="inlineStr">
        <is>
          <t>SIM</t>
        </is>
      </c>
      <c r="B451" s="59">
        <f>IF(H451&lt;$B$1,"VENCIDO","NA VALIDADE")</f>
        <v/>
      </c>
      <c r="C451" s="60" t="inlineStr">
        <is>
          <t>SUBESTAÇÃO</t>
        </is>
      </c>
      <c r="D451" s="61" t="inlineStr">
        <is>
          <t>SE TANHAÇU</t>
        </is>
      </c>
      <c r="E451" s="62" t="inlineStr">
        <is>
          <t>TANHAÇÚ</t>
        </is>
      </c>
      <c r="F451" s="61" t="inlineStr">
        <is>
          <t>VITÓRIA DA CONQUISTA</t>
        </is>
      </c>
      <c r="G451" s="60" t="inlineStr">
        <is>
          <t>BA</t>
        </is>
      </c>
      <c r="H451" s="119" t="n">
        <v>45323</v>
      </c>
      <c r="I451" s="119" t="n">
        <v>45323</v>
      </c>
      <c r="J451" s="60">
        <f>SUM(L451:AE451)</f>
        <v/>
      </c>
      <c r="K451" s="60">
        <f>SUM(AF451:AJ451)</f>
        <v/>
      </c>
      <c r="L451" s="60" t="n"/>
      <c r="M451" s="60" t="n"/>
      <c r="N451" s="60" t="n"/>
      <c r="O451" s="60" t="n"/>
      <c r="P451" s="60" t="n"/>
      <c r="Q451" s="60" t="n">
        <v>4</v>
      </c>
      <c r="R451" s="60" t="n"/>
      <c r="S451" s="60" t="n"/>
      <c r="T451" s="60" t="n">
        <v>2</v>
      </c>
      <c r="U451" s="60" t="n"/>
      <c r="V451" s="60" t="n"/>
      <c r="W451" s="60" t="n"/>
      <c r="X451" s="60" t="n"/>
      <c r="Y451" s="60" t="n"/>
      <c r="Z451" s="60" t="n"/>
      <c r="AA451" s="60" t="n">
        <v>2</v>
      </c>
      <c r="AB451" s="60" t="n"/>
      <c r="AC451" s="60" t="n"/>
      <c r="AD451" s="60" t="n"/>
      <c r="AE451" s="60" t="n"/>
      <c r="AF451" s="60" t="n"/>
      <c r="AG451" s="60" t="n"/>
      <c r="AH451" s="60" t="n"/>
      <c r="AI451" s="60" t="n"/>
      <c r="AJ451" s="60" t="n"/>
      <c r="AK451" s="120">
        <f>IF(L451&gt;0,L451*90.44,0)+IF(M451&gt;0,M451*348.12,0)+IF(N451&gt;0,N451*151.63,0)+IF(O451&gt;0,O451*197.82,0)+IF(P451&gt;0,P451*244.09,0)+IF(Q451&gt;0,Q451*315.35,0)+IF(R451&gt;0,R451*1067.3,0)+IF(T451&gt;0,T451*567.47,0)+IF(U451&gt;0,U451*151.63,0)+IF(V451&gt;0,V451*197.84,0)+IF(W451&gt;0,W451*470.51,0)+IF(X451&gt;0,X451*701.69,0)+IF(Z451&gt;0,Z451*151.63,0)+IF(AA451&gt;0,AA451*197.84)+IF(AB451&gt;0,AB451*308.4,0)+IF(AC451&gt;0,AC451*496.16,0)</f>
        <v/>
      </c>
    </row>
    <row r="452" hidden="1">
      <c r="A452" s="58" t="inlineStr">
        <is>
          <t>rota</t>
        </is>
      </c>
      <c r="B452" s="59">
        <f>IF(H452&lt;$B$1,"VENCIDO","NA VALIDADE")</f>
        <v/>
      </c>
      <c r="C452" s="60" t="inlineStr">
        <is>
          <t>SUBESTAÇÃO</t>
        </is>
      </c>
      <c r="D452" s="61" t="inlineStr">
        <is>
          <t>SE TAPEROÁ</t>
        </is>
      </c>
      <c r="E452" s="62" t="inlineStr">
        <is>
          <t>TAPEROÁ</t>
        </is>
      </c>
      <c r="F452" s="61" t="inlineStr">
        <is>
          <t>ILHÉUS</t>
        </is>
      </c>
      <c r="G452" s="60" t="inlineStr">
        <is>
          <t>BA</t>
        </is>
      </c>
      <c r="H452" s="119" t="n">
        <v>45444</v>
      </c>
      <c r="I452" s="119">
        <f>H452-180</f>
        <v/>
      </c>
      <c r="J452" s="60">
        <f>SUM(L452:AE452)</f>
        <v/>
      </c>
      <c r="K452" s="60">
        <f>SUM(AF452:AJ452)</f>
        <v/>
      </c>
      <c r="L452" s="60" t="n"/>
      <c r="M452" s="60" t="n"/>
      <c r="N452" s="60" t="n"/>
      <c r="O452" s="60" t="n"/>
      <c r="P452" s="60" t="n"/>
      <c r="Q452" s="60" t="n">
        <v>3</v>
      </c>
      <c r="R452" s="60" t="n"/>
      <c r="S452" s="60" t="n"/>
      <c r="T452" s="60" t="n">
        <v>1</v>
      </c>
      <c r="U452" s="60" t="n"/>
      <c r="V452" s="60" t="n"/>
      <c r="W452" s="60" t="n"/>
      <c r="X452" s="60" t="n"/>
      <c r="Y452" s="60" t="n"/>
      <c r="Z452" s="60" t="n"/>
      <c r="AA452" s="60" t="n">
        <v>1</v>
      </c>
      <c r="AB452" s="60" t="n"/>
      <c r="AC452" s="60" t="n"/>
      <c r="AD452" s="60" t="n"/>
      <c r="AE452" s="60" t="n"/>
      <c r="AF452" s="60" t="n"/>
      <c r="AG452" s="60" t="n"/>
      <c r="AH452" s="60" t="n"/>
      <c r="AI452" s="60" t="n"/>
      <c r="AJ452" s="60" t="n"/>
      <c r="AK452" s="120">
        <f>IF(L452&gt;0,L452*90.44,0)+IF(M452&gt;0,M452*348.12,0)+IF(N452&gt;0,N452*151.63,0)+IF(O452&gt;0,O452*197.82,0)+IF(P452&gt;0,P452*244.09,0)+IF(Q452&gt;0,Q452*315.35,0)+IF(R452&gt;0,R452*1067.3,0)+IF(T452&gt;0,T452*567.47,0)+IF(U452&gt;0,U452*151.63,0)+IF(V452&gt;0,V452*197.84,0)+IF(W452&gt;0,W452*470.51,0)+IF(X452&gt;0,X452*701.69,0)+IF(Z452&gt;0,Z452*151.63,0)+IF(AA452&gt;0,AA452*197.84)+IF(AB452&gt;0,AB452*308.4,0)+IF(AC452&gt;0,AC452*496.16,0)</f>
        <v/>
      </c>
    </row>
    <row r="453">
      <c r="A453" s="58" t="n"/>
      <c r="B453" s="59">
        <f>IF(H453&lt;$B$1,"VENCIDO","NA VALIDADE")</f>
        <v/>
      </c>
      <c r="C453" s="60" t="inlineStr">
        <is>
          <t>SUBESTAÇÃO</t>
        </is>
      </c>
      <c r="D453" s="61" t="inlineStr">
        <is>
          <t>SE TAPIRAMUTÁ</t>
        </is>
      </c>
      <c r="E453" s="62" t="inlineStr">
        <is>
          <t>TAPIRAMUTÁ</t>
        </is>
      </c>
      <c r="F453" s="61" t="inlineStr">
        <is>
          <t>FEIRA DE  SANTANA</t>
        </is>
      </c>
      <c r="G453" s="60" t="inlineStr">
        <is>
          <t>BA</t>
        </is>
      </c>
      <c r="H453" s="119" t="n">
        <v>45323</v>
      </c>
      <c r="I453" s="119" t="n">
        <v>45323</v>
      </c>
      <c r="J453" s="60">
        <f>SUM(L453:AE453)</f>
        <v/>
      </c>
      <c r="K453" s="60">
        <f>SUM(AF453:AJ453)</f>
        <v/>
      </c>
      <c r="L453" s="60" t="n"/>
      <c r="M453" s="60" t="n"/>
      <c r="N453" s="60" t="n"/>
      <c r="O453" s="60" t="n"/>
      <c r="P453" s="60" t="n"/>
      <c r="Q453" s="60" t="n">
        <v>1</v>
      </c>
      <c r="R453" s="60" t="n"/>
      <c r="S453" s="60" t="n"/>
      <c r="T453" s="60" t="n"/>
      <c r="U453" s="60" t="n"/>
      <c r="V453" s="60" t="n"/>
      <c r="W453" s="60" t="n"/>
      <c r="X453" s="60" t="n"/>
      <c r="Y453" s="60" t="n"/>
      <c r="Z453" s="60" t="n"/>
      <c r="AA453" s="60" t="n">
        <v>1</v>
      </c>
      <c r="AB453" s="60" t="n"/>
      <c r="AC453" s="60" t="n"/>
      <c r="AD453" s="60" t="n"/>
      <c r="AE453" s="60" t="n"/>
      <c r="AF453" s="60" t="n"/>
      <c r="AG453" s="60" t="n"/>
      <c r="AH453" s="60" t="n"/>
      <c r="AI453" s="60" t="n"/>
      <c r="AJ453" s="60" t="n"/>
      <c r="AK453" s="120">
        <f>IF(L453&gt;0,L453*90.44,0)+IF(M453&gt;0,M453*348.12,0)+IF(N453&gt;0,N453*151.63,0)+IF(O453&gt;0,O453*197.82,0)+IF(P453&gt;0,P453*244.09,0)+IF(Q453&gt;0,Q453*315.35,0)+IF(R453&gt;0,R453*1067.3,0)+IF(T453&gt;0,T453*567.47,0)+IF(U453&gt;0,U453*151.63,0)+IF(V453&gt;0,V453*197.84,0)+IF(W453&gt;0,W453*470.51,0)+IF(X453&gt;0,X453*701.69,0)+IF(Z453&gt;0,Z453*151.63,0)+IF(AA453&gt;0,AA453*197.84)+IF(AB453&gt;0,AB453*308.4,0)+IF(AC453&gt;0,AC453*496.16,0)</f>
        <v/>
      </c>
    </row>
    <row r="454">
      <c r="A454" s="58" t="inlineStr">
        <is>
          <t>SIM</t>
        </is>
      </c>
      <c r="B454" s="59">
        <f>IF(H454&lt;$B$1,"VENCIDO","NA VALIDADE")</f>
        <v/>
      </c>
      <c r="C454" s="60" t="inlineStr">
        <is>
          <t>SUBESTAÇÃO</t>
        </is>
      </c>
      <c r="D454" s="61" t="inlineStr">
        <is>
          <t>SE TAQUIPE</t>
        </is>
      </c>
      <c r="E454" s="62" t="inlineStr">
        <is>
          <t>SÃO SEBASTIÃO DO PASSÉ</t>
        </is>
      </c>
      <c r="F454" s="61" t="inlineStr">
        <is>
          <t>FEIRA DE  SANTANA</t>
        </is>
      </c>
      <c r="G454" s="60" t="inlineStr">
        <is>
          <t>BA</t>
        </is>
      </c>
      <c r="H454" s="119" t="n">
        <v>45536</v>
      </c>
      <c r="I454" s="119">
        <f>H454-180</f>
        <v/>
      </c>
      <c r="J454" s="60">
        <f>SUM(L454:AE454)</f>
        <v/>
      </c>
      <c r="K454" s="60">
        <f>SUM(AF454:AJ454)</f>
        <v/>
      </c>
      <c r="L454" s="60" t="n"/>
      <c r="M454" s="60" t="n"/>
      <c r="N454" s="60" t="n"/>
      <c r="O454" s="60" t="n"/>
      <c r="P454" s="60" t="n"/>
      <c r="Q454" s="60" t="n"/>
      <c r="R454" s="60" t="n"/>
      <c r="S454" s="60" t="n"/>
      <c r="T454" s="60" t="n"/>
      <c r="U454" s="60" t="n"/>
      <c r="V454" s="60" t="n"/>
      <c r="W454" s="60" t="n"/>
      <c r="X454" s="60" t="n"/>
      <c r="Y454" s="60" t="n"/>
      <c r="Z454" s="60" t="n"/>
      <c r="AA454" s="60" t="n">
        <v>1</v>
      </c>
      <c r="AB454" s="60" t="n"/>
      <c r="AC454" s="60" t="n"/>
      <c r="AD454" s="60" t="n"/>
      <c r="AE454" s="60" t="n"/>
      <c r="AF454" s="60" t="n"/>
      <c r="AG454" s="60" t="n"/>
      <c r="AH454" s="60" t="n"/>
      <c r="AI454" s="60" t="n"/>
      <c r="AJ454" s="60" t="n"/>
      <c r="AK454" s="120">
        <f>IF(L454&gt;0,L454*90.44,0)+IF(M454&gt;0,M454*348.12,0)+IF(N454&gt;0,N454*151.63,0)+IF(O454&gt;0,O454*197.82,0)+IF(P454&gt;0,P454*244.09,0)+IF(Q454&gt;0,Q454*315.35,0)+IF(R454&gt;0,R454*1067.3,0)+IF(T454&gt;0,T454*567.47,0)+IF(U454&gt;0,U454*151.63,0)+IF(V454&gt;0,V454*197.84,0)+IF(W454&gt;0,W454*470.51,0)+IF(X454&gt;0,X454*701.69,0)+IF(Z454&gt;0,Z454*151.63,0)+IF(AA454&gt;0,AA454*197.84)+IF(AB454&gt;0,AB454*308.4,0)+IF(AC454&gt;0,AC454*496.16,0)</f>
        <v/>
      </c>
    </row>
    <row r="455" hidden="1">
      <c r="A455" s="58" t="inlineStr">
        <is>
          <t>SIM</t>
        </is>
      </c>
      <c r="B455" s="59">
        <f>IF(H455&lt;$B$1,"VENCIDO","NA VALIDADE")</f>
        <v/>
      </c>
      <c r="C455" s="60" t="inlineStr">
        <is>
          <t>UTD</t>
        </is>
      </c>
      <c r="D455" s="61" t="inlineStr">
        <is>
          <t>UTD PORTO SEGURO</t>
        </is>
      </c>
      <c r="E455" s="62" t="inlineStr">
        <is>
          <t>PORTO SEGURO</t>
        </is>
      </c>
      <c r="F455" s="61" t="inlineStr">
        <is>
          <t>ILHÉUS</t>
        </is>
      </c>
      <c r="G455" s="60" t="inlineStr">
        <is>
          <t>BA</t>
        </is>
      </c>
      <c r="H455" s="119" t="n">
        <v>45323</v>
      </c>
      <c r="I455" s="119" t="n">
        <v>45323</v>
      </c>
      <c r="J455" s="60">
        <f>SUM(L455:AE455)</f>
        <v/>
      </c>
      <c r="K455" s="60">
        <f>SUM(AF455:AJ455)</f>
        <v/>
      </c>
      <c r="L455" s="60" t="n"/>
      <c r="M455" s="60" t="n"/>
      <c r="N455" s="60" t="n"/>
      <c r="O455" s="60" t="n"/>
      <c r="P455" s="60" t="n"/>
      <c r="Q455" s="60" t="n">
        <v>5</v>
      </c>
      <c r="R455" s="60" t="n"/>
      <c r="S455" s="60" t="n"/>
      <c r="T455" s="60" t="n"/>
      <c r="U455" s="60" t="n"/>
      <c r="V455" s="60" t="n"/>
      <c r="W455" s="60" t="n"/>
      <c r="X455" s="60" t="n"/>
      <c r="Y455" s="60" t="n"/>
      <c r="Z455" s="60" t="n">
        <v>2</v>
      </c>
      <c r="AA455" s="60" t="n">
        <v>1</v>
      </c>
      <c r="AB455" s="60" t="n"/>
      <c r="AC455" s="60" t="n"/>
      <c r="AD455" s="60" t="n"/>
      <c r="AE455" s="60" t="n"/>
      <c r="AF455" s="60" t="n"/>
      <c r="AG455" s="60" t="n"/>
      <c r="AH455" s="60" t="n"/>
      <c r="AI455" s="60" t="n"/>
      <c r="AJ455" s="60" t="n"/>
      <c r="AK455" s="120">
        <f>IF(L455&gt;0,L455*90.44,0)+IF(M455&gt;0,M455*348.12,0)+IF(N455&gt;0,N455*151.63,0)+IF(O455&gt;0,O455*197.82,0)+IF(P455&gt;0,P455*244.09,0)+IF(Q455&gt;0,Q455*315.35,0)+IF(R455&gt;0,R455*1067.3,0)+IF(T455&gt;0,T455*567.47,0)+IF(U455&gt;0,U455*151.63,0)+IF(V455&gt;0,V455*197.84,0)+IF(W455&gt;0,W455*470.51,0)+IF(X455&gt;0,X455*701.69,0)+IF(Z455&gt;0,Z455*151.63,0)+IF(AA455&gt;0,AA455*197.84)+IF(AB455&gt;0,AB455*308.4,0)+IF(AC455&gt;0,AC455*496.16,0)</f>
        <v/>
      </c>
    </row>
    <row r="456">
      <c r="A456" s="58" t="inlineStr">
        <is>
          <t>SIM</t>
        </is>
      </c>
      <c r="B456" s="59">
        <f>IF(H456&lt;$B$1,"VENCIDO","NA VALIDADE")</f>
        <v/>
      </c>
      <c r="C456" s="60" t="inlineStr">
        <is>
          <t>SUBESTAÇÃO</t>
        </is>
      </c>
      <c r="D456" s="61" t="inlineStr">
        <is>
          <t>SE TEOFILÂNDIA</t>
        </is>
      </c>
      <c r="E456" s="62" t="inlineStr">
        <is>
          <t>TEOFILÂNDIA</t>
        </is>
      </c>
      <c r="F456" s="61" t="inlineStr">
        <is>
          <t>FEIRA DE  SANTANA</t>
        </is>
      </c>
      <c r="G456" s="60" t="inlineStr">
        <is>
          <t>BA</t>
        </is>
      </c>
      <c r="H456" s="119" t="n">
        <v>45323</v>
      </c>
      <c r="I456" s="119" t="n">
        <v>45323</v>
      </c>
      <c r="J456" s="60">
        <f>SUM(L456:AE456)</f>
        <v/>
      </c>
      <c r="K456" s="60">
        <f>SUM(AF456:AJ456)</f>
        <v/>
      </c>
      <c r="L456" s="60" t="n"/>
      <c r="M456" s="60" t="n"/>
      <c r="N456" s="60" t="n"/>
      <c r="O456" s="60" t="n"/>
      <c r="P456" s="60" t="n">
        <v>2</v>
      </c>
      <c r="Q456" s="60" t="n">
        <v>3</v>
      </c>
      <c r="R456" s="60" t="n"/>
      <c r="S456" s="60" t="n"/>
      <c r="T456" s="60" t="n">
        <v>2</v>
      </c>
      <c r="U456" s="60" t="n"/>
      <c r="V456" s="60" t="n"/>
      <c r="W456" s="60" t="n"/>
      <c r="X456" s="60" t="n"/>
      <c r="Y456" s="60" t="n"/>
      <c r="Z456" s="60" t="n"/>
      <c r="AA456" s="60" t="n">
        <v>1</v>
      </c>
      <c r="AB456" s="60" t="n"/>
      <c r="AC456" s="60" t="n"/>
      <c r="AD456" s="60" t="n"/>
      <c r="AE456" s="60" t="n"/>
      <c r="AF456" s="60" t="n"/>
      <c r="AG456" s="60" t="n"/>
      <c r="AH456" s="60" t="n"/>
      <c r="AI456" s="60" t="n"/>
      <c r="AJ456" s="60" t="n"/>
      <c r="AK456" s="120">
        <f>IF(L456&gt;0,L456*90.44,0)+IF(M456&gt;0,M456*348.12,0)+IF(N456&gt;0,N456*151.63,0)+IF(O456&gt;0,O456*197.82,0)+IF(P456&gt;0,P456*244.09,0)+IF(Q456&gt;0,Q456*315.35,0)+IF(R456&gt;0,R456*1067.3,0)+IF(T456&gt;0,T456*567.47,0)+IF(U456&gt;0,U456*151.63,0)+IF(V456&gt;0,V456*197.84,0)+IF(W456&gt;0,W456*470.51,0)+IF(X456&gt;0,X456*701.69,0)+IF(Z456&gt;0,Z456*151.63,0)+IF(AA456&gt;0,AA456*197.84)+IF(AB456&gt;0,AB456*308.4,0)+IF(AC456&gt;0,AC456*496.16,0)</f>
        <v/>
      </c>
    </row>
    <row r="457">
      <c r="A457" s="58" t="inlineStr">
        <is>
          <t>rota</t>
        </is>
      </c>
      <c r="B457" s="59">
        <f>IF(H457&lt;$B$1,"VENCIDO","NA VALIDADE")</f>
        <v/>
      </c>
      <c r="C457" s="60" t="inlineStr">
        <is>
          <t>SUBESTAÇÃO</t>
        </is>
      </c>
      <c r="D457" s="61" t="inlineStr">
        <is>
          <t>SE TERRA NOVA</t>
        </is>
      </c>
      <c r="E457" s="62" t="inlineStr">
        <is>
          <t>TERRA NOVA</t>
        </is>
      </c>
      <c r="F457" s="61" t="inlineStr">
        <is>
          <t>FEIRA DE  SANTANA</t>
        </is>
      </c>
      <c r="G457" s="60" t="inlineStr">
        <is>
          <t>BA</t>
        </is>
      </c>
      <c r="H457" s="119" t="n">
        <v>45536</v>
      </c>
      <c r="I457" s="119">
        <f>H457-180</f>
        <v/>
      </c>
      <c r="J457" s="60">
        <f>SUM(L457:AE457)</f>
        <v/>
      </c>
      <c r="K457" s="60">
        <f>SUM(AF457:AJ457)</f>
        <v/>
      </c>
      <c r="L457" s="60" t="n"/>
      <c r="M457" s="60" t="n"/>
      <c r="N457" s="60" t="n"/>
      <c r="O457" s="60" t="n"/>
      <c r="P457" s="60" t="n"/>
      <c r="Q457" s="60" t="n">
        <v>1</v>
      </c>
      <c r="R457" s="60" t="n"/>
      <c r="S457" s="60" t="n"/>
      <c r="T457" s="60" t="n"/>
      <c r="U457" s="60" t="n"/>
      <c r="V457" s="60" t="n"/>
      <c r="W457" s="60" t="n"/>
      <c r="X457" s="60" t="n"/>
      <c r="Y457" s="60" t="n"/>
      <c r="Z457" s="60" t="n"/>
      <c r="AA457" s="60" t="n">
        <v>1</v>
      </c>
      <c r="AB457" s="60" t="n"/>
      <c r="AC457" s="60" t="n"/>
      <c r="AD457" s="60" t="n"/>
      <c r="AE457" s="60" t="n"/>
      <c r="AF457" s="60" t="n"/>
      <c r="AG457" s="60" t="n"/>
      <c r="AH457" s="60" t="n"/>
      <c r="AI457" s="60" t="n"/>
      <c r="AJ457" s="60" t="n"/>
      <c r="AK457" s="120">
        <f>IF(L457&gt;0,L457*90.44,0)+IF(M457&gt;0,M457*348.12,0)+IF(N457&gt;0,N457*151.63,0)+IF(O457&gt;0,O457*197.82,0)+IF(P457&gt;0,P457*244.09,0)+IF(Q457&gt;0,Q457*315.35,0)+IF(R457&gt;0,R457*1067.3,0)+IF(T457&gt;0,T457*567.47,0)+IF(U457&gt;0,U457*151.63,0)+IF(V457&gt;0,V457*197.84,0)+IF(W457&gt;0,W457*470.51,0)+IF(X457&gt;0,X457*701.69,0)+IF(Z457&gt;0,Z457*151.63,0)+IF(AA457&gt;0,AA457*197.84)+IF(AB457&gt;0,AB457*308.4,0)+IF(AC457&gt;0,AC457*496.16,0)</f>
        <v/>
      </c>
    </row>
    <row r="458">
      <c r="A458" s="58" t="inlineStr">
        <is>
          <t>SIM</t>
        </is>
      </c>
      <c r="B458" s="59">
        <f>IF(H458&lt;$B$1,"VENCIDO","NA VALIDADE")</f>
        <v/>
      </c>
      <c r="C458" s="60" t="inlineStr">
        <is>
          <t>SUBESTAÇÃO</t>
        </is>
      </c>
      <c r="D458" s="61" t="inlineStr">
        <is>
          <t>SE TOMBA</t>
        </is>
      </c>
      <c r="E458" s="62" t="inlineStr">
        <is>
          <t>FEIRA DE SANTANA</t>
        </is>
      </c>
      <c r="F458" s="61" t="inlineStr">
        <is>
          <t>FEIRA DE  SANTANA</t>
        </is>
      </c>
      <c r="G458" s="60" t="inlineStr">
        <is>
          <t>BA</t>
        </is>
      </c>
      <c r="H458" s="119" t="n">
        <v>45413</v>
      </c>
      <c r="I458" s="119" t="n">
        <v>45413</v>
      </c>
      <c r="J458" s="60">
        <f>SUM(L458:AE458)</f>
        <v/>
      </c>
      <c r="K458" s="60">
        <f>SUM(AF458:AJ458)</f>
        <v/>
      </c>
      <c r="L458" s="60" t="n"/>
      <c r="M458" s="60" t="n"/>
      <c r="N458" s="60" t="n"/>
      <c r="O458" s="60" t="n">
        <v>3</v>
      </c>
      <c r="P458" s="60" t="n"/>
      <c r="Q458" s="60" t="n">
        <v>3</v>
      </c>
      <c r="R458" s="60" t="n"/>
      <c r="S458" s="60" t="n"/>
      <c r="T458" s="60" t="n"/>
      <c r="U458" s="60" t="n"/>
      <c r="V458" s="60" t="n">
        <v>2</v>
      </c>
      <c r="W458" s="60" t="n"/>
      <c r="X458" s="60" t="n"/>
      <c r="Y458" s="60" t="n"/>
      <c r="Z458" s="60" t="n"/>
      <c r="AA458" s="60" t="n">
        <v>10</v>
      </c>
      <c r="AB458" s="60" t="n"/>
      <c r="AC458" s="60" t="n"/>
      <c r="AD458" s="60" t="n"/>
      <c r="AE458" s="60" t="n"/>
      <c r="AF458" s="60" t="n"/>
      <c r="AG458" s="60" t="n"/>
      <c r="AH458" s="60" t="n"/>
      <c r="AI458" s="60" t="n"/>
      <c r="AJ458" s="60" t="n"/>
      <c r="AK458" s="120">
        <f>IF(L458&gt;0,L458*90.44,0)+IF(M458&gt;0,M458*348.12,0)+IF(N458&gt;0,N458*151.63,0)+IF(O458&gt;0,O458*197.82,0)+IF(P458&gt;0,P458*244.09,0)+IF(Q458&gt;0,Q458*315.35,0)+IF(R458&gt;0,R458*1067.3,0)+IF(T458&gt;0,T458*567.47,0)+IF(U458&gt;0,U458*151.63,0)+IF(V458&gt;0,V458*197.84,0)+IF(W458&gt;0,W458*470.51,0)+IF(X458&gt;0,X458*701.69,0)+IF(Z458&gt;0,Z458*151.63,0)+IF(AA458&gt;0,AA458*197.84)+IF(AB458&gt;0,AB458*308.4,0)+IF(AC458&gt;0,AC458*496.16,0)</f>
        <v/>
      </c>
    </row>
    <row r="459">
      <c r="A459" s="58" t="inlineStr">
        <is>
          <t>FEIRA 06/12</t>
        </is>
      </c>
      <c r="B459" s="59">
        <f>IF(H459&lt;$B$1,"VENCIDO","NA VALIDADE")</f>
        <v/>
      </c>
      <c r="C459" s="60" t="inlineStr">
        <is>
          <t>SUBESTAÇÃO</t>
        </is>
      </c>
      <c r="D459" s="61" t="inlineStr">
        <is>
          <t>SE TOURÃO</t>
        </is>
      </c>
      <c r="E459" s="62" t="inlineStr">
        <is>
          <t>JUAZEIRO</t>
        </is>
      </c>
      <c r="F459" s="61" t="inlineStr">
        <is>
          <t>FEIRA DE  SANTANA</t>
        </is>
      </c>
      <c r="G459" s="60" t="inlineStr">
        <is>
          <t>BA</t>
        </is>
      </c>
      <c r="H459" s="119" t="n">
        <v>45474</v>
      </c>
      <c r="I459" s="119">
        <f>H459-180</f>
        <v/>
      </c>
      <c r="J459" s="60">
        <f>SUM(L459:AE459)</f>
        <v/>
      </c>
      <c r="K459" s="60">
        <f>SUM(AF459:AJ459)</f>
        <v/>
      </c>
      <c r="L459" s="60" t="n"/>
      <c r="M459" s="60" t="n"/>
      <c r="N459" s="60" t="n"/>
      <c r="O459" s="60" t="n"/>
      <c r="P459" s="60" t="n"/>
      <c r="Q459" s="60" t="n">
        <v>1</v>
      </c>
      <c r="R459" s="60" t="n"/>
      <c r="S459" s="60" t="n"/>
      <c r="T459" s="60" t="n"/>
      <c r="U459" s="60" t="n"/>
      <c r="V459" s="60" t="n"/>
      <c r="W459" s="60" t="n"/>
      <c r="X459" s="60" t="n"/>
      <c r="Y459" s="60" t="n"/>
      <c r="Z459" s="60" t="n"/>
      <c r="AA459" s="60" t="n">
        <v>1</v>
      </c>
      <c r="AB459" s="60" t="n"/>
      <c r="AC459" s="60" t="n"/>
      <c r="AD459" s="60" t="n"/>
      <c r="AE459" s="60" t="n"/>
      <c r="AF459" s="60" t="n"/>
      <c r="AG459" s="60" t="n"/>
      <c r="AH459" s="60" t="n"/>
      <c r="AI459" s="60" t="n"/>
      <c r="AJ459" s="60" t="n"/>
      <c r="AK459" s="120">
        <f>IF(L459&gt;0,L459*90.44,0)+IF(M459&gt;0,M459*348.12,0)+IF(N459&gt;0,N459*151.63,0)+IF(O459&gt;0,O459*197.82,0)+IF(P459&gt;0,P459*244.09,0)+IF(Q459&gt;0,Q459*315.35,0)+IF(R459&gt;0,R459*1067.3,0)+IF(T459&gt;0,T459*567.47,0)+IF(U459&gt;0,U459*151.63,0)+IF(V459&gt;0,V459*197.84,0)+IF(W459&gt;0,W459*470.51,0)+IF(X459&gt;0,X459*701.69,0)+IF(Z459&gt;0,Z459*151.63,0)+IF(AA459&gt;0,AA459*197.84)+IF(AB459&gt;0,AB459*308.4,0)+IF(AC459&gt;0,AC459*496.16,0)</f>
        <v/>
      </c>
    </row>
    <row r="460" hidden="1">
      <c r="A460" s="58" t="inlineStr">
        <is>
          <t>FEIRA 06/12</t>
        </is>
      </c>
      <c r="B460" s="59">
        <f>IF(H460&lt;$B$1,"VENCIDO","NA VALIDADE")</f>
        <v/>
      </c>
      <c r="C460" s="60" t="inlineStr">
        <is>
          <t>SUBESTAÇÃO</t>
        </is>
      </c>
      <c r="D460" s="61" t="inlineStr">
        <is>
          <t>SE TRANCOSO</t>
        </is>
      </c>
      <c r="E460" s="62" t="inlineStr">
        <is>
          <t>PORTO SEGURO</t>
        </is>
      </c>
      <c r="F460" s="61" t="inlineStr">
        <is>
          <t>ILHÉUS</t>
        </is>
      </c>
      <c r="G460" s="60" t="inlineStr">
        <is>
          <t>BA</t>
        </is>
      </c>
      <c r="H460" s="119" t="n">
        <v>45323</v>
      </c>
      <c r="I460" s="119">
        <f>H460-180</f>
        <v/>
      </c>
      <c r="J460" s="60">
        <f>SUM(L460:AE460)</f>
        <v/>
      </c>
      <c r="K460" s="60">
        <f>SUM(AF460:AJ460)</f>
        <v/>
      </c>
      <c r="L460" s="60" t="n"/>
      <c r="M460" s="60" t="n"/>
      <c r="N460" s="60" t="n"/>
      <c r="O460" s="60" t="n"/>
      <c r="P460" s="60" t="n"/>
      <c r="Q460" s="60" t="n"/>
      <c r="R460" s="60" t="n"/>
      <c r="S460" s="60" t="n"/>
      <c r="T460" s="60" t="n"/>
      <c r="U460" s="60" t="n"/>
      <c r="V460" s="60" t="n">
        <v>2</v>
      </c>
      <c r="W460" s="60" t="n"/>
      <c r="X460" s="60" t="n"/>
      <c r="Y460" s="60" t="n"/>
      <c r="Z460" s="60" t="n"/>
      <c r="AA460" s="60" t="n"/>
      <c r="AB460" s="60" t="n"/>
      <c r="AC460" s="60" t="n"/>
      <c r="AD460" s="60" t="n"/>
      <c r="AE460" s="60" t="n"/>
      <c r="AF460" s="60" t="n"/>
      <c r="AG460" s="60" t="n"/>
      <c r="AH460" s="60" t="n"/>
      <c r="AI460" s="60" t="n"/>
      <c r="AJ460" s="60" t="n"/>
      <c r="AK460" s="120">
        <f>IF(L460&gt;0,L460*90.44,0)+IF(M460&gt;0,M460*348.12,0)+IF(N460&gt;0,N460*151.63,0)+IF(O460&gt;0,O460*197.82,0)+IF(P460&gt;0,P460*244.09,0)+IF(Q460&gt;0,Q460*315.35,0)+IF(R460&gt;0,R460*1067.3,0)+IF(T460&gt;0,T460*567.47,0)+IF(U460&gt;0,U460*151.63,0)+IF(V460&gt;0,V460*197.84,0)+IF(W460&gt;0,W460*470.51,0)+IF(X460&gt;0,X460*701.69,0)+IF(Z460&gt;0,Z460*151.63,0)+IF(AA460&gt;0,AA460*197.84)+IF(AB460&gt;0,AB460*308.4,0)+IF(AC460&gt;0,AC460*496.16,0)</f>
        <v/>
      </c>
    </row>
    <row r="461">
      <c r="A461" s="58" t="inlineStr">
        <is>
          <t>SIM</t>
        </is>
      </c>
      <c r="B461" s="59">
        <f>IF(H461&lt;$B$1,"VENCIDO","NA VALIDADE")</f>
        <v/>
      </c>
      <c r="C461" s="60" t="inlineStr">
        <is>
          <t>SUBESTAÇÃO</t>
        </is>
      </c>
      <c r="D461" s="61" t="inlineStr">
        <is>
          <t>SE TUCANO</t>
        </is>
      </c>
      <c r="E461" s="62" t="inlineStr">
        <is>
          <t>TUCANO</t>
        </is>
      </c>
      <c r="F461" s="61" t="inlineStr">
        <is>
          <t>FEIRA DE  SANTANA</t>
        </is>
      </c>
      <c r="G461" s="60" t="inlineStr">
        <is>
          <t>BA</t>
        </is>
      </c>
      <c r="H461" s="119" t="n">
        <v>45474</v>
      </c>
      <c r="I461" s="119">
        <f>H461-180</f>
        <v/>
      </c>
      <c r="J461" s="60">
        <f>SUM(L461:AE461)</f>
        <v/>
      </c>
      <c r="K461" s="60">
        <f>SUM(AF461:AJ461)</f>
        <v/>
      </c>
      <c r="L461" s="60" t="n"/>
      <c r="M461" s="60" t="n"/>
      <c r="N461" s="60" t="n"/>
      <c r="O461" s="60" t="n"/>
      <c r="P461" s="60" t="n"/>
      <c r="Q461" s="60" t="n">
        <v>2</v>
      </c>
      <c r="R461" s="60" t="n"/>
      <c r="S461" s="60" t="n"/>
      <c r="T461" s="60" t="n">
        <v>1</v>
      </c>
      <c r="U461" s="60" t="n"/>
      <c r="V461" s="60" t="n"/>
      <c r="W461" s="60" t="n"/>
      <c r="X461" s="60" t="n"/>
      <c r="Y461" s="60" t="n"/>
      <c r="Z461" s="60" t="n"/>
      <c r="AA461" s="60" t="n"/>
      <c r="AB461" s="60" t="n"/>
      <c r="AC461" s="60" t="n"/>
      <c r="AD461" s="60" t="n"/>
      <c r="AE461" s="60" t="n"/>
      <c r="AF461" s="60" t="n"/>
      <c r="AG461" s="60" t="n"/>
      <c r="AH461" s="60" t="n"/>
      <c r="AI461" s="60" t="n"/>
      <c r="AJ461" s="60" t="n"/>
      <c r="AK461" s="120">
        <f>IF(L461&gt;0,L461*90.44,0)+IF(M461&gt;0,M461*348.12,0)+IF(N461&gt;0,N461*151.63,0)+IF(O461&gt;0,O461*197.82,0)+IF(P461&gt;0,P461*244.09,0)+IF(Q461&gt;0,Q461*315.35,0)+IF(R461&gt;0,R461*1067.3,0)+IF(T461&gt;0,T461*567.47,0)+IF(U461&gt;0,U461*151.63,0)+IF(V461&gt;0,V461*197.84,0)+IF(W461&gt;0,W461*470.51,0)+IF(X461&gt;0,X461*701.69,0)+IF(Z461&gt;0,Z461*151.63,0)+IF(AA461&gt;0,AA461*197.84)+IF(AB461&gt;0,AB461*308.4,0)+IF(AC461&gt;0,AC461*496.16,0)</f>
        <v/>
      </c>
    </row>
    <row r="462" hidden="1">
      <c r="A462" s="58" t="inlineStr">
        <is>
          <t>rota</t>
        </is>
      </c>
      <c r="B462" s="59">
        <f>IF(H462&lt;$B$1,"VENCIDO","NA VALIDADE")</f>
        <v/>
      </c>
      <c r="C462" s="60" t="inlineStr">
        <is>
          <t>SUBESTAÇÃO</t>
        </is>
      </c>
      <c r="D462" s="61" t="inlineStr">
        <is>
          <t>SE URANDI</t>
        </is>
      </c>
      <c r="E462" s="62" t="inlineStr">
        <is>
          <t>URANDI</t>
        </is>
      </c>
      <c r="F462" s="61" t="inlineStr">
        <is>
          <t>VITÓRIA DA CONQUISTA</t>
        </is>
      </c>
      <c r="G462" s="60" t="inlineStr">
        <is>
          <t>BA</t>
        </is>
      </c>
      <c r="H462" s="119" t="n">
        <v>45323</v>
      </c>
      <c r="I462" s="119" t="n">
        <v>45323</v>
      </c>
      <c r="J462" s="60">
        <f>SUM(L462:AE462)</f>
        <v/>
      </c>
      <c r="K462" s="60">
        <f>SUM(AF462:AJ462)</f>
        <v/>
      </c>
      <c r="L462" s="60" t="n"/>
      <c r="M462" s="60" t="n"/>
      <c r="N462" s="60" t="n"/>
      <c r="O462" s="60" t="n"/>
      <c r="P462" s="60" t="n"/>
      <c r="Q462" s="60" t="n">
        <v>1</v>
      </c>
      <c r="R462" s="60" t="n"/>
      <c r="S462" s="60" t="n"/>
      <c r="T462" s="60" t="n"/>
      <c r="U462" s="60" t="n"/>
      <c r="V462" s="60" t="n"/>
      <c r="W462" s="60" t="n"/>
      <c r="X462" s="60" t="n"/>
      <c r="Y462" s="60" t="n"/>
      <c r="Z462" s="60" t="n"/>
      <c r="AA462" s="60" t="n">
        <v>1</v>
      </c>
      <c r="AB462" s="60" t="n"/>
      <c r="AC462" s="60" t="n"/>
      <c r="AD462" s="60" t="n"/>
      <c r="AE462" s="60" t="n"/>
      <c r="AF462" s="60" t="n"/>
      <c r="AG462" s="60" t="n"/>
      <c r="AH462" s="60" t="n"/>
      <c r="AI462" s="60" t="n"/>
      <c r="AJ462" s="60" t="n"/>
      <c r="AK462" s="120">
        <f>IF(L462&gt;0,L462*90.44,0)+IF(M462&gt;0,M462*348.12,0)+IF(N462&gt;0,N462*151.63,0)+IF(O462&gt;0,O462*197.82,0)+IF(P462&gt;0,P462*244.09,0)+IF(Q462&gt;0,Q462*315.35,0)+IF(R462&gt;0,R462*1067.3,0)+IF(T462&gt;0,T462*567.47,0)+IF(U462&gt;0,U462*151.63,0)+IF(V462&gt;0,V462*197.84,0)+IF(W462&gt;0,W462*470.51,0)+IF(X462&gt;0,X462*701.69,0)+IF(Z462&gt;0,Z462*151.63,0)+IF(AA462&gt;0,AA462*197.84)+IF(AB462&gt;0,AB462*308.4,0)+IF(AC462&gt;0,AC462*496.16,0)</f>
        <v/>
      </c>
    </row>
    <row r="463" hidden="1">
      <c r="A463" s="58" t="inlineStr">
        <is>
          <t>SIM</t>
        </is>
      </c>
      <c r="B463" s="59">
        <f>IF(H463&lt;$B$1,"VENCIDO","NA VALIDADE")</f>
        <v/>
      </c>
      <c r="C463" s="60" t="inlineStr">
        <is>
          <t>SUBESTAÇÃO</t>
        </is>
      </c>
      <c r="D463" s="66" t="inlineStr">
        <is>
          <t>SE URUÇUCA</t>
        </is>
      </c>
      <c r="E463" s="62" t="inlineStr">
        <is>
          <t>URUÇUCA</t>
        </is>
      </c>
      <c r="F463" s="61" t="inlineStr">
        <is>
          <t>ILHÉUS</t>
        </is>
      </c>
      <c r="G463" s="60" t="inlineStr">
        <is>
          <t>BA</t>
        </is>
      </c>
      <c r="H463" s="119" t="n">
        <v>45505</v>
      </c>
      <c r="I463" s="119">
        <f>H463-180</f>
        <v/>
      </c>
      <c r="J463" s="60">
        <f>SUM(L463:AE463)</f>
        <v/>
      </c>
      <c r="K463" s="60">
        <f>SUM(AF463:AJ463)</f>
        <v/>
      </c>
      <c r="L463" s="60" t="n"/>
      <c r="M463" s="60" t="n"/>
      <c r="N463" s="60" t="n"/>
      <c r="O463" s="60" t="n"/>
      <c r="P463" s="60" t="n"/>
      <c r="Q463" s="60" t="n">
        <v>2</v>
      </c>
      <c r="R463" s="60" t="n"/>
      <c r="S463" s="60" t="n"/>
      <c r="T463" s="60" t="n"/>
      <c r="U463" s="60" t="n"/>
      <c r="V463" s="60" t="n"/>
      <c r="W463" s="60" t="n"/>
      <c r="X463" s="60" t="n"/>
      <c r="Y463" s="60" t="n"/>
      <c r="Z463" s="60" t="n"/>
      <c r="AA463" s="60" t="n"/>
      <c r="AB463" s="60" t="n"/>
      <c r="AC463" s="60" t="n"/>
      <c r="AD463" s="60" t="n"/>
      <c r="AE463" s="60" t="n"/>
      <c r="AF463" s="60" t="n"/>
      <c r="AG463" s="60" t="n"/>
      <c r="AH463" s="60" t="n"/>
      <c r="AI463" s="60" t="n"/>
      <c r="AJ463" s="60" t="n"/>
      <c r="AK463" s="120">
        <f>IF(L463&gt;0,L463*90.44,0)+IF(M463&gt;0,M463*348.12,0)+IF(N463&gt;0,N463*151.63,0)+IF(O463&gt;0,O463*197.82,0)+IF(P463&gt;0,P463*244.09,0)+IF(Q463&gt;0,Q463*315.35,0)+IF(R463&gt;0,R463*1067.3,0)+IF(T463&gt;0,T463*567.47,0)+IF(U463&gt;0,U463*151.63,0)+IF(V463&gt;0,V463*197.84,0)+IF(W463&gt;0,W463*470.51,0)+IF(X463&gt;0,X463*701.69,0)+IF(Z463&gt;0,Z463*151.63,0)+IF(AA463&gt;0,AA463*197.84)+IF(AB463&gt;0,AB463*308.4,0)+IF(AC463&gt;0,AC463*496.16,0)</f>
        <v/>
      </c>
    </row>
    <row r="464" hidden="1">
      <c r="A464" s="58" t="n"/>
      <c r="B464" s="59">
        <f>IF(H464&lt;$B$1,"VENCIDO","NA VALIDADE")</f>
        <v/>
      </c>
      <c r="C464" s="60" t="inlineStr">
        <is>
          <t>BASE OP</t>
        </is>
      </c>
      <c r="D464" s="61" t="inlineStr">
        <is>
          <t>BASE OPERACIONAL MUTUIPE</t>
        </is>
      </c>
      <c r="E464" s="62" t="inlineStr">
        <is>
          <t>MUTUIPE</t>
        </is>
      </c>
      <c r="F464" s="61" t="inlineStr">
        <is>
          <t>ILHÉUS</t>
        </is>
      </c>
      <c r="G464" s="60" t="inlineStr">
        <is>
          <t>BA</t>
        </is>
      </c>
      <c r="H464" s="119" t="n">
        <v>45566</v>
      </c>
      <c r="I464" s="119">
        <f>H464-180</f>
        <v/>
      </c>
      <c r="J464" s="60">
        <f>SUM(L464:AE464)</f>
        <v/>
      </c>
      <c r="K464" s="60">
        <f>SUM(AF464:AJ464)</f>
        <v/>
      </c>
      <c r="L464" s="60" t="n"/>
      <c r="M464" s="60" t="n"/>
      <c r="N464" s="60" t="n"/>
      <c r="O464" s="60" t="n">
        <v>1</v>
      </c>
      <c r="P464" s="60" t="n"/>
      <c r="Q464" s="60" t="n"/>
      <c r="R464" s="60" t="n"/>
      <c r="S464" s="60" t="n"/>
      <c r="T464" s="60" t="n"/>
      <c r="U464" s="60" t="n"/>
      <c r="V464" s="60" t="n"/>
      <c r="W464" s="60" t="n"/>
      <c r="X464" s="60" t="n"/>
      <c r="Y464" s="60" t="n"/>
      <c r="Z464" s="60" t="n"/>
      <c r="AA464" s="60" t="n"/>
      <c r="AB464" s="60" t="n"/>
      <c r="AC464" s="60" t="n"/>
      <c r="AD464" s="60" t="n"/>
      <c r="AE464" s="60" t="n"/>
      <c r="AF464" s="60" t="n"/>
      <c r="AG464" s="60" t="n"/>
      <c r="AH464" s="60" t="n"/>
      <c r="AI464" s="60" t="n"/>
      <c r="AJ464" s="60" t="n"/>
      <c r="AK464" s="120">
        <f>IF(L464&gt;0,L464*90.44,0)+IF(M464&gt;0,M464*348.12,0)+IF(N464&gt;0,N464*151.63,0)+IF(O464&gt;0,O464*197.82,0)+IF(P464&gt;0,P464*244.09,0)+IF(Q464&gt;0,Q464*315.35,0)+IF(R464&gt;0,R464*1067.3,0)+IF(T464&gt;0,T464*567.47,0)+IF(U464&gt;0,U464*151.63,0)+IF(V464&gt;0,V464*197.84,0)+IF(W464&gt;0,W464*470.51,0)+IF(X464&gt;0,X464*701.69,0)+IF(Z464&gt;0,Z464*151.63,0)+IF(AA464&gt;0,AA464*197.84)+IF(AB464&gt;0,AB464*308.4,0)+IF(AC464&gt;0,AC464*496.16,0)</f>
        <v/>
      </c>
    </row>
    <row r="465">
      <c r="A465" s="58" t="inlineStr">
        <is>
          <t>SIM</t>
        </is>
      </c>
      <c r="B465" s="59">
        <f>IF(H465&lt;$B$1,"VENCIDO","NA VALIDADE")</f>
        <v/>
      </c>
      <c r="C465" s="60" t="inlineStr">
        <is>
          <t>SUBESTAÇÃO</t>
        </is>
      </c>
      <c r="D465" s="61" t="inlineStr">
        <is>
          <t>SE VALENTE</t>
        </is>
      </c>
      <c r="E465" s="62" t="inlineStr">
        <is>
          <t>VALENTE</t>
        </is>
      </c>
      <c r="F465" s="61" t="inlineStr">
        <is>
          <t>FEIRA DE  SANTANA</t>
        </is>
      </c>
      <c r="G465" s="60" t="inlineStr">
        <is>
          <t>BA</t>
        </is>
      </c>
      <c r="H465" s="119" t="n">
        <v>45505</v>
      </c>
      <c r="I465" s="119">
        <f>H465-180</f>
        <v/>
      </c>
      <c r="J465" s="60">
        <f>SUM(L465:AE465)</f>
        <v/>
      </c>
      <c r="K465" s="60">
        <f>SUM(AF465:AJ465)</f>
        <v/>
      </c>
      <c r="L465" s="60" t="n"/>
      <c r="M465" s="60" t="n"/>
      <c r="N465" s="60" t="n"/>
      <c r="O465" s="60" t="n"/>
      <c r="P465" s="60" t="n"/>
      <c r="Q465" s="60" t="n">
        <v>1</v>
      </c>
      <c r="R465" s="60" t="n"/>
      <c r="S465" s="60" t="n"/>
      <c r="T465" s="60" t="n"/>
      <c r="U465" s="60" t="n"/>
      <c r="V465" s="60" t="n"/>
      <c r="W465" s="60" t="n"/>
      <c r="X465" s="60" t="n"/>
      <c r="Y465" s="60" t="n"/>
      <c r="Z465" s="60" t="n"/>
      <c r="AA465" s="60" t="n">
        <v>1</v>
      </c>
      <c r="AB465" s="60" t="n"/>
      <c r="AC465" s="60" t="n"/>
      <c r="AD465" s="60" t="n"/>
      <c r="AE465" s="60" t="n"/>
      <c r="AF465" s="60" t="n"/>
      <c r="AG465" s="60" t="n"/>
      <c r="AH465" s="60" t="n"/>
      <c r="AI465" s="60" t="n"/>
      <c r="AJ465" s="60" t="n"/>
      <c r="AK465" s="120">
        <f>IF(L465&gt;0,L465*90.44,0)+IF(M465&gt;0,M465*348.12,0)+IF(N465&gt;0,N465*151.63,0)+IF(O465&gt;0,O465*197.82,0)+IF(P465&gt;0,P465*244.09,0)+IF(Q465&gt;0,Q465*315.35,0)+IF(R465&gt;0,R465*1067.3,0)+IF(T465&gt;0,T465*567.47,0)+IF(U465&gt;0,U465*151.63,0)+IF(V465&gt;0,V465*197.84,0)+IF(W465&gt;0,W465*470.51,0)+IF(X465&gt;0,X465*701.69,0)+IF(Z465&gt;0,Z465*151.63,0)+IF(AA465&gt;0,AA465*197.84)+IF(AB465&gt;0,AB465*308.4,0)+IF(AC465&gt;0,AC465*496.16,0)</f>
        <v/>
      </c>
    </row>
    <row r="466" hidden="1">
      <c r="A466" s="58" t="inlineStr">
        <is>
          <t>rota</t>
        </is>
      </c>
      <c r="B466" s="59">
        <f>IF(H466&lt;$B$1,"VENCIDO","NA VALIDADE")</f>
        <v/>
      </c>
      <c r="C466" s="60" t="inlineStr">
        <is>
          <t>SUBESTAÇÃO</t>
        </is>
      </c>
      <c r="D466" s="61" t="inlineStr">
        <is>
          <t>SE VITÓRIA DA CONQUISTA</t>
        </is>
      </c>
      <c r="E466" s="62" t="inlineStr">
        <is>
          <t>VITÓRIA DA CONQUISTA</t>
        </is>
      </c>
      <c r="F466" s="61" t="inlineStr">
        <is>
          <t>VITÓRIA DA CONQUISTA</t>
        </is>
      </c>
      <c r="G466" s="60" t="inlineStr">
        <is>
          <t>BA</t>
        </is>
      </c>
      <c r="H466" s="119" t="n">
        <v>45474</v>
      </c>
      <c r="I466" s="119">
        <f>H466-180</f>
        <v/>
      </c>
      <c r="J466" s="60">
        <f>SUM(L466:AE466)</f>
        <v/>
      </c>
      <c r="K466" s="60">
        <f>SUM(AF466:AJ466)</f>
        <v/>
      </c>
      <c r="L466" s="60" t="n"/>
      <c r="M466" s="60" t="n"/>
      <c r="N466" s="60" t="n"/>
      <c r="O466" s="60" t="n"/>
      <c r="P466" s="60" t="n"/>
      <c r="Q466" s="60" t="n">
        <v>1</v>
      </c>
      <c r="R466" s="60" t="n"/>
      <c r="S466" s="60" t="n"/>
      <c r="T466" s="60" t="n"/>
      <c r="U466" s="60" t="n"/>
      <c r="V466" s="60" t="n"/>
      <c r="W466" s="60" t="n"/>
      <c r="X466" s="60" t="n"/>
      <c r="Y466" s="60" t="n"/>
      <c r="Z466" s="60" t="n"/>
      <c r="AA466" s="60" t="n">
        <v>1</v>
      </c>
      <c r="AB466" s="60" t="n"/>
      <c r="AC466" s="60" t="n"/>
      <c r="AD466" s="60" t="n"/>
      <c r="AE466" s="60" t="n"/>
      <c r="AF466" s="60" t="n"/>
      <c r="AG466" s="60" t="n"/>
      <c r="AH466" s="60" t="n"/>
      <c r="AI466" s="60" t="n"/>
      <c r="AJ466" s="60" t="n"/>
      <c r="AK466" s="120">
        <f>IF(L466&gt;0,L466*90.44,0)+IF(M466&gt;0,M466*348.12,0)+IF(N466&gt;0,N466*151.63,0)+IF(O466&gt;0,O466*197.82,0)+IF(P466&gt;0,P466*244.09,0)+IF(Q466&gt;0,Q466*315.35,0)+IF(R466&gt;0,R466*1067.3,0)+IF(T466&gt;0,T466*567.47,0)+IF(U466&gt;0,U466*151.63,0)+IF(V466&gt;0,V466*197.84,0)+IF(W466&gt;0,W466*470.51,0)+IF(X466&gt;0,X466*701.69,0)+IF(Z466&gt;0,Z466*151.63,0)+IF(AA466&gt;0,AA466*197.84)+IF(AB466&gt;0,AB466*308.4,0)+IF(AC466&gt;0,AC466*496.16,0)</f>
        <v/>
      </c>
    </row>
    <row r="467">
      <c r="A467" s="58" t="inlineStr">
        <is>
          <t>SIM</t>
        </is>
      </c>
      <c r="B467" s="59">
        <f>IF(H467&lt;$B$1,"VENCIDO","NA VALIDADE")</f>
        <v/>
      </c>
      <c r="C467" s="60" t="inlineStr">
        <is>
          <t>SUBESTAÇÃO</t>
        </is>
      </c>
      <c r="D467" s="61" t="inlineStr">
        <is>
          <t>SE WAGNER</t>
        </is>
      </c>
      <c r="E467" s="62" t="inlineStr">
        <is>
          <t>WAGNER</t>
        </is>
      </c>
      <c r="F467" s="61" t="inlineStr">
        <is>
          <t>FEIRA DE  SANTANA</t>
        </is>
      </c>
      <c r="G467" s="60" t="inlineStr">
        <is>
          <t>BA</t>
        </is>
      </c>
      <c r="H467" s="119" t="n">
        <v>45413</v>
      </c>
      <c r="I467" s="119" t="n">
        <v>45413</v>
      </c>
      <c r="J467" s="60">
        <f>SUM(L467:AE467)</f>
        <v/>
      </c>
      <c r="K467" s="60">
        <f>SUM(AF467:AJ467)</f>
        <v/>
      </c>
      <c r="L467" s="60" t="n"/>
      <c r="M467" s="60" t="n"/>
      <c r="N467" s="60" t="n"/>
      <c r="O467" s="60" t="n"/>
      <c r="P467" s="60" t="n"/>
      <c r="Q467" s="60" t="n">
        <v>2</v>
      </c>
      <c r="R467" s="60" t="n"/>
      <c r="S467" s="60" t="n"/>
      <c r="T467" s="60" t="n">
        <v>1</v>
      </c>
      <c r="U467" s="60" t="n"/>
      <c r="V467" s="60" t="n"/>
      <c r="W467" s="60" t="n"/>
      <c r="X467" s="60" t="n"/>
      <c r="Y467" s="60" t="n"/>
      <c r="Z467" s="60" t="n"/>
      <c r="AA467" s="60" t="n">
        <v>2</v>
      </c>
      <c r="AB467" s="60" t="n"/>
      <c r="AC467" s="60" t="n"/>
      <c r="AD467" s="60" t="n"/>
      <c r="AE467" s="60" t="n"/>
      <c r="AF467" s="60" t="n"/>
      <c r="AG467" s="60" t="n"/>
      <c r="AH467" s="60" t="n"/>
      <c r="AI467" s="60" t="n"/>
      <c r="AJ467" s="60" t="n"/>
      <c r="AK467" s="120">
        <f>IF(L467&gt;0,L467*90.44,0)+IF(M467&gt;0,M467*348.12,0)+IF(N467&gt;0,N467*151.63,0)+IF(O467&gt;0,O467*197.82,0)+IF(P467&gt;0,P467*244.09,0)+IF(Q467&gt;0,Q467*315.35,0)+IF(R467&gt;0,R467*1067.3,0)+IF(T467&gt;0,T467*567.47,0)+IF(U467&gt;0,U467*151.63,0)+IF(V467&gt;0,V467*197.84,0)+IF(W467&gt;0,W467*470.51,0)+IF(X467&gt;0,X467*701.69,0)+IF(Z467&gt;0,Z467*151.63,0)+IF(AA467&gt;0,AA467*197.84)+IF(AB467&gt;0,AB467*308.4,0)+IF(AC467&gt;0,AC467*496.16,0)</f>
        <v/>
      </c>
    </row>
    <row r="468">
      <c r="A468" s="58" t="inlineStr">
        <is>
          <t>SIM</t>
        </is>
      </c>
      <c r="B468" s="59">
        <f>IF(H468&lt;$B$1,"VENCIDO","NA VALIDADE")</f>
        <v/>
      </c>
      <c r="C468" s="60" t="inlineStr">
        <is>
          <t>SUBESTAÇÃO</t>
        </is>
      </c>
      <c r="D468" s="61" t="inlineStr">
        <is>
          <t>SE XIQUE-XIQUE</t>
        </is>
      </c>
      <c r="E468" s="62" t="inlineStr">
        <is>
          <t>XIQUE-XIQUE</t>
        </is>
      </c>
      <c r="F468" s="61" t="inlineStr">
        <is>
          <t>FEIRA DE  SANTANA</t>
        </is>
      </c>
      <c r="G468" s="60" t="inlineStr">
        <is>
          <t>BA</t>
        </is>
      </c>
      <c r="H468" s="119" t="n">
        <v>45323</v>
      </c>
      <c r="I468" s="119" t="n">
        <v>45323</v>
      </c>
      <c r="J468" s="60">
        <f>SUM(L468:AE468)</f>
        <v/>
      </c>
      <c r="K468" s="60">
        <f>SUM(AF468:AJ468)</f>
        <v/>
      </c>
      <c r="L468" s="60" t="n"/>
      <c r="M468" s="60" t="n"/>
      <c r="N468" s="60" t="n"/>
      <c r="O468" s="60" t="n">
        <v>2</v>
      </c>
      <c r="P468" s="60" t="n"/>
      <c r="Q468" s="60" t="n">
        <v>6</v>
      </c>
      <c r="R468" s="60" t="n"/>
      <c r="S468" s="60" t="n"/>
      <c r="T468" s="60" t="n">
        <v>2</v>
      </c>
      <c r="U468" s="60" t="n"/>
      <c r="V468" s="60" t="n"/>
      <c r="W468" s="60" t="n"/>
      <c r="X468" s="60" t="n"/>
      <c r="Y468" s="60" t="n"/>
      <c r="Z468" s="60" t="n"/>
      <c r="AA468" s="60" t="n">
        <v>2</v>
      </c>
      <c r="AB468" s="60" t="n"/>
      <c r="AC468" s="60" t="n"/>
      <c r="AD468" s="60" t="n"/>
      <c r="AE468" s="60" t="n"/>
      <c r="AF468" s="60" t="n"/>
      <c r="AG468" s="60" t="n"/>
      <c r="AH468" s="60" t="n"/>
      <c r="AI468" s="60" t="n"/>
      <c r="AJ468" s="60" t="n"/>
      <c r="AK468" s="120">
        <f>IF(L468&gt;0,L468*90.44,0)+IF(M468&gt;0,M468*348.12,0)+IF(N468&gt;0,N468*151.63,0)+IF(O468&gt;0,O468*197.82,0)+IF(P468&gt;0,P468*244.09,0)+IF(Q468&gt;0,Q468*315.35,0)+IF(R468&gt;0,R468*1067.3,0)+IF(T468&gt;0,T468*567.47,0)+IF(U468&gt;0,U468*151.63,0)+IF(V468&gt;0,V468*197.84,0)+IF(W468&gt;0,W468*470.51,0)+IF(X468&gt;0,X468*701.69,0)+IF(Z468&gt;0,Z468*151.63,0)+IF(AA468&gt;0,AA468*197.84)+IF(AB468&gt;0,AB468*308.4,0)+IF(AC468&gt;0,AC468*496.16,0)</f>
        <v/>
      </c>
    </row>
    <row r="469" hidden="1">
      <c r="A469" s="58" t="inlineStr">
        <is>
          <t>rota</t>
        </is>
      </c>
      <c r="B469" s="59">
        <f>IF(H469&lt;$B$1,"VENCIDO","NA VALIDADE")</f>
        <v/>
      </c>
      <c r="C469" s="60" t="inlineStr">
        <is>
          <t>SUBESTAÇÃO</t>
        </is>
      </c>
      <c r="D469" s="61" t="inlineStr">
        <is>
          <t>SE BRUMADO</t>
        </is>
      </c>
      <c r="E469" s="62" t="inlineStr">
        <is>
          <t>BRUMADO</t>
        </is>
      </c>
      <c r="F469" s="61" t="inlineStr">
        <is>
          <t>VITÓRIA DA CONQUISTA</t>
        </is>
      </c>
      <c r="G469" s="60" t="inlineStr">
        <is>
          <t>BA</t>
        </is>
      </c>
      <c r="H469" s="119" t="n">
        <v>45536</v>
      </c>
      <c r="I469" s="119">
        <f>H469-180</f>
        <v/>
      </c>
      <c r="J469" s="60">
        <f>SUM(L469:AE469)</f>
        <v/>
      </c>
      <c r="K469" s="60">
        <f>SUM(AF469:AJ469)</f>
        <v/>
      </c>
      <c r="L469" s="60" t="n"/>
      <c r="M469" s="60" t="n"/>
      <c r="N469" s="60" t="n"/>
      <c r="O469" s="60" t="n"/>
      <c r="P469" s="60" t="n"/>
      <c r="Q469" s="60" t="n">
        <v>2</v>
      </c>
      <c r="R469" s="60" t="n"/>
      <c r="S469" s="60" t="n"/>
      <c r="T469" s="60" t="n"/>
      <c r="U469" s="60" t="n"/>
      <c r="V469" s="60" t="n"/>
      <c r="W469" s="60" t="n"/>
      <c r="X469" s="60" t="n"/>
      <c r="Y469" s="60" t="n"/>
      <c r="Z469" s="60" t="n"/>
      <c r="AA469" s="60" t="n">
        <v>2</v>
      </c>
      <c r="AB469" s="60" t="n"/>
      <c r="AC469" s="60" t="n"/>
      <c r="AD469" s="60" t="n"/>
      <c r="AE469" s="60" t="n"/>
      <c r="AF469" s="60" t="n"/>
      <c r="AG469" s="60" t="n"/>
      <c r="AH469" s="60" t="n"/>
      <c r="AI469" s="60" t="n"/>
      <c r="AJ469" s="60" t="n"/>
      <c r="AK469" s="120">
        <f>IF(L469&gt;0,L469*90.44,0)+IF(M469&gt;0,M469*348.12,0)+IF(N469&gt;0,N469*151.63,0)+IF(O469&gt;0,O469*197.82,0)+IF(P469&gt;0,P469*244.09,0)+IF(Q469&gt;0,Q469*315.35,0)+IF(R469&gt;0,R469*1067.3,0)+IF(T469&gt;0,T469*567.47,0)+IF(U469&gt;0,U469*151.63,0)+IF(V469&gt;0,V469*197.84,0)+IF(W469&gt;0,W469*470.51,0)+IF(X469&gt;0,X469*701.69,0)+IF(Z469&gt;0,Z469*151.63,0)+IF(AA469&gt;0,AA469*197.84)+IF(AB469&gt;0,AB469*308.4,0)+IF(AC469&gt;0,AC469*496.16,0)</f>
        <v/>
      </c>
    </row>
    <row r="470">
      <c r="A470" s="58" t="inlineStr">
        <is>
          <t>rota</t>
        </is>
      </c>
      <c r="B470" s="59">
        <f>IF(H470&lt;$B$1,"VENCIDO","NA VALIDADE")</f>
        <v/>
      </c>
      <c r="C470" s="60" t="inlineStr">
        <is>
          <t>SUBESTAÇÃO</t>
        </is>
      </c>
      <c r="D470" s="61" t="inlineStr">
        <is>
          <t xml:space="preserve">SE CAJAZEIRAS II </t>
        </is>
      </c>
      <c r="E470" s="62" t="inlineStr">
        <is>
          <t>SALVADOR</t>
        </is>
      </c>
      <c r="F470" s="61" t="inlineStr">
        <is>
          <t>FEIRA DE  SANTANA</t>
        </is>
      </c>
      <c r="G470" s="60" t="inlineStr">
        <is>
          <t>BA</t>
        </is>
      </c>
      <c r="H470" s="119" t="n">
        <v>45474</v>
      </c>
      <c r="I470" s="119">
        <f>H470-180</f>
        <v/>
      </c>
      <c r="J470" s="60">
        <f>SUM(L470:AE470)</f>
        <v/>
      </c>
      <c r="K470" s="60">
        <f>SUM(AF470:AJ470)</f>
        <v/>
      </c>
      <c r="L470" s="60" t="n"/>
      <c r="M470" s="60" t="n"/>
      <c r="N470" s="60" t="n"/>
      <c r="O470" s="60" t="n"/>
      <c r="P470" s="60" t="n"/>
      <c r="Q470" s="60" t="n"/>
      <c r="R470" s="60" t="n"/>
      <c r="S470" s="60" t="n"/>
      <c r="T470" s="60" t="n"/>
      <c r="U470" s="60" t="n"/>
      <c r="V470" s="60" t="n"/>
      <c r="W470" s="60" t="n"/>
      <c r="X470" s="60" t="n"/>
      <c r="Y470" s="60" t="n"/>
      <c r="Z470" s="60" t="n"/>
      <c r="AA470" s="60" t="n">
        <v>2</v>
      </c>
      <c r="AB470" s="60" t="n"/>
      <c r="AC470" s="60" t="n"/>
      <c r="AD470" s="60" t="n"/>
      <c r="AE470" s="60" t="n"/>
      <c r="AF470" s="60" t="n"/>
      <c r="AG470" s="60" t="n"/>
      <c r="AH470" s="60" t="n"/>
      <c r="AI470" s="60" t="n"/>
      <c r="AJ470" s="60" t="n"/>
      <c r="AK470" s="120">
        <f>IF(L470&gt;0,L470*90.44,0)+IF(M470&gt;0,M470*348.12,0)+IF(N470&gt;0,N470*151.63,0)+IF(O470&gt;0,O470*197.82,0)+IF(P470&gt;0,P470*244.09,0)+IF(Q470&gt;0,Q470*315.35,0)+IF(R470&gt;0,R470*1067.3,0)+IF(T470&gt;0,T470*567.47,0)+IF(U470&gt;0,U470*151.63,0)+IF(V470&gt;0,V470*197.84,0)+IF(W470&gt;0,W470*470.51,0)+IF(X470&gt;0,X470*701.69,0)+IF(Z470&gt;0,Z470*151.63,0)+IF(AA470&gt;0,AA470*197.84)+IF(AB470&gt;0,AB470*308.4,0)+IF(AC470&gt;0,AC470*496.16,0)</f>
        <v/>
      </c>
    </row>
    <row r="471">
      <c r="A471" s="58" t="inlineStr">
        <is>
          <t>SIM</t>
        </is>
      </c>
      <c r="B471" s="59">
        <f>IF(H471&lt;$B$1,"VENCIDO","NA VALIDADE")</f>
        <v/>
      </c>
      <c r="C471" s="60" t="inlineStr">
        <is>
          <t>SUBESTAÇÃO</t>
        </is>
      </c>
      <c r="D471" s="61" t="inlineStr">
        <is>
          <t>SE CAMAÇARI V</t>
        </is>
      </c>
      <c r="E471" s="62" t="inlineStr">
        <is>
          <t>DIAS D'AVILA</t>
        </is>
      </c>
      <c r="F471" s="61" t="inlineStr">
        <is>
          <t>FEIRA DE  SANTANA</t>
        </is>
      </c>
      <c r="G471" s="60" t="inlineStr">
        <is>
          <t>BA</t>
        </is>
      </c>
      <c r="H471" s="119" t="n">
        <v>45413</v>
      </c>
      <c r="I471" s="119" t="n">
        <v>45413</v>
      </c>
      <c r="J471" s="60">
        <f>SUM(L471:AE471)</f>
        <v/>
      </c>
      <c r="K471" s="60">
        <f>SUM(AF471:AJ471)</f>
        <v/>
      </c>
      <c r="L471" s="60" t="n"/>
      <c r="M471" s="60" t="n"/>
      <c r="N471" s="60" t="n"/>
      <c r="O471" s="60" t="n"/>
      <c r="P471" s="60" t="n"/>
      <c r="Q471" s="60" t="n">
        <v>2</v>
      </c>
      <c r="R471" s="60" t="n"/>
      <c r="S471" s="60" t="n"/>
      <c r="T471" s="60" t="n">
        <v>1</v>
      </c>
      <c r="U471" s="60" t="n"/>
      <c r="V471" s="60" t="n"/>
      <c r="W471" s="60" t="n"/>
      <c r="X471" s="60" t="n"/>
      <c r="Y471" s="60" t="n"/>
      <c r="Z471" s="60" t="n"/>
      <c r="AA471" s="60" t="n">
        <v>6</v>
      </c>
      <c r="AB471" s="60" t="n"/>
      <c r="AC471" s="60" t="n"/>
      <c r="AD471" s="60" t="n"/>
      <c r="AE471" s="60" t="n"/>
      <c r="AF471" s="60" t="n"/>
      <c r="AG471" s="60" t="n"/>
      <c r="AH471" s="60" t="n"/>
      <c r="AI471" s="60" t="n"/>
      <c r="AJ471" s="60" t="n"/>
      <c r="AK471" s="120">
        <f>IF(L471&gt;0,L471*90.44,0)+IF(M471&gt;0,M471*348.12,0)+IF(N471&gt;0,N471*151.63,0)+IF(O471&gt;0,O471*197.82,0)+IF(P471&gt;0,P471*244.09,0)+IF(Q471&gt;0,Q471*315.35,0)+IF(R471&gt;0,R471*1067.3,0)+IF(T471&gt;0,T471*567.47,0)+IF(U471&gt;0,U471*151.63,0)+IF(V471&gt;0,V471*197.84,0)+IF(W471&gt;0,W471*470.51,0)+IF(X471&gt;0,X471*701.69,0)+IF(Z471&gt;0,Z471*151.63,0)+IF(AA471&gt;0,AA471*197.84)+IF(AB471&gt;0,AB471*308.4,0)+IF(AC471&gt;0,AC471*496.16,0)</f>
        <v/>
      </c>
    </row>
    <row r="472" hidden="1">
      <c r="A472" s="58" t="inlineStr">
        <is>
          <t>SIM</t>
        </is>
      </c>
      <c r="B472" s="59">
        <f>IF(H472&lt;$B$1,"VENCIDO","NA VALIDADE")</f>
        <v/>
      </c>
      <c r="C472" s="60" t="inlineStr">
        <is>
          <t>SUBESTAÇÃO</t>
        </is>
      </c>
      <c r="D472" s="66" t="inlineStr">
        <is>
          <t>SE TAIPU DE FORA</t>
        </is>
      </c>
      <c r="E472" s="62" t="inlineStr">
        <is>
          <t>TAIPU DE FORA</t>
        </is>
      </c>
      <c r="F472" s="61" t="inlineStr">
        <is>
          <t>ILHÉUS</t>
        </is>
      </c>
      <c r="G472" s="60" t="inlineStr">
        <is>
          <t>BA</t>
        </is>
      </c>
      <c r="H472" s="119" t="n">
        <v>45474</v>
      </c>
      <c r="I472" s="119">
        <f>H472-180</f>
        <v/>
      </c>
      <c r="J472" s="60">
        <f>SUM(L472:AE472)</f>
        <v/>
      </c>
      <c r="K472" s="60">
        <f>SUM(AF472:AJ472)</f>
        <v/>
      </c>
      <c r="L472" s="60" t="n"/>
      <c r="M472" s="60" t="n"/>
      <c r="N472" s="60" t="n"/>
      <c r="O472" s="60" t="n">
        <v>1</v>
      </c>
      <c r="P472" s="60" t="n"/>
      <c r="Q472" s="60" t="n">
        <v>2</v>
      </c>
      <c r="R472" s="60" t="n"/>
      <c r="S472" s="60" t="n"/>
      <c r="T472" s="60" t="n"/>
      <c r="U472" s="60" t="n"/>
      <c r="V472" s="60" t="n"/>
      <c r="W472" s="60" t="n"/>
      <c r="X472" s="60" t="n"/>
      <c r="Y472" s="60" t="n"/>
      <c r="Z472" s="60" t="n"/>
      <c r="AA472" s="60" t="n"/>
      <c r="AB472" s="60" t="n"/>
      <c r="AC472" s="60" t="n"/>
      <c r="AD472" s="60" t="n"/>
      <c r="AE472" s="60" t="n"/>
      <c r="AF472" s="60" t="n"/>
      <c r="AG472" s="60" t="n"/>
      <c r="AH472" s="60" t="n"/>
      <c r="AI472" s="60" t="n"/>
      <c r="AJ472" s="60" t="n"/>
      <c r="AK472" s="120">
        <f>IF(L472&gt;0,L472*90.44,0)+IF(M472&gt;0,M472*348.12,0)+IF(N472&gt;0,N472*151.63,0)+IF(O472&gt;0,O472*197.82,0)+IF(P472&gt;0,P472*244.09,0)+IF(Q472&gt;0,Q472*315.35,0)+IF(R472&gt;0,R472*1067.3,0)+IF(T472&gt;0,T472*567.47,0)+IF(U472&gt;0,U472*151.63,0)+IF(V472&gt;0,V472*197.84,0)+IF(W472&gt;0,W472*470.51,0)+IF(X472&gt;0,X472*701.69,0)+IF(Z472&gt;0,Z472*151.63,0)+IF(AA472&gt;0,AA472*197.84)+IF(AB472&gt;0,AB472*308.4,0)+IF(AC472&gt;0,AC472*496.16,0)</f>
        <v/>
      </c>
    </row>
    <row r="473" hidden="1">
      <c r="A473" s="58" t="inlineStr">
        <is>
          <t>SIM</t>
        </is>
      </c>
      <c r="B473" s="59">
        <f>IF(H473&lt;$B$1,"VENCIDO","NA VALIDADE")</f>
        <v/>
      </c>
      <c r="C473" s="60" t="inlineStr">
        <is>
          <t>SUBESTAÇÃO</t>
        </is>
      </c>
      <c r="D473" s="66" t="inlineStr">
        <is>
          <t>SE ILHEUS I</t>
        </is>
      </c>
      <c r="E473" s="62" t="inlineStr">
        <is>
          <t>ILHÉUS</t>
        </is>
      </c>
      <c r="F473" s="61" t="inlineStr">
        <is>
          <t>ILHÉUS</t>
        </is>
      </c>
      <c r="G473" s="60" t="inlineStr">
        <is>
          <t>BA</t>
        </is>
      </c>
      <c r="H473" s="119" t="n">
        <v>45536</v>
      </c>
      <c r="I473" s="119">
        <f>H473-180</f>
        <v/>
      </c>
      <c r="J473" s="60">
        <f>SUM(L473:AE473)</f>
        <v/>
      </c>
      <c r="K473" s="60">
        <f>SUM(AF473:AJ473)</f>
        <v/>
      </c>
      <c r="L473" s="60" t="n"/>
      <c r="M473" s="60" t="n"/>
      <c r="N473" s="60" t="n"/>
      <c r="O473" s="60" t="n"/>
      <c r="P473" s="60" t="n"/>
      <c r="Q473" s="60" t="n">
        <v>7</v>
      </c>
      <c r="R473" s="60" t="n"/>
      <c r="S473" s="60" t="n"/>
      <c r="T473" s="60" t="n">
        <v>3</v>
      </c>
      <c r="U473" s="60" t="n"/>
      <c r="V473" s="60" t="n"/>
      <c r="W473" s="60" t="n"/>
      <c r="X473" s="60" t="n"/>
      <c r="Y473" s="60" t="n"/>
      <c r="Z473" s="60" t="n"/>
      <c r="AA473" s="60" t="n"/>
      <c r="AB473" s="60" t="n"/>
      <c r="AC473" s="60" t="n"/>
      <c r="AD473" s="60" t="n"/>
      <c r="AE473" s="60" t="n"/>
      <c r="AF473" s="60" t="n"/>
      <c r="AG473" s="60" t="n"/>
      <c r="AH473" s="60" t="n"/>
      <c r="AI473" s="60" t="n"/>
      <c r="AJ473" s="60" t="n"/>
      <c r="AK473" s="120">
        <f>IF(L473&gt;0,L473*90.44,0)+IF(M473&gt;0,M473*348.12,0)+IF(N473&gt;0,N473*151.63,0)+IF(O473&gt;0,O473*197.82,0)+IF(P473&gt;0,P473*244.09,0)+IF(Q473&gt;0,Q473*315.35,0)+IF(R473&gt;0,R473*1067.3,0)+IF(T473&gt;0,T473*567.47,0)+IF(U473&gt;0,U473*151.63,0)+IF(V473&gt;0,V473*197.84,0)+IF(W473&gt;0,W473*470.51,0)+IF(X473&gt;0,X473*701.69,0)+IF(Z473&gt;0,Z473*151.63,0)+IF(AA473&gt;0,AA473*197.84)+IF(AB473&gt;0,AB473*308.4,0)+IF(AC473&gt;0,AC473*496.16,0)</f>
        <v/>
      </c>
    </row>
    <row r="474">
      <c r="A474" s="58" t="inlineStr">
        <is>
          <t>SIM</t>
        </is>
      </c>
      <c r="B474" s="59">
        <f>IF(H474&lt;$B$1,"VENCIDO","NA VALIDADE")</f>
        <v/>
      </c>
      <c r="C474" s="60" t="inlineStr">
        <is>
          <t>UTD</t>
        </is>
      </c>
      <c r="D474" s="61" t="inlineStr">
        <is>
          <t>UTD ALAGOINHAS</t>
        </is>
      </c>
      <c r="E474" s="62" t="inlineStr">
        <is>
          <t>ALAGOINHAS</t>
        </is>
      </c>
      <c r="F474" s="61" t="inlineStr">
        <is>
          <t>FEIRA DE  SANTANA</t>
        </is>
      </c>
      <c r="G474" s="60" t="inlineStr">
        <is>
          <t>BA</t>
        </is>
      </c>
      <c r="H474" s="119" t="n">
        <v>45474</v>
      </c>
      <c r="I474" s="119">
        <f>H474-180</f>
        <v/>
      </c>
      <c r="J474" s="60">
        <f>SUM(L474:AE474)</f>
        <v/>
      </c>
      <c r="K474" s="60">
        <f>SUM(AF474:AJ474)</f>
        <v/>
      </c>
      <c r="L474" s="60" t="n"/>
      <c r="M474" s="60" t="n"/>
      <c r="N474" s="60" t="n"/>
      <c r="O474" s="60" t="n"/>
      <c r="P474" s="60" t="n"/>
      <c r="Q474" s="60" t="n"/>
      <c r="R474" s="60" t="n"/>
      <c r="S474" s="60" t="n"/>
      <c r="T474" s="60" t="n"/>
      <c r="U474" s="60" t="n"/>
      <c r="V474" s="60" t="n">
        <v>8</v>
      </c>
      <c r="W474" s="60" t="n"/>
      <c r="X474" s="60" t="n"/>
      <c r="Y474" s="60" t="n">
        <v>1</v>
      </c>
      <c r="Z474" s="60" t="n"/>
      <c r="AA474" s="60" t="n">
        <v>5</v>
      </c>
      <c r="AB474" s="60" t="n"/>
      <c r="AC474" s="60" t="n"/>
      <c r="AD474" s="60" t="n"/>
      <c r="AE474" s="60" t="n"/>
      <c r="AF474" s="60" t="n">
        <v>8</v>
      </c>
      <c r="AG474" s="60" t="n"/>
      <c r="AH474" s="60" t="n"/>
      <c r="AI474" s="60" t="n"/>
      <c r="AJ474" s="60" t="n"/>
      <c r="AK474" s="120">
        <f>IF(L474&gt;0,L474*90.44,0)+IF(M474&gt;0,M474*348.12,0)+IF(N474&gt;0,N474*151.63,0)+IF(O474&gt;0,O474*197.82,0)+IF(P474&gt;0,P474*244.09,0)+IF(Q474&gt;0,Q474*315.35,0)+IF(R474&gt;0,R474*1067.3,0)+IF(T474&gt;0,T474*567.47,0)+IF(U474&gt;0,U474*151.63,0)+IF(V474&gt;0,V474*197.84,0)+IF(W474&gt;0,W474*470.51,0)+IF(X474&gt;0,X474*701.69,0)+IF(Z474&gt;0,Z474*151.63,0)+IF(AA474&gt;0,AA474*197.84)+IF(AB474&gt;0,AB474*308.4,0)+IF(AC474&gt;0,AC474*496.16,0)</f>
        <v/>
      </c>
    </row>
    <row r="475" hidden="1">
      <c r="A475" s="58" t="inlineStr">
        <is>
          <t>rota</t>
        </is>
      </c>
      <c r="B475" s="59">
        <f>IF(H475&lt;$B$1,"VENCIDO","NA VALIDADE")</f>
        <v/>
      </c>
      <c r="C475" s="60" t="inlineStr">
        <is>
          <t>UTD</t>
        </is>
      </c>
      <c r="D475" s="61" t="inlineStr">
        <is>
          <t>UTD BARREIRAS</t>
        </is>
      </c>
      <c r="E475" s="62" t="inlineStr">
        <is>
          <t>BARREIRAS</t>
        </is>
      </c>
      <c r="F475" s="61" t="inlineStr">
        <is>
          <t>VITÓRIA DA CONQUISTA</t>
        </is>
      </c>
      <c r="G475" s="60" t="inlineStr">
        <is>
          <t>BA</t>
        </is>
      </c>
      <c r="H475" s="119" t="n">
        <v>45566</v>
      </c>
      <c r="I475" s="119" t="n">
        <v>45566</v>
      </c>
      <c r="J475" s="60">
        <f>SUM(L475:AE475)</f>
        <v/>
      </c>
      <c r="K475" s="60">
        <f>SUM(AF475:AJ475)</f>
        <v/>
      </c>
      <c r="L475" s="60" t="n">
        <v>2</v>
      </c>
      <c r="M475" s="60" t="n"/>
      <c r="N475" s="60" t="n"/>
      <c r="O475" s="60" t="n">
        <v>4</v>
      </c>
      <c r="P475" s="60" t="n">
        <v>1</v>
      </c>
      <c r="Q475" s="60" t="n">
        <v>5</v>
      </c>
      <c r="R475" s="60" t="n"/>
      <c r="S475" s="60" t="n"/>
      <c r="T475" s="60" t="n"/>
      <c r="U475" s="60" t="n"/>
      <c r="V475" s="60" t="n">
        <v>1</v>
      </c>
      <c r="W475" s="60" t="n"/>
      <c r="X475" s="60" t="n"/>
      <c r="Y475" s="60" t="n"/>
      <c r="Z475" s="60" t="n"/>
      <c r="AA475" s="60" t="n">
        <v>5</v>
      </c>
      <c r="AB475" s="60" t="n">
        <v>1</v>
      </c>
      <c r="AC475" s="60" t="n"/>
      <c r="AD475" s="60" t="n"/>
      <c r="AE475" s="60" t="n"/>
      <c r="AF475" s="60" t="n"/>
      <c r="AG475" s="60" t="n"/>
      <c r="AH475" s="60" t="n"/>
      <c r="AI475" s="60" t="n"/>
      <c r="AJ475" s="60" t="n"/>
      <c r="AK475" s="120">
        <f>IF(L475&gt;0,L475*90.44,0)+IF(M475&gt;0,M475*348.12,0)+IF(N475&gt;0,N475*151.63,0)+IF(O475&gt;0,O475*197.82,0)+IF(P475&gt;0,P475*244.09,0)+IF(Q475&gt;0,Q475*315.35,0)+IF(R475&gt;0,R475*1067.3,0)+IF(T475&gt;0,T475*567.47,0)+IF(U475&gt;0,U475*151.63,0)+IF(V475&gt;0,V475*197.84,0)+IF(W475&gt;0,W475*470.51,0)+IF(X475&gt;0,X475*701.69,0)+IF(Z475&gt;0,Z475*151.63,0)+IF(AA475&gt;0,AA475*197.84)+IF(AB475&gt;0,AB475*308.4,0)+IF(AC475&gt;0,AC475*496.16,0)</f>
        <v/>
      </c>
    </row>
    <row r="476" hidden="1">
      <c r="A476" s="58" t="inlineStr">
        <is>
          <t>VITÓRIA 06/12</t>
        </is>
      </c>
      <c r="B476" s="59">
        <f>IF(H476&lt;$B$1,"VENCIDO","NA VALIDADE")</f>
        <v/>
      </c>
      <c r="C476" s="60" t="inlineStr">
        <is>
          <t>UTD</t>
        </is>
      </c>
      <c r="D476" s="61" t="inlineStr">
        <is>
          <t>UTD BOM JESUS DA LAPA</t>
        </is>
      </c>
      <c r="E476" s="62" t="inlineStr">
        <is>
          <t xml:space="preserve">BOM JESUS DA LAPA </t>
        </is>
      </c>
      <c r="F476" s="61" t="inlineStr">
        <is>
          <t>VITÓRIA DA CONQUISTA</t>
        </is>
      </c>
      <c r="G476" s="60" t="inlineStr">
        <is>
          <t>BA</t>
        </is>
      </c>
      <c r="H476" s="119" t="n">
        <v>45323</v>
      </c>
      <c r="I476" s="119" t="n">
        <v>45323</v>
      </c>
      <c r="J476" s="60">
        <f>SUM(L476:AE476)</f>
        <v/>
      </c>
      <c r="K476" s="60">
        <f>SUM(AF476:AJ476)</f>
        <v/>
      </c>
      <c r="L476" s="60" t="n">
        <v>2</v>
      </c>
      <c r="M476" s="60" t="n"/>
      <c r="N476" s="60" t="n"/>
      <c r="O476" s="60" t="n"/>
      <c r="P476" s="60" t="n"/>
      <c r="Q476" s="60" t="n">
        <v>1</v>
      </c>
      <c r="R476" s="60" t="n"/>
      <c r="S476" s="60" t="n"/>
      <c r="T476" s="60" t="n"/>
      <c r="U476" s="60" t="n"/>
      <c r="V476" s="60" t="n">
        <v>7</v>
      </c>
      <c r="W476" s="60" t="n"/>
      <c r="X476" s="60" t="n"/>
      <c r="Y476" s="60" t="n"/>
      <c r="Z476" s="60" t="n"/>
      <c r="AA476" s="60" t="n">
        <v>1</v>
      </c>
      <c r="AB476" s="60" t="n"/>
      <c r="AC476" s="60" t="n"/>
      <c r="AD476" s="60" t="n"/>
      <c r="AE476" s="60" t="n"/>
      <c r="AF476" s="60" t="n">
        <v>8</v>
      </c>
      <c r="AG476" s="60" t="n"/>
      <c r="AH476" s="60" t="n"/>
      <c r="AI476" s="60" t="n"/>
      <c r="AJ476" s="60" t="n"/>
      <c r="AK476" s="120">
        <f>IF(L476&gt;0,L476*90.44,0)+IF(M476&gt;0,M476*348.12,0)+IF(N476&gt;0,N476*151.63,0)+IF(O476&gt;0,O476*197.82,0)+IF(P476&gt;0,P476*244.09,0)+IF(Q476&gt;0,Q476*315.35,0)+IF(R476&gt;0,R476*1067.3,0)+IF(T476&gt;0,T476*567.47,0)+IF(U476&gt;0,U476*151.63,0)+IF(V476&gt;0,V476*197.84,0)+IF(W476&gt;0,W476*470.51,0)+IF(X476&gt;0,X476*701.69,0)+IF(Z476&gt;0,Z476*151.63,0)+IF(AA476&gt;0,AA476*197.84)+IF(AB476&gt;0,AB476*308.4,0)+IF(AC476&gt;0,AC476*496.16,0)</f>
        <v/>
      </c>
    </row>
    <row r="477" hidden="1">
      <c r="A477" s="58" t="inlineStr">
        <is>
          <t>FEIRA 06/12</t>
        </is>
      </c>
      <c r="B477" s="59">
        <f>IF(H477&lt;$B$1,"VENCIDO","NA VALIDADE")</f>
        <v/>
      </c>
      <c r="C477" s="60" t="inlineStr">
        <is>
          <t>UTD</t>
        </is>
      </c>
      <c r="D477" s="61" t="inlineStr">
        <is>
          <t>UTD BRUMADO</t>
        </is>
      </c>
      <c r="E477" s="62" t="inlineStr">
        <is>
          <t>BRUMADO</t>
        </is>
      </c>
      <c r="F477" s="61" t="inlineStr">
        <is>
          <t>VITÓRIA DA CONQUISTA</t>
        </is>
      </c>
      <c r="G477" s="60" t="inlineStr">
        <is>
          <t>BA</t>
        </is>
      </c>
      <c r="H477" s="119" t="n">
        <v>45383</v>
      </c>
      <c r="I477" s="119" t="n">
        <v>45383</v>
      </c>
      <c r="J477" s="60">
        <f>SUM(L477:AE477)</f>
        <v/>
      </c>
      <c r="K477" s="60">
        <f>SUM(AF477:AJ477)</f>
        <v/>
      </c>
      <c r="L477" s="60" t="n">
        <v>1</v>
      </c>
      <c r="M477" s="60" t="n"/>
      <c r="N477" s="60" t="n"/>
      <c r="O477" s="60" t="n"/>
      <c r="P477" s="60" t="n"/>
      <c r="Q477" s="60" t="n">
        <v>4</v>
      </c>
      <c r="R477" s="60" t="n"/>
      <c r="S477" s="60" t="n"/>
      <c r="T477" s="60" t="n"/>
      <c r="U477" s="60" t="n"/>
      <c r="V477" s="60" t="n"/>
      <c r="W477" s="60" t="n"/>
      <c r="X477" s="60" t="n"/>
      <c r="Y477" s="60" t="n"/>
      <c r="Z477" s="60" t="n"/>
      <c r="AA477" s="60" t="n">
        <v>2</v>
      </c>
      <c r="AB477" s="60" t="n"/>
      <c r="AC477" s="60" t="n"/>
      <c r="AD477" s="60" t="n"/>
      <c r="AE477" s="60" t="n"/>
      <c r="AF477" s="60" t="n"/>
      <c r="AG477" s="60" t="n"/>
      <c r="AH477" s="60" t="n"/>
      <c r="AI477" s="60" t="n"/>
      <c r="AJ477" s="60" t="n"/>
      <c r="AK477" s="120">
        <f>IF(L477&gt;0,L477*90.44,0)+IF(M477&gt;0,M477*348.12,0)+IF(N477&gt;0,N477*151.63,0)+IF(O477&gt;0,O477*197.82,0)+IF(P477&gt;0,P477*244.09,0)+IF(Q477&gt;0,Q477*315.35,0)+IF(R477&gt;0,R477*1067.3,0)+IF(T477&gt;0,T477*567.47,0)+IF(U477&gt;0,U477*151.63,0)+IF(V477&gt;0,V477*197.84,0)+IF(W477&gt;0,W477*470.51,0)+IF(X477&gt;0,X477*701.69,0)+IF(Z477&gt;0,Z477*151.63,0)+IF(AA477&gt;0,AA477*197.84)+IF(AB477&gt;0,AB477*308.4,0)+IF(AC477&gt;0,AC477*496.16,0)</f>
        <v/>
      </c>
    </row>
    <row r="478">
      <c r="A478" s="58" t="inlineStr">
        <is>
          <t>SIM</t>
        </is>
      </c>
      <c r="B478" s="59">
        <f>IF(H478&lt;$B$1,"VENCIDO","NA VALIDADE")</f>
        <v/>
      </c>
      <c r="C478" s="60" t="inlineStr">
        <is>
          <t>UTD</t>
        </is>
      </c>
      <c r="D478" s="61" t="inlineStr">
        <is>
          <t>UTD CAMAÇARI</t>
        </is>
      </c>
      <c r="E478" s="62" t="inlineStr">
        <is>
          <t>CAMAÇARI</t>
        </is>
      </c>
      <c r="F478" s="61" t="inlineStr">
        <is>
          <t>FEIRA DE  SANTANA</t>
        </is>
      </c>
      <c r="G478" s="60" t="inlineStr">
        <is>
          <t>BA</t>
        </is>
      </c>
      <c r="H478" s="119" t="n">
        <v>45536</v>
      </c>
      <c r="I478" s="119" t="n">
        <v>45017</v>
      </c>
      <c r="J478" s="60">
        <f>SUM(L478:AE478)</f>
        <v/>
      </c>
      <c r="K478" s="60">
        <f>SUM(AF478:AJ478)</f>
        <v/>
      </c>
      <c r="L478" s="60" t="n">
        <v>8</v>
      </c>
      <c r="M478" s="60" t="n"/>
      <c r="N478" s="60" t="n"/>
      <c r="O478" s="60" t="n"/>
      <c r="P478" s="60" t="n"/>
      <c r="Q478" s="60" t="n">
        <v>2</v>
      </c>
      <c r="R478" s="60" t="n"/>
      <c r="S478" s="60" t="n"/>
      <c r="T478" s="60" t="n"/>
      <c r="U478" s="60" t="n"/>
      <c r="V478" s="60" t="n"/>
      <c r="W478" s="60" t="n"/>
      <c r="X478" s="60" t="n"/>
      <c r="Y478" s="60" t="n"/>
      <c r="Z478" s="60" t="n"/>
      <c r="AA478" s="60" t="n">
        <v>5</v>
      </c>
      <c r="AB478" s="60" t="n"/>
      <c r="AC478" s="60" t="n"/>
      <c r="AD478" s="60" t="n"/>
      <c r="AE478" s="60" t="n"/>
      <c r="AF478" s="60" t="n"/>
      <c r="AG478" s="60" t="n"/>
      <c r="AH478" s="60" t="n"/>
      <c r="AI478" s="60" t="n"/>
      <c r="AJ478" s="60" t="n"/>
      <c r="AK478" s="120">
        <f>IF(L478&gt;0,L478*90.44,0)+IF(M478&gt;0,M478*348.12,0)+IF(N478&gt;0,N478*151.63,0)+IF(O478&gt;0,O478*197.82,0)+IF(P478&gt;0,P478*244.09,0)+IF(Q478&gt;0,Q478*315.35,0)+IF(R478&gt;0,R478*1067.3,0)+IF(T478&gt;0,T478*567.47,0)+IF(U478&gt;0,U478*151.63,0)+IF(V478&gt;0,V478*197.84,0)+IF(W478&gt;0,W478*470.51,0)+IF(X478&gt;0,X478*701.69,0)+IF(Z478&gt;0,Z478*151.63,0)+IF(AA478&gt;0,AA478*197.84)+IF(AB478&gt;0,AB478*308.4,0)+IF(AC478&gt;0,AC478*496.16,0)</f>
        <v/>
      </c>
    </row>
    <row r="479">
      <c r="A479" s="58" t="inlineStr">
        <is>
          <t>SIM</t>
        </is>
      </c>
      <c r="B479" s="59">
        <f>IF(H479&lt;$B$1,"VENCIDO","NA VALIDADE")</f>
        <v/>
      </c>
      <c r="C479" s="60" t="inlineStr">
        <is>
          <t>UTD</t>
        </is>
      </c>
      <c r="D479" s="61" t="inlineStr">
        <is>
          <t>UTD CONCEIÇÃO COITE</t>
        </is>
      </c>
      <c r="E479" s="62" t="inlineStr">
        <is>
          <t>CONCEIÇÃO COITE</t>
        </is>
      </c>
      <c r="F479" s="61" t="inlineStr">
        <is>
          <t>FEIRA DE  SANTANA</t>
        </is>
      </c>
      <c r="G479" s="60" t="inlineStr">
        <is>
          <t>BA</t>
        </is>
      </c>
      <c r="H479" s="119" t="n">
        <v>45292</v>
      </c>
      <c r="I479" s="119">
        <f>H479-180</f>
        <v/>
      </c>
      <c r="J479" s="60">
        <f>SUM(L479:AE479)</f>
        <v/>
      </c>
      <c r="K479" s="60">
        <f>SUM(AF479:AJ479)</f>
        <v/>
      </c>
      <c r="L479" s="60" t="n"/>
      <c r="M479" s="60" t="n"/>
      <c r="N479" s="60" t="n"/>
      <c r="O479" s="60" t="n">
        <v>4</v>
      </c>
      <c r="P479" s="60" t="n"/>
      <c r="Q479" s="60" t="n"/>
      <c r="R479" s="60" t="n"/>
      <c r="S479" s="60" t="n"/>
      <c r="T479" s="60" t="n"/>
      <c r="U479" s="60" t="n"/>
      <c r="V479" s="60" t="n"/>
      <c r="W479" s="60" t="n"/>
      <c r="X479" s="60" t="n"/>
      <c r="Y479" s="60" t="n"/>
      <c r="Z479" s="60" t="n"/>
      <c r="AA479" s="60" t="n"/>
      <c r="AB479" s="60" t="n"/>
      <c r="AC479" s="60" t="n"/>
      <c r="AD479" s="60" t="n"/>
      <c r="AE479" s="60" t="n"/>
      <c r="AF479" s="60" t="n"/>
      <c r="AG479" s="60" t="n"/>
      <c r="AH479" s="60" t="n"/>
      <c r="AI479" s="60" t="n"/>
      <c r="AJ479" s="60" t="n"/>
      <c r="AK479" s="120">
        <f>IF(L479&gt;0,L479*90.44,0)+IF(M479&gt;0,M479*348.12,0)+IF(N479&gt;0,N479*151.63,0)+IF(O479&gt;0,O479*197.82,0)+IF(P479&gt;0,P479*244.09,0)+IF(Q479&gt;0,Q479*315.35,0)+IF(R479&gt;0,R479*1067.3,0)+IF(T479&gt;0,T479*567.47,0)+IF(U479&gt;0,U479*151.63,0)+IF(V479&gt;0,V479*197.84,0)+IF(W479&gt;0,W479*470.51,0)+IF(X479&gt;0,X479*701.69,0)+IF(Z479&gt;0,Z479*151.63,0)+IF(AA479&gt;0,AA479*197.84)+IF(AB479&gt;0,AB479*308.4,0)+IF(AC479&gt;0,AC479*496.16,0)</f>
        <v/>
      </c>
    </row>
    <row r="480">
      <c r="A480" s="58" t="n"/>
      <c r="B480" s="59">
        <f>IF(H480&lt;$B$1,"VENCIDO","NA VALIDADE")</f>
        <v/>
      </c>
      <c r="C480" s="60" t="inlineStr">
        <is>
          <t>UTD</t>
        </is>
      </c>
      <c r="D480" s="61" t="inlineStr">
        <is>
          <t>UTD ESPLANADA</t>
        </is>
      </c>
      <c r="E480" s="62" t="inlineStr">
        <is>
          <t>ESPLANADA</t>
        </is>
      </c>
      <c r="F480" s="61" t="inlineStr">
        <is>
          <t>FEIRA DE  SANTANA</t>
        </is>
      </c>
      <c r="G480" s="60" t="inlineStr">
        <is>
          <t>BA</t>
        </is>
      </c>
      <c r="H480" s="119" t="n">
        <v>45536</v>
      </c>
      <c r="I480" s="119">
        <f>H480-180</f>
        <v/>
      </c>
      <c r="J480" s="60">
        <f>SUM(L480:AE480)</f>
        <v/>
      </c>
      <c r="K480" s="60">
        <f>SUM(AF480:AJ480)</f>
        <v/>
      </c>
      <c r="L480" s="60" t="n"/>
      <c r="M480" s="60" t="n"/>
      <c r="N480" s="60" t="n"/>
      <c r="O480" s="60" t="n"/>
      <c r="P480" s="60" t="n"/>
      <c r="Q480" s="60" t="n">
        <v>1</v>
      </c>
      <c r="R480" s="60" t="n"/>
      <c r="S480" s="60" t="n"/>
      <c r="T480" s="60" t="n"/>
      <c r="U480" s="60" t="n"/>
      <c r="V480" s="60" t="n">
        <v>4</v>
      </c>
      <c r="W480" s="60" t="n"/>
      <c r="X480" s="60" t="n"/>
      <c r="Y480" s="60" t="n"/>
      <c r="Z480" s="60" t="n"/>
      <c r="AA480" s="60" t="n"/>
      <c r="AB480" s="60" t="n"/>
      <c r="AC480" s="60" t="n"/>
      <c r="AD480" s="60" t="n"/>
      <c r="AE480" s="60" t="n"/>
      <c r="AF480" s="60" t="n"/>
      <c r="AG480" s="60" t="n"/>
      <c r="AH480" s="60" t="n"/>
      <c r="AI480" s="60" t="n"/>
      <c r="AJ480" s="60" t="n"/>
      <c r="AK480" s="120">
        <f>IF(L480&gt;0,L480*90.44,0)+IF(M480&gt;0,M480*348.12,0)+IF(N480&gt;0,N480*151.63,0)+IF(O480&gt;0,O480*197.82,0)+IF(P480&gt;0,P480*244.09,0)+IF(Q480&gt;0,Q480*315.35,0)+IF(R480&gt;0,R480*1067.3,0)+IF(T480&gt;0,T480*567.47,0)+IF(U480&gt;0,U480*151.63,0)+IF(V480&gt;0,V480*197.84,0)+IF(W480&gt;0,W480*470.51,0)+IF(X480&gt;0,X480*701.69,0)+IF(Z480&gt;0,Z480*151.63,0)+IF(AA480&gt;0,AA480*197.84)+IF(AB480&gt;0,AB480*308.4,0)+IF(AC480&gt;0,AC480*496.16,0)</f>
        <v/>
      </c>
    </row>
    <row r="481" hidden="1">
      <c r="A481" s="58" t="inlineStr">
        <is>
          <t>SIM</t>
        </is>
      </c>
      <c r="B481" s="59">
        <f>IF(H481&lt;$B$1,"VENCIDO","NA VALIDADE")</f>
        <v/>
      </c>
      <c r="C481" s="60" t="inlineStr">
        <is>
          <t>SUBESTAÇÃO</t>
        </is>
      </c>
      <c r="D481" s="61" t="inlineStr">
        <is>
          <t>SE IBIRAPUÃ</t>
        </is>
      </c>
      <c r="E481" s="62" t="inlineStr">
        <is>
          <t>IBIRAPUÃ</t>
        </is>
      </c>
      <c r="F481" s="61" t="inlineStr">
        <is>
          <t>ILHÉUS</t>
        </is>
      </c>
      <c r="G481" s="60" t="inlineStr">
        <is>
          <t>BA</t>
        </is>
      </c>
      <c r="H481" s="119" t="n">
        <v>45505</v>
      </c>
      <c r="I481" s="119">
        <f>H481-180</f>
        <v/>
      </c>
      <c r="J481" s="60">
        <f>SUM(L481:AE481)</f>
        <v/>
      </c>
      <c r="K481" s="60">
        <f>SUM(AF481:AJ481)</f>
        <v/>
      </c>
      <c r="L481" s="60" t="n"/>
      <c r="M481" s="60" t="n"/>
      <c r="N481" s="60" t="n"/>
      <c r="O481" s="60" t="n"/>
      <c r="P481" s="60" t="n"/>
      <c r="Q481" s="60" t="n">
        <v>2</v>
      </c>
      <c r="R481" s="60" t="n"/>
      <c r="S481" s="60" t="n"/>
      <c r="T481" s="60" t="n">
        <v>2</v>
      </c>
      <c r="U481" s="60" t="n"/>
      <c r="V481" s="60" t="n"/>
      <c r="W481" s="60" t="n"/>
      <c r="X481" s="60" t="n"/>
      <c r="Y481" s="60" t="n"/>
      <c r="Z481" s="60" t="n"/>
      <c r="AA481" s="60" t="n">
        <v>2</v>
      </c>
      <c r="AB481" s="60" t="n"/>
      <c r="AC481" s="60" t="n"/>
      <c r="AD481" s="60" t="n"/>
      <c r="AE481" s="60" t="n"/>
      <c r="AF481" s="60" t="n"/>
      <c r="AG481" s="60" t="n"/>
      <c r="AH481" s="60" t="n"/>
      <c r="AI481" s="60" t="n"/>
      <c r="AJ481" s="60" t="n"/>
      <c r="AK481" s="120">
        <f>IF(L481&gt;0,L481*90.44,0)+IF(M481&gt;0,M481*348.12,0)+IF(N481&gt;0,N481*151.63,0)+IF(O481&gt;0,O481*197.82,0)+IF(P481&gt;0,P481*244.09,0)+IF(Q481&gt;0,Q481*315.35,0)+IF(R481&gt;0,R481*1067.3,0)+IF(T481&gt;0,T481*567.47,0)+IF(U481&gt;0,U481*151.63,0)+IF(V481&gt;0,V481*197.84,0)+IF(W481&gt;0,W481*470.51,0)+IF(X481&gt;0,X481*701.69,0)+IF(Z481&gt;0,Z481*151.63,0)+IF(AA481&gt;0,AA481*197.84)+IF(AB481&gt;0,AB481*308.4,0)+IF(AC481&gt;0,AC481*496.16,0)</f>
        <v/>
      </c>
    </row>
    <row r="482" hidden="1">
      <c r="A482" s="58" t="inlineStr">
        <is>
          <t>SIM</t>
        </is>
      </c>
      <c r="B482" s="59">
        <f>IF(H482&lt;$B$1,"VENCIDO","NA VALIDADE")</f>
        <v/>
      </c>
      <c r="C482" s="60" t="inlineStr">
        <is>
          <t>BASE OP</t>
        </is>
      </c>
      <c r="D482" s="61" t="inlineStr">
        <is>
          <t>BASE OPERACIONAL IBIRAPUÃ</t>
        </is>
      </c>
      <c r="E482" s="62" t="inlineStr">
        <is>
          <t>IBIRAPUÃ</t>
        </is>
      </c>
      <c r="F482" s="61" t="inlineStr">
        <is>
          <t>ILHÉUS</t>
        </is>
      </c>
      <c r="G482" s="60" t="inlineStr">
        <is>
          <t>BA</t>
        </is>
      </c>
      <c r="H482" s="119" t="n">
        <v>45505</v>
      </c>
      <c r="I482" s="119">
        <f>H482-180</f>
        <v/>
      </c>
      <c r="J482" s="60">
        <f>SUM(L482:AE482)</f>
        <v/>
      </c>
      <c r="K482" s="60">
        <f>SUM(AF482:AJ482)</f>
        <v/>
      </c>
      <c r="L482" s="60" t="n"/>
      <c r="M482" s="60" t="n"/>
      <c r="N482" s="60" t="n"/>
      <c r="O482" s="60" t="n"/>
      <c r="P482" s="60" t="n"/>
      <c r="Q482" s="60" t="n">
        <v>2</v>
      </c>
      <c r="R482" s="60" t="n"/>
      <c r="S482" s="60" t="n"/>
      <c r="T482" s="60" t="n"/>
      <c r="U482" s="60" t="n"/>
      <c r="V482" s="60" t="n"/>
      <c r="W482" s="60" t="n"/>
      <c r="X482" s="60" t="n"/>
      <c r="Y482" s="60" t="n"/>
      <c r="Z482" s="60" t="n"/>
      <c r="AA482" s="60" t="n"/>
      <c r="AB482" s="60" t="n"/>
      <c r="AC482" s="60" t="n"/>
      <c r="AD482" s="60" t="n"/>
      <c r="AE482" s="60" t="n"/>
      <c r="AF482" s="60" t="n"/>
      <c r="AG482" s="60" t="n"/>
      <c r="AH482" s="60" t="n"/>
      <c r="AI482" s="60" t="n"/>
      <c r="AJ482" s="60" t="n"/>
      <c r="AK482" s="120">
        <f>IF(L482&gt;0,L482*90.44,0)+IF(M482&gt;0,M482*348.12,0)+IF(N482&gt;0,N482*151.63,0)+IF(O482&gt;0,O482*197.82,0)+IF(P482&gt;0,P482*244.09,0)+IF(Q482&gt;0,Q482*315.35,0)+IF(R482&gt;0,R482*1067.3,0)+IF(T482&gt;0,T482*567.47,0)+IF(U482&gt;0,U482*151.63,0)+IF(V482&gt;0,V482*197.84,0)+IF(W482&gt;0,W482*470.51,0)+IF(X482&gt;0,X482*701.69,0)+IF(Z482&gt;0,Z482*151.63,0)+IF(AA482&gt;0,AA482*197.84)+IF(AB482&gt;0,AB482*308.4,0)+IF(AC482&gt;0,AC482*496.16,0)</f>
        <v/>
      </c>
    </row>
    <row r="483" hidden="1">
      <c r="A483" s="58" t="inlineStr">
        <is>
          <t>SIM</t>
        </is>
      </c>
      <c r="B483" s="59">
        <f>IF(H483&lt;$B$1,"VENCIDO","NA VALIDADE")</f>
        <v/>
      </c>
      <c r="C483" s="60" t="inlineStr">
        <is>
          <t>BASE OP</t>
        </is>
      </c>
      <c r="D483" s="61" t="inlineStr">
        <is>
          <t>BASE OPERACIONAL MEDEIROS NETO</t>
        </is>
      </c>
      <c r="E483" s="62" t="inlineStr">
        <is>
          <t>MEDEIROS NETO</t>
        </is>
      </c>
      <c r="F483" s="61" t="inlineStr">
        <is>
          <t>ILHÉUS</t>
        </is>
      </c>
      <c r="G483" s="60" t="inlineStr">
        <is>
          <t>BA</t>
        </is>
      </c>
      <c r="H483" s="119" t="n">
        <v>45413</v>
      </c>
      <c r="I483" s="119">
        <f>H483-180</f>
        <v/>
      </c>
      <c r="J483" s="60">
        <f>SUM(L483:AE483)</f>
        <v/>
      </c>
      <c r="K483" s="60">
        <f>SUM(AF483:AJ483)</f>
        <v/>
      </c>
      <c r="L483" s="60" t="n">
        <v>1</v>
      </c>
      <c r="M483" s="60" t="n"/>
      <c r="N483" s="60" t="n"/>
      <c r="O483" s="60" t="n"/>
      <c r="P483" s="60" t="n"/>
      <c r="Q483" s="60" t="n">
        <v>1</v>
      </c>
      <c r="R483" s="60" t="n"/>
      <c r="S483" s="60" t="n"/>
      <c r="T483" s="60" t="n"/>
      <c r="U483" s="60" t="n"/>
      <c r="V483" s="60" t="n"/>
      <c r="W483" s="60" t="n"/>
      <c r="X483" s="60" t="n"/>
      <c r="Y483" s="60" t="n"/>
      <c r="Z483" s="60" t="n"/>
      <c r="AA483" s="60" t="n"/>
      <c r="AB483" s="60" t="n"/>
      <c r="AC483" s="60" t="n"/>
      <c r="AD483" s="60" t="n"/>
      <c r="AE483" s="60" t="n"/>
      <c r="AF483" s="60" t="n"/>
      <c r="AG483" s="60" t="n"/>
      <c r="AH483" s="60" t="n"/>
      <c r="AI483" s="60" t="n"/>
      <c r="AJ483" s="60" t="n"/>
      <c r="AK483" s="120">
        <f>IF(L483&gt;0,L483*90.44,0)+IF(M483&gt;0,M483*348.12,0)+IF(N483&gt;0,N483*151.63,0)+IF(O483&gt;0,O483*197.82,0)+IF(P483&gt;0,P483*244.09,0)+IF(Q483&gt;0,Q483*315.35,0)+IF(R483&gt;0,R483*1067.3,0)+IF(T483&gt;0,T483*567.47,0)+IF(U483&gt;0,U483*151.63,0)+IF(V483&gt;0,V483*197.84,0)+IF(W483&gt;0,W483*470.51,0)+IF(X483&gt;0,X483*701.69,0)+IF(Z483&gt;0,Z483*151.63,0)+IF(AA483&gt;0,AA483*197.84)+IF(AB483&gt;0,AB483*308.4,0)+IF(AC483&gt;0,AC483*496.16,0)</f>
        <v/>
      </c>
    </row>
    <row r="484">
      <c r="A484" s="58" t="inlineStr">
        <is>
          <t>rota</t>
        </is>
      </c>
      <c r="B484" s="59">
        <f>IF(H484&lt;$B$1,"VENCIDO","NA VALIDADE")</f>
        <v/>
      </c>
      <c r="C484" s="60" t="inlineStr">
        <is>
          <t>UTD</t>
        </is>
      </c>
      <c r="D484" s="61" t="inlineStr">
        <is>
          <t>UTD FEIRA NORTE</t>
        </is>
      </c>
      <c r="E484" s="62" t="inlineStr">
        <is>
          <t>FEIRA DE SANTANA</t>
        </is>
      </c>
      <c r="F484" s="61" t="inlineStr">
        <is>
          <t>FEIRA DE  SANTANA</t>
        </is>
      </c>
      <c r="G484" s="60" t="inlineStr">
        <is>
          <t>BA</t>
        </is>
      </c>
      <c r="H484" s="119" t="n">
        <v>45474</v>
      </c>
      <c r="I484" s="119">
        <f>H484-180</f>
        <v/>
      </c>
      <c r="J484" s="60">
        <f>SUM(L484:AE484)</f>
        <v/>
      </c>
      <c r="K484" s="60">
        <f>SUM(AF484:AJ484)</f>
        <v/>
      </c>
      <c r="L484" s="60" t="n">
        <v>3</v>
      </c>
      <c r="M484" s="60" t="n"/>
      <c r="N484" s="60" t="n"/>
      <c r="O484" s="60" t="n">
        <v>3</v>
      </c>
      <c r="P484" s="60" t="n"/>
      <c r="Q484" s="60" t="n">
        <v>3</v>
      </c>
      <c r="R484" s="60" t="n"/>
      <c r="S484" s="60" t="n"/>
      <c r="T484" s="60" t="n"/>
      <c r="U484" s="60" t="n"/>
      <c r="V484" s="60" t="n">
        <v>3</v>
      </c>
      <c r="W484" s="60" t="n"/>
      <c r="X484" s="60" t="n"/>
      <c r="Y484" s="60" t="n"/>
      <c r="Z484" s="60" t="n"/>
      <c r="AA484" s="60" t="n">
        <v>11</v>
      </c>
      <c r="AB484" s="60" t="n"/>
      <c r="AC484" s="60" t="n"/>
      <c r="AD484" s="60" t="n"/>
      <c r="AE484" s="60" t="n"/>
      <c r="AF484" s="60" t="n"/>
      <c r="AG484" s="60" t="n"/>
      <c r="AH484" s="60" t="n"/>
      <c r="AI484" s="60" t="n"/>
      <c r="AJ484" s="60" t="n"/>
      <c r="AK484" s="120">
        <f>IF(L484&gt;0,L484*90.44,0)+IF(M484&gt;0,M484*348.12,0)+IF(N484&gt;0,N484*151.63,0)+IF(O484&gt;0,O484*197.82,0)+IF(P484&gt;0,P484*244.09,0)+IF(Q484&gt;0,Q484*315.35,0)+IF(R484&gt;0,R484*1067.3,0)+IF(T484&gt;0,T484*567.47,0)+IF(U484&gt;0,U484*151.63,0)+IF(V484&gt;0,V484*197.84,0)+IF(W484&gt;0,W484*470.51,0)+IF(X484&gt;0,X484*701.69,0)+IF(Z484&gt;0,Z484*151.63,0)+IF(AA484&gt;0,AA484*197.84)+IF(AB484&gt;0,AB484*308.4,0)+IF(AC484&gt;0,AC484*496.16,0)</f>
        <v/>
      </c>
    </row>
    <row r="485">
      <c r="A485" s="58" t="inlineStr">
        <is>
          <t>FEIRA 06/12</t>
        </is>
      </c>
      <c r="B485" s="59">
        <f>IF(H485&lt;$B$1,"VENCIDO","NA VALIDADE")</f>
        <v/>
      </c>
      <c r="C485" s="60" t="inlineStr">
        <is>
          <t>UTD</t>
        </is>
      </c>
      <c r="D485" s="61" t="inlineStr">
        <is>
          <t>UTD FEIRA SUL</t>
        </is>
      </c>
      <c r="E485" s="62" t="inlineStr">
        <is>
          <t>FEIRA DE SANTANA</t>
        </is>
      </c>
      <c r="F485" s="61" t="inlineStr">
        <is>
          <t>FEIRA DE  SANTANA</t>
        </is>
      </c>
      <c r="G485" s="60" t="inlineStr">
        <is>
          <t>BA</t>
        </is>
      </c>
      <c r="H485" s="119" t="n">
        <v>45444</v>
      </c>
      <c r="I485" s="119">
        <f>H485-180</f>
        <v/>
      </c>
      <c r="J485" s="60">
        <f>SUM(L485:AE485)</f>
        <v/>
      </c>
      <c r="K485" s="60">
        <f>SUM(AF485:AJ485)</f>
        <v/>
      </c>
      <c r="L485" s="60" t="n"/>
      <c r="M485" s="60" t="n"/>
      <c r="N485" s="60" t="n"/>
      <c r="O485" s="60" t="n">
        <v>2</v>
      </c>
      <c r="P485" s="60" t="n">
        <v>1</v>
      </c>
      <c r="Q485" s="60" t="n"/>
      <c r="R485" s="60" t="n"/>
      <c r="S485" s="60" t="n"/>
      <c r="T485" s="60" t="n"/>
      <c r="U485" s="60" t="n"/>
      <c r="V485" s="60" t="n">
        <v>9</v>
      </c>
      <c r="W485" s="60" t="n"/>
      <c r="X485" s="60" t="n"/>
      <c r="Y485" s="60" t="n"/>
      <c r="Z485" s="60" t="n"/>
      <c r="AA485" s="60" t="n"/>
      <c r="AB485" s="60" t="n"/>
      <c r="AC485" s="60" t="n"/>
      <c r="AD485" s="60" t="n"/>
      <c r="AE485" s="60" t="n"/>
      <c r="AF485" s="60" t="n"/>
      <c r="AG485" s="60" t="n"/>
      <c r="AH485" s="60" t="n"/>
      <c r="AI485" s="60" t="n"/>
      <c r="AJ485" s="60" t="n"/>
      <c r="AK485" s="120">
        <f>IF(L485&gt;0,L485*90.44,0)+IF(M485&gt;0,M485*348.12,0)+IF(N485&gt;0,N485*151.63,0)+IF(O485&gt;0,O485*197.82,0)+IF(P485&gt;0,P485*244.09,0)+IF(Q485&gt;0,Q485*315.35,0)+IF(R485&gt;0,R485*1067.3,0)+IF(T485&gt;0,T485*567.47,0)+IF(U485&gt;0,U485*151.63,0)+IF(V485&gt;0,V485*197.84,0)+IF(W485&gt;0,W485*470.51,0)+IF(X485&gt;0,X485*701.69,0)+IF(Z485&gt;0,Z485*151.63,0)+IF(AA485&gt;0,AA485*197.84)+IF(AB485&gt;0,AB485*308.4,0)+IF(AC485&gt;0,AC485*496.16,0)</f>
        <v/>
      </c>
    </row>
    <row r="486" hidden="1">
      <c r="A486" s="58" t="inlineStr">
        <is>
          <t>SIM</t>
        </is>
      </c>
      <c r="B486" s="59">
        <f>IF(H486&lt;$B$1,"VENCIDO","NA VALIDADE")</f>
        <v/>
      </c>
      <c r="C486" s="60" t="inlineStr">
        <is>
          <t>UTD</t>
        </is>
      </c>
      <c r="D486" s="61" t="inlineStr">
        <is>
          <t>UTD GUANAMBI</t>
        </is>
      </c>
      <c r="E486" s="62" t="inlineStr">
        <is>
          <t>GUANAMBI</t>
        </is>
      </c>
      <c r="F486" s="61" t="inlineStr">
        <is>
          <t>VITÓRIA DA CONQUISTA</t>
        </is>
      </c>
      <c r="G486" s="60" t="inlineStr">
        <is>
          <t>BA</t>
        </is>
      </c>
      <c r="H486" s="119" t="n">
        <v>45352</v>
      </c>
      <c r="I486" s="119">
        <f>H486-180</f>
        <v/>
      </c>
      <c r="J486" s="60">
        <f>SUM(L486:AE486)</f>
        <v/>
      </c>
      <c r="K486" s="60">
        <f>SUM(AF486:AJ486)</f>
        <v/>
      </c>
      <c r="L486" s="60" t="n"/>
      <c r="M486" s="60" t="n"/>
      <c r="N486" s="60" t="n"/>
      <c r="O486" s="60" t="n"/>
      <c r="P486" s="60" t="n"/>
      <c r="Q486" s="60" t="n"/>
      <c r="R486" s="60" t="n"/>
      <c r="S486" s="60" t="n"/>
      <c r="T486" s="60" t="n"/>
      <c r="U486" s="60" t="n"/>
      <c r="V486" s="60" t="n">
        <v>11</v>
      </c>
      <c r="W486" s="60" t="n"/>
      <c r="X486" s="60" t="n"/>
      <c r="Y486" s="60" t="n"/>
      <c r="Z486" s="60" t="n"/>
      <c r="AA486" s="60" t="n"/>
      <c r="AB486" s="60" t="n"/>
      <c r="AC486" s="60" t="n"/>
      <c r="AD486" s="60" t="n"/>
      <c r="AE486" s="60" t="n"/>
      <c r="AF486" s="60" t="n"/>
      <c r="AG486" s="60" t="n"/>
      <c r="AH486" s="60" t="n"/>
      <c r="AI486" s="60" t="n"/>
      <c r="AJ486" s="60" t="n"/>
      <c r="AK486" s="120">
        <f>IF(L486&gt;0,L486*90.44,0)+IF(M486&gt;0,M486*348.12,0)+IF(N486&gt;0,N486*151.63,0)+IF(O486&gt;0,O486*197.82,0)+IF(P486&gt;0,P486*244.09,0)+IF(Q486&gt;0,Q486*315.35,0)+IF(R486&gt;0,R486*1067.3,0)+IF(T486&gt;0,T486*567.47,0)+IF(U486&gt;0,U486*151.63,0)+IF(V486&gt;0,V486*197.84,0)+IF(W486&gt;0,W486*470.51,0)+IF(X486&gt;0,X486*701.69,0)+IF(Z486&gt;0,Z486*151.63,0)+IF(AA486&gt;0,AA486*197.84)+IF(AB486&gt;0,AB486*308.4,0)+IF(AC486&gt;0,AC486*496.16,0)</f>
        <v/>
      </c>
    </row>
    <row r="487">
      <c r="A487" s="58" t="inlineStr">
        <is>
          <t>rota</t>
        </is>
      </c>
      <c r="B487" s="59">
        <f>IF(H487&lt;$B$1,"VENCIDO","NA VALIDADE")</f>
        <v/>
      </c>
      <c r="C487" s="60" t="inlineStr">
        <is>
          <t>UTD</t>
        </is>
      </c>
      <c r="D487" s="61" t="inlineStr">
        <is>
          <t>UTD IBOTIRAMA</t>
        </is>
      </c>
      <c r="E487" s="62" t="inlineStr">
        <is>
          <t>IBOTIRAMA</t>
        </is>
      </c>
      <c r="F487" s="61" t="inlineStr">
        <is>
          <t>FEIRA DE  SANTANA</t>
        </is>
      </c>
      <c r="G487" s="60" t="inlineStr">
        <is>
          <t>BA</t>
        </is>
      </c>
      <c r="H487" s="119" t="n">
        <v>45566</v>
      </c>
      <c r="I487" s="119">
        <f>H487-180</f>
        <v/>
      </c>
      <c r="J487" s="60">
        <f>SUM(L487:AE487)</f>
        <v/>
      </c>
      <c r="K487" s="60">
        <f>SUM(AF487:AJ487)</f>
        <v/>
      </c>
      <c r="L487" s="60" t="n"/>
      <c r="M487" s="60" t="n"/>
      <c r="N487" s="60" t="n"/>
      <c r="O487" s="60" t="n"/>
      <c r="P487" s="60" t="n"/>
      <c r="Q487" s="60" t="n"/>
      <c r="R487" s="60" t="n"/>
      <c r="S487" s="60" t="n"/>
      <c r="T487" s="60" t="n"/>
      <c r="U487" s="60" t="n"/>
      <c r="V487" s="60" t="n">
        <v>4</v>
      </c>
      <c r="W487" s="60" t="n"/>
      <c r="X487" s="60" t="n"/>
      <c r="Y487" s="60" t="n"/>
      <c r="Z487" s="60" t="n"/>
      <c r="AA487" s="60" t="n">
        <v>1</v>
      </c>
      <c r="AB487" s="60" t="n"/>
      <c r="AC487" s="60" t="n"/>
      <c r="AD487" s="60" t="n"/>
      <c r="AE487" s="60" t="n"/>
      <c r="AF487" s="60" t="n"/>
      <c r="AG487" s="60" t="n"/>
      <c r="AH487" s="60" t="n"/>
      <c r="AI487" s="60" t="n"/>
      <c r="AJ487" s="60" t="n"/>
      <c r="AK487" s="120">
        <f>IF(L487&gt;0,L487*90.44,0)+IF(M487&gt;0,M487*348.12,0)+IF(N487&gt;0,N487*151.63,0)+IF(O487&gt;0,O487*197.82,0)+IF(P487&gt;0,P487*244.09,0)+IF(Q487&gt;0,Q487*315.35,0)+IF(R487&gt;0,R487*1067.3,0)+IF(T487&gt;0,T487*567.47,0)+IF(U487&gt;0,U487*151.63,0)+IF(V487&gt;0,V487*197.84,0)+IF(W487&gt;0,W487*470.51,0)+IF(X487&gt;0,X487*701.69,0)+IF(Z487&gt;0,Z487*151.63,0)+IF(AA487&gt;0,AA487*197.84)+IF(AB487&gt;0,AB487*308.4,0)+IF(AC487&gt;0,AC487*496.16,0)</f>
        <v/>
      </c>
    </row>
    <row r="488" hidden="1">
      <c r="A488" s="58" t="inlineStr">
        <is>
          <t>SIM</t>
        </is>
      </c>
      <c r="B488" s="59">
        <f>IF(H488&lt;$B$1,"VENCIDO","NA VALIDADE")</f>
        <v/>
      </c>
      <c r="C488" s="60" t="inlineStr">
        <is>
          <t>UTD</t>
        </is>
      </c>
      <c r="D488" s="61" t="inlineStr">
        <is>
          <t>UTD ILHEUS</t>
        </is>
      </c>
      <c r="E488" s="62" t="inlineStr">
        <is>
          <t>ILHEUS</t>
        </is>
      </c>
      <c r="F488" s="61" t="inlineStr">
        <is>
          <t>ILHÉUS</t>
        </is>
      </c>
      <c r="G488" s="60" t="inlineStr">
        <is>
          <t>BA</t>
        </is>
      </c>
      <c r="H488" s="119" t="n">
        <v>45383</v>
      </c>
      <c r="I488" s="119">
        <f>H488-180</f>
        <v/>
      </c>
      <c r="J488" s="60">
        <f>SUM(L488:AE488)</f>
        <v/>
      </c>
      <c r="K488" s="60">
        <f>SUM(AF488:AJ488)</f>
        <v/>
      </c>
      <c r="L488" s="60" t="n">
        <v>2</v>
      </c>
      <c r="M488" s="60" t="n"/>
      <c r="N488" s="60" t="n"/>
      <c r="O488" s="60" t="n"/>
      <c r="P488" s="60" t="n"/>
      <c r="Q488" s="60" t="n"/>
      <c r="R488" s="60" t="n"/>
      <c r="S488" s="60" t="n"/>
      <c r="T488" s="60" t="n"/>
      <c r="U488" s="60" t="n"/>
      <c r="V488" s="60" t="n">
        <v>2</v>
      </c>
      <c r="W488" s="60" t="n"/>
      <c r="X488" s="60" t="n"/>
      <c r="Y488" s="60" t="n"/>
      <c r="Z488" s="60" t="n"/>
      <c r="AA488" s="60" t="n">
        <v>2</v>
      </c>
      <c r="AB488" s="60" t="n"/>
      <c r="AC488" s="60" t="n"/>
      <c r="AD488" s="60" t="n"/>
      <c r="AE488" s="60" t="n"/>
      <c r="AF488" s="60" t="n"/>
      <c r="AG488" s="60" t="n"/>
      <c r="AH488" s="60" t="n"/>
      <c r="AI488" s="60" t="n"/>
      <c r="AJ488" s="60" t="n"/>
      <c r="AK488" s="120">
        <f>IF(L488&gt;0,L488*90.44,0)+IF(M488&gt;0,M488*348.12,0)+IF(N488&gt;0,N488*151.63,0)+IF(O488&gt;0,O488*197.82,0)+IF(P488&gt;0,P488*244.09,0)+IF(Q488&gt;0,Q488*315.35,0)+IF(R488&gt;0,R488*1067.3,0)+IF(T488&gt;0,T488*567.47,0)+IF(U488&gt;0,U488*151.63,0)+IF(V488&gt;0,V488*197.84,0)+IF(W488&gt;0,W488*470.51,0)+IF(X488&gt;0,X488*701.69,0)+IF(Z488&gt;0,Z488*151.63,0)+IF(AA488&gt;0,AA488*197.84)+IF(AB488&gt;0,AB488*308.4,0)+IF(AC488&gt;0,AC488*496.16,0)</f>
        <v/>
      </c>
    </row>
    <row r="489" hidden="1">
      <c r="A489" s="58" t="inlineStr">
        <is>
          <t>rota</t>
        </is>
      </c>
      <c r="B489" s="59">
        <f>IF(H489&lt;$B$1,"VENCIDO","NA VALIDADE")</f>
        <v/>
      </c>
      <c r="C489" s="60" t="inlineStr">
        <is>
          <t>UTD</t>
        </is>
      </c>
      <c r="D489" s="61" t="inlineStr">
        <is>
          <t>UTD IPIAÚ</t>
        </is>
      </c>
      <c r="E489" s="62" t="inlineStr">
        <is>
          <t>IPIAÚ</t>
        </is>
      </c>
      <c r="F489" s="61" t="inlineStr">
        <is>
          <t>ILHÉUS</t>
        </is>
      </c>
      <c r="G489" s="60" t="inlineStr">
        <is>
          <t>BA</t>
        </is>
      </c>
      <c r="H489" s="119" t="n">
        <v>45474</v>
      </c>
      <c r="I489" s="119">
        <f>H489-180</f>
        <v/>
      </c>
      <c r="J489" s="60">
        <f>SUM(L489:AE489)</f>
        <v/>
      </c>
      <c r="K489" s="60">
        <f>SUM(AF489:AJ489)</f>
        <v/>
      </c>
      <c r="L489" s="60" t="n"/>
      <c r="M489" s="60" t="n"/>
      <c r="N489" s="60" t="n"/>
      <c r="O489" s="60" t="n"/>
      <c r="P489" s="60" t="n"/>
      <c r="Q489" s="60" t="n"/>
      <c r="R489" s="60" t="n"/>
      <c r="S489" s="60" t="n"/>
      <c r="T489" s="60" t="n"/>
      <c r="U489" s="60" t="n"/>
      <c r="V489" s="60" t="n">
        <v>4</v>
      </c>
      <c r="W489" s="60" t="n"/>
      <c r="X489" s="60" t="n"/>
      <c r="Y489" s="60" t="n"/>
      <c r="Z489" s="60" t="n"/>
      <c r="AA489" s="60" t="n"/>
      <c r="AB489" s="60" t="n"/>
      <c r="AC489" s="60" t="n"/>
      <c r="AD489" s="60" t="n"/>
      <c r="AE489" s="60" t="n"/>
      <c r="AF489" s="60" t="n"/>
      <c r="AG489" s="60" t="n"/>
      <c r="AH489" s="60" t="n"/>
      <c r="AI489" s="60" t="n"/>
      <c r="AJ489" s="60" t="n"/>
      <c r="AK489" s="120">
        <f>IF(L489&gt;0,L489*90.44,0)+IF(M489&gt;0,M489*348.12,0)+IF(N489&gt;0,N489*151.63,0)+IF(O489&gt;0,O489*197.82,0)+IF(P489&gt;0,P489*244.09,0)+IF(Q489&gt;0,Q489*315.35,0)+IF(R489&gt;0,R489*1067.3,0)+IF(T489&gt;0,T489*567.47,0)+IF(U489&gt;0,U489*151.63,0)+IF(V489&gt;0,V489*197.84,0)+IF(W489&gt;0,W489*470.51,0)+IF(X489&gt;0,X489*701.69,0)+IF(Z489&gt;0,Z489*151.63,0)+IF(AA489&gt;0,AA489*197.84)+IF(AB489&gt;0,AB489*308.4,0)+IF(AC489&gt;0,AC489*496.16,0)</f>
        <v/>
      </c>
    </row>
    <row r="490">
      <c r="A490" s="58" t="inlineStr">
        <is>
          <t>SIM</t>
        </is>
      </c>
      <c r="B490" s="59">
        <f>IF(H490&lt;$B$1,"VENCIDO","NA VALIDADE")</f>
        <v/>
      </c>
      <c r="C490" s="60" t="inlineStr">
        <is>
          <t>UTD</t>
        </is>
      </c>
      <c r="D490" s="61" t="inlineStr">
        <is>
          <t>UTD IRECÊ</t>
        </is>
      </c>
      <c r="E490" s="62" t="inlineStr">
        <is>
          <t>IRECÊ</t>
        </is>
      </c>
      <c r="F490" s="61" t="inlineStr">
        <is>
          <t>FEIRA DE  SANTANA</t>
        </is>
      </c>
      <c r="G490" s="60" t="inlineStr">
        <is>
          <t>BA</t>
        </is>
      </c>
      <c r="H490" s="119" t="n">
        <v>45323</v>
      </c>
      <c r="I490" s="119">
        <f>H490-180</f>
        <v/>
      </c>
      <c r="J490" s="60">
        <f>SUM(L490:AE490)</f>
        <v/>
      </c>
      <c r="K490" s="60">
        <f>SUM(AF490:AJ490)</f>
        <v/>
      </c>
      <c r="L490" s="60" t="n"/>
      <c r="M490" s="60" t="n"/>
      <c r="N490" s="60" t="n"/>
      <c r="O490" s="60" t="n"/>
      <c r="P490" s="60" t="n"/>
      <c r="Q490" s="60" t="n">
        <v>1</v>
      </c>
      <c r="R490" s="60" t="n"/>
      <c r="S490" s="60" t="n"/>
      <c r="T490" s="60" t="n"/>
      <c r="U490" s="60" t="n"/>
      <c r="V490" s="60" t="n"/>
      <c r="W490" s="60" t="n"/>
      <c r="X490" s="60" t="n">
        <v>8</v>
      </c>
      <c r="Y490" s="60" t="n"/>
      <c r="Z490" s="60" t="n"/>
      <c r="AA490" s="60" t="n"/>
      <c r="AB490" s="60" t="n"/>
      <c r="AC490" s="60" t="n"/>
      <c r="AD490" s="60" t="n"/>
      <c r="AE490" s="60" t="n"/>
      <c r="AF490" s="60" t="n"/>
      <c r="AG490" s="60" t="n"/>
      <c r="AH490" s="60" t="n"/>
      <c r="AI490" s="60" t="n"/>
      <c r="AJ490" s="60" t="n"/>
      <c r="AK490" s="120">
        <f>IF(L490&gt;0,L490*90.44,0)+IF(M490&gt;0,M490*348.12,0)+IF(N490&gt;0,N490*151.63,0)+IF(O490&gt;0,O490*197.82,0)+IF(P490&gt;0,P490*244.09,0)+IF(Q490&gt;0,Q490*315.35,0)+IF(R490&gt;0,R490*1067.3,0)+IF(T490&gt;0,T490*567.47,0)+IF(U490&gt;0,U490*151.63,0)+IF(V490&gt;0,V490*197.84,0)+IF(W490&gt;0,W490*470.51,0)+IF(X490&gt;0,X490*701.69,0)+IF(Z490&gt;0,Z490*151.63,0)+IF(AA490&gt;0,AA490*197.84)+IF(AB490&gt;0,AB490*308.4,0)+IF(AC490&gt;0,AC490*496.16,0)</f>
        <v/>
      </c>
    </row>
    <row r="491">
      <c r="A491" s="58" t="inlineStr">
        <is>
          <t>FEIRA 06/12</t>
        </is>
      </c>
      <c r="B491" s="59">
        <f>IF(H491&lt;$B$1,"VENCIDO","NA VALIDADE")</f>
        <v/>
      </c>
      <c r="C491" s="60" t="inlineStr">
        <is>
          <t>UTD</t>
        </is>
      </c>
      <c r="D491" s="61" t="inlineStr">
        <is>
          <t>UTD ITABERABA</t>
        </is>
      </c>
      <c r="E491" s="62" t="inlineStr">
        <is>
          <t>ITABERABA</t>
        </is>
      </c>
      <c r="F491" s="61" t="inlineStr">
        <is>
          <t>FEIRA DE  SANTANA</t>
        </is>
      </c>
      <c r="G491" s="60" t="inlineStr">
        <is>
          <t>BA</t>
        </is>
      </c>
      <c r="H491" s="119" t="n">
        <v>45536</v>
      </c>
      <c r="I491" s="119">
        <f>H491-180</f>
        <v/>
      </c>
      <c r="J491" s="60">
        <f>SUM(L491:AE491)</f>
        <v/>
      </c>
      <c r="K491" s="60">
        <f>SUM(AF491:AJ491)</f>
        <v/>
      </c>
      <c r="L491" s="60" t="n">
        <v>5</v>
      </c>
      <c r="M491" s="60" t="n"/>
      <c r="N491" s="60" t="n"/>
      <c r="O491" s="60" t="n"/>
      <c r="P491" s="60" t="n"/>
      <c r="Q491" s="60" t="n">
        <v>1</v>
      </c>
      <c r="R491" s="60" t="n"/>
      <c r="S491" s="60" t="n"/>
      <c r="T491" s="60" t="n"/>
      <c r="U491" s="60" t="n"/>
      <c r="V491" s="60" t="n"/>
      <c r="W491" s="60" t="n"/>
      <c r="X491" s="60" t="n"/>
      <c r="Y491" s="60" t="n"/>
      <c r="Z491" s="60" t="n"/>
      <c r="AA491" s="60" t="n">
        <v>4</v>
      </c>
      <c r="AB491" s="60" t="n"/>
      <c r="AC491" s="60" t="n"/>
      <c r="AD491" s="60" t="n"/>
      <c r="AE491" s="60" t="n"/>
      <c r="AF491" s="60" t="n"/>
      <c r="AG491" s="60" t="n"/>
      <c r="AH491" s="60" t="n"/>
      <c r="AI491" s="60" t="n"/>
      <c r="AJ491" s="60" t="n"/>
      <c r="AK491" s="120">
        <f>IF(L491&gt;0,L491*90.44,0)+IF(M491&gt;0,M491*348.12,0)+IF(N491&gt;0,N491*151.63,0)+IF(O491&gt;0,O491*197.82,0)+IF(P491&gt;0,P491*244.09,0)+IF(Q491&gt;0,Q491*315.35,0)+IF(R491&gt;0,R491*1067.3,0)+IF(T491&gt;0,T491*567.47,0)+IF(U491&gt;0,U491*151.63,0)+IF(V491&gt;0,V491*197.84,0)+IF(W491&gt;0,W491*470.51,0)+IF(X491&gt;0,X491*701.69,0)+IF(Z491&gt;0,Z491*151.63,0)+IF(AA491&gt;0,AA491*197.84)+IF(AB491&gt;0,AB491*308.4,0)+IF(AC491&gt;0,AC491*496.16,0)</f>
        <v/>
      </c>
    </row>
    <row r="492" hidden="1">
      <c r="A492" s="58" t="inlineStr">
        <is>
          <t>LEONIDAS</t>
        </is>
      </c>
      <c r="B492" s="59">
        <f>IF(H492&lt;$B$1,"VENCIDO","NA VALIDADE")</f>
        <v/>
      </c>
      <c r="C492" s="60" t="inlineStr">
        <is>
          <t>UTD</t>
        </is>
      </c>
      <c r="D492" s="61" t="inlineStr">
        <is>
          <t>UTD ITABUNA</t>
        </is>
      </c>
      <c r="E492" s="62" t="inlineStr">
        <is>
          <t>ITABUNA</t>
        </is>
      </c>
      <c r="F492" s="61" t="inlineStr">
        <is>
          <t>ILHÉUS</t>
        </is>
      </c>
      <c r="G492" s="60" t="inlineStr">
        <is>
          <t>BA</t>
        </is>
      </c>
      <c r="H492" s="119" t="n">
        <v>45413</v>
      </c>
      <c r="I492" s="119">
        <f>H492-180</f>
        <v/>
      </c>
      <c r="J492" s="60">
        <f>SUM(L492:AE492)</f>
        <v/>
      </c>
      <c r="K492" s="60">
        <f>SUM(AF492:AJ492)</f>
        <v/>
      </c>
      <c r="L492" s="60" t="n">
        <v>11</v>
      </c>
      <c r="M492" s="60" t="n"/>
      <c r="N492" s="60" t="n"/>
      <c r="O492" s="60" t="n">
        <v>1</v>
      </c>
      <c r="P492" s="60" t="n"/>
      <c r="Q492" s="60" t="n">
        <v>3</v>
      </c>
      <c r="R492" s="60" t="n"/>
      <c r="S492" s="60" t="n"/>
      <c r="T492" s="60" t="n"/>
      <c r="U492" s="60" t="n"/>
      <c r="V492" s="60" t="n"/>
      <c r="W492" s="60" t="n"/>
      <c r="X492" s="60" t="n"/>
      <c r="Y492" s="60" t="n"/>
      <c r="Z492" s="60" t="n">
        <v>1</v>
      </c>
      <c r="AA492" s="60" t="n">
        <v>9</v>
      </c>
      <c r="AB492" s="60" t="n"/>
      <c r="AC492" s="60" t="n"/>
      <c r="AD492" s="60" t="n"/>
      <c r="AE492" s="60" t="n"/>
      <c r="AF492" s="60" t="n"/>
      <c r="AG492" s="60" t="n"/>
      <c r="AH492" s="60" t="n">
        <v>16</v>
      </c>
      <c r="AI492" s="60" t="n"/>
      <c r="AJ492" s="60" t="n"/>
      <c r="AK492" s="120">
        <f>IF(L492&gt;0,L492*90.44,0)+IF(M492&gt;0,M492*348.12,0)+IF(N492&gt;0,N492*151.63,0)+IF(O492&gt;0,O492*197.82,0)+IF(P492&gt;0,P492*244.09,0)+IF(Q492&gt;0,Q492*315.35,0)+IF(R492&gt;0,R492*1067.3,0)+IF(T492&gt;0,T492*567.47,0)+IF(U492&gt;0,U492*151.63,0)+IF(V492&gt;0,V492*197.84,0)+IF(W492&gt;0,W492*470.51,0)+IF(X492&gt;0,X492*701.69,0)+IF(Z492&gt;0,Z492*151.63,0)+IF(AA492&gt;0,AA492*197.84)+IF(AB492&gt;0,AB492*308.4,0)+IF(AC492&gt;0,AC492*496.16,0)</f>
        <v/>
      </c>
    </row>
    <row r="493" hidden="1">
      <c r="A493" s="58" t="inlineStr">
        <is>
          <t>rota</t>
        </is>
      </c>
      <c r="B493" s="59">
        <f>IF(H493&lt;$B$1,"VENCIDO","NA VALIDADE")</f>
        <v/>
      </c>
      <c r="C493" s="60" t="inlineStr">
        <is>
          <t>UTD</t>
        </is>
      </c>
      <c r="D493" s="61" t="inlineStr">
        <is>
          <t>UTD ITAPETINGA</t>
        </is>
      </c>
      <c r="E493" s="62" t="inlineStr">
        <is>
          <t>ITAPETINGA</t>
        </is>
      </c>
      <c r="F493" s="61" t="inlineStr">
        <is>
          <t>VITÓRIA DA CONQUISTA</t>
        </is>
      </c>
      <c r="G493" s="60" t="inlineStr">
        <is>
          <t>BA</t>
        </is>
      </c>
      <c r="H493" s="119" t="n">
        <v>45323</v>
      </c>
      <c r="I493" s="119">
        <f>H493-180</f>
        <v/>
      </c>
      <c r="J493" s="60">
        <f>SUM(L493:AE493)</f>
        <v/>
      </c>
      <c r="K493" s="60">
        <f>SUM(AF493:AJ493)</f>
        <v/>
      </c>
      <c r="L493" s="60" t="n"/>
      <c r="M493" s="60" t="n"/>
      <c r="N493" s="60" t="n"/>
      <c r="O493" s="60" t="n"/>
      <c r="P493" s="60" t="n"/>
      <c r="Q493" s="60" t="n">
        <v>1</v>
      </c>
      <c r="R493" s="60" t="n"/>
      <c r="S493" s="60" t="n"/>
      <c r="T493" s="60" t="n"/>
      <c r="U493" s="60" t="n"/>
      <c r="V493" s="60" t="n">
        <v>4</v>
      </c>
      <c r="W493" s="60" t="n"/>
      <c r="X493" s="60" t="n"/>
      <c r="Y493" s="60" t="n"/>
      <c r="Z493" s="60" t="n"/>
      <c r="AA493" s="60" t="n"/>
      <c r="AB493" s="60" t="n"/>
      <c r="AC493" s="60" t="n"/>
      <c r="AD493" s="60" t="n"/>
      <c r="AE493" s="60" t="n"/>
      <c r="AF493" s="60" t="n"/>
      <c r="AG493" s="60" t="n"/>
      <c r="AH493" s="60" t="n"/>
      <c r="AI493" s="60" t="n"/>
      <c r="AJ493" s="60" t="n"/>
      <c r="AK493" s="120">
        <f>IF(L493&gt;0,L493*90.44,0)+IF(M493&gt;0,M493*348.12,0)+IF(N493&gt;0,N493*151.63,0)+IF(O493&gt;0,O493*197.82,0)+IF(P493&gt;0,P493*244.09,0)+IF(Q493&gt;0,Q493*315.35,0)+IF(R493&gt;0,R493*1067.3,0)+IF(T493&gt;0,T493*567.47,0)+IF(U493&gt;0,U493*151.63,0)+IF(V493&gt;0,V493*197.84,0)+IF(W493&gt;0,W493*470.51,0)+IF(X493&gt;0,X493*701.69,0)+IF(Z493&gt;0,Z493*151.63,0)+IF(AA493&gt;0,AA493*197.84)+IF(AB493&gt;0,AB493*308.4,0)+IF(AC493&gt;0,AC493*496.16,0)</f>
        <v/>
      </c>
    </row>
    <row r="494">
      <c r="A494" s="58" t="inlineStr">
        <is>
          <t>SIM</t>
        </is>
      </c>
      <c r="B494" s="59">
        <f>IF(H494&lt;$B$1,"VENCIDO","NA VALIDADE")</f>
        <v/>
      </c>
      <c r="C494" s="60" t="inlineStr">
        <is>
          <t>BASE OP</t>
        </is>
      </c>
      <c r="D494" s="61" t="inlineStr">
        <is>
          <t>BASE OP JACOBINA</t>
        </is>
      </c>
      <c r="E494" s="62" t="inlineStr">
        <is>
          <t>JACOBINA</t>
        </is>
      </c>
      <c r="F494" s="61" t="inlineStr">
        <is>
          <t>FEIRA DE  SANTANA</t>
        </is>
      </c>
      <c r="G494" s="60" t="inlineStr">
        <is>
          <t>BA</t>
        </is>
      </c>
      <c r="H494" s="119" t="n">
        <v>45474</v>
      </c>
      <c r="I494" s="119">
        <f>H494-180</f>
        <v/>
      </c>
      <c r="J494" s="60">
        <f>SUM(L494:AE494)</f>
        <v/>
      </c>
      <c r="K494" s="60">
        <f>SUM(AF494:AJ494)</f>
        <v/>
      </c>
      <c r="L494" s="60" t="n"/>
      <c r="M494" s="60" t="n"/>
      <c r="N494" s="60" t="n"/>
      <c r="O494" s="60" t="n">
        <v>2</v>
      </c>
      <c r="P494" s="60" t="n"/>
      <c r="Q494" s="60" t="n"/>
      <c r="R494" s="60" t="n"/>
      <c r="S494" s="60" t="n"/>
      <c r="T494" s="60" t="n"/>
      <c r="U494" s="60" t="n"/>
      <c r="V494" s="60" t="n"/>
      <c r="W494" s="60" t="n"/>
      <c r="X494" s="60" t="n"/>
      <c r="Y494" s="60" t="n"/>
      <c r="Z494" s="60" t="n"/>
      <c r="AA494" s="60" t="n"/>
      <c r="AB494" s="60" t="n"/>
      <c r="AC494" s="60" t="n"/>
      <c r="AD494" s="60" t="n"/>
      <c r="AE494" s="60" t="n"/>
      <c r="AF494" s="60" t="n"/>
      <c r="AG494" s="60" t="n"/>
      <c r="AH494" s="60" t="n"/>
      <c r="AI494" s="60" t="n"/>
      <c r="AJ494" s="60" t="n"/>
      <c r="AK494" s="120">
        <f>IF(L494&gt;0,L494*90.44,0)+IF(M494&gt;0,M494*348.12,0)+IF(N494&gt;0,N494*151.63,0)+IF(O494&gt;0,O494*197.82,0)+IF(P494&gt;0,P494*244.09,0)+IF(Q494&gt;0,Q494*315.35,0)+IF(R494&gt;0,R494*1067.3,0)+IF(T494&gt;0,T494*567.47,0)+IF(U494&gt;0,U494*151.63,0)+IF(V494&gt;0,V494*197.84,0)+IF(W494&gt;0,W494*470.51,0)+IF(X494&gt;0,X494*701.69,0)+IF(Z494&gt;0,Z494*151.63,0)+IF(AA494&gt;0,AA494*197.84)+IF(AB494&gt;0,AB494*308.4,0)+IF(AC494&gt;0,AC494*496.16,0)</f>
        <v/>
      </c>
    </row>
    <row r="495">
      <c r="A495" s="58" t="inlineStr">
        <is>
          <t>SIM</t>
        </is>
      </c>
      <c r="B495" s="59">
        <f>IF(H495&lt;$B$1,"VENCIDO","NA VALIDADE")</f>
        <v/>
      </c>
      <c r="C495" s="60" t="inlineStr">
        <is>
          <t>UTD</t>
        </is>
      </c>
      <c r="D495" s="61" t="inlineStr">
        <is>
          <t>UTD JACOBINA</t>
        </is>
      </c>
      <c r="E495" s="62" t="inlineStr">
        <is>
          <t>JACOBINA</t>
        </is>
      </c>
      <c r="F495" s="61" t="inlineStr">
        <is>
          <t>FEIRA DE  SANTANA</t>
        </is>
      </c>
      <c r="G495" s="60" t="inlineStr">
        <is>
          <t>BA</t>
        </is>
      </c>
      <c r="H495" s="119" t="n">
        <v>45474</v>
      </c>
      <c r="I495" s="119">
        <f>H495-180</f>
        <v/>
      </c>
      <c r="J495" s="60">
        <f>SUM(L495:AE495)</f>
        <v/>
      </c>
      <c r="K495" s="60">
        <f>SUM(AF495:AJ495)</f>
        <v/>
      </c>
      <c r="L495" s="60" t="n">
        <v>2</v>
      </c>
      <c r="M495" s="60" t="n"/>
      <c r="N495" s="60" t="n"/>
      <c r="O495" s="60" t="n">
        <v>1</v>
      </c>
      <c r="P495" s="60" t="n"/>
      <c r="Q495" s="60" t="n"/>
      <c r="R495" s="60" t="n"/>
      <c r="S495" s="60" t="n"/>
      <c r="T495" s="60" t="n"/>
      <c r="U495" s="60" t="n"/>
      <c r="V495" s="60" t="n"/>
      <c r="W495" s="60" t="n"/>
      <c r="X495" s="60" t="n"/>
      <c r="Y495" s="60" t="n"/>
      <c r="Z495" s="60" t="n"/>
      <c r="AA495" s="60" t="n">
        <v>2</v>
      </c>
      <c r="AB495" s="60" t="n"/>
      <c r="AC495" s="60" t="n"/>
      <c r="AD495" s="60" t="n"/>
      <c r="AE495" s="60" t="n"/>
      <c r="AF495" s="60" t="n"/>
      <c r="AG495" s="60" t="n"/>
      <c r="AH495" s="60" t="n"/>
      <c r="AI495" s="60" t="n"/>
      <c r="AJ495" s="60" t="n"/>
      <c r="AK495" s="120">
        <f>IF(L495&gt;0,L495*90.44,0)+IF(M495&gt;0,M495*348.12,0)+IF(N495&gt;0,N495*151.63,0)+IF(O495&gt;0,O495*197.82,0)+IF(P495&gt;0,P495*244.09,0)+IF(Q495&gt;0,Q495*315.35,0)+IF(R495&gt;0,R495*1067.3,0)+IF(T495&gt;0,T495*567.47,0)+IF(U495&gt;0,U495*151.63,0)+IF(V495&gt;0,V495*197.84,0)+IF(W495&gt;0,W495*470.51,0)+IF(X495&gt;0,X495*701.69,0)+IF(Z495&gt;0,Z495*151.63,0)+IF(AA495&gt;0,AA495*197.84)+IF(AB495&gt;0,AB495*308.4,0)+IF(AC495&gt;0,AC495*496.16,0)</f>
        <v/>
      </c>
    </row>
    <row r="496" hidden="1">
      <c r="A496" s="58" t="inlineStr">
        <is>
          <t>SIM</t>
        </is>
      </c>
      <c r="B496" s="59">
        <f>IF(H496&lt;$B$1,"VENCIDO","NA VALIDADE")</f>
        <v/>
      </c>
      <c r="C496" s="60" t="inlineStr">
        <is>
          <t>UTD</t>
        </is>
      </c>
      <c r="D496" s="61" t="inlineStr">
        <is>
          <t>UTD JEQUIÉ</t>
        </is>
      </c>
      <c r="E496" s="62" t="inlineStr">
        <is>
          <t>JEQUIÉ</t>
        </is>
      </c>
      <c r="F496" s="61" t="inlineStr">
        <is>
          <t>VITÓRIA DA CONQUISTA</t>
        </is>
      </c>
      <c r="G496" s="60" t="inlineStr">
        <is>
          <t>BA</t>
        </is>
      </c>
      <c r="H496" s="119" t="n">
        <v>45292</v>
      </c>
      <c r="I496" s="119" t="n">
        <v>45108</v>
      </c>
      <c r="J496" s="60">
        <f>SUM(L496:AE496)</f>
        <v/>
      </c>
      <c r="K496" s="60">
        <f>SUM(AF496:AJ496)</f>
        <v/>
      </c>
      <c r="L496" s="60" t="n"/>
      <c r="M496" s="60" t="n"/>
      <c r="N496" s="60" t="n"/>
      <c r="O496" s="60" t="n"/>
      <c r="P496" s="60" t="n"/>
      <c r="Q496" s="60" t="n"/>
      <c r="R496" s="60" t="n"/>
      <c r="S496" s="60" t="n"/>
      <c r="T496" s="60" t="n"/>
      <c r="U496" s="60" t="n"/>
      <c r="V496" s="60" t="n">
        <v>9</v>
      </c>
      <c r="W496" s="60" t="n"/>
      <c r="X496" s="60" t="n"/>
      <c r="Y496" s="60" t="n"/>
      <c r="Z496" s="60" t="n"/>
      <c r="AA496" s="60" t="n"/>
      <c r="AB496" s="60" t="n"/>
      <c r="AC496" s="60" t="n"/>
      <c r="AD496" s="60" t="n"/>
      <c r="AE496" s="60" t="n"/>
      <c r="AF496" s="60" t="n"/>
      <c r="AG496" s="60" t="n"/>
      <c r="AH496" s="60" t="n">
        <v>8</v>
      </c>
      <c r="AI496" s="60" t="n"/>
      <c r="AJ496" s="60" t="n"/>
      <c r="AK496" s="120">
        <f>IF(L496&gt;0,L496*90.44,0)+IF(M496&gt;0,M496*348.12,0)+IF(N496&gt;0,N496*151.63,0)+IF(O496&gt;0,O496*197.82,0)+IF(P496&gt;0,P496*244.09,0)+IF(Q496&gt;0,Q496*315.35,0)+IF(R496&gt;0,R496*1067.3,0)+IF(T496&gt;0,T496*567.47,0)+IF(U496&gt;0,U496*151.63,0)+IF(V496&gt;0,V496*197.84,0)+IF(W496&gt;0,W496*470.51,0)+IF(X496&gt;0,X496*701.69,0)+IF(Z496&gt;0,Z496*151.63,0)+IF(AA496&gt;0,AA496*197.84)+IF(AB496&gt;0,AB496*308.4,0)+IF(AC496&gt;0,AC496*496.16,0)</f>
        <v/>
      </c>
    </row>
    <row r="497">
      <c r="A497" s="58" t="inlineStr">
        <is>
          <t>SIM</t>
        </is>
      </c>
      <c r="B497" s="59">
        <f>IF(H497&lt;$B$1,"VENCIDO","NA VALIDADE")</f>
        <v/>
      </c>
      <c r="C497" s="60" t="inlineStr">
        <is>
          <t>SUBESTAÇÃO</t>
        </is>
      </c>
      <c r="D497" s="61" t="inlineStr">
        <is>
          <t>SE JUAZEIRO IV</t>
        </is>
      </c>
      <c r="E497" s="62" t="inlineStr">
        <is>
          <t>JUAZEIRO</t>
        </is>
      </c>
      <c r="F497" s="61" t="inlineStr">
        <is>
          <t>FEIRA DE  SANTANA</t>
        </is>
      </c>
      <c r="G497" s="60" t="inlineStr">
        <is>
          <t>BA</t>
        </is>
      </c>
      <c r="H497" s="119" t="n">
        <v>45505</v>
      </c>
      <c r="I497" s="119">
        <f>H497-180</f>
        <v/>
      </c>
      <c r="J497" s="60">
        <f>SUM(L497:AE497)</f>
        <v/>
      </c>
      <c r="K497" s="60">
        <f>SUM(AF497:AJ497)</f>
        <v/>
      </c>
      <c r="L497" s="60" t="n"/>
      <c r="M497" s="60" t="n"/>
      <c r="N497" s="60" t="n"/>
      <c r="O497" s="60" t="n"/>
      <c r="P497" s="60" t="n"/>
      <c r="Q497" s="60" t="n">
        <v>5</v>
      </c>
      <c r="R497" s="60" t="n"/>
      <c r="S497" s="60" t="n"/>
      <c r="T497" s="60" t="n">
        <v>2</v>
      </c>
      <c r="U497" s="60" t="n"/>
      <c r="V497" s="60" t="n"/>
      <c r="W497" s="60" t="n"/>
      <c r="X497" s="60" t="n"/>
      <c r="Y497" s="60" t="n"/>
      <c r="Z497" s="60" t="n"/>
      <c r="AA497" s="60" t="n">
        <v>2</v>
      </c>
      <c r="AB497" s="60" t="n"/>
      <c r="AC497" s="60" t="n"/>
      <c r="AD497" s="60" t="n"/>
      <c r="AE497" s="60" t="n"/>
      <c r="AF497" s="60" t="n"/>
      <c r="AG497" s="60" t="n"/>
      <c r="AH497" s="60" t="n"/>
      <c r="AI497" s="60" t="n"/>
      <c r="AJ497" s="60" t="n"/>
      <c r="AK497" s="120">
        <f>IF(L497&gt;0,L497*90.44,0)+IF(M497&gt;0,M497*348.12,0)+IF(N497&gt;0,N497*151.63,0)+IF(O497&gt;0,O497*197.82,0)+IF(P497&gt;0,P497*244.09,0)+IF(Q497&gt;0,Q497*315.35,0)+IF(R497&gt;0,R497*1067.3,0)+IF(T497&gt;0,T497*567.47,0)+IF(U497&gt;0,U497*151.63,0)+IF(V497&gt;0,V497*197.84,0)+IF(W497&gt;0,W497*470.51,0)+IF(X497&gt;0,X497*701.69,0)+IF(Z497&gt;0,Z497*151.63,0)+IF(AA497&gt;0,AA497*197.84)+IF(AB497&gt;0,AB497*308.4,0)+IF(AC497&gt;0,AC497*496.16,0)</f>
        <v/>
      </c>
    </row>
    <row r="498">
      <c r="A498" s="58" t="inlineStr">
        <is>
          <t>SIM</t>
        </is>
      </c>
      <c r="B498" s="59">
        <f>IF(H498&lt;$B$1,"VENCIDO","NA VALIDADE")</f>
        <v/>
      </c>
      <c r="C498" s="60" t="inlineStr">
        <is>
          <t>UTD</t>
        </is>
      </c>
      <c r="D498" s="61" t="inlineStr">
        <is>
          <t>UTD JUAZEIRO</t>
        </is>
      </c>
      <c r="E498" s="62" t="inlineStr">
        <is>
          <t>JUAZEIRO</t>
        </is>
      </c>
      <c r="F498" s="61" t="inlineStr">
        <is>
          <t>FEIRA DE  SANTANA</t>
        </is>
      </c>
      <c r="G498" s="60" t="inlineStr">
        <is>
          <t>BA</t>
        </is>
      </c>
      <c r="H498" s="119" t="n">
        <v>45474</v>
      </c>
      <c r="I498" s="119">
        <f>H498-180</f>
        <v/>
      </c>
      <c r="J498" s="60">
        <f>SUM(L498:AE498)</f>
        <v/>
      </c>
      <c r="K498" s="60">
        <f>SUM(AF498:AJ498)</f>
        <v/>
      </c>
      <c r="L498" s="60" t="n">
        <v>2</v>
      </c>
      <c r="M498" s="60" t="n"/>
      <c r="N498" s="60" t="n"/>
      <c r="O498" s="60" t="n"/>
      <c r="P498" s="60" t="n"/>
      <c r="Q498" s="60" t="n">
        <v>1</v>
      </c>
      <c r="R498" s="60" t="n"/>
      <c r="S498" s="60" t="n"/>
      <c r="T498" s="60" t="n"/>
      <c r="U498" s="60" t="n"/>
      <c r="V498" s="60" t="n"/>
      <c r="W498" s="60" t="n"/>
      <c r="X498" s="60" t="n"/>
      <c r="Y498" s="60" t="n"/>
      <c r="Z498" s="60" t="n"/>
      <c r="AA498" s="60" t="n">
        <v>7</v>
      </c>
      <c r="AB498" s="60" t="n"/>
      <c r="AC498" s="60" t="n"/>
      <c r="AD498" s="60" t="n"/>
      <c r="AE498" s="60" t="n"/>
      <c r="AF498" s="60" t="n"/>
      <c r="AG498" s="60" t="n"/>
      <c r="AH498" s="60" t="n"/>
      <c r="AI498" s="60" t="n"/>
      <c r="AJ498" s="60" t="n"/>
      <c r="AK498" s="120">
        <f>IF(L498&gt;0,L498*90.44,0)+IF(M498&gt;0,M498*348.12,0)+IF(N498&gt;0,N498*151.63,0)+IF(O498&gt;0,O498*197.82,0)+IF(P498&gt;0,P498*244.09,0)+IF(Q498&gt;0,Q498*315.35,0)+IF(R498&gt;0,R498*1067.3,0)+IF(T498&gt;0,T498*567.47,0)+IF(U498&gt;0,U498*151.63,0)+IF(V498&gt;0,V498*197.84,0)+IF(W498&gt;0,W498*470.51,0)+IF(X498&gt;0,X498*701.69,0)+IF(Z498&gt;0,Z498*151.63,0)+IF(AA498&gt;0,AA498*197.84)+IF(AB498&gt;0,AB498*308.4,0)+IF(AC498&gt;0,AC498*496.16,0)</f>
        <v/>
      </c>
    </row>
    <row r="499">
      <c r="A499" s="58" t="n"/>
      <c r="B499" s="59">
        <f>IF(H499&lt;$B$1,"VENCIDO","NA VALIDADE")</f>
        <v/>
      </c>
      <c r="C499" s="60" t="inlineStr">
        <is>
          <t>UTD</t>
        </is>
      </c>
      <c r="D499" s="61" t="inlineStr">
        <is>
          <t>UTD LAURO DE FREITAS</t>
        </is>
      </c>
      <c r="E499" s="62" t="inlineStr">
        <is>
          <t>SALVADOR</t>
        </is>
      </c>
      <c r="F499" s="61" t="inlineStr">
        <is>
          <t>FEIRA DE  SANTANA</t>
        </is>
      </c>
      <c r="G499" s="60" t="inlineStr">
        <is>
          <t>BA</t>
        </is>
      </c>
      <c r="H499" s="119" t="n">
        <v>45536</v>
      </c>
      <c r="I499" s="119">
        <f>H499-180</f>
        <v/>
      </c>
      <c r="J499" s="60">
        <f>SUM(L499:AE499)</f>
        <v/>
      </c>
      <c r="K499" s="60">
        <f>SUM(AF499:AJ499)</f>
        <v/>
      </c>
      <c r="L499" s="60" t="n"/>
      <c r="M499" s="60" t="n"/>
      <c r="N499" s="60" t="n"/>
      <c r="O499" s="60" t="n"/>
      <c r="P499" s="60" t="n"/>
      <c r="Q499" s="60" t="n"/>
      <c r="R499" s="60" t="n"/>
      <c r="S499" s="60" t="n"/>
      <c r="T499" s="60" t="n"/>
      <c r="U499" s="60" t="n"/>
      <c r="V499" s="60" t="n">
        <v>13</v>
      </c>
      <c r="W499" s="60" t="n"/>
      <c r="X499" s="60" t="n"/>
      <c r="Y499" s="60" t="n"/>
      <c r="Z499" s="60" t="n"/>
      <c r="AA499" s="60" t="n"/>
      <c r="AB499" s="60" t="n"/>
      <c r="AC499" s="60" t="n"/>
      <c r="AD499" s="60" t="n"/>
      <c r="AE499" s="60" t="n"/>
      <c r="AF499" s="60" t="n"/>
      <c r="AG499" s="60" t="n"/>
      <c r="AH499" s="60" t="n"/>
      <c r="AI499" s="60" t="n"/>
      <c r="AJ499" s="60" t="n"/>
      <c r="AK499" s="120">
        <f>IF(L499&gt;0,L499*90.44,0)+IF(M499&gt;0,M499*348.12,0)+IF(N499&gt;0,N499*151.63,0)+IF(O499&gt;0,O499*197.82,0)+IF(P499&gt;0,P499*244.09,0)+IF(Q499&gt;0,Q499*315.35,0)+IF(R499&gt;0,R499*1067.3,0)+IF(T499&gt;0,T499*567.47,0)+IF(U499&gt;0,U499*151.63,0)+IF(V499&gt;0,V499*197.84,0)+IF(W499&gt;0,W499*470.51,0)+IF(X499&gt;0,X499*701.69,0)+IF(Z499&gt;0,Z499*151.63,0)+IF(AA499&gt;0,AA499*197.84)+IF(AB499&gt;0,AB499*308.4,0)+IF(AC499&gt;0,AC499*496.16,0)</f>
        <v/>
      </c>
    </row>
    <row r="500" hidden="1">
      <c r="A500" s="58" t="n"/>
      <c r="B500" s="59">
        <f>IF(H500&lt;$B$1,"VENCIDO","NA VALIDADE")</f>
        <v/>
      </c>
      <c r="C500" s="60" t="inlineStr">
        <is>
          <t>UTD</t>
        </is>
      </c>
      <c r="D500" s="61" t="inlineStr">
        <is>
          <t>UTD LIVRAMENTO  NS</t>
        </is>
      </c>
      <c r="E500" s="62" t="inlineStr">
        <is>
          <t>BRUMADO</t>
        </is>
      </c>
      <c r="F500" s="61" t="inlineStr">
        <is>
          <t>VITÓRIA DA CONQUISTA</t>
        </is>
      </c>
      <c r="G500" s="60" t="inlineStr">
        <is>
          <t>BA</t>
        </is>
      </c>
      <c r="H500" s="119" t="n">
        <v>45292</v>
      </c>
      <c r="I500" s="119" t="n">
        <v>45292</v>
      </c>
      <c r="J500" s="60">
        <f>SUM(L500:AE500)</f>
        <v/>
      </c>
      <c r="K500" s="60">
        <f>SUM(AF500:AJ500)</f>
        <v/>
      </c>
      <c r="L500" s="60" t="n"/>
      <c r="M500" s="60" t="n"/>
      <c r="N500" s="60" t="n"/>
      <c r="O500" s="60" t="n"/>
      <c r="P500" s="60" t="n"/>
      <c r="Q500" s="60" t="n">
        <v>2</v>
      </c>
      <c r="R500" s="60" t="n"/>
      <c r="S500" s="60" t="n"/>
      <c r="T500" s="60" t="n"/>
      <c r="U500" s="60" t="n"/>
      <c r="V500" s="60" t="n">
        <v>1</v>
      </c>
      <c r="W500" s="60" t="n"/>
      <c r="X500" s="60" t="n"/>
      <c r="Y500" s="60" t="n"/>
      <c r="Z500" s="60" t="n"/>
      <c r="AA500" s="60" t="n"/>
      <c r="AB500" s="60" t="n"/>
      <c r="AC500" s="60" t="n"/>
      <c r="AD500" s="60" t="n"/>
      <c r="AE500" s="60" t="n"/>
      <c r="AF500" s="60" t="n"/>
      <c r="AG500" s="60" t="n"/>
      <c r="AH500" s="60" t="n"/>
      <c r="AI500" s="60" t="n"/>
      <c r="AJ500" s="60" t="n"/>
      <c r="AK500" s="120">
        <f>IF(L500&gt;0,L500*90.44,0)+IF(M500&gt;0,M500*348.12,0)+IF(N500&gt;0,N500*151.63,0)+IF(O500&gt;0,O500*197.82,0)+IF(P500&gt;0,P500*244.09,0)+IF(Q500&gt;0,Q500*315.35,0)+IF(R500&gt;0,R500*1067.3,0)+IF(T500&gt;0,T500*567.47,0)+IF(U500&gt;0,U500*151.63,0)+IF(V500&gt;0,V500*197.84,0)+IF(W500&gt;0,W500*470.51,0)+IF(X500&gt;0,X500*701.69,0)+IF(Z500&gt;0,Z500*151.63,0)+IF(AA500&gt;0,AA500*197.84)+IF(AB500&gt;0,AB500*308.4,0)+IF(AC500&gt;0,AC500*496.16,0)</f>
        <v/>
      </c>
    </row>
    <row r="501">
      <c r="A501" s="58" t="inlineStr">
        <is>
          <t>SIM</t>
        </is>
      </c>
      <c r="B501" s="59">
        <f>IF(H501&lt;$B$1,"VENCIDO","NA VALIDADE")</f>
        <v/>
      </c>
      <c r="C501" s="60" t="inlineStr">
        <is>
          <t>UTD</t>
        </is>
      </c>
      <c r="D501" s="61" t="inlineStr">
        <is>
          <t>UTD PAULO AFONSO</t>
        </is>
      </c>
      <c r="E501" s="62" t="inlineStr">
        <is>
          <t>PAULO AFONSO</t>
        </is>
      </c>
      <c r="F501" s="61" t="inlineStr">
        <is>
          <t>FEIRA DE  SANTANA</t>
        </is>
      </c>
      <c r="G501" s="60" t="inlineStr">
        <is>
          <t>BA</t>
        </is>
      </c>
      <c r="H501" s="119" t="n">
        <v>45444</v>
      </c>
      <c r="I501" s="119" t="n">
        <v>45444</v>
      </c>
      <c r="J501" s="60">
        <f>SUM(L501:AE501)</f>
        <v/>
      </c>
      <c r="K501" s="60">
        <f>SUM(AF501:AJ501)</f>
        <v/>
      </c>
      <c r="L501" s="60" t="n">
        <v>1</v>
      </c>
      <c r="M501" s="60" t="n"/>
      <c r="N501" s="60" t="n"/>
      <c r="O501" s="60" t="n"/>
      <c r="P501" s="60" t="n"/>
      <c r="Q501" s="60" t="n">
        <v>2</v>
      </c>
      <c r="R501" s="60" t="n"/>
      <c r="S501" s="60" t="n"/>
      <c r="T501" s="60" t="n"/>
      <c r="U501" s="60" t="n"/>
      <c r="V501" s="60" t="n">
        <v>5</v>
      </c>
      <c r="W501" s="60" t="n"/>
      <c r="X501" s="60" t="n"/>
      <c r="Y501" s="60" t="n"/>
      <c r="Z501" s="60" t="n"/>
      <c r="AA501" s="60" t="n">
        <v>1</v>
      </c>
      <c r="AB501" s="60" t="n"/>
      <c r="AC501" s="60" t="n"/>
      <c r="AD501" s="60" t="n"/>
      <c r="AE501" s="60" t="n"/>
      <c r="AF501" s="60" t="n"/>
      <c r="AG501" s="60" t="n"/>
      <c r="AH501" s="60" t="n"/>
      <c r="AI501" s="60" t="n"/>
      <c r="AJ501" s="60" t="n"/>
      <c r="AK501" s="120">
        <f>IF(L501&gt;0,L501*90.44,0)+IF(M501&gt;0,M501*348.12,0)+IF(N501&gt;0,N501*151.63,0)+IF(O501&gt;0,O501*197.82,0)+IF(P501&gt;0,P501*244.09,0)+IF(Q501&gt;0,Q501*315.35,0)+IF(R501&gt;0,R501*1067.3,0)+IF(T501&gt;0,T501*567.47,0)+IF(U501&gt;0,U501*151.63,0)+IF(V501&gt;0,V501*197.84,0)+IF(W501&gt;0,W501*470.51,0)+IF(X501&gt;0,X501*701.69,0)+IF(Z501&gt;0,Z501*151.63,0)+IF(AA501&gt;0,AA501*197.84)+IF(AB501&gt;0,AB501*308.4,0)+IF(AC501&gt;0,AC501*496.16,0)</f>
        <v/>
      </c>
    </row>
    <row r="502">
      <c r="A502" s="58" t="inlineStr">
        <is>
          <t>SIM</t>
        </is>
      </c>
      <c r="B502" s="59">
        <f>IF(H502&lt;$B$1,"VENCIDO","NA VALIDADE")</f>
        <v/>
      </c>
      <c r="C502" s="60" t="inlineStr">
        <is>
          <t>UTD</t>
        </is>
      </c>
      <c r="D502" s="61" t="inlineStr">
        <is>
          <t>UTD PIRAJÁ</t>
        </is>
      </c>
      <c r="E502" s="62" t="inlineStr">
        <is>
          <t>SALVADOR</t>
        </is>
      </c>
      <c r="F502" s="61" t="inlineStr">
        <is>
          <t>FEIRA DE  SANTANA</t>
        </is>
      </c>
      <c r="G502" s="60" t="inlineStr">
        <is>
          <t>BA</t>
        </is>
      </c>
      <c r="H502" s="119" t="n">
        <v>45323</v>
      </c>
      <c r="I502" s="119" t="n">
        <v>45323</v>
      </c>
      <c r="J502" s="60">
        <f>SUM(L502:AE502)</f>
        <v/>
      </c>
      <c r="K502" s="60">
        <f>SUM(AF502:AJ502)</f>
        <v/>
      </c>
      <c r="L502" s="60" t="n">
        <v>7</v>
      </c>
      <c r="M502" s="60" t="n"/>
      <c r="N502" s="60" t="n"/>
      <c r="O502" s="60" t="n">
        <v>2</v>
      </c>
      <c r="P502" s="60" t="n"/>
      <c r="Q502" s="60" t="n"/>
      <c r="R502" s="60" t="n"/>
      <c r="S502" s="60" t="n"/>
      <c r="T502" s="60" t="n"/>
      <c r="U502" s="60" t="n"/>
      <c r="V502" s="60" t="n">
        <v>2</v>
      </c>
      <c r="W502" s="60" t="n"/>
      <c r="X502" s="60" t="n"/>
      <c r="Y502" s="60" t="n"/>
      <c r="Z502" s="60" t="n"/>
      <c r="AA502" s="60" t="n">
        <v>6</v>
      </c>
      <c r="AB502" s="60" t="n"/>
      <c r="AC502" s="60" t="n"/>
      <c r="AD502" s="60" t="n"/>
      <c r="AE502" s="60" t="n"/>
      <c r="AF502" s="60" t="n">
        <v>19</v>
      </c>
      <c r="AG502" s="60" t="n"/>
      <c r="AH502" s="60" t="n"/>
      <c r="AI502" s="60" t="n"/>
      <c r="AJ502" s="60" t="n"/>
      <c r="AK502" s="120">
        <f>IF(L502&gt;0,L502*90.44,0)+IF(M502&gt;0,M502*348.12,0)+IF(N502&gt;0,N502*151.63,0)+IF(O502&gt;0,O502*197.82,0)+IF(P502&gt;0,P502*244.09,0)+IF(Q502&gt;0,Q502*315.35,0)+IF(R502&gt;0,R502*1067.3,0)+IF(T502&gt;0,T502*567.47,0)+IF(U502&gt;0,U502*151.63,0)+IF(V502&gt;0,V502*197.84,0)+IF(W502&gt;0,W502*470.51,0)+IF(X502&gt;0,X502*701.69,0)+IF(Z502&gt;0,Z502*151.63,0)+IF(AA502&gt;0,AA502*197.84)+IF(AB502&gt;0,AB502*308.4,0)+IF(AC502&gt;0,AC502*496.16,0)</f>
        <v/>
      </c>
    </row>
    <row r="503" hidden="1">
      <c r="A503" s="58" t="inlineStr">
        <is>
          <t>SIM</t>
        </is>
      </c>
      <c r="B503" s="59">
        <f>IF(H503&lt;$B$1,"VENCIDO","NA VALIDADE")</f>
        <v/>
      </c>
      <c r="C503" s="60" t="inlineStr">
        <is>
          <t>SUBESTAÇÃO</t>
        </is>
      </c>
      <c r="D503" s="61" t="inlineStr">
        <is>
          <t>SE DARIO MEIRA ( CHAVEAMENTO )</t>
        </is>
      </c>
      <c r="E503" s="62" t="inlineStr">
        <is>
          <t>DARIO MEIRA</t>
        </is>
      </c>
      <c r="F503" s="61" t="inlineStr">
        <is>
          <t>ILHÉUS</t>
        </is>
      </c>
      <c r="G503" s="60" t="inlineStr">
        <is>
          <t>BA</t>
        </is>
      </c>
      <c r="H503" s="119" t="n">
        <v>45444</v>
      </c>
      <c r="I503" s="119">
        <f>H503-180</f>
        <v/>
      </c>
      <c r="J503" s="60">
        <f>SUM(L503:AE503)</f>
        <v/>
      </c>
      <c r="K503" s="60">
        <f>SUM(AF503:AJ503)</f>
        <v/>
      </c>
      <c r="L503" s="60" t="n"/>
      <c r="M503" s="60" t="n"/>
      <c r="N503" s="60" t="n"/>
      <c r="O503" s="60" t="n"/>
      <c r="P503" s="60" t="n"/>
      <c r="Q503" s="60" t="n">
        <v>3</v>
      </c>
      <c r="R503" s="60" t="n"/>
      <c r="S503" s="60" t="n"/>
      <c r="T503" s="60" t="n">
        <v>1</v>
      </c>
      <c r="U503" s="60" t="n"/>
      <c r="V503" s="60" t="n"/>
      <c r="W503" s="60" t="n"/>
      <c r="X503" s="60" t="n"/>
      <c r="Y503" s="60" t="n"/>
      <c r="Z503" s="60" t="n"/>
      <c r="AA503" s="60" t="n">
        <v>2</v>
      </c>
      <c r="AB503" s="60" t="n"/>
      <c r="AC503" s="60" t="n"/>
      <c r="AD503" s="60" t="n"/>
      <c r="AE503" s="60" t="n"/>
      <c r="AF503" s="60" t="n"/>
      <c r="AG503" s="60" t="n"/>
      <c r="AH503" s="60" t="n"/>
      <c r="AI503" s="60" t="n"/>
      <c r="AJ503" s="60" t="n"/>
      <c r="AK503" s="120">
        <f>IF(L503&gt;0,L503*90.44,0)+IF(M503&gt;0,M503*348.12,0)+IF(N503&gt;0,N503*151.63,0)+IF(O503&gt;0,O503*197.82,0)+IF(P503&gt;0,P503*244.09,0)+IF(Q503&gt;0,Q503*315.35,0)+IF(R503&gt;0,R503*1067.3,0)+IF(T503&gt;0,T503*567.47,0)+IF(U503&gt;0,U503*151.63,0)+IF(V503&gt;0,V503*197.84,0)+IF(W503&gt;0,W503*470.51,0)+IF(X503&gt;0,X503*701.69,0)+IF(Z503&gt;0,Z503*151.63,0)+IF(AA503&gt;0,AA503*197.84)+IF(AB503&gt;0,AB503*308.4,0)+IF(AC503&gt;0,AC503*496.16,0)</f>
        <v/>
      </c>
    </row>
    <row r="504">
      <c r="A504" s="58" t="inlineStr">
        <is>
          <t>SIM</t>
        </is>
      </c>
      <c r="B504" s="59">
        <f>IF(H504&lt;$B$1,"VENCIDO","NA VALIDADE")</f>
        <v/>
      </c>
      <c r="C504" s="60" t="inlineStr">
        <is>
          <t>UTD</t>
        </is>
      </c>
      <c r="D504" s="61" t="inlineStr">
        <is>
          <t>UTD RIBEIRA DO POMBAL</t>
        </is>
      </c>
      <c r="E504" s="62" t="inlineStr">
        <is>
          <t>RIBEIRA DO POMBAL</t>
        </is>
      </c>
      <c r="F504" s="61" t="inlineStr">
        <is>
          <t>FEIRA DE  SANTANA</t>
        </is>
      </c>
      <c r="G504" s="60" t="inlineStr">
        <is>
          <t>BA</t>
        </is>
      </c>
      <c r="H504" s="119" t="n">
        <v>45352</v>
      </c>
      <c r="I504" s="119" t="n">
        <v>45352</v>
      </c>
      <c r="J504" s="60">
        <f>SUM(L504:AE504)</f>
        <v/>
      </c>
      <c r="K504" s="60">
        <f>SUM(AF504:AJ504)</f>
        <v/>
      </c>
      <c r="L504" s="60" t="n"/>
      <c r="M504" s="60" t="n"/>
      <c r="N504" s="60" t="n"/>
      <c r="O504" s="60" t="n">
        <v>3</v>
      </c>
      <c r="P504" s="60" t="n">
        <v>1</v>
      </c>
      <c r="Q504" s="60" t="n"/>
      <c r="R504" s="60" t="n">
        <v>1</v>
      </c>
      <c r="S504" s="60" t="n"/>
      <c r="T504" s="60" t="n"/>
      <c r="U504" s="60" t="n"/>
      <c r="V504" s="60" t="n">
        <v>5</v>
      </c>
      <c r="W504" s="60" t="n"/>
      <c r="X504" s="60" t="n"/>
      <c r="Y504" s="60" t="n"/>
      <c r="Z504" s="60" t="n"/>
      <c r="AA504" s="60" t="n">
        <v>3</v>
      </c>
      <c r="AB504" s="60" t="n"/>
      <c r="AC504" s="60" t="n"/>
      <c r="AD504" s="60" t="n"/>
      <c r="AE504" s="60" t="n"/>
      <c r="AF504" s="60" t="n">
        <v>8</v>
      </c>
      <c r="AG504" s="60" t="n"/>
      <c r="AH504" s="60" t="n"/>
      <c r="AI504" s="60" t="n"/>
      <c r="AJ504" s="60" t="n"/>
      <c r="AK504" s="120">
        <f>IF(L504&gt;0,L504*90.44,0)+IF(M504&gt;0,M504*348.12,0)+IF(N504&gt;0,N504*151.63,0)+IF(O504&gt;0,O504*197.82,0)+IF(P504&gt;0,P504*244.09,0)+IF(Q504&gt;0,Q504*315.35,0)+IF(R504&gt;0,R504*1067.3,0)+IF(T504&gt;0,T504*567.47,0)+IF(U504&gt;0,U504*151.63,0)+IF(V504&gt;0,V504*197.84,0)+IF(W504&gt;0,W504*470.51,0)+IF(X504&gt;0,X504*701.69,0)+IF(Z504&gt;0,Z504*151.63,0)+IF(AA504&gt;0,AA504*197.84)+IF(AB504&gt;0,AB504*308.4,0)+IF(AC504&gt;0,AC504*496.16,0)</f>
        <v/>
      </c>
    </row>
    <row r="505">
      <c r="A505" s="58" t="inlineStr">
        <is>
          <t>1 DEZ CABO</t>
        </is>
      </c>
      <c r="B505" s="59">
        <f>IF(H505&lt;$B$1,"VENCIDO","NA VALIDADE")</f>
        <v/>
      </c>
      <c r="C505" s="60" t="inlineStr">
        <is>
          <t>UTD</t>
        </is>
      </c>
      <c r="D505" s="61" t="inlineStr">
        <is>
          <t>UTD SANTO AMARO</t>
        </is>
      </c>
      <c r="E505" s="62" t="inlineStr">
        <is>
          <t>SANTO AMARO</t>
        </is>
      </c>
      <c r="F505" s="61" t="inlineStr">
        <is>
          <t>FEIRA DE  SANTANA</t>
        </is>
      </c>
      <c r="G505" s="60" t="inlineStr">
        <is>
          <t>BA</t>
        </is>
      </c>
      <c r="H505" s="119" t="n">
        <v>45383</v>
      </c>
      <c r="I505" s="119">
        <f>H505-180</f>
        <v/>
      </c>
      <c r="J505" s="60">
        <f>SUM(L505:AE505)</f>
        <v/>
      </c>
      <c r="K505" s="60">
        <f>SUM(AF505:AJ505)</f>
        <v/>
      </c>
      <c r="L505" s="60" t="n"/>
      <c r="M505" s="60" t="n"/>
      <c r="N505" s="60" t="n"/>
      <c r="O505" s="60" t="n"/>
      <c r="P505" s="60" t="n"/>
      <c r="Q505" s="60" t="n">
        <v>1</v>
      </c>
      <c r="R505" s="60" t="n"/>
      <c r="S505" s="60" t="n"/>
      <c r="T505" s="60" t="n"/>
      <c r="U505" s="60" t="n"/>
      <c r="V505" s="60" t="n">
        <v>1</v>
      </c>
      <c r="W505" s="60" t="n"/>
      <c r="X505" s="60" t="n"/>
      <c r="Y505" s="60" t="n"/>
      <c r="Z505" s="60" t="n"/>
      <c r="AA505" s="60" t="n"/>
      <c r="AB505" s="60" t="n"/>
      <c r="AC505" s="60" t="n"/>
      <c r="AD505" s="60" t="n"/>
      <c r="AE505" s="60" t="n"/>
      <c r="AF505" s="60" t="n"/>
      <c r="AG505" s="60" t="n"/>
      <c r="AH505" s="60" t="n"/>
      <c r="AI505" s="60" t="n"/>
      <c r="AJ505" s="60" t="n"/>
      <c r="AK505" s="120">
        <f>IF(L505&gt;0,L505*90.44,0)+IF(M505&gt;0,M505*348.12,0)+IF(N505&gt;0,N505*151.63,0)+IF(O505&gt;0,O505*197.82,0)+IF(P505&gt;0,P505*244.09,0)+IF(Q505&gt;0,Q505*315.35,0)+IF(R505&gt;0,R505*1067.3,0)+IF(T505&gt;0,T505*567.47,0)+IF(U505&gt;0,U505*151.63,0)+IF(V505&gt;0,V505*197.84,0)+IF(W505&gt;0,W505*470.51,0)+IF(X505&gt;0,X505*701.69,0)+IF(Z505&gt;0,Z505*151.63,0)+IF(AA505&gt;0,AA505*197.84)+IF(AB505&gt;0,AB505*308.4,0)+IF(AC505&gt;0,AC505*496.16,0)</f>
        <v/>
      </c>
    </row>
    <row r="506">
      <c r="A506" s="58" t="inlineStr">
        <is>
          <t>SIM</t>
        </is>
      </c>
      <c r="B506" s="59">
        <f>IF(H506&lt;$B$1,"VENCIDO","NA VALIDADE")</f>
        <v/>
      </c>
      <c r="C506" s="60" t="inlineStr">
        <is>
          <t>UTD</t>
        </is>
      </c>
      <c r="D506" s="61" t="inlineStr">
        <is>
          <t>UTD SANTO ANTÔNIO DE JESUS</t>
        </is>
      </c>
      <c r="E506" s="62" t="inlineStr">
        <is>
          <t>SANTO ANTÔNIO DE JESUS</t>
        </is>
      </c>
      <c r="F506" s="61" t="inlineStr">
        <is>
          <t>FEIRA DE  SANTANA</t>
        </is>
      </c>
      <c r="G506" s="60" t="inlineStr">
        <is>
          <t>BA</t>
        </is>
      </c>
      <c r="H506" s="119" t="n">
        <v>45444</v>
      </c>
      <c r="I506" s="119" t="n">
        <v>45444</v>
      </c>
      <c r="J506" s="60">
        <f>SUM(L506:AE506)</f>
        <v/>
      </c>
      <c r="K506" s="60">
        <f>SUM(AF506:AJ506)</f>
        <v/>
      </c>
      <c r="L506" s="60" t="n">
        <v>5</v>
      </c>
      <c r="M506" s="60" t="n"/>
      <c r="N506" s="60" t="n"/>
      <c r="O506" s="60" t="n"/>
      <c r="P506" s="60" t="n"/>
      <c r="Q506" s="60" t="n">
        <v>4</v>
      </c>
      <c r="R506" s="60" t="n"/>
      <c r="S506" s="60" t="n"/>
      <c r="T506" s="60" t="n"/>
      <c r="U506" s="60" t="n"/>
      <c r="V506" s="60" t="n"/>
      <c r="W506" s="60" t="n"/>
      <c r="X506" s="60" t="n"/>
      <c r="Y506" s="60" t="n"/>
      <c r="Z506" s="60" t="n"/>
      <c r="AA506" s="60" t="n">
        <v>6</v>
      </c>
      <c r="AB506" s="60" t="n"/>
      <c r="AC506" s="60" t="n"/>
      <c r="AD506" s="60" t="n"/>
      <c r="AE506" s="60" t="n"/>
      <c r="AF506" s="60" t="n"/>
      <c r="AG506" s="60" t="n"/>
      <c r="AH506" s="60" t="n"/>
      <c r="AI506" s="60" t="n"/>
      <c r="AJ506" s="60" t="n"/>
      <c r="AK506" s="120">
        <f>IF(L506&gt;0,L506*90.44,0)+IF(M506&gt;0,M506*348.12,0)+IF(N506&gt;0,N506*151.63,0)+IF(O506&gt;0,O506*197.82,0)+IF(P506&gt;0,P506*244.09,0)+IF(Q506&gt;0,Q506*315.35,0)+IF(R506&gt;0,R506*1067.3,0)+IF(T506&gt;0,T506*567.47,0)+IF(U506&gt;0,U506*151.63,0)+IF(V506&gt;0,V506*197.84,0)+IF(W506&gt;0,W506*470.51,0)+IF(X506&gt;0,X506*701.69,0)+IF(Z506&gt;0,Z506*151.63,0)+IF(AA506&gt;0,AA506*197.84)+IF(AB506&gt;0,AB506*308.4,0)+IF(AC506&gt;0,AC506*496.16,0)</f>
        <v/>
      </c>
    </row>
    <row r="507" hidden="1">
      <c r="A507" s="58" t="inlineStr">
        <is>
          <t>SIM</t>
        </is>
      </c>
      <c r="B507" s="59">
        <f>IF(H507&lt;$B$1,"VENCIDO","NA VALIDADE")</f>
        <v/>
      </c>
      <c r="C507" s="60" t="inlineStr">
        <is>
          <t>UTD</t>
        </is>
      </c>
      <c r="D507" s="61" t="inlineStr">
        <is>
          <t>UTD SEABRA</t>
        </is>
      </c>
      <c r="E507" s="62" t="inlineStr">
        <is>
          <t>SEABRA</t>
        </is>
      </c>
      <c r="F507" s="61" t="inlineStr">
        <is>
          <t>VITÓRIA DA CONQUISTA</t>
        </is>
      </c>
      <c r="G507" s="60" t="inlineStr">
        <is>
          <t>BA</t>
        </is>
      </c>
      <c r="H507" s="119" t="n">
        <v>45292</v>
      </c>
      <c r="I507" s="119">
        <f>H507-180</f>
        <v/>
      </c>
      <c r="J507" s="60">
        <f>SUM(L507:AE507)</f>
        <v/>
      </c>
      <c r="K507" s="60">
        <f>SUM(AF507:AJ507)</f>
        <v/>
      </c>
      <c r="L507" s="60" t="n"/>
      <c r="M507" s="60" t="n"/>
      <c r="N507" s="60" t="n"/>
      <c r="O507" s="60" t="n"/>
      <c r="P507" s="60" t="n"/>
      <c r="Q507" s="60" t="n"/>
      <c r="R507" s="60" t="n"/>
      <c r="S507" s="60" t="n"/>
      <c r="T507" s="60" t="n"/>
      <c r="U507" s="60" t="n"/>
      <c r="V507" s="60" t="n">
        <v>3</v>
      </c>
      <c r="W507" s="60" t="n"/>
      <c r="X507" s="60" t="n"/>
      <c r="Y507" s="60" t="n"/>
      <c r="Z507" s="60" t="n"/>
      <c r="AA507" s="60" t="n"/>
      <c r="AB507" s="60" t="n"/>
      <c r="AC507" s="60" t="n"/>
      <c r="AD507" s="60" t="n"/>
      <c r="AE507" s="60" t="n"/>
      <c r="AF507" s="60" t="n"/>
      <c r="AG507" s="60" t="n"/>
      <c r="AH507" s="60" t="n"/>
      <c r="AI507" s="60" t="n"/>
      <c r="AJ507" s="60" t="n"/>
      <c r="AK507" s="120">
        <f>IF(L507&gt;0,L507*90.44,0)+IF(M507&gt;0,M507*348.12,0)+IF(N507&gt;0,N507*151.63,0)+IF(O507&gt;0,O507*197.82,0)+IF(P507&gt;0,P507*244.09,0)+IF(Q507&gt;0,Q507*315.35,0)+IF(R507&gt;0,R507*1067.3,0)+IF(T507&gt;0,T507*567.47,0)+IF(U507&gt;0,U507*151.63,0)+IF(V507&gt;0,V507*197.84,0)+IF(W507&gt;0,W507*470.51,0)+IF(X507&gt;0,X507*701.69,0)+IF(Z507&gt;0,Z507*151.63,0)+IF(AA507&gt;0,AA507*197.84)+IF(AB507&gt;0,AB507*308.4,0)+IF(AC507&gt;0,AC507*496.16,0)</f>
        <v/>
      </c>
    </row>
    <row r="508">
      <c r="A508" s="58" t="inlineStr">
        <is>
          <t>SIM</t>
        </is>
      </c>
      <c r="B508" s="59">
        <f>IF(H508&lt;$B$1,"VENCIDO","NA VALIDADE")</f>
        <v/>
      </c>
      <c r="C508" s="60" t="inlineStr">
        <is>
          <t>UTD</t>
        </is>
      </c>
      <c r="D508" s="61" t="inlineStr">
        <is>
          <t>UTD SENHOR DO BONFIM</t>
        </is>
      </c>
      <c r="E508" s="62" t="inlineStr">
        <is>
          <t>SENHOR DO BONFIM</t>
        </is>
      </c>
      <c r="F508" s="61" t="inlineStr">
        <is>
          <t>FEIRA DE  SANTANA</t>
        </is>
      </c>
      <c r="G508" s="60" t="inlineStr">
        <is>
          <t>BA</t>
        </is>
      </c>
      <c r="H508" s="119" t="n">
        <v>45505</v>
      </c>
      <c r="I508" s="119">
        <f>H508-180</f>
        <v/>
      </c>
      <c r="J508" s="60">
        <f>SUM(L508:AE508)</f>
        <v/>
      </c>
      <c r="K508" s="60">
        <f>SUM(AF508:AJ508)</f>
        <v/>
      </c>
      <c r="L508" s="60" t="n"/>
      <c r="M508" s="60" t="n"/>
      <c r="N508" s="60" t="n"/>
      <c r="O508" s="60" t="n"/>
      <c r="P508" s="60" t="n"/>
      <c r="Q508" s="60" t="n">
        <v>1</v>
      </c>
      <c r="R508" s="60" t="n"/>
      <c r="S508" s="60" t="n"/>
      <c r="T508" s="60" t="n"/>
      <c r="U508" s="60" t="n"/>
      <c r="V508" s="60" t="n">
        <v>2</v>
      </c>
      <c r="W508" s="60" t="n"/>
      <c r="X508" s="60" t="n"/>
      <c r="Y508" s="60" t="n"/>
      <c r="Z508" s="60" t="n"/>
      <c r="AA508" s="60" t="n">
        <v>1</v>
      </c>
      <c r="AB508" s="60" t="n"/>
      <c r="AC508" s="60" t="n"/>
      <c r="AD508" s="60" t="n"/>
      <c r="AE508" s="60" t="n"/>
      <c r="AF508" s="60" t="n"/>
      <c r="AG508" s="60" t="n"/>
      <c r="AH508" s="60" t="n"/>
      <c r="AI508" s="60" t="n"/>
      <c r="AJ508" s="60" t="n"/>
      <c r="AK508" s="120">
        <f>IF(L508&gt;0,L508*90.44,0)+IF(M508&gt;0,M508*348.12,0)+IF(N508&gt;0,N508*151.63,0)+IF(O508&gt;0,O508*197.82,0)+IF(P508&gt;0,P508*244.09,0)+IF(Q508&gt;0,Q508*315.35,0)+IF(R508&gt;0,R508*1067.3,0)+IF(T508&gt;0,T508*567.47,0)+IF(U508&gt;0,U508*151.63,0)+IF(V508&gt;0,V508*197.84,0)+IF(W508&gt;0,W508*470.51,0)+IF(X508&gt;0,X508*701.69,0)+IF(Z508&gt;0,Z508*151.63,0)+IF(AA508&gt;0,AA508*197.84)+IF(AB508&gt;0,AB508*308.4,0)+IF(AC508&gt;0,AC508*496.16,0)</f>
        <v/>
      </c>
    </row>
    <row r="509">
      <c r="A509" s="58" t="n"/>
      <c r="B509" s="59">
        <f>IF(H509&lt;$B$1,"VENCIDO","NA VALIDADE")</f>
        <v/>
      </c>
      <c r="C509" s="60" t="inlineStr">
        <is>
          <t>UTD</t>
        </is>
      </c>
      <c r="D509" s="61" t="inlineStr">
        <is>
          <t>UTD SERRINHA</t>
        </is>
      </c>
      <c r="E509" s="62" t="inlineStr">
        <is>
          <t>SERRINHA</t>
        </is>
      </c>
      <c r="F509" s="61" t="inlineStr">
        <is>
          <t>FEIRA DE  SANTANA</t>
        </is>
      </c>
      <c r="G509" s="60" t="inlineStr">
        <is>
          <t>BA</t>
        </is>
      </c>
      <c r="H509" s="119" t="n">
        <v>45444</v>
      </c>
      <c r="I509" s="119">
        <f>H509-180</f>
        <v/>
      </c>
      <c r="J509" s="60">
        <f>SUM(L509:AE509)</f>
        <v/>
      </c>
      <c r="K509" s="60">
        <f>SUM(AF509:AJ509)</f>
        <v/>
      </c>
      <c r="L509" s="60" t="n"/>
      <c r="M509" s="60" t="n"/>
      <c r="N509" s="60" t="n"/>
      <c r="O509" s="60" t="n">
        <v>4</v>
      </c>
      <c r="P509" s="60" t="n"/>
      <c r="Q509" s="60" t="n"/>
      <c r="R509" s="60" t="n"/>
      <c r="S509" s="60" t="n"/>
      <c r="T509" s="60" t="n"/>
      <c r="U509" s="60" t="n"/>
      <c r="V509" s="60" t="n">
        <v>10</v>
      </c>
      <c r="W509" s="60" t="n"/>
      <c r="X509" s="60" t="n"/>
      <c r="Y509" s="60" t="n"/>
      <c r="Z509" s="60" t="n"/>
      <c r="AA509" s="60" t="n"/>
      <c r="AB509" s="60" t="n"/>
      <c r="AC509" s="60" t="n"/>
      <c r="AD509" s="60" t="n"/>
      <c r="AE509" s="60" t="n"/>
      <c r="AF509" s="60" t="n">
        <v>8</v>
      </c>
      <c r="AG509" s="60" t="n"/>
      <c r="AH509" s="60" t="n">
        <v>3</v>
      </c>
      <c r="AI509" s="60" t="n"/>
      <c r="AJ509" s="60" t="n"/>
      <c r="AK509" s="120">
        <f>IF(L509&gt;0,L509*90.44,0)+IF(M509&gt;0,M509*348.12,0)+IF(N509&gt;0,N509*151.63,0)+IF(O509&gt;0,O509*197.82,0)+IF(P509&gt;0,P509*244.09,0)+IF(Q509&gt;0,Q509*315.35,0)+IF(R509&gt;0,R509*1067.3,0)+IF(T509&gt;0,T509*567.47,0)+IF(U509&gt;0,U509*151.63,0)+IF(V509&gt;0,V509*197.84,0)+IF(W509&gt;0,W509*470.51,0)+IF(X509&gt;0,X509*701.69,0)+IF(Z509&gt;0,Z509*151.63,0)+IF(AA509&gt;0,AA509*197.84)+IF(AB509&gt;0,AB509*308.4,0)+IF(AC509&gt;0,AC509*496.16,0)</f>
        <v/>
      </c>
    </row>
    <row r="510" hidden="1">
      <c r="A510" s="58" t="n"/>
      <c r="B510" s="59">
        <f>IF(H510&lt;$B$1,"VENCIDO","NA VALIDADE")</f>
        <v/>
      </c>
      <c r="C510" s="60" t="inlineStr">
        <is>
          <t>SUBESTAÇÃO</t>
        </is>
      </c>
      <c r="D510" s="61" t="inlineStr">
        <is>
          <t>SE IPIAÚ</t>
        </is>
      </c>
      <c r="E510" s="62" t="inlineStr">
        <is>
          <t>IPIAÚ</t>
        </is>
      </c>
      <c r="F510" s="61" t="inlineStr">
        <is>
          <t>ILHÉUS</t>
        </is>
      </c>
      <c r="G510" s="60" t="inlineStr">
        <is>
          <t>BA</t>
        </is>
      </c>
      <c r="H510" s="119" t="n">
        <v>45474</v>
      </c>
      <c r="I510" s="119">
        <f>H510-180</f>
        <v/>
      </c>
      <c r="J510" s="60">
        <f>SUM(L510:AE510)</f>
        <v/>
      </c>
      <c r="K510" s="60">
        <f>SUM(AF510:AJ510)</f>
        <v/>
      </c>
      <c r="L510" s="60" t="n"/>
      <c r="M510" s="60" t="n"/>
      <c r="N510" s="60" t="n"/>
      <c r="O510" s="60" t="n"/>
      <c r="P510" s="60" t="n">
        <v>3</v>
      </c>
      <c r="Q510" s="60" t="n">
        <v>5</v>
      </c>
      <c r="R510" s="60" t="n"/>
      <c r="S510" s="60" t="n"/>
      <c r="T510" s="60" t="n">
        <v>3</v>
      </c>
      <c r="U510" s="60" t="n"/>
      <c r="V510" s="60" t="n"/>
      <c r="W510" s="60" t="n"/>
      <c r="X510" s="60" t="n"/>
      <c r="Y510" s="60" t="n"/>
      <c r="Z510" s="60" t="n"/>
      <c r="AA510" s="60" t="n"/>
      <c r="AB510" s="60" t="n"/>
      <c r="AC510" s="60" t="n"/>
      <c r="AD510" s="60" t="n"/>
      <c r="AE510" s="60" t="n"/>
      <c r="AF510" s="60" t="n"/>
      <c r="AG510" s="60" t="n"/>
      <c r="AH510" s="60" t="n"/>
      <c r="AI510" s="60" t="n"/>
      <c r="AJ510" s="60" t="n"/>
      <c r="AK510" s="120">
        <f>IF(L510&gt;0,L510*90.44,0)+IF(M510&gt;0,M510*348.12,0)+IF(N510&gt;0,N510*151.63,0)+IF(O510&gt;0,O510*197.82,0)+IF(P510&gt;0,P510*244.09,0)+IF(Q510&gt;0,Q510*315.35,0)+IF(R510&gt;0,R510*1067.3,0)+IF(T510&gt;0,T510*567.47,0)+IF(U510&gt;0,U510*151.63,0)+IF(V510&gt;0,V510*197.84,0)+IF(W510&gt;0,W510*470.51,0)+IF(X510&gt;0,X510*701.69,0)+IF(Z510&gt;0,Z510*151.63,0)+IF(AA510&gt;0,AA510*197.84)+IF(AB510&gt;0,AB510*308.4,0)+IF(AC510&gt;0,AC510*496.16,0)</f>
        <v/>
      </c>
    </row>
    <row r="511" hidden="1">
      <c r="A511" s="58" t="inlineStr">
        <is>
          <t>SIM</t>
        </is>
      </c>
      <c r="B511" s="59">
        <f>IF(H511&lt;$B$1,"VENCIDO","NA VALIDADE")</f>
        <v/>
      </c>
      <c r="C511" s="60" t="inlineStr">
        <is>
          <t>UTD</t>
        </is>
      </c>
      <c r="D511" s="61" t="inlineStr">
        <is>
          <t>UTD VALENÇA</t>
        </is>
      </c>
      <c r="E511" s="62" t="inlineStr">
        <is>
          <t>VALENÇA</t>
        </is>
      </c>
      <c r="F511" s="61" t="inlineStr">
        <is>
          <t>ILHÉUS</t>
        </is>
      </c>
      <c r="G511" s="60" t="inlineStr">
        <is>
          <t>BA</t>
        </is>
      </c>
      <c r="H511" s="119" t="n">
        <v>45474</v>
      </c>
      <c r="I511" s="119">
        <f>H511-180</f>
        <v/>
      </c>
      <c r="J511" s="60">
        <f>SUM(L511:AE511)</f>
        <v/>
      </c>
      <c r="K511" s="60">
        <f>SUM(AF511:AJ511)</f>
        <v/>
      </c>
      <c r="L511" s="60" t="n">
        <v>2</v>
      </c>
      <c r="M511" s="60" t="n"/>
      <c r="N511" s="60" t="n"/>
      <c r="O511" s="60" t="n">
        <v>1</v>
      </c>
      <c r="P511" s="60" t="n"/>
      <c r="Q511" s="60" t="n">
        <v>2</v>
      </c>
      <c r="R511" s="60" t="n"/>
      <c r="S511" s="60" t="n"/>
      <c r="T511" s="60" t="n"/>
      <c r="U511" s="60" t="n"/>
      <c r="V511" s="60" t="n"/>
      <c r="W511" s="60" t="n"/>
      <c r="X511" s="60" t="n"/>
      <c r="Y511" s="60" t="n"/>
      <c r="Z511" s="60" t="n"/>
      <c r="AA511" s="60" t="n">
        <v>4</v>
      </c>
      <c r="AB511" s="60" t="n"/>
      <c r="AC511" s="60" t="n"/>
      <c r="AD511" s="60" t="n"/>
      <c r="AE511" s="60" t="n"/>
      <c r="AF511" s="60" t="n"/>
      <c r="AG511" s="60" t="n"/>
      <c r="AH511" s="60" t="n"/>
      <c r="AI511" s="60" t="n"/>
      <c r="AJ511" s="60" t="n"/>
      <c r="AK511" s="120">
        <f>IF(L511&gt;0,L511*90.44,0)+IF(M511&gt;0,M511*348.12,0)+IF(N511&gt;0,N511*151.63,0)+IF(O511&gt;0,O511*197.82,0)+IF(P511&gt;0,P511*244.09,0)+IF(Q511&gt;0,Q511*315.35,0)+IF(R511&gt;0,R511*1067.3,0)+IF(T511&gt;0,T511*567.47,0)+IF(U511&gt;0,U511*151.63,0)+IF(V511&gt;0,V511*197.84,0)+IF(W511&gt;0,W511*470.51,0)+IF(X511&gt;0,X511*701.69,0)+IF(Z511&gt;0,Z511*151.63,0)+IF(AA511&gt;0,AA511*197.84)+IF(AB511&gt;0,AB511*308.4,0)+IF(AC511&gt;0,AC511*496.16,0)</f>
        <v/>
      </c>
    </row>
    <row r="512" hidden="1">
      <c r="A512" s="58" t="inlineStr">
        <is>
          <t>SIM</t>
        </is>
      </c>
      <c r="B512" s="59">
        <f>IF(H512&lt;$B$1,"VENCIDO","NA VALIDADE")</f>
        <v/>
      </c>
      <c r="C512" s="60" t="inlineStr">
        <is>
          <t>UTD</t>
        </is>
      </c>
      <c r="D512" s="61" t="inlineStr">
        <is>
          <t>UTD VITÓRIA DA CONQUISTA</t>
        </is>
      </c>
      <c r="E512" s="62" t="inlineStr">
        <is>
          <t>VITÓRIA DA CONQUISTA</t>
        </is>
      </c>
      <c r="F512" s="61" t="inlineStr">
        <is>
          <t>VITÓRIA DA CONQUISTA</t>
        </is>
      </c>
      <c r="G512" s="60" t="inlineStr">
        <is>
          <t>BA</t>
        </is>
      </c>
      <c r="H512" s="119" t="n">
        <v>45536</v>
      </c>
      <c r="I512" s="119">
        <f>H512-180</f>
        <v/>
      </c>
      <c r="J512" s="60">
        <f>SUM(L512:AE512)</f>
        <v/>
      </c>
      <c r="K512" s="60">
        <f>SUM(AF512:AJ512)</f>
        <v/>
      </c>
      <c r="L512" s="60" t="n">
        <v>8</v>
      </c>
      <c r="M512" s="60" t="n"/>
      <c r="N512" s="60" t="n"/>
      <c r="O512" s="60" t="n"/>
      <c r="P512" s="60" t="n"/>
      <c r="Q512" s="60" t="n">
        <v>11</v>
      </c>
      <c r="R512" s="60" t="n"/>
      <c r="S512" s="60" t="n"/>
      <c r="T512" s="60" t="n"/>
      <c r="U512" s="60" t="n"/>
      <c r="V512" s="60" t="n">
        <v>5</v>
      </c>
      <c r="W512" s="60" t="n"/>
      <c r="X512" s="60" t="n"/>
      <c r="Y512" s="60" t="n"/>
      <c r="Z512" s="60" t="n"/>
      <c r="AA512" s="60" t="n">
        <v>14</v>
      </c>
      <c r="AB512" s="60" t="n"/>
      <c r="AC512" s="60" t="n"/>
      <c r="AD512" s="60" t="n"/>
      <c r="AE512" s="60" t="n"/>
      <c r="AF512" s="60" t="n"/>
      <c r="AG512" s="60" t="n"/>
      <c r="AH512" s="60" t="n">
        <v>8</v>
      </c>
      <c r="AI512" s="60" t="n"/>
      <c r="AJ512" s="60" t="n"/>
      <c r="AK512" s="120">
        <f>IF(L512&gt;0,L512*90.44,0)+IF(M512&gt;0,M512*348.12,0)+IF(N512&gt;0,N512*151.63,0)+IF(O512&gt;0,O512*197.82,0)+IF(P512&gt;0,P512*244.09,0)+IF(Q512&gt;0,Q512*315.35,0)+IF(R512&gt;0,R512*1067.3,0)+IF(T512&gt;0,T512*567.47,0)+IF(U512&gt;0,U512*151.63,0)+IF(V512&gt;0,V512*197.84,0)+IF(W512&gt;0,W512*470.51,0)+IF(X512&gt;0,X512*701.69,0)+IF(Z512&gt;0,Z512*151.63,0)+IF(AA512&gt;0,AA512*197.84)+IF(AB512&gt;0,AB512*308.4,0)+IF(AC512&gt;0,AC512*496.16,0)</f>
        <v/>
      </c>
    </row>
    <row r="513" hidden="1">
      <c r="A513" s="58" t="inlineStr">
        <is>
          <t>08/11 a 12/11</t>
        </is>
      </c>
      <c r="B513" s="58">
        <f>IF(H513&lt;$B$1,"VENCIDO","NA VALIDADE")</f>
        <v/>
      </c>
      <c r="C513" s="58" t="inlineStr">
        <is>
          <t>UTD</t>
        </is>
      </c>
      <c r="D513" s="69" t="inlineStr">
        <is>
          <t>UTD SEABRA</t>
        </is>
      </c>
      <c r="E513" s="70" t="inlineStr">
        <is>
          <t>SEABRA</t>
        </is>
      </c>
      <c r="F513" s="69" t="inlineStr">
        <is>
          <t>VITÓRIA DA CONQUISTA</t>
        </is>
      </c>
      <c r="G513" s="58" t="inlineStr">
        <is>
          <t>BA</t>
        </is>
      </c>
      <c r="H513" s="121" t="n">
        <v>44469</v>
      </c>
      <c r="I513" s="121">
        <f>H513-180</f>
        <v/>
      </c>
      <c r="J513" s="58">
        <f>SUM(L513:AE513)</f>
        <v/>
      </c>
      <c r="K513" s="60">
        <f>SUM(AF513:AJ513)</f>
        <v/>
      </c>
      <c r="L513" s="58" t="n"/>
      <c r="M513" s="58" t="n"/>
      <c r="N513" s="58" t="n"/>
      <c r="O513" s="58" t="n"/>
      <c r="P513" s="58" t="n"/>
      <c r="Q513" s="58" t="n">
        <v>2</v>
      </c>
      <c r="R513" s="58" t="n"/>
      <c r="S513" s="58" t="n"/>
      <c r="T513" s="58" t="n"/>
      <c r="U513" s="58" t="n"/>
      <c r="V513" s="58" t="n"/>
      <c r="W513" s="58" t="n"/>
      <c r="X513" s="58" t="n"/>
      <c r="Y513" s="58" t="n"/>
      <c r="Z513" s="58" t="n"/>
      <c r="AA513" s="58" t="n"/>
      <c r="AB513" s="58" t="n"/>
      <c r="AC513" s="58" t="n"/>
      <c r="AD513" s="58" t="n"/>
      <c r="AE513" s="58" t="n"/>
      <c r="AF513" s="58" t="n"/>
      <c r="AG513" s="58" t="n"/>
      <c r="AH513" s="58" t="n"/>
      <c r="AI513" s="58" t="n"/>
      <c r="AJ513" s="58" t="n"/>
      <c r="AK513" s="120">
        <f>IF(L513&gt;0,L513*90.44,0)+IF(M513&gt;0,M513*348.12,0)+IF(N513&gt;0,N513*151.63,0)+IF(O513&gt;0,O513*197.82,0)+IF(P513&gt;0,P513*244.09,0)+IF(Q513&gt;0,Q513*315.35,0)+IF(R513&gt;0,R513*1067.3,0)+IF(T513&gt;0,T513*567.47,0)+IF(U513&gt;0,U513*151.63,0)+IF(V513&gt;0,V513*197.84,0)+IF(W513&gt;0,W513*470.51,0)+IF(X513&gt;0,X513*701.69,0)+IF(Z513&gt;0,Z513*151.63,0)+IF(AA513&gt;0,AA513*197.84)+IF(AB513&gt;0,AB513*308.4,0)+IF(AC513&gt;0,AC513*496.16,0)</f>
        <v/>
      </c>
    </row>
    <row r="514">
      <c r="A514" s="58" t="n"/>
      <c r="B514" s="58">
        <f>IF(H514&lt;$B$1,"VENCIDO","NA VALIDADE")</f>
        <v/>
      </c>
      <c r="C514" s="58" t="inlineStr">
        <is>
          <t>UTD</t>
        </is>
      </c>
      <c r="D514" s="69" t="inlineStr">
        <is>
          <t>UTD SENHOR DO BONFIM</t>
        </is>
      </c>
      <c r="E514" s="70" t="inlineStr">
        <is>
          <t>SENHOR DO BONFIM</t>
        </is>
      </c>
      <c r="F514" s="69" t="inlineStr">
        <is>
          <t>FEIRA DE  SANTANA</t>
        </is>
      </c>
      <c r="G514" s="58" t="inlineStr">
        <is>
          <t>BA</t>
        </is>
      </c>
      <c r="H514" s="121" t="n">
        <v>44561</v>
      </c>
      <c r="I514" s="121">
        <f>H514-180</f>
        <v/>
      </c>
      <c r="J514" s="58">
        <f>SUM(L514:AE514)</f>
        <v/>
      </c>
      <c r="K514" s="60">
        <f>SUM(AF514:AJ514)</f>
        <v/>
      </c>
      <c r="L514" s="58" t="n">
        <v>2</v>
      </c>
      <c r="M514" s="58" t="n"/>
      <c r="N514" s="58" t="n"/>
      <c r="O514" s="58" t="n"/>
      <c r="P514" s="58" t="n"/>
      <c r="Q514" s="58" t="n">
        <v>1</v>
      </c>
      <c r="R514" s="58" t="n"/>
      <c r="S514" s="58" t="n"/>
      <c r="T514" s="58" t="n"/>
      <c r="U514" s="58" t="n"/>
      <c r="V514" s="58" t="n">
        <v>3</v>
      </c>
      <c r="W514" s="58" t="n"/>
      <c r="X514" s="58" t="n"/>
      <c r="Y514" s="58" t="n"/>
      <c r="Z514" s="58" t="n"/>
      <c r="AA514" s="58" t="n">
        <v>2</v>
      </c>
      <c r="AB514" s="58" t="n"/>
      <c r="AC514" s="58" t="n"/>
      <c r="AD514" s="58" t="n"/>
      <c r="AE514" s="58" t="n"/>
      <c r="AF514" s="58" t="n"/>
      <c r="AG514" s="58" t="n"/>
      <c r="AH514" s="58" t="n"/>
      <c r="AI514" s="58" t="n"/>
      <c r="AJ514" s="58" t="n"/>
      <c r="AK514" s="120">
        <f>IF(L514&gt;0,L514*90.44,0)+IF(M514&gt;0,M514*348.12,0)+IF(N514&gt;0,N514*151.63,0)+IF(O514&gt;0,O514*197.82,0)+IF(P514&gt;0,P514*244.09,0)+IF(Q514&gt;0,Q514*315.35,0)+IF(R514&gt;0,R514*1067.3,0)+IF(T514&gt;0,T514*567.47,0)+IF(U514&gt;0,U514*151.63,0)+IF(V514&gt;0,V514*197.84,0)+IF(W514&gt;0,W514*470.51,0)+IF(X514&gt;0,X514*701.69,0)+IF(Z514&gt;0,Z514*151.63,0)+IF(AA514&gt;0,AA514*197.84)+IF(AB514&gt;0,AB514*308.4,0)+IF(AC514&gt;0,AC514*496.16,0)</f>
        <v/>
      </c>
    </row>
    <row r="515">
      <c r="A515" s="58" t="inlineStr">
        <is>
          <t>SIM</t>
        </is>
      </c>
      <c r="B515" s="58">
        <f>IF(H515&lt;$B$1,"VENCIDO","NA VALIDADE")</f>
        <v/>
      </c>
      <c r="C515" s="58" t="inlineStr">
        <is>
          <t>UTD</t>
        </is>
      </c>
      <c r="D515" s="69" t="inlineStr">
        <is>
          <t>UTD SERRINHA</t>
        </is>
      </c>
      <c r="E515" s="70" t="inlineStr">
        <is>
          <t>SERRINHA</t>
        </is>
      </c>
      <c r="F515" s="69" t="inlineStr">
        <is>
          <t>FEIRA DE  SANTANA</t>
        </is>
      </c>
      <c r="G515" s="58" t="inlineStr">
        <is>
          <t>BA</t>
        </is>
      </c>
      <c r="H515" s="121" t="n">
        <v>44682</v>
      </c>
      <c r="I515" s="121">
        <f>H515-180</f>
        <v/>
      </c>
      <c r="J515" s="58">
        <f>SUM(L515:AE515)</f>
        <v/>
      </c>
      <c r="K515" s="60">
        <f>SUM(AF515:AJ515)</f>
        <v/>
      </c>
      <c r="L515" s="58" t="n"/>
      <c r="M515" s="58" t="n"/>
      <c r="N515" s="58" t="n"/>
      <c r="O515" s="58" t="n">
        <v>5</v>
      </c>
      <c r="P515" s="58" t="n"/>
      <c r="Q515" s="58" t="n"/>
      <c r="R515" s="58" t="n"/>
      <c r="S515" s="58" t="n"/>
      <c r="T515" s="58" t="n"/>
      <c r="U515" s="58" t="n">
        <v>1</v>
      </c>
      <c r="V515" s="58" t="n">
        <v>7</v>
      </c>
      <c r="W515" s="58" t="n"/>
      <c r="X515" s="58" t="n"/>
      <c r="Y515" s="58" t="n"/>
      <c r="Z515" s="58" t="n"/>
      <c r="AA515" s="58" t="n"/>
      <c r="AB515" s="58" t="n"/>
      <c r="AC515" s="58" t="n"/>
      <c r="AD515" s="58" t="n"/>
      <c r="AE515" s="58" t="n"/>
      <c r="AF515" s="58" t="n"/>
      <c r="AG515" s="58" t="n"/>
      <c r="AH515" s="58" t="n">
        <v>15</v>
      </c>
      <c r="AI515" s="58" t="n"/>
      <c r="AJ515" s="58" t="n"/>
      <c r="AK515" s="120">
        <f>IF(L515&gt;0,L515*90.44,0)+IF(M515&gt;0,M515*348.12,0)+IF(N515&gt;0,N515*151.63,0)+IF(O515&gt;0,O515*197.82,0)+IF(P515&gt;0,P515*244.09,0)+IF(Q515&gt;0,Q515*315.35,0)+IF(R515&gt;0,R515*1067.3,0)+IF(T515&gt;0,T515*567.47,0)+IF(U515&gt;0,U515*151.63,0)+IF(V515&gt;0,V515*197.84,0)+IF(W515&gt;0,W515*470.51,0)+IF(X515&gt;0,X515*701.69,0)+IF(Z515&gt;0,Z515*151.63,0)+IF(AA515&gt;0,AA515*197.84)+IF(AB515&gt;0,AB515*308.4,0)+IF(AC515&gt;0,AC515*496.16,0)</f>
        <v/>
      </c>
    </row>
    <row r="516" hidden="1">
      <c r="A516" s="58" t="inlineStr">
        <is>
          <t>VITÓRIA 06/12</t>
        </is>
      </c>
      <c r="B516" s="58">
        <f>IF(H516&lt;$B$1,"VENCIDO","NA VALIDADE")</f>
        <v/>
      </c>
      <c r="C516" s="58" t="inlineStr">
        <is>
          <t>SUBESTAÇÃO</t>
        </is>
      </c>
      <c r="D516" s="69" t="inlineStr">
        <is>
          <t>SE IPIAÚ</t>
        </is>
      </c>
      <c r="E516" s="70" t="inlineStr">
        <is>
          <t>IPIAÚ</t>
        </is>
      </c>
      <c r="F516" s="69" t="inlineStr">
        <is>
          <t>ILHÉUS</t>
        </is>
      </c>
      <c r="G516" s="58" t="inlineStr">
        <is>
          <t>BA</t>
        </is>
      </c>
      <c r="H516" s="121" t="n">
        <v>44621</v>
      </c>
      <c r="I516" s="121">
        <f>H516-180</f>
        <v/>
      </c>
      <c r="J516" s="58">
        <f>SUM(L516:AE516)</f>
        <v/>
      </c>
      <c r="K516" s="60">
        <f>SUM(AF516:AJ516)</f>
        <v/>
      </c>
      <c r="L516" s="58" t="n">
        <v>8</v>
      </c>
      <c r="M516" s="58" t="n"/>
      <c r="N516" s="58" t="n"/>
      <c r="O516" s="58" t="n"/>
      <c r="P516" s="58" t="n"/>
      <c r="Q516" s="58" t="n">
        <v>7</v>
      </c>
      <c r="R516" s="58" t="n"/>
      <c r="S516" s="58" t="n"/>
      <c r="T516" s="58" t="n"/>
      <c r="U516" s="58" t="n"/>
      <c r="V516" s="58" t="n"/>
      <c r="W516" s="58" t="n"/>
      <c r="X516" s="58" t="n">
        <v>3</v>
      </c>
      <c r="Y516" s="58" t="n"/>
      <c r="Z516" s="58" t="n"/>
      <c r="AA516" s="58" t="n"/>
      <c r="AB516" s="58" t="n"/>
      <c r="AC516" s="58" t="n"/>
      <c r="AD516" s="58" t="n"/>
      <c r="AE516" s="58" t="n"/>
      <c r="AF516" s="58" t="n"/>
      <c r="AG516" s="58" t="n"/>
      <c r="AH516" s="58" t="n"/>
      <c r="AI516" s="58" t="n"/>
      <c r="AJ516" s="58" t="n"/>
      <c r="AK516" s="120">
        <f>IF(L516&gt;0,L516*90.44,0)+IF(M516&gt;0,M516*348.12,0)+IF(N516&gt;0,N516*151.63,0)+IF(O516&gt;0,O516*197.82,0)+IF(P516&gt;0,P516*244.09,0)+IF(Q516&gt;0,Q516*315.35,0)+IF(R516&gt;0,R516*1067.3,0)+IF(T516&gt;0,T516*567.47,0)+IF(U516&gt;0,U516*151.63,0)+IF(V516&gt;0,V516*197.84,0)+IF(W516&gt;0,W516*470.51,0)+IF(X516&gt;0,X516*701.69,0)+IF(Z516&gt;0,Z516*151.63,0)+IF(AA516&gt;0,AA516*197.84)+IF(AB516&gt;0,AB516*308.4,0)+IF(AC516&gt;0,AC516*496.16,0)</f>
        <v/>
      </c>
    </row>
    <row r="517" hidden="1">
      <c r="A517" s="58" t="inlineStr">
        <is>
          <t>SIM</t>
        </is>
      </c>
      <c r="B517" s="58">
        <f>IF(H517&lt;$B$1,"VENCIDO","NA VALIDADE")</f>
        <v/>
      </c>
      <c r="C517" s="58" t="inlineStr">
        <is>
          <t>UTD</t>
        </is>
      </c>
      <c r="D517" s="69" t="inlineStr">
        <is>
          <t>UTD VALENÇA</t>
        </is>
      </c>
      <c r="E517" s="70" t="inlineStr">
        <is>
          <t>VALENÇA</t>
        </is>
      </c>
      <c r="F517" s="69" t="inlineStr">
        <is>
          <t>ILHÉUS</t>
        </is>
      </c>
      <c r="G517" s="58" t="inlineStr">
        <is>
          <t>BA</t>
        </is>
      </c>
      <c r="H517" s="121" t="n">
        <v>44743</v>
      </c>
      <c r="I517" s="121">
        <f>H517-180</f>
        <v/>
      </c>
      <c r="J517" s="58">
        <f>SUM(L517:AE517)</f>
        <v/>
      </c>
      <c r="K517" s="60">
        <f>SUM(AF517:AJ517)</f>
        <v/>
      </c>
      <c r="L517" s="58" t="n">
        <v>2</v>
      </c>
      <c r="M517" s="58" t="n"/>
      <c r="N517" s="58" t="n"/>
      <c r="O517" s="58" t="n"/>
      <c r="P517" s="58" t="n"/>
      <c r="Q517" s="58" t="n">
        <v>2</v>
      </c>
      <c r="R517" s="58" t="n"/>
      <c r="S517" s="58" t="n"/>
      <c r="T517" s="58" t="n"/>
      <c r="U517" s="58" t="n"/>
      <c r="V517" s="58" t="n"/>
      <c r="W517" s="58" t="n"/>
      <c r="X517" s="58" t="n"/>
      <c r="Y517" s="58" t="n"/>
      <c r="Z517" s="58" t="n"/>
      <c r="AA517" s="58" t="n">
        <v>3</v>
      </c>
      <c r="AB517" s="58" t="n"/>
      <c r="AC517" s="58" t="n"/>
      <c r="AD517" s="58" t="n"/>
      <c r="AE517" s="58" t="n"/>
      <c r="AF517" s="58" t="n"/>
      <c r="AG517" s="58" t="n"/>
      <c r="AH517" s="58" t="n"/>
      <c r="AI517" s="58" t="n"/>
      <c r="AJ517" s="58" t="n"/>
      <c r="AK517" s="120">
        <f>IF(L517&gt;0,L517*90.44,0)+IF(M517&gt;0,M517*348.12,0)+IF(N517&gt;0,N517*151.63,0)+IF(O517&gt;0,O517*197.82,0)+IF(P517&gt;0,P517*244.09,0)+IF(Q517&gt;0,Q517*315.35,0)+IF(R517&gt;0,R517*1067.3,0)+IF(T517&gt;0,T517*567.47,0)+IF(U517&gt;0,U517*151.63,0)+IF(V517&gt;0,V517*197.84,0)+IF(W517&gt;0,W517*470.51,0)+IF(X517&gt;0,X517*701.69,0)+IF(Z517&gt;0,Z517*151.63,0)+IF(AA517&gt;0,AA517*197.84)+IF(AB517&gt;0,AB517*308.4,0)+IF(AC517&gt;0,AC517*496.16,0)</f>
        <v/>
      </c>
    </row>
    <row r="518" hidden="1">
      <c r="A518" s="58" t="inlineStr">
        <is>
          <t>SIM</t>
        </is>
      </c>
      <c r="B518" s="58">
        <f>IF(H518&lt;$B$1,"VENCIDO","NA VALIDADE")</f>
        <v/>
      </c>
      <c r="C518" s="58" t="inlineStr">
        <is>
          <t>UTD</t>
        </is>
      </c>
      <c r="D518" s="69" t="inlineStr">
        <is>
          <t>UTD VITÓRIA DA CONQUISTA</t>
        </is>
      </c>
      <c r="E518" s="70" t="inlineStr">
        <is>
          <t>VITÓRIA DA CONQUISTA</t>
        </is>
      </c>
      <c r="F518" s="69" t="inlineStr">
        <is>
          <t>VITÓRIA DA CONQUISTA</t>
        </is>
      </c>
      <c r="G518" s="58" t="inlineStr">
        <is>
          <t>BA</t>
        </is>
      </c>
      <c r="H518" s="121" t="n">
        <v>44743</v>
      </c>
      <c r="I518" s="121">
        <f>H518-180</f>
        <v/>
      </c>
      <c r="J518" s="58">
        <f>SUM(L518:AE518)</f>
        <v/>
      </c>
      <c r="K518" s="60">
        <f>SUM(AF518:AJ518)</f>
        <v/>
      </c>
      <c r="L518" s="58" t="n">
        <v>4</v>
      </c>
      <c r="M518" s="58" t="n"/>
      <c r="N518" s="58" t="n"/>
      <c r="O518" s="58" t="n">
        <v>8</v>
      </c>
      <c r="P518" s="58" t="n"/>
      <c r="Q518" s="58" t="n">
        <v>1</v>
      </c>
      <c r="R518" s="58" t="n"/>
      <c r="S518" s="58" t="n"/>
      <c r="T518" s="58" t="n"/>
      <c r="U518" s="58" t="n"/>
      <c r="V518" s="58" t="n"/>
      <c r="W518" s="58" t="n"/>
      <c r="X518" s="58" t="n"/>
      <c r="Y518" s="58" t="n"/>
      <c r="Z518" s="58" t="n"/>
      <c r="AA518" s="58" t="n">
        <v>3</v>
      </c>
      <c r="AB518" s="58" t="n"/>
      <c r="AC518" s="58" t="n"/>
      <c r="AD518" s="58" t="n"/>
      <c r="AE518" s="58" t="n"/>
      <c r="AF518" s="58" t="n"/>
      <c r="AG518" s="58" t="n"/>
      <c r="AH518" s="58" t="n">
        <v>8</v>
      </c>
      <c r="AI518" s="58" t="n"/>
      <c r="AJ518" s="58" t="n"/>
      <c r="AK518" s="120">
        <f>IF(L518&gt;0,L518*90.44,0)+IF(M518&gt;0,M518*348.12,0)+IF(N518&gt;0,N518*151.63,0)+IF(O518&gt;0,O518*197.82,0)+IF(P518&gt;0,P518*244.09,0)+IF(Q518&gt;0,Q518*315.35,0)+IF(R518&gt;0,R518*1067.3,0)+IF(T518&gt;0,T518*567.47,0)+IF(U518&gt;0,U518*151.63,0)+IF(V518&gt;0,V518*197.84,0)+IF(W518&gt;0,W518*470.51,0)+IF(X518&gt;0,X518*701.69,0)+IF(Z518&gt;0,Z518*151.63,0)+IF(AA518&gt;0,AA518*197.84)+IF(AB518&gt;0,AB518*308.4,0)+IF(AC518&gt;0,AC518*496.16,0)</f>
        <v/>
      </c>
    </row>
  </sheetData>
  <autoFilter ref="A2:AK518">
    <filterColumn colId="5" hiddenButton="0" showButton="1">
      <filters>
        <filter val="FEIRA DE 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3:A512 A513:B518">
    <cfRule type="containsText" priority="11" operator="containsText" dxfId="3" text="NA VALIDADE">
      <formula>NOT(ISERROR(SEARCH("NA VALIDADE",A3)))</formula>
    </cfRule>
    <cfRule type="containsText" priority="12" operator="containsText" dxfId="2" text="VENCIDO">
      <formula>NOT(ISERROR(SEARCH("VENCIDO",A3)))</formula>
    </cfRule>
  </conditionalFormatting>
  <conditionalFormatting sqref="A3:A518">
    <cfRule type="cellIs" priority="5" operator="equal" dxfId="4">
      <formula>"SIM"</formula>
    </cfRule>
  </conditionalFormatting>
  <conditionalFormatting sqref="A2:B2">
    <cfRule type="containsText" priority="6" operator="containsText" dxfId="8" text="ENVIADO">
      <formula>NOT(ISERROR(SEARCH("ENVIADO",A2)))</formula>
    </cfRule>
    <cfRule type="cellIs" priority="7" operator="equal" dxfId="7">
      <formula>$E$355</formula>
    </cfRule>
    <cfRule type="cellIs" priority="8" operator="equal" dxfId="6">
      <formula>$E$354</formula>
    </cfRule>
    <cfRule type="cellIs" priority="9" operator="equal" dxfId="5">
      <formula>$E$353</formula>
    </cfRule>
    <cfRule type="cellIs" priority="10" operator="equal" dxfId="4">
      <formula>$E$352</formula>
    </cfRule>
  </conditionalFormatting>
  <conditionalFormatting sqref="B3:B512">
    <cfRule type="containsText" priority="2" operator="containsText" dxfId="3" text="NA VALIDADE">
      <formula>NOT(ISERROR(SEARCH("NA VALIDADE",B3)))</formula>
    </cfRule>
    <cfRule type="containsText" priority="3" operator="containsText" dxfId="2" text="VENCIDO">
      <formula>NOT(ISERROR(SEARCH("VENCIDO",B3)))</formula>
    </cfRule>
  </conditionalFormatting>
  <conditionalFormatting sqref="J3:AK518">
    <cfRule type="cellIs" priority="4" operator="greaterThan" dxfId="1">
      <formula>0</formula>
    </cfRule>
  </conditionalFormatting>
  <pageMargins left="0.511805555555556" right="0.511805555555556" top="0.7875" bottom="0.7875" header="0.511811023622047" footer="0.511811023622047"/>
  <pageSetup orientation="portrait" paperSize="9" scale="18" fitToHeight="0" horizontalDpi="300" verticalDpi="300"/>
  <drawing r:id="rIdDrw1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tabColor rgb="FFC55A11"/>
    <outlinePr summaryBelow="1" summaryRight="1"/>
    <pageSetUpPr fitToPage="1"/>
  </sheetPr>
  <dimension ref="A1:AK115"/>
  <sheetViews>
    <sheetView view="pageBreakPreview" zoomScale="80" zoomScaleNormal="100" zoomScalePageLayoutView="80" workbookViewId="0">
      <selection activeCell="AG15" sqref="AG15"/>
    </sheetView>
  </sheetViews>
  <sheetFormatPr baseColWidth="8" defaultColWidth="8.7109375" defaultRowHeight="15"/>
  <cols>
    <col width="12.85546875" customWidth="1" min="1" max="1"/>
    <col width="11.5703125" customWidth="1" min="2" max="2"/>
    <col width="13.42578125" customWidth="1" min="3" max="3"/>
    <col width="56.5703125" customWidth="1" min="4" max="4"/>
    <col width="29.42578125" customWidth="1" min="5" max="5"/>
    <col width="3.85546875" customWidth="1" min="6" max="6"/>
    <col width="23.5703125" customWidth="1" min="7" max="7"/>
    <col width="13.5703125" customWidth="1" min="8" max="9"/>
    <col width="16.85546875" customWidth="1" min="10" max="11"/>
    <col width="11.85546875" customWidth="1" min="36" max="36"/>
    <col hidden="1" width="17" customWidth="1" min="37" max="37"/>
  </cols>
  <sheetData>
    <row r="1" ht="51" customHeight="1">
      <c r="A1" s="122">
        <f>TODAY()</f>
        <v/>
      </c>
      <c r="B1" s="122">
        <f>TODAY()</f>
        <v/>
      </c>
      <c r="C1" s="48" t="n"/>
      <c r="D1" s="49">
        <f>SUBTOTAL(3,D3:D519)</f>
        <v/>
      </c>
      <c r="E1" s="51" t="inlineStr">
        <is>
          <t>MAPA:</t>
        </is>
      </c>
      <c r="F1" s="48" t="n"/>
      <c r="G1" s="48" t="n"/>
      <c r="H1" s="73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15.7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UF</t>
        </is>
      </c>
      <c r="G2" s="54" t="inlineStr">
        <is>
          <t>BASE DE ATENDIMENTO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30Kg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>
      <c r="A3" s="59" t="inlineStr">
        <is>
          <t>SIM</t>
        </is>
      </c>
      <c r="B3" s="59">
        <f>IF(H3&lt;$B$1,"VENCIDO","NA VALIDADE")</f>
        <v/>
      </c>
      <c r="C3" s="60" t="inlineStr">
        <is>
          <t>AGÊNCIA</t>
        </is>
      </c>
      <c r="D3" s="61" t="inlineStr">
        <is>
          <t>AGÊNCIA CAICÓ</t>
        </is>
      </c>
      <c r="E3" s="74" t="inlineStr">
        <is>
          <t>CAICÓ</t>
        </is>
      </c>
      <c r="F3" s="75" t="inlineStr">
        <is>
          <t>RN</t>
        </is>
      </c>
      <c r="G3" s="75" t="inlineStr">
        <is>
          <t>NATAL</t>
        </is>
      </c>
      <c r="H3" s="119" t="n">
        <v>45413</v>
      </c>
      <c r="I3" s="119">
        <f>H3-180</f>
        <v/>
      </c>
      <c r="J3" s="60">
        <f>SUM(L3:AE3)</f>
        <v/>
      </c>
      <c r="K3" s="60">
        <f>SUM(AF3:AJ3)</f>
        <v/>
      </c>
      <c r="L3" s="60" t="n">
        <v>1</v>
      </c>
      <c r="M3" s="60" t="n"/>
      <c r="N3" s="60" t="n">
        <v>1</v>
      </c>
      <c r="O3" s="60" t="n"/>
      <c r="P3" s="60" t="n"/>
      <c r="Q3" s="60" t="n"/>
      <c r="R3" s="60" t="n"/>
      <c r="S3" s="60" t="n"/>
      <c r="T3" s="60" t="n"/>
      <c r="U3" s="60" t="n"/>
      <c r="V3" s="60" t="n"/>
      <c r="W3" s="60" t="n"/>
      <c r="X3" s="60" t="n"/>
      <c r="Y3" s="60" t="n"/>
      <c r="Z3" s="60" t="n"/>
      <c r="AA3" s="60" t="n"/>
      <c r="AB3" s="60" t="n"/>
      <c r="AC3" s="60" t="n"/>
      <c r="AD3" s="60" t="n"/>
      <c r="AE3" s="60" t="n"/>
      <c r="AF3" s="60" t="n"/>
      <c r="AG3" s="60" t="n"/>
      <c r="AH3" s="60" t="n"/>
      <c r="AI3" s="60" t="n"/>
      <c r="AJ3" s="60" t="n"/>
      <c r="AK3" s="120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>
      <c r="A4" s="59" t="inlineStr">
        <is>
          <t>SIM</t>
        </is>
      </c>
      <c r="B4" s="59">
        <f>IF(H4&lt;$B$1,"VENCIDO","NA VALIDADE")</f>
        <v/>
      </c>
      <c r="C4" s="60" t="inlineStr">
        <is>
          <t>AGÊNCIA</t>
        </is>
      </c>
      <c r="D4" s="61" t="inlineStr">
        <is>
          <t>AGÊNCIA CEARÁ-MIRIM</t>
        </is>
      </c>
      <c r="E4" s="74" t="inlineStr">
        <is>
          <t>CEARÁ-MIRIM</t>
        </is>
      </c>
      <c r="F4" s="75" t="inlineStr">
        <is>
          <t>RN</t>
        </is>
      </c>
      <c r="G4" s="75" t="inlineStr">
        <is>
          <t>NATAL</t>
        </is>
      </c>
      <c r="H4" s="119" t="n">
        <v>45444</v>
      </c>
      <c r="I4" s="119">
        <f>H4-180</f>
        <v/>
      </c>
      <c r="J4" s="60">
        <f>SUM(L4:AE4)</f>
        <v/>
      </c>
      <c r="K4" s="60">
        <f>SUM(AF4:AK4)</f>
        <v/>
      </c>
      <c r="L4" s="60" t="n">
        <v>1</v>
      </c>
      <c r="M4" s="60" t="n"/>
      <c r="N4" s="60" t="n">
        <v>1</v>
      </c>
      <c r="O4" s="60" t="n"/>
      <c r="P4" s="60" t="n"/>
      <c r="Q4" s="60" t="n"/>
      <c r="R4" s="60" t="n"/>
      <c r="S4" s="60" t="n"/>
      <c r="T4" s="60" t="n"/>
      <c r="U4" s="60" t="n"/>
      <c r="V4" s="60" t="n"/>
      <c r="W4" s="60" t="n"/>
      <c r="X4" s="60" t="n"/>
      <c r="Y4" s="60" t="n"/>
      <c r="Z4" s="60" t="n"/>
      <c r="AA4" s="60" t="n"/>
      <c r="AB4" s="60" t="n"/>
      <c r="AC4" s="60" t="n"/>
      <c r="AD4" s="60" t="n"/>
      <c r="AE4" s="60" t="n"/>
      <c r="AF4" s="60" t="n"/>
      <c r="AG4" s="60" t="n"/>
      <c r="AH4" s="60" t="n"/>
      <c r="AI4" s="60" t="n"/>
      <c r="AJ4" s="60" t="n"/>
      <c r="AK4" s="120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/>
      </c>
    </row>
    <row r="5">
      <c r="A5" s="59" t="inlineStr">
        <is>
          <t>SIM</t>
        </is>
      </c>
      <c r="B5" s="59">
        <f>IF(H5&lt;$B$1,"VENCIDO","NA VALIDADE")</f>
        <v/>
      </c>
      <c r="C5" s="60" t="inlineStr">
        <is>
          <t>AGÊNCIA</t>
        </is>
      </c>
      <c r="D5" s="61" t="inlineStr">
        <is>
          <t>AGÊNCIA DE ATENDIMENTO ALECRIM</t>
        </is>
      </c>
      <c r="E5" s="74" t="inlineStr">
        <is>
          <t>NATAL</t>
        </is>
      </c>
      <c r="F5" s="75" t="inlineStr">
        <is>
          <t>RN</t>
        </is>
      </c>
      <c r="G5" s="75" t="inlineStr">
        <is>
          <t>NATAL</t>
        </is>
      </c>
      <c r="H5" s="119" t="n">
        <v>45323</v>
      </c>
      <c r="I5" s="119">
        <f>H5-180</f>
        <v/>
      </c>
      <c r="J5" s="60">
        <f>SUM(L5:AE5)</f>
        <v/>
      </c>
      <c r="K5" s="60">
        <f>SUM(AF5:AK5)</f>
        <v/>
      </c>
      <c r="L5" s="60" t="n">
        <v>2</v>
      </c>
      <c r="M5" s="60" t="n"/>
      <c r="N5" s="60" t="n"/>
      <c r="O5" s="60" t="n">
        <v>2</v>
      </c>
      <c r="P5" s="60" t="n"/>
      <c r="Q5" s="60" t="n"/>
      <c r="R5" s="60" t="n"/>
      <c r="S5" s="60" t="n"/>
      <c r="T5" s="60" t="n"/>
      <c r="U5" s="60" t="n"/>
      <c r="V5" s="60" t="n"/>
      <c r="W5" s="60" t="n"/>
      <c r="X5" s="60" t="n"/>
      <c r="Y5" s="60" t="n"/>
      <c r="Z5" s="60" t="n"/>
      <c r="AA5" s="60" t="n"/>
      <c r="AB5" s="60" t="n"/>
      <c r="AC5" s="60" t="n"/>
      <c r="AD5" s="60" t="n"/>
      <c r="AE5" s="60" t="n"/>
      <c r="AF5" s="60" t="n"/>
      <c r="AG5" s="60" t="n"/>
      <c r="AH5" s="60" t="n"/>
      <c r="AI5" s="60" t="n"/>
      <c r="AJ5" s="60" t="n"/>
      <c r="AK5" s="120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/>
      </c>
    </row>
    <row r="6">
      <c r="A6" s="59" t="inlineStr">
        <is>
          <t>SIM</t>
        </is>
      </c>
      <c r="B6" s="59">
        <f>IF(H6&lt;$B$1,"VENCIDO","NA VALIDADE")</f>
        <v/>
      </c>
      <c r="C6" s="60" t="inlineStr">
        <is>
          <t>AGÊNCIA</t>
        </is>
      </c>
      <c r="D6" s="61" t="inlineStr">
        <is>
          <t>AGÊNCIA DE ATENDIMENTO ASSÚ</t>
        </is>
      </c>
      <c r="E6" s="74" t="inlineStr">
        <is>
          <t>ASSÚ</t>
        </is>
      </c>
      <c r="F6" s="75" t="inlineStr">
        <is>
          <t>RN</t>
        </is>
      </c>
      <c r="G6" s="75" t="inlineStr">
        <is>
          <t>NATAL</t>
        </is>
      </c>
      <c r="H6" s="119" t="n">
        <v>45474</v>
      </c>
      <c r="I6" s="119">
        <f>H6-180</f>
        <v/>
      </c>
      <c r="J6" s="60">
        <f>SUM(L6:AE6)</f>
        <v/>
      </c>
      <c r="K6" s="60">
        <f>SUM(AF6:AK6)</f>
        <v/>
      </c>
      <c r="L6" s="60" t="n">
        <v>1</v>
      </c>
      <c r="M6" s="60" t="n"/>
      <c r="N6" s="60" t="n"/>
      <c r="O6" s="60" t="n">
        <v>1</v>
      </c>
      <c r="P6" s="60" t="n"/>
      <c r="Q6" s="60" t="n"/>
      <c r="R6" s="60" t="n"/>
      <c r="S6" s="60" t="n"/>
      <c r="T6" s="60" t="n"/>
      <c r="U6" s="60" t="n"/>
      <c r="V6" s="60" t="n"/>
      <c r="W6" s="60" t="n"/>
      <c r="X6" s="60" t="n"/>
      <c r="Y6" s="60" t="n"/>
      <c r="Z6" s="60" t="n"/>
      <c r="AA6" s="60" t="n"/>
      <c r="AB6" s="60" t="n"/>
      <c r="AC6" s="60" t="n"/>
      <c r="AD6" s="60" t="n"/>
      <c r="AE6" s="60" t="n"/>
      <c r="AF6" s="60" t="n"/>
      <c r="AG6" s="60" t="n"/>
      <c r="AH6" s="60" t="n"/>
      <c r="AI6" s="60" t="n"/>
      <c r="AJ6" s="60" t="n"/>
      <c r="AK6" s="120">
        <f>IF(L6&gt;0,L6*(82.29+8.15),0)+IF(M6&gt;0,M6*(8.15+339.97),0)+IF(N6&gt;0,N6*151.63,0)+IF(O6&gt;0,O6*197.82,0)+IF(P6&gt;0,P6*244.09,0)+IF(Q6&gt;0,Q6*315.35,0)+IF(R6&gt;0,R6*1067.3,0)+IF(T6&gt;0,T6*567.47,0)+IF(U6&gt;0,U6*151.63,0)+IF(V6&gt;0,V6*197.84,0)+IF(W6&gt;0,W6*470.51,0)+IF(X6&gt;0,X6*701.69,0)+IF(Z6&gt;0,Z6*151.63,0)+IF(AA6&gt;0,AA6*197.84)+IF(AB6&gt;0,AB6*308.4,0)+IF(AC6&gt;0,AC6*496.16,0)</f>
        <v/>
      </c>
    </row>
    <row r="7">
      <c r="A7" s="59" t="inlineStr">
        <is>
          <t>SIM</t>
        </is>
      </c>
      <c r="B7" s="59">
        <f>IF(H7&lt;$B$1,"VENCIDO","NA VALIDADE")</f>
        <v/>
      </c>
      <c r="C7" s="60" t="inlineStr">
        <is>
          <t>AGÊNCIA</t>
        </is>
      </c>
      <c r="D7" s="61" t="inlineStr">
        <is>
          <t>AGÊNCIA DE ATENDIMENTO CURRAIS NOVOS</t>
        </is>
      </c>
      <c r="E7" s="74" t="inlineStr">
        <is>
          <t>CURRAIS NOVOS</t>
        </is>
      </c>
      <c r="F7" s="75" t="inlineStr">
        <is>
          <t>RN</t>
        </is>
      </c>
      <c r="G7" s="75" t="inlineStr">
        <is>
          <t>NATAL</t>
        </is>
      </c>
      <c r="H7" s="119" t="n">
        <v>45444</v>
      </c>
      <c r="I7" s="119">
        <f>H7-180</f>
        <v/>
      </c>
      <c r="J7" s="60">
        <f>SUM(L7:AE7)</f>
        <v/>
      </c>
      <c r="K7" s="60">
        <f>SUM(AF7:AK7)</f>
        <v/>
      </c>
      <c r="L7" s="60" t="n">
        <v>1</v>
      </c>
      <c r="M7" s="60" t="n"/>
      <c r="N7" s="60" t="n">
        <v>1</v>
      </c>
      <c r="O7" s="60" t="n"/>
      <c r="P7" s="60" t="n"/>
      <c r="Q7" s="60" t="n"/>
      <c r="R7" s="60" t="n"/>
      <c r="S7" s="60" t="n"/>
      <c r="T7" s="60" t="n"/>
      <c r="U7" s="60" t="n"/>
      <c r="V7" s="60" t="n"/>
      <c r="W7" s="60" t="n"/>
      <c r="X7" s="60" t="n"/>
      <c r="Y7" s="60" t="n"/>
      <c r="Z7" s="60" t="n"/>
      <c r="AA7" s="60" t="n"/>
      <c r="AB7" s="60" t="n"/>
      <c r="AC7" s="60" t="n"/>
      <c r="AD7" s="60" t="n"/>
      <c r="AE7" s="60" t="n"/>
      <c r="AF7" s="60" t="n"/>
      <c r="AG7" s="60" t="n"/>
      <c r="AH7" s="60" t="n"/>
      <c r="AI7" s="60" t="n"/>
      <c r="AJ7" s="60" t="n"/>
      <c r="AK7" s="120">
        <f>IF(L7&gt;0,L7*(82.29+8.15),0)+IF(M7&gt;0,M7*(8.15+339.97),0)+IF(N7&gt;0,N7*151.63,0)+IF(O7&gt;0,O7*197.82,0)+IF(P7&gt;0,P7*244.09,0)+IF(Q7&gt;0,Q7*315.35,0)+IF(R7&gt;0,R7*1067.3,0)+IF(T7&gt;0,T7*567.47,0)+IF(U7&gt;0,U7*151.63,0)+IF(V7&gt;0,V7*197.84,0)+IF(W7&gt;0,W7*470.51,0)+IF(X7&gt;0,X7*701.69,0)+IF(Z7&gt;0,Z7*151.63,0)+IF(AA7&gt;0,AA7*197.84)+IF(AB7&gt;0,AB7*308.4,0)+IF(AC7&gt;0,AC7*496.16,0)</f>
        <v/>
      </c>
    </row>
    <row r="8">
      <c r="A8" s="59" t="inlineStr">
        <is>
          <t>SIM</t>
        </is>
      </c>
      <c r="B8" s="59">
        <f>IF(H8&lt;$B$1,"VENCIDO","NA VALIDADE")</f>
        <v/>
      </c>
      <c r="C8" s="60" t="inlineStr">
        <is>
          <t>AGÊNCIA</t>
        </is>
      </c>
      <c r="D8" s="61" t="inlineStr">
        <is>
          <t>AGÊNCIA DE ATENDIMENTO MACAÍBA</t>
        </is>
      </c>
      <c r="E8" s="74" t="inlineStr">
        <is>
          <t>MACAÍBA</t>
        </is>
      </c>
      <c r="F8" s="75" t="inlineStr">
        <is>
          <t>RN</t>
        </is>
      </c>
      <c r="G8" s="75" t="inlineStr">
        <is>
          <t>NATAL</t>
        </is>
      </c>
      <c r="H8" s="119" t="n">
        <v>45413</v>
      </c>
      <c r="I8" s="119">
        <f>H8-180</f>
        <v/>
      </c>
      <c r="J8" s="60">
        <f>SUM(L8:AE8)</f>
        <v/>
      </c>
      <c r="K8" s="60">
        <f>SUM(AF8:AK8)</f>
        <v/>
      </c>
      <c r="L8" s="60" t="n">
        <v>1</v>
      </c>
      <c r="M8" s="60" t="n"/>
      <c r="N8" s="60" t="n">
        <v>1</v>
      </c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  <c r="X8" s="60" t="n"/>
      <c r="Y8" s="60" t="n"/>
      <c r="Z8" s="60" t="n"/>
      <c r="AA8" s="60" t="n"/>
      <c r="AB8" s="60" t="n"/>
      <c r="AC8" s="60" t="n"/>
      <c r="AD8" s="60" t="n"/>
      <c r="AE8" s="60" t="n"/>
      <c r="AF8" s="60" t="n"/>
      <c r="AG8" s="60" t="n"/>
      <c r="AH8" s="60" t="n"/>
      <c r="AI8" s="60" t="n"/>
      <c r="AJ8" s="60" t="n"/>
      <c r="AK8" s="120">
        <f>IF(L8&gt;0,L8*(82.29+8.15),0)+IF(M8&gt;0,M8*(8.15+339.97),0)+IF(N8&gt;0,N8*151.63,0)+IF(O8&gt;0,O8*197.82,0)+IF(P8&gt;0,P8*244.09,0)+IF(Q8&gt;0,Q8*315.35,0)+IF(R8&gt;0,R8*1067.3,0)+IF(T8&gt;0,T8*567.47,0)+IF(U8&gt;0,U8*151.63,0)+IF(V8&gt;0,V8*197.84,0)+IF(W8&gt;0,W8*470.51,0)+IF(X8&gt;0,X8*701.69,0)+IF(Z8&gt;0,Z8*151.63,0)+IF(AA8&gt;0,AA8*197.84)+IF(AB8&gt;0,AB8*308.4,0)+IF(AC8&gt;0,AC8*496.16,0)</f>
        <v/>
      </c>
    </row>
    <row r="9">
      <c r="A9" s="59" t="inlineStr">
        <is>
          <t>SIM</t>
        </is>
      </c>
      <c r="B9" s="59">
        <f>IF(H9&lt;$B$1,"VENCIDO","NA VALIDADE")</f>
        <v/>
      </c>
      <c r="C9" s="60" t="inlineStr">
        <is>
          <t>AGÊNCIA</t>
        </is>
      </c>
      <c r="D9" s="61" t="inlineStr">
        <is>
          <t>AGÊNCIA DE ATENDIMENTO MOSSORÓ</t>
        </is>
      </c>
      <c r="E9" s="74" t="inlineStr">
        <is>
          <t>MOSSORÓ</t>
        </is>
      </c>
      <c r="F9" s="75" t="inlineStr">
        <is>
          <t>RN</t>
        </is>
      </c>
      <c r="G9" s="75" t="inlineStr">
        <is>
          <t>NATAL</t>
        </is>
      </c>
      <c r="H9" s="119" t="n">
        <v>45323</v>
      </c>
      <c r="I9" s="119">
        <f>H9-180</f>
        <v/>
      </c>
      <c r="J9" s="60">
        <f>SUM(L9:AE9)</f>
        <v/>
      </c>
      <c r="K9" s="60">
        <f>SUM(AF9:AK9)</f>
        <v/>
      </c>
      <c r="L9" s="60" t="n">
        <v>1</v>
      </c>
      <c r="M9" s="60" t="n"/>
      <c r="N9" s="60" t="n"/>
      <c r="O9" s="60" t="n">
        <v>2</v>
      </c>
      <c r="P9" s="60" t="n"/>
      <c r="Q9" s="60" t="n"/>
      <c r="R9" s="60" t="n"/>
      <c r="S9" s="60" t="n"/>
      <c r="T9" s="60" t="n"/>
      <c r="U9" s="60" t="n"/>
      <c r="V9" s="60" t="n"/>
      <c r="W9" s="60" t="n"/>
      <c r="X9" s="60" t="n"/>
      <c r="Y9" s="60" t="n"/>
      <c r="Z9" s="60" t="n"/>
      <c r="AA9" s="60" t="n"/>
      <c r="AB9" s="60" t="n"/>
      <c r="AC9" s="60" t="n"/>
      <c r="AD9" s="60" t="n"/>
      <c r="AE9" s="60" t="n"/>
      <c r="AF9" s="60" t="n"/>
      <c r="AG9" s="60" t="n"/>
      <c r="AH9" s="60" t="n"/>
      <c r="AI9" s="60" t="n"/>
      <c r="AJ9" s="60" t="n"/>
      <c r="AK9" s="120">
        <f>IF(L9&gt;0,L9*(82.29+8.15),0)+IF(M9&gt;0,M9*(8.15+339.97),0)+IF(N9&gt;0,N9*151.63,0)+IF(O9&gt;0,O9*197.82,0)+IF(P9&gt;0,P9*244.09,0)+IF(Q9&gt;0,Q9*315.35,0)+IF(R9&gt;0,R9*1067.3,0)+IF(T9&gt;0,T9*567.47,0)+IF(U9&gt;0,U9*151.63,0)+IF(V9&gt;0,V9*197.84,0)+IF(W9&gt;0,W9*470.51,0)+IF(X9&gt;0,X9*701.69,0)+IF(Z9&gt;0,Z9*151.63,0)+IF(AA9&gt;0,AA9*197.84)+IF(AB9&gt;0,AB9*308.4,0)+IF(AC9&gt;0,AC9*496.16,0)</f>
        <v/>
      </c>
    </row>
    <row r="10">
      <c r="A10" s="59" t="inlineStr">
        <is>
          <t>SIM</t>
        </is>
      </c>
      <c r="B10" s="59">
        <f>IF(H10&lt;$B$1,"VENCIDO","NA VALIDADE")</f>
        <v/>
      </c>
      <c r="C10" s="60" t="inlineStr">
        <is>
          <t>AGÊNCIA</t>
        </is>
      </c>
      <c r="D10" s="61" t="inlineStr">
        <is>
          <t>AGÊNCIA DE ATENDIMENTO NATAL (CIDADE JARDIM)</t>
        </is>
      </c>
      <c r="E10" s="74" t="inlineStr">
        <is>
          <t>NATAL</t>
        </is>
      </c>
      <c r="F10" s="75" t="inlineStr">
        <is>
          <t>RN</t>
        </is>
      </c>
      <c r="G10" s="75" t="inlineStr">
        <is>
          <t>NATAL</t>
        </is>
      </c>
      <c r="H10" s="119" t="n">
        <v>45505</v>
      </c>
      <c r="I10" s="119">
        <f>H10-180</f>
        <v/>
      </c>
      <c r="J10" s="60">
        <f>SUM(L10:AE10)</f>
        <v/>
      </c>
      <c r="K10" s="60">
        <f>SUM(AF10:AK10)</f>
        <v/>
      </c>
      <c r="L10" s="60" t="n">
        <v>1</v>
      </c>
      <c r="M10" s="60" t="n"/>
      <c r="N10" s="60" t="n"/>
      <c r="O10" s="60" t="n">
        <v>1</v>
      </c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120">
        <f>IF(L10&gt;0,L10*(82.29+8.15),0)+IF(M10&gt;0,M10*(8.15+339.97),0)+IF(N10&gt;0,N10*151.63,0)+IF(O10&gt;0,O10*197.82,0)+IF(P10&gt;0,P10*244.09,0)+IF(Q10&gt;0,Q10*315.35,0)+IF(R10&gt;0,R10*1067.3,0)+IF(T10&gt;0,T10*567.47,0)+IF(U10&gt;0,U10*151.63,0)+IF(V10&gt;0,V10*197.84,0)+IF(W10&gt;0,W10*470.51,0)+IF(X10&gt;0,X10*701.69,0)+IF(Z10&gt;0,Z10*151.63,0)+IF(AA10&gt;0,AA10*197.84)+IF(AB10&gt;0,AB10*308.4,0)+IF(AC10&gt;0,AC10*496.16,0)</f>
        <v/>
      </c>
    </row>
    <row r="11">
      <c r="A11" s="59" t="inlineStr">
        <is>
          <t>SIM</t>
        </is>
      </c>
      <c r="B11" s="59">
        <f>IF(H11&lt;$B$1,"VENCIDO","NA VALIDADE")</f>
        <v/>
      </c>
      <c r="C11" s="60" t="inlineStr">
        <is>
          <t>AGÊNCIA</t>
        </is>
      </c>
      <c r="D11" s="61" t="inlineStr">
        <is>
          <t>AGÊNCIA DE ATENDIMENTO NATAL (ZONA NORTE)</t>
        </is>
      </c>
      <c r="E11" s="74" t="inlineStr">
        <is>
          <t>NATAL</t>
        </is>
      </c>
      <c r="F11" s="75" t="inlineStr">
        <is>
          <t>RN</t>
        </is>
      </c>
      <c r="G11" s="75" t="inlineStr">
        <is>
          <t>NATAL</t>
        </is>
      </c>
      <c r="H11" s="119" t="n">
        <v>45323</v>
      </c>
      <c r="I11" s="119">
        <f>H11-180</f>
        <v/>
      </c>
      <c r="J11" s="60">
        <f>SUM(L11:AE11)</f>
        <v/>
      </c>
      <c r="K11" s="60">
        <f>SUM(AF11:AK11)</f>
        <v/>
      </c>
      <c r="L11" s="60" t="n">
        <v>2</v>
      </c>
      <c r="M11" s="60" t="n"/>
      <c r="N11" s="60" t="n">
        <v>2</v>
      </c>
      <c r="O11" s="60" t="n"/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/>
      <c r="AA11" s="60" t="n"/>
      <c r="AB11" s="60" t="n"/>
      <c r="AC11" s="60" t="n"/>
      <c r="AD11" s="60" t="n"/>
      <c r="AE11" s="60" t="n"/>
      <c r="AF11" s="60" t="n"/>
      <c r="AG11" s="60" t="n"/>
      <c r="AH11" s="60" t="n"/>
      <c r="AI11" s="60" t="n"/>
      <c r="AJ11" s="60" t="n"/>
      <c r="AK11" s="120">
        <f>IF(L11&gt;0,L11*(82.29+8.15),0)+IF(M11&gt;0,M11*(8.15+339.97),0)+IF(N11&gt;0,N11*151.63,0)+IF(O11&gt;0,O11*197.82,0)+IF(P11&gt;0,P11*244.09,0)+IF(Q11&gt;0,Q11*315.35,0)+IF(R11&gt;0,R11*1067.3,0)+IF(T11&gt;0,T11*567.47,0)+IF(U11&gt;0,U11*151.63,0)+IF(V11&gt;0,V11*197.84,0)+IF(W11&gt;0,W11*470.51,0)+IF(X11&gt;0,X11*701.69,0)+IF(Z11&gt;0,Z11*151.63,0)+IF(AA11&gt;0,AA11*197.84)+IF(AB11&gt;0,AB11*308.4,0)+IF(AC11&gt;0,AC11*496.16,0)</f>
        <v/>
      </c>
    </row>
    <row r="12">
      <c r="A12" s="59" t="inlineStr">
        <is>
          <t>SIM</t>
        </is>
      </c>
      <c r="B12" s="59">
        <f>IF(H12&lt;$B$1,"VENCIDO","NA VALIDADE")</f>
        <v/>
      </c>
      <c r="C12" s="60" t="inlineStr">
        <is>
          <t>AGÊNCIA</t>
        </is>
      </c>
      <c r="D12" s="61" t="inlineStr">
        <is>
          <t>AGÊNCIA DE ATENDIMENTO PARNAMIRIM</t>
        </is>
      </c>
      <c r="E12" s="74" t="inlineStr">
        <is>
          <t>PARNAMIRIM</t>
        </is>
      </c>
      <c r="F12" s="75" t="inlineStr">
        <is>
          <t>RN</t>
        </is>
      </c>
      <c r="G12" s="75" t="inlineStr">
        <is>
          <t>NATAL</t>
        </is>
      </c>
      <c r="H12" s="119" t="n">
        <v>45413</v>
      </c>
      <c r="I12" s="119">
        <f>H12-180</f>
        <v/>
      </c>
      <c r="J12" s="60">
        <f>SUM(L12:AE12)</f>
        <v/>
      </c>
      <c r="K12" s="60">
        <f>SUM(AF12:AK12)</f>
        <v/>
      </c>
      <c r="L12" s="60" t="n">
        <v>1</v>
      </c>
      <c r="M12" s="60" t="n"/>
      <c r="N12" s="60" t="n">
        <v>1</v>
      </c>
      <c r="O12" s="60" t="n"/>
      <c r="P12" s="60" t="n"/>
      <c r="Q12" s="60" t="n"/>
      <c r="R12" s="60" t="n"/>
      <c r="S12" s="60" t="n"/>
      <c r="T12" s="60" t="n"/>
      <c r="U12" s="60" t="n"/>
      <c r="V12" s="60" t="n"/>
      <c r="W12" s="60" t="n"/>
      <c r="X12" s="60" t="n"/>
      <c r="Y12" s="60" t="n"/>
      <c r="Z12" s="60" t="n"/>
      <c r="AA12" s="60" t="n"/>
      <c r="AB12" s="60" t="n"/>
      <c r="AC12" s="60" t="n"/>
      <c r="AD12" s="60" t="n"/>
      <c r="AE12" s="60" t="n"/>
      <c r="AF12" s="60" t="n"/>
      <c r="AG12" s="60" t="n"/>
      <c r="AH12" s="60" t="n"/>
      <c r="AI12" s="60" t="n"/>
      <c r="AJ12" s="60" t="n"/>
      <c r="AK12" s="120">
        <f>IF(L12&gt;0,L12*(82.29+8.15),0)+IF(M12&gt;0,M12*(8.15+339.97),0)+IF(N12&gt;0,N12*151.63,0)+IF(O12&gt;0,O12*197.82,0)+IF(P12&gt;0,P12*244.09,0)+IF(Q12&gt;0,Q12*315.35,0)+IF(R12&gt;0,R12*1067.3,0)+IF(T12&gt;0,T12*567.47,0)+IF(U12&gt;0,U12*151.63,0)+IF(V12&gt;0,V12*197.84,0)+IF(W12&gt;0,W12*470.51,0)+IF(X12&gt;0,X12*701.69,0)+IF(Z12&gt;0,Z12*151.63,0)+IF(AA12&gt;0,AA12*197.84)+IF(AB12&gt;0,AB12*308.4,0)+IF(AC12&gt;0,AC12*496.16,0)</f>
        <v/>
      </c>
    </row>
    <row r="13">
      <c r="A13" s="59" t="inlineStr">
        <is>
          <t>SIM</t>
        </is>
      </c>
      <c r="B13" s="59">
        <f>IF(H13&lt;$B$1,"VENCIDO","NA VALIDADE")</f>
        <v/>
      </c>
      <c r="C13" s="60" t="inlineStr">
        <is>
          <t>AGÊNCIA</t>
        </is>
      </c>
      <c r="D13" s="61" t="inlineStr">
        <is>
          <t>AGÊNCIA DE ATENDIMENTO PAU DOS FERROS</t>
        </is>
      </c>
      <c r="E13" s="74" t="inlineStr">
        <is>
          <t>PAU DOS FERROS</t>
        </is>
      </c>
      <c r="F13" s="75" t="inlineStr">
        <is>
          <t>RN</t>
        </is>
      </c>
      <c r="G13" s="75" t="inlineStr">
        <is>
          <t>NATAL</t>
        </is>
      </c>
      <c r="H13" s="119" t="n">
        <v>45323</v>
      </c>
      <c r="I13" s="119" t="n">
        <v>45323</v>
      </c>
      <c r="J13" s="60">
        <f>SUM(L13:AE13)</f>
        <v/>
      </c>
      <c r="K13" s="60">
        <f>SUM(AF13:AK13)</f>
        <v/>
      </c>
      <c r="L13" s="60" t="n">
        <v>1</v>
      </c>
      <c r="M13" s="60" t="n"/>
      <c r="N13" s="60" t="n"/>
      <c r="O13" s="60" t="n"/>
      <c r="P13" s="60" t="n"/>
      <c r="Q13" s="60" t="n"/>
      <c r="R13" s="60" t="n"/>
      <c r="S13" s="60" t="n"/>
      <c r="T13" s="60" t="n"/>
      <c r="U13" s="60" t="n"/>
      <c r="V13" s="60" t="n"/>
      <c r="W13" s="60" t="n"/>
      <c r="X13" s="60" t="n"/>
      <c r="Y13" s="60" t="n"/>
      <c r="Z13" s="60" t="n"/>
      <c r="AA13" s="60" t="n">
        <v>1</v>
      </c>
      <c r="AB13" s="60" t="n"/>
      <c r="AC13" s="60" t="n"/>
      <c r="AD13" s="60" t="n"/>
      <c r="AE13" s="60" t="n"/>
      <c r="AF13" s="60" t="n"/>
      <c r="AG13" s="60" t="n"/>
      <c r="AH13" s="60" t="n"/>
      <c r="AI13" s="60" t="n"/>
      <c r="AJ13" s="60" t="n"/>
      <c r="AK13" s="120">
        <f>IF(L13&gt;0,L13*(82.29+8.15),0)+IF(M13&gt;0,M13*(8.15+339.97),0)+IF(N13&gt;0,N13*151.63,0)+IF(O13&gt;0,O13*197.82,0)+IF(P13&gt;0,P13*244.09,0)+IF(Q13&gt;0,Q13*315.35,0)+IF(R13&gt;0,R13*1067.3,0)+IF(T13&gt;0,T13*567.47,0)+IF(U13&gt;0,U13*151.63,0)+IF(V13&gt;0,V13*197.84,0)+IF(W13&gt;0,W13*470.51,0)+IF(X13&gt;0,X13*701.69,0)+IF(Z13&gt;0,Z13*151.63,0)+IF(AA13&gt;0,AA13*197.84)+IF(AB13&gt;0,AB13*308.4,0)+IF(AC13&gt;0,AC13*496.16,0)</f>
        <v/>
      </c>
    </row>
    <row r="14">
      <c r="A14" s="59" t="inlineStr">
        <is>
          <t>SIM</t>
        </is>
      </c>
      <c r="B14" s="59">
        <f>IF(H14&lt;$B$1,"VENCIDO","NA VALIDADE")</f>
        <v/>
      </c>
      <c r="C14" s="60" t="inlineStr">
        <is>
          <t>AGÊNCIA</t>
        </is>
      </c>
      <c r="D14" s="61" t="inlineStr">
        <is>
          <t>AGÊNCIA DE ATENDIMENTO SÃO GONÇALO DO AMARANTE</t>
        </is>
      </c>
      <c r="E14" s="74" t="inlineStr">
        <is>
          <t>SÃO GONÇALO DO AMARANTE</t>
        </is>
      </c>
      <c r="F14" s="75" t="inlineStr">
        <is>
          <t>RN</t>
        </is>
      </c>
      <c r="G14" s="75" t="inlineStr">
        <is>
          <t>NATAL</t>
        </is>
      </c>
      <c r="H14" s="119" t="n">
        <v>45505</v>
      </c>
      <c r="I14" s="119">
        <f>H14-180</f>
        <v/>
      </c>
      <c r="J14" s="60">
        <f>SUM(L14:AE14)</f>
        <v/>
      </c>
      <c r="K14" s="60">
        <f>SUM(AF14:AK14)</f>
        <v/>
      </c>
      <c r="L14" s="60" t="n">
        <v>1</v>
      </c>
      <c r="M14" s="60" t="n"/>
      <c r="N14" s="60" t="n"/>
      <c r="O14" s="60" t="n">
        <v>1</v>
      </c>
      <c r="P14" s="60" t="n"/>
      <c r="Q14" s="60" t="n"/>
      <c r="R14" s="60" t="n"/>
      <c r="S14" s="60" t="n"/>
      <c r="T14" s="60" t="n"/>
      <c r="U14" s="60" t="n"/>
      <c r="V14" s="60" t="n"/>
      <c r="W14" s="60" t="n"/>
      <c r="X14" s="60" t="n"/>
      <c r="Y14" s="60" t="n"/>
      <c r="Z14" s="60" t="n"/>
      <c r="AA14" s="60" t="n"/>
      <c r="AB14" s="60" t="n"/>
      <c r="AC14" s="60" t="n"/>
      <c r="AD14" s="60" t="n"/>
      <c r="AE14" s="60" t="n"/>
      <c r="AF14" s="60" t="n"/>
      <c r="AG14" s="60" t="n"/>
      <c r="AH14" s="60" t="n"/>
      <c r="AI14" s="60" t="n"/>
      <c r="AJ14" s="60" t="n"/>
      <c r="AK14" s="120">
        <f>IF(L14&gt;0,L14*(82.29+8.15),0)+IF(M14&gt;0,M14*(8.15+339.97),0)+IF(N14&gt;0,N14*151.63,0)+IF(O14&gt;0,O14*197.82,0)+IF(P14&gt;0,P14*244.09,0)+IF(Q14&gt;0,Q14*315.35,0)+IF(R14&gt;0,R14*1067.3,0)+IF(T14&gt;0,T14*567.47,0)+IF(U14&gt;0,U14*151.63,0)+IF(V14&gt;0,V14*197.84,0)+IF(W14&gt;0,W14*470.51,0)+IF(X14&gt;0,X14*701.69,0)+IF(Z14&gt;0,Z14*151.63,0)+IF(AA14&gt;0,AA14*197.84)+IF(AB14&gt;0,AB14*308.4,0)+IF(AC14&gt;0,AC14*496.16,0)</f>
        <v/>
      </c>
    </row>
    <row r="15">
      <c r="A15" s="59" t="inlineStr">
        <is>
          <t>SIM</t>
        </is>
      </c>
      <c r="B15" s="59">
        <f>IF(H15&lt;$B$1,"VENCIDO","NA VALIDADE")</f>
        <v/>
      </c>
      <c r="C15" s="60" t="inlineStr">
        <is>
          <t>AGÊNCIA</t>
        </is>
      </c>
      <c r="D15" t="inlineStr">
        <is>
          <t>AGÊNCIA DE ATENDIMENTO SÃO JOSÉ DE MIPIBÚ</t>
        </is>
      </c>
      <c r="E15" s="74" t="inlineStr">
        <is>
          <t>SÃO JOSÉ DE MIPIBU</t>
        </is>
      </c>
      <c r="F15" s="75" t="inlineStr">
        <is>
          <t>RN</t>
        </is>
      </c>
      <c r="G15" s="75" t="inlineStr">
        <is>
          <t>NATAL</t>
        </is>
      </c>
      <c r="H15" s="119" t="n">
        <v>45413</v>
      </c>
      <c r="I15" s="119">
        <f>H15-180</f>
        <v/>
      </c>
      <c r="J15" s="60">
        <f>SUM(L15:AE15)</f>
        <v/>
      </c>
      <c r="K15" s="60">
        <f>SUM(AF15:AK15)</f>
        <v/>
      </c>
      <c r="L15" s="60" t="n">
        <v>1</v>
      </c>
      <c r="M15" s="60" t="n"/>
      <c r="N15" s="60" t="n">
        <v>1</v>
      </c>
      <c r="O15" s="60" t="n"/>
      <c r="P15" s="60" t="n"/>
      <c r="Q15" s="60" t="n"/>
      <c r="R15" s="60" t="n"/>
      <c r="S15" s="60" t="n"/>
      <c r="T15" s="60" t="n"/>
      <c r="U15" s="60" t="n"/>
      <c r="V15" s="60" t="n"/>
      <c r="W15" s="60" t="n"/>
      <c r="X15" s="60" t="n"/>
      <c r="Y15" s="60" t="n"/>
      <c r="Z15" s="60" t="n"/>
      <c r="AA15" s="60" t="n"/>
      <c r="AB15" s="60" t="n"/>
      <c r="AC15" s="60" t="n"/>
      <c r="AD15" s="60" t="n"/>
      <c r="AE15" s="60" t="n"/>
      <c r="AF15" s="60" t="n"/>
      <c r="AG15" s="60" t="n"/>
      <c r="AH15" s="60" t="n"/>
      <c r="AI15" s="60" t="n"/>
      <c r="AJ15" s="60" t="n"/>
      <c r="AK15" s="120">
        <f>IF(L15&gt;0,L15*(82.29+8.15),0)+IF(M15&gt;0,M15*(8.15+339.97),0)+IF(N15&gt;0,N15*151.63,0)+IF(O15&gt;0,O15*197.82,0)+IF(P15&gt;0,P15*244.09,0)+IF(Q15&gt;0,Q15*315.35,0)+IF(R15&gt;0,R15*1067.3,0)+IF(T15&gt;0,T15*567.47,0)+IF(U15&gt;0,U15*151.63,0)+IF(V15&gt;0,V15*197.84,0)+IF(W15&gt;0,W15*470.51,0)+IF(X15&gt;0,X15*701.69,0)+IF(Z15&gt;0,Z15*151.63,0)+IF(AA15&gt;0,AA15*197.84)+IF(AB15&gt;0,AB15*308.4,0)+IF(AC15&gt;0,AC15*496.16,0)</f>
        <v/>
      </c>
    </row>
    <row r="16">
      <c r="A16" s="59" t="inlineStr">
        <is>
          <t>SIM</t>
        </is>
      </c>
      <c r="B16" s="59">
        <f>IF(H16&lt;$B$1,"VENCIDO","NA VALIDADE")</f>
        <v/>
      </c>
      <c r="C16" s="60" t="inlineStr">
        <is>
          <t>AGÊNCIA</t>
        </is>
      </c>
      <c r="D16" s="61" t="inlineStr">
        <is>
          <t>AGÊNCIA GOIANINHA</t>
        </is>
      </c>
      <c r="E16" s="74" t="inlineStr">
        <is>
          <t>GOIANINHA</t>
        </is>
      </c>
      <c r="F16" s="75" t="inlineStr">
        <is>
          <t>RN</t>
        </is>
      </c>
      <c r="G16" s="75" t="inlineStr">
        <is>
          <t>NATAL</t>
        </is>
      </c>
      <c r="H16" s="119" t="n">
        <v>45505</v>
      </c>
      <c r="I16" s="119">
        <f>H16-180</f>
        <v/>
      </c>
      <c r="J16" s="60">
        <f>SUM(L16:AE16)</f>
        <v/>
      </c>
      <c r="K16" s="60">
        <f>SUM(AF16:AK16)</f>
        <v/>
      </c>
      <c r="L16" s="60" t="n">
        <v>1</v>
      </c>
      <c r="M16" s="60" t="n"/>
      <c r="N16" s="60" t="n"/>
      <c r="O16" s="60" t="n">
        <v>1</v>
      </c>
      <c r="P16" s="60" t="n"/>
      <c r="Q16" s="60" t="n"/>
      <c r="R16" s="60" t="n"/>
      <c r="S16" s="60" t="n"/>
      <c r="T16" s="60" t="n"/>
      <c r="U16" s="60" t="n"/>
      <c r="V16" s="60" t="n"/>
      <c r="W16" s="60" t="n"/>
      <c r="X16" s="60" t="n"/>
      <c r="Y16" s="60" t="n"/>
      <c r="Z16" s="60" t="n"/>
      <c r="AA16" s="60" t="n"/>
      <c r="AB16" s="60" t="n"/>
      <c r="AC16" s="60" t="n"/>
      <c r="AD16" s="60" t="n"/>
      <c r="AE16" s="60" t="n"/>
      <c r="AF16" s="60" t="n"/>
      <c r="AG16" s="60" t="n"/>
      <c r="AH16" s="60" t="n"/>
      <c r="AI16" s="60" t="n"/>
      <c r="AJ16" s="60" t="n"/>
      <c r="AK16" s="120">
        <f>IF(L16&gt;0,L16*(82.29+8.15),0)+IF(M16&gt;0,M16*(8.15+339.97),0)+IF(N16&gt;0,N16*151.63,0)+IF(O16&gt;0,O16*197.82,0)+IF(P16&gt;0,P16*244.09,0)+IF(Q16&gt;0,Q16*315.35,0)+IF(R16&gt;0,R16*1067.3,0)+IF(T16&gt;0,T16*567.47,0)+IF(U16&gt;0,U16*151.63,0)+IF(V16&gt;0,V16*197.84,0)+IF(W16&gt;0,W16*470.51,0)+IF(X16&gt;0,X16*701.69,0)+IF(Z16&gt;0,Z16*151.63,0)+IF(AA16&gt;0,AA16*197.84)+IF(AB16&gt;0,AB16*308.4,0)+IF(AC16&gt;0,AC16*496.16,0)</f>
        <v/>
      </c>
    </row>
    <row r="17">
      <c r="A17" s="59" t="inlineStr">
        <is>
          <t>SIM</t>
        </is>
      </c>
      <c r="B17" s="59">
        <f>IF(H17&lt;$B$1,"VENCIDO","NA VALIDADE")</f>
        <v/>
      </c>
      <c r="C17" s="60" t="inlineStr">
        <is>
          <t>BASE OP</t>
        </is>
      </c>
      <c r="D17" s="61" t="inlineStr">
        <is>
          <t>BASE OPERACIONAL MACAU</t>
        </is>
      </c>
      <c r="E17" s="74" t="inlineStr">
        <is>
          <t>MACAU</t>
        </is>
      </c>
      <c r="F17" s="75" t="inlineStr">
        <is>
          <t>RN</t>
        </is>
      </c>
      <c r="G17" s="75" t="inlineStr">
        <is>
          <t>NATAL</t>
        </is>
      </c>
      <c r="H17" s="119" t="n">
        <v>45474</v>
      </c>
      <c r="I17" s="119">
        <f>H17-180</f>
        <v/>
      </c>
      <c r="J17" s="60">
        <f>SUM(L17:AE17)</f>
        <v/>
      </c>
      <c r="K17" s="60">
        <f>SUM(AF17:AK17)</f>
        <v/>
      </c>
      <c r="L17" s="60" t="n"/>
      <c r="M17" s="60" t="n"/>
      <c r="N17" s="60" t="n">
        <v>1</v>
      </c>
      <c r="O17" s="60" t="n"/>
      <c r="P17" s="60" t="n"/>
      <c r="Q17" s="60" t="n"/>
      <c r="R17" s="60" t="n"/>
      <c r="S17" s="60" t="n"/>
      <c r="T17" s="60" t="n"/>
      <c r="U17" s="60" t="n"/>
      <c r="V17" s="60" t="n"/>
      <c r="W17" s="60" t="n"/>
      <c r="X17" s="60" t="n"/>
      <c r="Y17" s="60" t="n"/>
      <c r="Z17" s="60" t="n"/>
      <c r="AA17" s="60" t="n">
        <v>1</v>
      </c>
      <c r="AB17" s="60" t="n"/>
      <c r="AC17" s="60" t="n"/>
      <c r="AD17" s="60" t="n"/>
      <c r="AE17" s="60" t="n"/>
      <c r="AF17" s="60" t="n"/>
      <c r="AG17" s="60" t="n"/>
      <c r="AH17" s="60" t="n"/>
      <c r="AI17" s="60" t="n"/>
      <c r="AJ17" s="60" t="n"/>
      <c r="AK17" s="120">
        <f>IF(L17&gt;0,L17*(82.29+8.15),0)+IF(M17&gt;0,M17*(8.15+339.97),0)+IF(N17&gt;0,N17*151.63,0)+IF(O17&gt;0,O17*197.82,0)+IF(P17&gt;0,P17*244.09,0)+IF(Q17&gt;0,Q17*315.35,0)+IF(R17&gt;0,R17*1067.3,0)+IF(T17&gt;0,T17*567.47,0)+IF(U17&gt;0,U17*151.63,0)+IF(V17&gt;0,V17*197.84,0)+IF(W17&gt;0,W17*470.51,0)+IF(X17&gt;0,X17*701.69,0)+IF(Z17&gt;0,Z17*151.63,0)+IF(AA17&gt;0,AA17*197.84)+IF(AB17&gt;0,AB17*308.4,0)+IF(AC17&gt;0,AC17*496.16,0)</f>
        <v/>
      </c>
    </row>
    <row r="18">
      <c r="A18" s="59" t="inlineStr">
        <is>
          <t>SIM</t>
        </is>
      </c>
      <c r="B18" s="59">
        <f>IF(H18&lt;$B$1,"VENCIDO","NA VALIDADE")</f>
        <v/>
      </c>
      <c r="C18" s="60" t="inlineStr">
        <is>
          <t>BASE OP</t>
        </is>
      </c>
      <c r="D18" s="61" t="inlineStr">
        <is>
          <t>BASE OPERACIONAL PARNAMIRIM</t>
        </is>
      </c>
      <c r="E18" s="74" t="inlineStr">
        <is>
          <t>PARNAMIRIM</t>
        </is>
      </c>
      <c r="F18" s="75" t="inlineStr">
        <is>
          <t>RN</t>
        </is>
      </c>
      <c r="G18" s="75" t="inlineStr">
        <is>
          <t>NATAL</t>
        </is>
      </c>
      <c r="H18" s="119" t="n">
        <v>45323</v>
      </c>
      <c r="I18" s="119" t="n">
        <v>45323</v>
      </c>
      <c r="J18" s="60">
        <f>SUM(L18:AE18)</f>
        <v/>
      </c>
      <c r="K18" s="60">
        <f>SUM(AF18:AK18)</f>
        <v/>
      </c>
      <c r="L18" s="60" t="n">
        <v>2</v>
      </c>
      <c r="M18" s="60" t="n"/>
      <c r="N18" s="60" t="n">
        <v>7</v>
      </c>
      <c r="O18" s="60" t="n"/>
      <c r="P18" s="60" t="n"/>
      <c r="Q18" s="60" t="n"/>
      <c r="R18" s="60" t="n"/>
      <c r="S18" s="60" t="n"/>
      <c r="T18" s="60" t="n"/>
      <c r="U18" s="60" t="n"/>
      <c r="V18" s="60" t="n"/>
      <c r="W18" s="60" t="n"/>
      <c r="X18" s="60" t="n"/>
      <c r="Y18" s="60" t="n"/>
      <c r="Z18" s="60" t="n"/>
      <c r="AA18" s="60" t="n">
        <v>5</v>
      </c>
      <c r="AB18" s="60" t="n"/>
      <c r="AC18" s="60" t="n"/>
      <c r="AD18" s="60" t="n"/>
      <c r="AE18" s="60" t="n"/>
      <c r="AF18" s="60" t="n"/>
      <c r="AG18" s="60" t="n"/>
      <c r="AH18" s="60" t="n"/>
      <c r="AI18" s="60" t="n"/>
      <c r="AJ18" s="60" t="n"/>
      <c r="AK18" s="120">
        <f>IF(L18&gt;0,L18*(82.29+8.15),0)+IF(M18&gt;0,M18*(8.15+339.97),0)+IF(N18&gt;0,N18*151.63,0)+IF(O18&gt;0,O18*197.82,0)+IF(P18&gt;0,P18*244.09,0)+IF(Q18&gt;0,Q18*315.35,0)+IF(R18&gt;0,R18*1067.3,0)+IF(T18&gt;0,T18*567.47,0)+IF(U18&gt;0,U18*151.63,0)+IF(V18&gt;0,V18*197.84,0)+IF(W18&gt;0,W18*470.51,0)+IF(X18&gt;0,X18*701.69,0)+IF(Z18&gt;0,Z18*151.63,0)+IF(AA18&gt;0,AA18*197.84)+IF(AB18&gt;0,AB18*308.4,0)+IF(AC18&gt;0,AC18*496.16,0)</f>
        <v/>
      </c>
    </row>
    <row r="19">
      <c r="A19" s="59" t="inlineStr">
        <is>
          <t>SIM</t>
        </is>
      </c>
      <c r="B19" s="59">
        <f>IF(H19&lt;$B$1,"VENCIDO","NA VALIDADE")</f>
        <v/>
      </c>
      <c r="C19" s="60" t="inlineStr">
        <is>
          <t>BASE OP</t>
        </is>
      </c>
      <c r="D19" s="61" t="inlineStr">
        <is>
          <t>BASE OPERACIONAL JOÃO CÂMARA</t>
        </is>
      </c>
      <c r="E19" s="74" t="inlineStr">
        <is>
          <t>JOÃO CÂMARA</t>
        </is>
      </c>
      <c r="F19" s="75" t="inlineStr">
        <is>
          <t>RN</t>
        </is>
      </c>
      <c r="G19" s="75" t="inlineStr">
        <is>
          <t>NATAL</t>
        </is>
      </c>
      <c r="H19" s="119" t="n">
        <v>45627</v>
      </c>
      <c r="I19" s="119">
        <f>H19-180</f>
        <v/>
      </c>
      <c r="J19" s="60">
        <f>SUM(L19:AE19)</f>
        <v/>
      </c>
      <c r="K19" s="60">
        <f>SUM(AF19:AK19)</f>
        <v/>
      </c>
      <c r="L19" s="60" t="n">
        <v>2</v>
      </c>
      <c r="M19" s="60" t="n"/>
      <c r="N19" s="60" t="n">
        <v>2</v>
      </c>
      <c r="O19" s="60" t="n"/>
      <c r="P19" s="60" t="n"/>
      <c r="Q19" s="60" t="n"/>
      <c r="R19" s="60" t="n"/>
      <c r="S19" s="60" t="n"/>
      <c r="T19" s="60" t="n"/>
      <c r="U19" s="60" t="n"/>
      <c r="V19" s="60" t="n"/>
      <c r="W19" s="60" t="n"/>
      <c r="X19" s="60" t="n"/>
      <c r="Y19" s="60" t="n"/>
      <c r="Z19" s="60" t="n"/>
      <c r="AA19" s="60" t="n"/>
      <c r="AB19" s="60" t="n"/>
      <c r="AC19" s="60" t="n"/>
      <c r="AD19" s="60" t="n"/>
      <c r="AE19" s="60" t="n"/>
      <c r="AF19" s="60" t="n"/>
      <c r="AG19" s="60" t="n"/>
      <c r="AH19" s="60" t="n"/>
      <c r="AI19" s="60" t="n"/>
      <c r="AJ19" s="60" t="n"/>
      <c r="AK19" s="120">
        <f>IF(L19&gt;0,L19*(82.29+8.15),0)+IF(M19&gt;0,M19*(8.15+339.97),0)+IF(N19&gt;0,N19*151.63,0)+IF(O19&gt;0,O19*197.82,0)+IF(P19&gt;0,P19*244.09,0)+IF(Q19&gt;0,Q19*315.35,0)+IF(R19&gt;0,R19*1067.3,0)+IF(T19&gt;0,T19*567.47,0)+IF(U19&gt;0,U19*151.63,0)+IF(V19&gt;0,V19*197.84,0)+IF(W19&gt;0,W19*470.51,0)+IF(X19&gt;0,X19*701.69,0)+IF(Z19&gt;0,Z19*151.63,0)+IF(AA19&gt;0,AA19*197.84)+IF(AB19&gt;0,AB19*308.4,0)+IF(AC19&gt;0,AC19*496.16,0)</f>
        <v/>
      </c>
    </row>
    <row r="20">
      <c r="A20" s="59" t="inlineStr">
        <is>
          <t>SIM</t>
        </is>
      </c>
      <c r="B20" s="59">
        <f>IF(H20&lt;$B$1,"VENCIDO","NA VALIDADE")</f>
        <v/>
      </c>
      <c r="C20" s="60" t="inlineStr">
        <is>
          <t>BASE OP</t>
        </is>
      </c>
      <c r="D20" s="61" t="inlineStr">
        <is>
          <t>BASE OPERACIONAL SANTA CRUZ</t>
        </is>
      </c>
      <c r="E20" s="74" t="inlineStr">
        <is>
          <t>SANTA CRUZ</t>
        </is>
      </c>
      <c r="F20" s="75" t="inlineStr">
        <is>
          <t>RN</t>
        </is>
      </c>
      <c r="G20" s="75" t="inlineStr">
        <is>
          <t>NATAL</t>
        </is>
      </c>
      <c r="H20" s="119" t="n">
        <v>45597</v>
      </c>
      <c r="I20" s="119">
        <f>H20-180</f>
        <v/>
      </c>
      <c r="J20" s="60">
        <f>SUM(L20:AE20)</f>
        <v/>
      </c>
      <c r="K20" s="60">
        <f>SUM(AF20:AK20)</f>
        <v/>
      </c>
      <c r="L20" s="60" t="n">
        <v>2</v>
      </c>
      <c r="M20" s="60" t="n"/>
      <c r="N20" s="60" t="n">
        <v>2</v>
      </c>
      <c r="O20" s="60" t="n"/>
      <c r="P20" s="60" t="n"/>
      <c r="Q20" s="60" t="n"/>
      <c r="R20" s="60" t="n"/>
      <c r="S20" s="60" t="n"/>
      <c r="T20" s="60" t="n"/>
      <c r="U20" s="60" t="n"/>
      <c r="V20" s="60" t="n">
        <v>1</v>
      </c>
      <c r="W20" s="60" t="n"/>
      <c r="X20" s="60" t="n"/>
      <c r="Y20" s="60" t="n"/>
      <c r="Z20" s="60" t="n"/>
      <c r="AA20" s="60" t="n"/>
      <c r="AB20" s="60" t="n"/>
      <c r="AC20" s="60" t="n"/>
      <c r="AD20" s="60" t="n"/>
      <c r="AE20" s="60" t="n"/>
      <c r="AF20" s="60" t="n"/>
      <c r="AG20" s="60" t="n"/>
      <c r="AH20" s="60" t="n"/>
      <c r="AI20" s="60" t="n"/>
      <c r="AJ20" s="60" t="n"/>
      <c r="AK20" s="120">
        <f>IF(L20&gt;0,L20*(82.29+8.15),0)+IF(M20&gt;0,M20*(8.15+339.97),0)+IF(N20&gt;0,N20*151.63,0)+IF(O20&gt;0,O20*197.82,0)+IF(P20&gt;0,P20*244.09,0)+IF(Q20&gt;0,Q20*315.35,0)+IF(R20&gt;0,R20*1067.3,0)+IF(T20&gt;0,T20*567.47,0)+IF(U20&gt;0,U20*151.63,0)+IF(V20&gt;0,V20*197.84,0)+IF(W20&gt;0,W20*470.51,0)+IF(X20&gt;0,X20*701.69,0)+IF(Z20&gt;0,Z20*151.63,0)+IF(AA20&gt;0,AA20*197.84)+IF(AB20&gt;0,AB20*308.4,0)+IF(AC20&gt;0,AC20*496.16,0)</f>
        <v/>
      </c>
    </row>
    <row r="21">
      <c r="A21" s="59" t="inlineStr">
        <is>
          <t>SIM</t>
        </is>
      </c>
      <c r="B21" s="59">
        <f>IF(H21&lt;$B$1,"VENCIDO","NA VALIDADE")</f>
        <v/>
      </c>
      <c r="C21" s="60" t="inlineStr">
        <is>
          <t>EDIFICIO</t>
        </is>
      </c>
      <c r="D21" s="61" t="inlineStr">
        <is>
          <t>EDIFÍCIO SEDE COSERN</t>
        </is>
      </c>
      <c r="E21" s="74" t="inlineStr">
        <is>
          <t>NATAL</t>
        </is>
      </c>
      <c r="F21" s="75" t="inlineStr">
        <is>
          <t>RN</t>
        </is>
      </c>
      <c r="G21" s="75" t="inlineStr">
        <is>
          <t>NATAL</t>
        </is>
      </c>
      <c r="H21" s="119" t="n">
        <v>45413</v>
      </c>
      <c r="I21" s="119" t="n">
        <v>45413</v>
      </c>
      <c r="J21" s="60">
        <f>SUM(L21:AE21)</f>
        <v/>
      </c>
      <c r="K21" s="60">
        <f>SUM(AF21:AK21)</f>
        <v/>
      </c>
      <c r="L21" s="60" t="n">
        <v>84</v>
      </c>
      <c r="M21" s="60" t="n"/>
      <c r="N21" s="60" t="n">
        <v>61</v>
      </c>
      <c r="O21" s="60" t="n">
        <v>23</v>
      </c>
      <c r="P21" s="60" t="n">
        <v>4</v>
      </c>
      <c r="Q21" s="60" t="n"/>
      <c r="R21" s="60" t="n">
        <v>1</v>
      </c>
      <c r="S21" s="60" t="n"/>
      <c r="T21" s="60" t="n">
        <v>1</v>
      </c>
      <c r="U21" s="60" t="n"/>
      <c r="V21" s="60" t="n"/>
      <c r="W21" s="60" t="n"/>
      <c r="X21" s="60" t="n"/>
      <c r="Y21" s="60" t="n"/>
      <c r="Z21" s="60" t="n"/>
      <c r="AA21" s="60" t="n">
        <v>11</v>
      </c>
      <c r="AB21" s="60" t="n">
        <v>2</v>
      </c>
      <c r="AC21" s="60" t="n"/>
      <c r="AD21" s="60" t="n"/>
      <c r="AE21" s="60" t="n"/>
      <c r="AF21" s="60" t="n">
        <v>46</v>
      </c>
      <c r="AG21" s="60" t="n"/>
      <c r="AH21" s="60" t="n"/>
      <c r="AI21" s="60" t="n"/>
      <c r="AJ21" s="60" t="n"/>
      <c r="AK21" s="120">
        <f>IF(L21&gt;0,L21*(82.29+8.15),0)+IF(M21&gt;0,M21*(8.15+339.97),0)+IF(N21&gt;0,N21*151.63,0)+IF(O21&gt;0,O21*197.82,0)+IF(P21&gt;0,P21*244.09,0)+IF(Q21&gt;0,Q21*315.35,0)+IF(R21&gt;0,R21*1067.3,0)+IF(T21&gt;0,T21*567.47,0)+IF(U21&gt;0,U21*151.63,0)+IF(V21&gt;0,V21*197.84,0)+IF(W21&gt;0,W21*470.51,0)+IF(X21&gt;0,X21*701.69,0)+IF(Z21&gt;0,Z21*151.63,0)+IF(AA21&gt;0,AA21*197.84)+IF(AB21&gt;0,AB21*308.4,0)+IF(AC21&gt;0,AC21*496.16,0)</f>
        <v/>
      </c>
    </row>
    <row r="22">
      <c r="A22" s="59" t="inlineStr">
        <is>
          <t>SIM</t>
        </is>
      </c>
      <c r="B22" s="59">
        <f>IF(H22&lt;$B$1,"VENCIDO","NA VALIDADE")</f>
        <v/>
      </c>
      <c r="C22" s="60" t="inlineStr">
        <is>
          <t>EDIFICIO</t>
        </is>
      </c>
      <c r="D22" s="61" t="inlineStr">
        <is>
          <t>EDIFÍCIO SEDE NEOPOLIS</t>
        </is>
      </c>
      <c r="E22" s="74" t="inlineStr">
        <is>
          <t>NATAL</t>
        </is>
      </c>
      <c r="F22" s="75" t="inlineStr">
        <is>
          <t>RN</t>
        </is>
      </c>
      <c r="G22" s="75" t="inlineStr">
        <is>
          <t>NATAL</t>
        </is>
      </c>
      <c r="H22" s="119" t="n">
        <v>45536</v>
      </c>
      <c r="I22" s="119">
        <f>H22-180</f>
        <v/>
      </c>
      <c r="J22" s="60" t="n">
        <v>4</v>
      </c>
      <c r="K22" s="60">
        <f>SUM(AF22:AK22)</f>
        <v/>
      </c>
      <c r="L22" s="60" t="n">
        <v>1</v>
      </c>
      <c r="M22" s="60" t="n"/>
      <c r="N22" s="60" t="n"/>
      <c r="O22" s="60" t="n">
        <v>1</v>
      </c>
      <c r="P22" s="60" t="n"/>
      <c r="Q22" s="60" t="n"/>
      <c r="R22" s="60" t="n"/>
      <c r="S22" s="60" t="n"/>
      <c r="T22" s="60" t="n"/>
      <c r="U22" s="60" t="n"/>
      <c r="V22" s="60" t="n"/>
      <c r="W22" s="60" t="n"/>
      <c r="X22" s="60" t="n"/>
      <c r="Y22" s="60" t="n"/>
      <c r="Z22" s="60" t="n"/>
      <c r="AA22" s="60" t="n">
        <v>2</v>
      </c>
      <c r="AB22" s="60" t="n"/>
      <c r="AC22" s="60" t="n"/>
      <c r="AD22" s="60" t="n"/>
      <c r="AE22" s="60" t="n"/>
      <c r="AF22" s="60" t="n"/>
      <c r="AG22" s="60" t="n"/>
      <c r="AH22" s="60" t="n"/>
      <c r="AI22" s="60" t="n"/>
      <c r="AJ22" s="60" t="n"/>
      <c r="AK22" s="120">
        <f>IF(L22&gt;0,L22*(82.29+8.15),0)+IF(M22&gt;0,M22*(8.15+339.97),0)+IF(N22&gt;0,N22*151.63,0)+IF(O22&gt;0,O22*197.82,0)+IF(P22&gt;0,P22*244.09,0)+IF(Q22&gt;0,Q22*315.35,0)+IF(R22&gt;0,R22*1067.3,0)+IF(T22&gt;0,T22*567.47,0)+IF(U22&gt;0,U22*151.63,0)+IF(V22&gt;0,V22*197.84,0)+IF(W22&gt;0,W22*470.51,0)+IF(X22&gt;0,X22*701.69,0)+IF(Z22&gt;0,Z22*151.63,0)+IF(AA22&gt;0,AA22*197.84)+IF(AB22&gt;0,AB22*308.4,0)+IF(AC22&gt;0,AC22*496.16,0)</f>
        <v/>
      </c>
    </row>
    <row r="23">
      <c r="A23" s="59" t="inlineStr">
        <is>
          <t>SIM</t>
        </is>
      </c>
      <c r="B23" s="59">
        <f>IF(H23&lt;$B$1,"VENCIDO","NA VALIDADE")</f>
        <v/>
      </c>
      <c r="C23" s="60" t="inlineStr">
        <is>
          <t>ESTAÇÃO REP</t>
        </is>
      </c>
      <c r="D23" s="61" t="inlineStr">
        <is>
          <t>ESTAÇÃO REPETIDORA BODÓ</t>
        </is>
      </c>
      <c r="E23" s="74" t="inlineStr">
        <is>
          <t>CERRO CORA</t>
        </is>
      </c>
      <c r="F23" s="75" t="inlineStr">
        <is>
          <t>RN</t>
        </is>
      </c>
      <c r="G23" s="75" t="inlineStr">
        <is>
          <t>NATAL</t>
        </is>
      </c>
      <c r="H23" s="119" t="n">
        <v>45505</v>
      </c>
      <c r="I23" s="119">
        <f>H23-180</f>
        <v/>
      </c>
      <c r="J23" s="60">
        <f>SUM(L23:AE23)</f>
        <v/>
      </c>
      <c r="K23" s="60">
        <f>SUM(AF23:AK23)</f>
        <v/>
      </c>
      <c r="L23" s="60" t="n"/>
      <c r="M23" s="60" t="n"/>
      <c r="N23" s="60" t="n"/>
      <c r="O23" s="60" t="n"/>
      <c r="P23" s="60" t="n"/>
      <c r="Q23" s="60" t="n"/>
      <c r="R23" s="60" t="n"/>
      <c r="S23" s="60" t="n"/>
      <c r="T23" s="60" t="n"/>
      <c r="U23" s="60" t="n"/>
      <c r="V23" s="60" t="n"/>
      <c r="W23" s="60" t="n"/>
      <c r="X23" s="60" t="n"/>
      <c r="Y23" s="60" t="n"/>
      <c r="Z23" s="60" t="n"/>
      <c r="AA23" s="60" t="n">
        <v>1</v>
      </c>
      <c r="AB23" s="60" t="n"/>
      <c r="AC23" s="60" t="n"/>
      <c r="AD23" s="60" t="n"/>
      <c r="AE23" s="60" t="n"/>
      <c r="AF23" s="60" t="n"/>
      <c r="AG23" s="60" t="n"/>
      <c r="AH23" s="60" t="n"/>
      <c r="AI23" s="60" t="n"/>
      <c r="AJ23" s="60" t="n"/>
      <c r="AK23" s="120">
        <f>IF(L23&gt;0,L23*(82.29+8.15),0)+IF(M23&gt;0,M23*(8.15+339.97),0)+IF(N23&gt;0,N23*151.63,0)+IF(O23&gt;0,O23*197.82,0)+IF(P23&gt;0,P23*244.09,0)+IF(Q23&gt;0,Q23*315.35,0)+IF(R23&gt;0,R23*1067.3,0)+IF(T23&gt;0,T23*567.47,0)+IF(U23&gt;0,U23*151.63,0)+IF(V23&gt;0,V23*197.84,0)+IF(W23&gt;0,W23*470.51,0)+IF(X23&gt;0,X23*701.69,0)+IF(Z23&gt;0,Z23*151.63,0)+IF(AA23&gt;0,AA23*197.84)+IF(AB23&gt;0,AB23*308.4,0)+IF(AC23&gt;0,AC23*496.16,0)</f>
        <v/>
      </c>
    </row>
    <row r="24">
      <c r="A24" s="59" t="inlineStr">
        <is>
          <t>SIM</t>
        </is>
      </c>
      <c r="B24" s="59">
        <f>IF(H24&lt;$B$1,"VENCIDO","NA VALIDADE")</f>
        <v/>
      </c>
      <c r="C24" s="60" t="inlineStr">
        <is>
          <t>ESTAÇÃO REP</t>
        </is>
      </c>
      <c r="D24" s="61" t="inlineStr">
        <is>
          <t>ESTACAO REPETIDORA MARTINS</t>
        </is>
      </c>
      <c r="E24" s="74" t="inlineStr">
        <is>
          <t>MARTINS</t>
        </is>
      </c>
      <c r="F24" s="75" t="inlineStr">
        <is>
          <t>RN</t>
        </is>
      </c>
      <c r="G24" s="75" t="inlineStr">
        <is>
          <t>NATAL</t>
        </is>
      </c>
      <c r="H24" s="119" t="n">
        <v>45352</v>
      </c>
      <c r="I24" s="119" t="n">
        <v>45352</v>
      </c>
      <c r="J24" s="60">
        <f>SUM(L24:AE24)</f>
        <v/>
      </c>
      <c r="K24" s="60">
        <f>SUM(AF24:AK24)</f>
        <v/>
      </c>
      <c r="L24" s="60" t="n"/>
      <c r="M24" s="60" t="n"/>
      <c r="N24" s="60" t="n"/>
      <c r="O24" s="60" t="n"/>
      <c r="P24" s="60" t="n"/>
      <c r="Q24" s="60" t="n"/>
      <c r="R24" s="60" t="n"/>
      <c r="S24" s="60" t="n"/>
      <c r="T24" s="60" t="n"/>
      <c r="U24" s="60" t="n"/>
      <c r="V24" s="60" t="n"/>
      <c r="W24" s="60" t="n"/>
      <c r="X24" s="60" t="n"/>
      <c r="Y24" s="60" t="n"/>
      <c r="Z24" s="60" t="n"/>
      <c r="AA24" s="60" t="n">
        <v>1</v>
      </c>
      <c r="AB24" s="60" t="n"/>
      <c r="AC24" s="60" t="n"/>
      <c r="AD24" s="60" t="n"/>
      <c r="AE24" s="60" t="n"/>
      <c r="AF24" s="60" t="n"/>
      <c r="AG24" s="60" t="n"/>
      <c r="AH24" s="60" t="n"/>
      <c r="AI24" s="60" t="n"/>
      <c r="AJ24" s="60" t="n"/>
      <c r="AK24" s="120">
        <f>IF(L24&gt;0,L24*(82.29+8.15),0)+IF(M24&gt;0,M24*(8.15+339.97),0)+IF(N24&gt;0,N24*151.63,0)+IF(O24&gt;0,O24*197.82,0)+IF(P24&gt;0,P24*244.09,0)+IF(Q24&gt;0,Q24*315.35,0)+IF(R24&gt;0,R24*1067.3,0)+IF(T24&gt;0,T24*567.47,0)+IF(U24&gt;0,U24*151.63,0)+IF(V24&gt;0,V24*197.84,0)+IF(W24&gt;0,W24*470.51,0)+IF(X24&gt;0,X24*701.69,0)+IF(Z24&gt;0,Z24*151.63,0)+IF(AA24&gt;0,AA24*197.84)+IF(AB24&gt;0,AB24*308.4,0)+IF(AC24&gt;0,AC24*496.16,0)</f>
        <v/>
      </c>
    </row>
    <row r="25">
      <c r="A25" s="59" t="inlineStr">
        <is>
          <t>SIM</t>
        </is>
      </c>
      <c r="B25" s="59">
        <f>IF(H25&lt;$B$1,"VENCIDO","NA VALIDADE")</f>
        <v/>
      </c>
      <c r="C25" s="60" t="inlineStr">
        <is>
          <t>ESTAÇÃO REP</t>
        </is>
      </c>
      <c r="D25" s="61" t="inlineStr">
        <is>
          <t>ESTACAO REPETIDORA SANTA CRUZ / SE SANTA CRUZ</t>
        </is>
      </c>
      <c r="E25" s="74" t="inlineStr">
        <is>
          <t>SANTA CRUZ</t>
        </is>
      </c>
      <c r="F25" s="75" t="inlineStr">
        <is>
          <t>RN</t>
        </is>
      </c>
      <c r="G25" s="75" t="inlineStr">
        <is>
          <t>NATAL</t>
        </is>
      </c>
      <c r="H25" s="119" t="n">
        <v>45292</v>
      </c>
      <c r="I25" s="119" t="n">
        <v>45292</v>
      </c>
      <c r="J25" s="60" t="n">
        <v>1</v>
      </c>
      <c r="K25" s="60">
        <f>SUM(AF25:AK25)</f>
        <v/>
      </c>
      <c r="L25" s="60" t="n"/>
      <c r="M25" s="60" t="n"/>
      <c r="N25" s="60" t="n"/>
      <c r="O25" s="60" t="n"/>
      <c r="P25" s="60" t="n"/>
      <c r="Q25" s="60" t="n"/>
      <c r="R25" s="60" t="n"/>
      <c r="S25" s="60" t="n"/>
      <c r="T25" s="60" t="n"/>
      <c r="U25" s="60" t="n"/>
      <c r="V25" s="60" t="n"/>
      <c r="W25" s="60" t="n"/>
      <c r="X25" s="60" t="n"/>
      <c r="Y25" s="60" t="n"/>
      <c r="Z25" s="60" t="n"/>
      <c r="AA25" s="60" t="n">
        <v>1</v>
      </c>
      <c r="AB25" s="60" t="n"/>
      <c r="AC25" s="60" t="n"/>
      <c r="AD25" s="60" t="n"/>
      <c r="AE25" s="60" t="n"/>
      <c r="AF25" s="60" t="n"/>
      <c r="AG25" s="60" t="n"/>
      <c r="AH25" s="60" t="n"/>
      <c r="AI25" s="60" t="n"/>
      <c r="AJ25" s="60" t="n"/>
      <c r="AK25" s="120">
        <f>IF(L25&gt;0,L25*(82.29+8.15),0)+IF(M25&gt;0,M25*(8.15+339.97),0)+IF(N25&gt;0,N25*151.63,0)+IF(O25&gt;0,O25*197.82,0)+IF(P25&gt;0,P25*244.09,0)+IF(Q25&gt;0,Q25*315.35,0)+IF(R25&gt;0,R25*1067.3,0)+IF(T25&gt;0,T25*567.47,0)+IF(U25&gt;0,U25*151.63,0)+IF(V25&gt;0,V25*197.84,0)+IF(W25&gt;0,W25*470.51,0)+IF(X25&gt;0,X25*701.69,0)+IF(Z25&gt;0,Z25*151.63,0)+IF(AA25&gt;0,AA25*197.84)+IF(AB25&gt;0,AB25*308.4,0)+IF(AC25&gt;0,AC25*496.16,0)</f>
        <v/>
      </c>
    </row>
    <row r="26">
      <c r="A26" s="59" t="inlineStr">
        <is>
          <t>SIM</t>
        </is>
      </c>
      <c r="B26" s="59">
        <f>IF(H26&lt;$B$1,"VENCIDO","NA VALIDADE")</f>
        <v/>
      </c>
      <c r="C26" s="60" t="inlineStr">
        <is>
          <t>ESTAÇÃO REP</t>
        </is>
      </c>
      <c r="D26" s="61" t="inlineStr">
        <is>
          <t>ESTACAO REPETIDORA SERRA DO MEL</t>
        </is>
      </c>
      <c r="E26" s="74" t="inlineStr">
        <is>
          <t>SERRA DO MEL</t>
        </is>
      </c>
      <c r="F26" s="75" t="inlineStr">
        <is>
          <t>RN</t>
        </is>
      </c>
      <c r="G26" s="75" t="inlineStr">
        <is>
          <t>NATAL</t>
        </is>
      </c>
      <c r="H26" s="119" t="n">
        <v>45352</v>
      </c>
      <c r="I26" s="119" t="n">
        <v>45352</v>
      </c>
      <c r="J26" s="60">
        <f>SUM(L26:AE26)</f>
        <v/>
      </c>
      <c r="K26" s="60">
        <f>SUM(AF26:AK26)</f>
        <v/>
      </c>
      <c r="L26" s="60" t="n"/>
      <c r="M26" s="60" t="n"/>
      <c r="N26" s="60" t="n"/>
      <c r="O26" s="60" t="n"/>
      <c r="P26" s="60" t="n"/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/>
      <c r="Z26" s="60" t="n"/>
      <c r="AA26" s="60" t="n">
        <v>1</v>
      </c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60" t="n"/>
      <c r="AK26" s="120">
        <f>IF(L26&gt;0,L26*(82.29+8.15),0)+IF(M26&gt;0,M26*(8.15+339.97),0)+IF(N26&gt;0,N26*151.63,0)+IF(O26&gt;0,O26*197.82,0)+IF(P26&gt;0,P26*244.09,0)+IF(Q26&gt;0,Q26*315.35,0)+IF(R26&gt;0,R26*1067.3,0)+IF(T26&gt;0,T26*567.47,0)+IF(U26&gt;0,U26*151.63,0)+IF(V26&gt;0,V26*197.84,0)+IF(W26&gt;0,W26*470.51,0)+IF(X26&gt;0,X26*701.69,0)+IF(Z26&gt;0,Z26*151.63,0)+IF(AA26&gt;0,AA26*197.84)+IF(AB26&gt;0,AB26*308.4,0)+IF(AC26&gt;0,AC26*496.16,0)</f>
        <v/>
      </c>
    </row>
    <row r="27">
      <c r="A27" s="59" t="n"/>
      <c r="B27" s="59">
        <f>IF(H27&lt;$B$1,"VENCIDO","NA VALIDADE")</f>
        <v/>
      </c>
      <c r="C27" s="60" t="inlineStr">
        <is>
          <t>SUBESTAÇÃO</t>
        </is>
      </c>
      <c r="D27" s="61" t="inlineStr">
        <is>
          <t>SE CAPIM MACIO</t>
        </is>
      </c>
      <c r="E27" s="74" t="inlineStr">
        <is>
          <t>NATAL</t>
        </is>
      </c>
      <c r="F27" s="75" t="inlineStr">
        <is>
          <t>RN</t>
        </is>
      </c>
      <c r="G27" s="75" t="inlineStr">
        <is>
          <t>NATAL</t>
        </is>
      </c>
      <c r="H27" s="119" t="n">
        <v>45474</v>
      </c>
      <c r="I27" s="119">
        <f>H27-180</f>
        <v/>
      </c>
      <c r="J27" s="60" t="n">
        <v>4</v>
      </c>
      <c r="K27" s="60">
        <f>SUM(AF27:AK27)</f>
        <v/>
      </c>
      <c r="L27" s="60" t="n"/>
      <c r="M27" s="60" t="n"/>
      <c r="N27" s="60" t="n"/>
      <c r="O27" s="60" t="n"/>
      <c r="P27" s="60" t="n"/>
      <c r="Q27" s="60" t="n"/>
      <c r="R27" s="60" t="n"/>
      <c r="S27" s="60" t="n"/>
      <c r="T27" s="60" t="n">
        <v>1</v>
      </c>
      <c r="U27" s="60" t="n"/>
      <c r="V27" s="60" t="n"/>
      <c r="W27" s="60" t="n"/>
      <c r="X27" s="60" t="n"/>
      <c r="Y27" s="60" t="n"/>
      <c r="Z27" s="60" t="n"/>
      <c r="AA27" s="60" t="n">
        <v>4</v>
      </c>
      <c r="AB27" s="60" t="n"/>
      <c r="AC27" s="60" t="n"/>
      <c r="AD27" s="60" t="n"/>
      <c r="AE27" s="60" t="n"/>
      <c r="AF27" s="60" t="n"/>
      <c r="AG27" s="60" t="n"/>
      <c r="AH27" s="60" t="n"/>
      <c r="AI27" s="60" t="n"/>
      <c r="AJ27" s="60" t="n"/>
      <c r="AK27" s="120">
        <f>IF(L27&gt;0,L27*(82.29+8.15),0)+IF(M27&gt;0,M27*(8.15+339.97),0)+IF(N27&gt;0,N27*151.63,0)+IF(O27&gt;0,O27*197.82,0)+IF(P27&gt;0,P27*244.09,0)+IF(Q27&gt;0,Q27*315.35,0)+IF(R27&gt;0,R27*1067.3,0)+IF(T27&gt;0,T27*567.47,0)+IF(U27&gt;0,U27*151.63,0)+IF(V27&gt;0,V27*197.84,0)+IF(W27&gt;0,W27*470.51,0)+IF(X27&gt;0,X27*701.69,0)+IF(Z27&gt;0,Z27*151.63,0)+IF(AA27&gt;0,AA27*197.84)+IF(AB27&gt;0,AB27*308.4,0)+IF(AC27&gt;0,AC27*496.16,0)</f>
        <v/>
      </c>
    </row>
    <row r="28">
      <c r="A28" s="59" t="inlineStr">
        <is>
          <t>SIM</t>
        </is>
      </c>
      <c r="B28" s="59">
        <f>IF(H28&lt;$B$1,"VENCIDO","NA VALIDADE")</f>
        <v/>
      </c>
      <c r="C28" s="60" t="inlineStr">
        <is>
          <t>SUBESTAÇÃO</t>
        </is>
      </c>
      <c r="D28" s="61" t="inlineStr">
        <is>
          <t>SE CARAÚBAS</t>
        </is>
      </c>
      <c r="E28" s="74" t="inlineStr">
        <is>
          <t>CARAÚBAS</t>
        </is>
      </c>
      <c r="F28" s="75" t="inlineStr">
        <is>
          <t>RN</t>
        </is>
      </c>
      <c r="G28" s="75" t="inlineStr">
        <is>
          <t>NATAL</t>
        </is>
      </c>
      <c r="H28" s="119" t="n">
        <v>45444</v>
      </c>
      <c r="I28" s="119" t="n">
        <v>45444</v>
      </c>
      <c r="J28" s="60">
        <f>SUM(L28:AE28)</f>
        <v/>
      </c>
      <c r="K28" s="60">
        <f>SUM(AF28:AK28)</f>
        <v/>
      </c>
      <c r="L28" s="60" t="n"/>
      <c r="M28" s="60" t="n"/>
      <c r="N28" s="60" t="n"/>
      <c r="O28" s="60" t="n"/>
      <c r="P28" s="60" t="n"/>
      <c r="Q28" s="60" t="n"/>
      <c r="R28" s="60" t="n"/>
      <c r="S28" s="60" t="n"/>
      <c r="T28" s="60" t="n">
        <v>1</v>
      </c>
      <c r="U28" s="60" t="n"/>
      <c r="V28" s="60" t="n"/>
      <c r="W28" s="60" t="n"/>
      <c r="X28" s="60" t="n"/>
      <c r="Y28" s="60" t="n"/>
      <c r="Z28" s="60" t="n"/>
      <c r="AA28" s="60" t="n">
        <v>2</v>
      </c>
      <c r="AB28" s="60" t="n"/>
      <c r="AC28" s="60" t="n"/>
      <c r="AD28" s="60" t="n"/>
      <c r="AE28" s="60" t="n"/>
      <c r="AF28" s="60" t="n"/>
      <c r="AG28" s="60" t="n"/>
      <c r="AH28" s="60" t="n"/>
      <c r="AI28" s="60" t="n"/>
      <c r="AJ28" s="60" t="n"/>
      <c r="AK28" s="120">
        <f>IF(L28&gt;0,L28*(82.29+8.15),0)+IF(M28&gt;0,M28*(8.15+339.97),0)+IF(N28&gt;0,N28*151.63,0)+IF(O28&gt;0,O28*197.82,0)+IF(P28&gt;0,P28*244.09,0)+IF(Q28&gt;0,Q28*315.35,0)+IF(R28&gt;0,R28*1067.3,0)+IF(T28&gt;0,T28*567.47,0)+IF(U28&gt;0,U28*151.63,0)+IF(V28&gt;0,V28*197.84,0)+IF(W28&gt;0,W28*470.51,0)+IF(X28&gt;0,X28*701.69,0)+IF(Z28&gt;0,Z28*151.63,0)+IF(AA28&gt;0,AA28*197.84)+IF(AB28&gt;0,AB28*308.4,0)+IF(AC28&gt;0,AC28*496.16,0)</f>
        <v/>
      </c>
    </row>
    <row r="29">
      <c r="A29" s="59" t="n"/>
      <c r="B29" s="59">
        <f>IF(H29&lt;$B$1,"VENCIDO","NA VALIDADE")</f>
        <v/>
      </c>
      <c r="C29" s="60" t="inlineStr">
        <is>
          <t>SUBESTAÇÃO</t>
        </is>
      </c>
      <c r="D29" s="61" t="inlineStr">
        <is>
          <t>SE CEARA-MIRIM</t>
        </is>
      </c>
      <c r="E29" s="74" t="inlineStr">
        <is>
          <t>CEARÁ-MIRIM</t>
        </is>
      </c>
      <c r="F29" s="75" t="inlineStr">
        <is>
          <t>RN</t>
        </is>
      </c>
      <c r="G29" s="75" t="inlineStr">
        <is>
          <t>NATAL</t>
        </is>
      </c>
      <c r="H29" s="119" t="n">
        <v>45658</v>
      </c>
      <c r="I29" s="119">
        <f>H29-180</f>
        <v/>
      </c>
      <c r="J29" s="60">
        <f>SUM(L29:AE29)</f>
        <v/>
      </c>
      <c r="K29" s="60">
        <f>SUM(AF29:AK29)</f>
        <v/>
      </c>
      <c r="L29" s="60" t="n"/>
      <c r="M29" s="60" t="n"/>
      <c r="N29" s="60" t="n"/>
      <c r="O29" s="60" t="n"/>
      <c r="P29" s="60" t="n"/>
      <c r="Q29" s="60" t="n"/>
      <c r="R29" s="60" t="n"/>
      <c r="S29" s="60" t="n"/>
      <c r="T29" s="60" t="n">
        <v>1</v>
      </c>
      <c r="U29" s="60" t="n"/>
      <c r="V29" s="60" t="n"/>
      <c r="W29" s="60" t="n"/>
      <c r="X29" s="60" t="n"/>
      <c r="Y29" s="60" t="n"/>
      <c r="Z29" s="60" t="n"/>
      <c r="AA29" s="60" t="n">
        <v>2</v>
      </c>
      <c r="AB29" s="60" t="n"/>
      <c r="AC29" s="60" t="n"/>
      <c r="AD29" s="60" t="n"/>
      <c r="AE29" s="60" t="n"/>
      <c r="AF29" s="60" t="n"/>
      <c r="AG29" s="60" t="n"/>
      <c r="AH29" s="60" t="n"/>
      <c r="AI29" s="60" t="n"/>
      <c r="AJ29" s="60" t="n"/>
      <c r="AK29" s="120">
        <f>IF(L29&gt;0,L29*(82.29+8.15),0)+IF(M29&gt;0,M29*(8.15+339.97),0)+IF(N29&gt;0,N29*151.63,0)+IF(O29&gt;0,O29*197.82,0)+IF(P29&gt;0,P29*244.09,0)+IF(Q29&gt;0,Q29*315.35,0)+IF(R29&gt;0,R29*1067.3,0)+IF(T29&gt;0,T29*567.47,0)+IF(U29&gt;0,U29*151.63,0)+IF(V29&gt;0,V29*197.84,0)+IF(W29&gt;0,W29*470.51,0)+IF(X29&gt;0,X29*701.69,0)+IF(Z29&gt;0,Z29*151.63,0)+IF(AA29&gt;0,AA29*197.84)+IF(AB29&gt;0,AB29*308.4,0)+IF(AC29&gt;0,AC29*496.16,0)</f>
        <v/>
      </c>
    </row>
    <row r="30">
      <c r="A30" s="59" t="inlineStr">
        <is>
          <t>NATAL 06/12</t>
        </is>
      </c>
      <c r="B30" s="59">
        <f>IF(H30&lt;$B$1,"VENCIDO","NA VALIDADE")</f>
        <v/>
      </c>
      <c r="C30" s="60" t="inlineStr">
        <is>
          <t>SUBESTAÇÃO</t>
        </is>
      </c>
      <c r="D30" s="61" t="inlineStr">
        <is>
          <t>SE CENTRO</t>
        </is>
      </c>
      <c r="E30" s="74" t="inlineStr">
        <is>
          <t>NATAL</t>
        </is>
      </c>
      <c r="F30" s="75" t="inlineStr">
        <is>
          <t>RN</t>
        </is>
      </c>
      <c r="G30" s="75" t="inlineStr">
        <is>
          <t>NATAL</t>
        </is>
      </c>
      <c r="H30" s="119" t="n">
        <v>45505</v>
      </c>
      <c r="I30" s="119">
        <f>H30-180</f>
        <v/>
      </c>
      <c r="J30" s="60">
        <f>SUM(L30:AE30)</f>
        <v/>
      </c>
      <c r="K30" s="60">
        <f>SUM(AF30:AK30)</f>
        <v/>
      </c>
      <c r="L30" s="60" t="n"/>
      <c r="M30" s="60" t="n"/>
      <c r="N30" s="60" t="n"/>
      <c r="O30" s="60" t="n"/>
      <c r="P30" s="60" t="n"/>
      <c r="Q30" s="60" t="n"/>
      <c r="R30" s="60" t="n"/>
      <c r="S30" s="60" t="n"/>
      <c r="T30" s="60" t="n">
        <v>1</v>
      </c>
      <c r="U30" s="60" t="n"/>
      <c r="V30" s="60" t="n"/>
      <c r="W30" s="60" t="n"/>
      <c r="X30" s="60" t="n"/>
      <c r="Y30" s="60" t="n"/>
      <c r="Z30" s="60" t="n"/>
      <c r="AA30" s="60" t="n">
        <v>3</v>
      </c>
      <c r="AB30" s="60" t="n"/>
      <c r="AC30" s="60" t="n"/>
      <c r="AD30" s="60" t="n"/>
      <c r="AE30" s="60" t="n"/>
      <c r="AF30" s="60" t="n"/>
      <c r="AG30" s="60" t="n"/>
      <c r="AH30" s="60" t="n"/>
      <c r="AI30" s="60" t="n"/>
      <c r="AJ30" s="60" t="n"/>
      <c r="AK30" s="120">
        <f>IF(L30&gt;0,L30*(82.29+8.15),0)+IF(M30&gt;0,M30*(8.15+339.97),0)+IF(N30&gt;0,N30*151.63,0)+IF(O30&gt;0,O30*197.82,0)+IF(P30&gt;0,P30*244.09,0)+IF(Q30&gt;0,Q30*315.35,0)+IF(R30&gt;0,R30*1067.3,0)+IF(T30&gt;0,T30*567.47,0)+IF(U30&gt;0,U30*151.63,0)+IF(V30&gt;0,V30*197.84,0)+IF(W30&gt;0,W30*470.51,0)+IF(X30&gt;0,X30*701.69,0)+IF(Z30&gt;0,Z30*151.63,0)+IF(AA30&gt;0,AA30*197.84)+IF(AB30&gt;0,AB30*308.4,0)+IF(AC30&gt;0,AC30*496.16,0)</f>
        <v/>
      </c>
    </row>
    <row r="31">
      <c r="A31" s="59" t="inlineStr">
        <is>
          <t>SIM</t>
        </is>
      </c>
      <c r="B31" s="59">
        <f>IF(H31&lt;$B$1,"VENCIDO","NA VALIDADE")</f>
        <v/>
      </c>
      <c r="C31" s="60" t="inlineStr">
        <is>
          <t>SUBESTAÇÃO</t>
        </is>
      </c>
      <c r="D31" s="61" t="inlineStr">
        <is>
          <t>SE CURRAIS NOVOS</t>
        </is>
      </c>
      <c r="E31" s="74" t="inlineStr">
        <is>
          <t>CURRAIS NOVOS</t>
        </is>
      </c>
      <c r="F31" s="75" t="inlineStr">
        <is>
          <t>RN</t>
        </is>
      </c>
      <c r="G31" s="75" t="inlineStr">
        <is>
          <t>NATAL</t>
        </is>
      </c>
      <c r="H31" s="119" t="n">
        <v>45444</v>
      </c>
      <c r="I31" s="119" t="n">
        <v>45444</v>
      </c>
      <c r="J31" s="60">
        <f>SUM(L31:AE31)</f>
        <v/>
      </c>
      <c r="K31" s="60">
        <f>SUM(AF31:AK31)</f>
        <v/>
      </c>
      <c r="L31" s="60" t="n"/>
      <c r="M31" s="60" t="n"/>
      <c r="N31" s="60" t="n"/>
      <c r="O31" s="60" t="n"/>
      <c r="P31" s="60" t="n"/>
      <c r="Q31" s="60" t="n"/>
      <c r="R31" s="60" t="n"/>
      <c r="S31" s="60" t="n"/>
      <c r="T31" s="60" t="n">
        <v>1</v>
      </c>
      <c r="U31" s="60" t="n"/>
      <c r="V31" s="60" t="n"/>
      <c r="W31" s="60" t="n"/>
      <c r="X31" s="60" t="n"/>
      <c r="Y31" s="60" t="n"/>
      <c r="Z31" s="60" t="n"/>
      <c r="AA31" s="60" t="n">
        <v>2</v>
      </c>
      <c r="AB31" s="60" t="n"/>
      <c r="AC31" s="60" t="n"/>
      <c r="AD31" s="60" t="n"/>
      <c r="AE31" s="60" t="n"/>
      <c r="AF31" s="60" t="n"/>
      <c r="AG31" s="60" t="n"/>
      <c r="AH31" s="60" t="n"/>
      <c r="AI31" s="60" t="n"/>
      <c r="AJ31" s="60" t="n"/>
      <c r="AK31" s="120">
        <f>IF(L31&gt;0,L31*(82.29+8.15),0)+IF(M31&gt;0,M31*(8.15+339.97),0)+IF(N31&gt;0,N31*151.63,0)+IF(O31&gt;0,O31*197.82,0)+IF(P31&gt;0,P31*244.09,0)+IF(Q31&gt;0,Q31*315.35,0)+IF(R31&gt;0,R31*1067.3,0)+IF(T31&gt;0,T31*567.47,0)+IF(U31&gt;0,U31*151.63,0)+IF(V31&gt;0,V31*197.84,0)+IF(W31&gt;0,W31*470.51,0)+IF(X31&gt;0,X31*701.69,0)+IF(Z31&gt;0,Z31*151.63,0)+IF(AA31&gt;0,AA31*197.84)+IF(AB31&gt;0,AB31*308.4,0)+IF(AC31&gt;0,AC31*496.16,0)</f>
        <v/>
      </c>
    </row>
    <row r="32">
      <c r="A32" s="59" t="n"/>
      <c r="B32" s="59">
        <f>IF(H32&lt;$B$1,"VENCIDO","NA VALIDADE")</f>
        <v/>
      </c>
      <c r="C32" s="60" t="inlineStr">
        <is>
          <t>SUBESTAÇÃO</t>
        </is>
      </c>
      <c r="D32" s="61" t="inlineStr">
        <is>
          <t>SE DIX-SEPT ROSADO</t>
        </is>
      </c>
      <c r="E32" s="74" t="inlineStr">
        <is>
          <t>DIX-SEPT ROSADO</t>
        </is>
      </c>
      <c r="F32" s="75" t="inlineStr">
        <is>
          <t>RN</t>
        </is>
      </c>
      <c r="G32" s="75" t="inlineStr">
        <is>
          <t>NATAL</t>
        </is>
      </c>
      <c r="H32" s="119" t="n">
        <v>45474</v>
      </c>
      <c r="I32" s="119">
        <f>H32-180</f>
        <v/>
      </c>
      <c r="J32" s="60">
        <f>SUM(L32:AE32)</f>
        <v/>
      </c>
      <c r="K32" s="60">
        <f>SUM(AF32:AK32)</f>
        <v/>
      </c>
      <c r="L32" s="60" t="n"/>
      <c r="M32" s="60" t="n"/>
      <c r="N32" s="60" t="n"/>
      <c r="O32" s="60" t="n"/>
      <c r="P32" s="60" t="n"/>
      <c r="Q32" s="60" t="n"/>
      <c r="R32" s="60" t="n"/>
      <c r="S32" s="60" t="n"/>
      <c r="T32" s="60" t="n">
        <v>1</v>
      </c>
      <c r="U32" s="60" t="n"/>
      <c r="V32" s="60" t="n"/>
      <c r="W32" s="60" t="n"/>
      <c r="X32" s="60" t="n"/>
      <c r="Y32" s="60" t="n"/>
      <c r="Z32" s="60" t="n"/>
      <c r="AA32" s="60" t="n">
        <v>2</v>
      </c>
      <c r="AB32" s="60" t="n"/>
      <c r="AC32" s="60" t="n"/>
      <c r="AD32" s="60" t="n"/>
      <c r="AE32" s="60" t="n"/>
      <c r="AF32" s="60" t="n"/>
      <c r="AG32" s="60" t="n"/>
      <c r="AH32" s="60" t="n"/>
      <c r="AI32" s="60" t="n"/>
      <c r="AJ32" s="60" t="n"/>
      <c r="AK32" s="120">
        <f>IF(L32&gt;0,L32*(82.29+8.15),0)+IF(M32&gt;0,M32*(8.15+339.97),0)+IF(N32&gt;0,N32*151.63,0)+IF(O32&gt;0,O32*197.82,0)+IF(P32&gt;0,P32*244.09,0)+IF(Q32&gt;0,Q32*315.35,0)+IF(R32&gt;0,R32*1067.3,0)+IF(T32&gt;0,T32*567.47,0)+IF(U32&gt;0,U32*151.63,0)+IF(V32&gt;0,V32*197.84,0)+IF(W32&gt;0,W32*470.51,0)+IF(X32&gt;0,X32*701.69,0)+IF(Z32&gt;0,Z32*151.63,0)+IF(AA32&gt;0,AA32*197.84)+IF(AB32&gt;0,AB32*308.4,0)+IF(AC32&gt;0,AC32*496.16,0)</f>
        <v/>
      </c>
    </row>
    <row r="33">
      <c r="A33" s="59" t="inlineStr">
        <is>
          <t>SIM</t>
        </is>
      </c>
      <c r="B33" s="59">
        <f>IF(H33&lt;$B$1,"VENCIDO","NA VALIDADE")</f>
        <v/>
      </c>
      <c r="C33" s="60" t="inlineStr">
        <is>
          <t>SUBESTAÇÃO</t>
        </is>
      </c>
      <c r="D33" s="61" t="inlineStr">
        <is>
          <t>SE DOM MARCOLINO</t>
        </is>
      </c>
      <c r="E33" s="74" t="inlineStr">
        <is>
          <t>MAXARANGUAPE</t>
        </is>
      </c>
      <c r="F33" s="75" t="inlineStr">
        <is>
          <t>RN</t>
        </is>
      </c>
      <c r="G33" s="75" t="inlineStr">
        <is>
          <t>NATAL</t>
        </is>
      </c>
      <c r="H33" s="119" t="n">
        <v>45444</v>
      </c>
      <c r="I33" s="119" t="n">
        <v>45444</v>
      </c>
      <c r="J33" s="60">
        <f>SUM(L33:AE33)</f>
        <v/>
      </c>
      <c r="K33" s="60">
        <f>SUM(AF33:AK33)</f>
        <v/>
      </c>
      <c r="L33" s="60" t="n"/>
      <c r="M33" s="60" t="n"/>
      <c r="N33" s="60" t="n"/>
      <c r="O33" s="60" t="n"/>
      <c r="P33" s="60" t="n"/>
      <c r="Q33" s="60" t="n"/>
      <c r="R33" s="60" t="n"/>
      <c r="S33" s="60" t="n"/>
      <c r="T33" s="60" t="n">
        <v>1</v>
      </c>
      <c r="U33" s="60" t="n"/>
      <c r="V33" s="60" t="n"/>
      <c r="W33" s="60" t="n"/>
      <c r="X33" s="60" t="n"/>
      <c r="Y33" s="60" t="n"/>
      <c r="Z33" s="60" t="n"/>
      <c r="AA33" s="60" t="n">
        <v>2</v>
      </c>
      <c r="AB33" s="60" t="n"/>
      <c r="AC33" s="60" t="n"/>
      <c r="AD33" s="60" t="n"/>
      <c r="AE33" s="60" t="n"/>
      <c r="AF33" s="60" t="n"/>
      <c r="AG33" s="60" t="n"/>
      <c r="AH33" s="60" t="n"/>
      <c r="AI33" s="60" t="n"/>
      <c r="AJ33" s="60" t="n"/>
      <c r="AK33" s="120">
        <f>IF(L33&gt;0,L33*(82.29+8.15),0)+IF(M33&gt;0,M33*(8.15+339.97),0)+IF(N33&gt;0,N33*151.63,0)+IF(O33&gt;0,O33*197.82,0)+IF(P33&gt;0,P33*244.09,0)+IF(Q33&gt;0,Q33*315.35,0)+IF(R33&gt;0,R33*1067.3,0)+IF(T33&gt;0,T33*567.47,0)+IF(U33&gt;0,U33*151.63,0)+IF(V33&gt;0,V33*197.84,0)+IF(W33&gt;0,W33*470.51,0)+IF(X33&gt;0,X33*701.69,0)+IF(Z33&gt;0,Z33*151.63,0)+IF(AA33&gt;0,AA33*197.84)+IF(AB33&gt;0,AB33*308.4,0)+IF(AC33&gt;0,AC33*496.16,0)</f>
        <v/>
      </c>
    </row>
    <row r="34">
      <c r="A34" s="59" t="n"/>
      <c r="B34" s="59">
        <f>IF(H34&lt;$B$1,"VENCIDO","NA VALIDADE")</f>
        <v/>
      </c>
      <c r="C34" s="60" t="inlineStr">
        <is>
          <t>SUBESTAÇÃO</t>
        </is>
      </c>
      <c r="D34" s="61" t="inlineStr">
        <is>
          <t>SE EXTREITO CARNAUBAS</t>
        </is>
      </c>
      <c r="E34" s="74" t="inlineStr">
        <is>
          <t>CARNAUBAIS</t>
        </is>
      </c>
      <c r="F34" s="75" t="inlineStr">
        <is>
          <t>RN</t>
        </is>
      </c>
      <c r="G34" s="75" t="inlineStr">
        <is>
          <t>NATAL</t>
        </is>
      </c>
      <c r="H34" s="119" t="n">
        <v>45444</v>
      </c>
      <c r="I34" s="119" t="n">
        <v>45444</v>
      </c>
      <c r="J34" s="60">
        <f>SUM(L34:AE34)</f>
        <v/>
      </c>
      <c r="K34" s="60">
        <f>SUM(AF34:AK34)</f>
        <v/>
      </c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>
        <v>1</v>
      </c>
      <c r="U34" s="60" t="n"/>
      <c r="V34" s="60" t="n"/>
      <c r="W34" s="60" t="n"/>
      <c r="X34" s="60" t="n"/>
      <c r="Y34" s="60" t="n"/>
      <c r="Z34" s="60" t="n"/>
      <c r="AA34" s="60" t="n">
        <v>2</v>
      </c>
      <c r="AB34" s="60" t="n"/>
      <c r="AC34" s="60" t="n"/>
      <c r="AD34" s="60" t="n"/>
      <c r="AE34" s="60" t="n"/>
      <c r="AF34" s="60" t="n"/>
      <c r="AG34" s="60" t="n"/>
      <c r="AH34" s="60" t="n"/>
      <c r="AI34" s="60" t="n"/>
      <c r="AJ34" s="60" t="n"/>
      <c r="AK34" s="120">
        <f>IF(L34&gt;0,L34*(82.29+8.15),0)+IF(M34&gt;0,M34*(8.15+339.97),0)+IF(N34&gt;0,N34*151.63,0)+IF(O34&gt;0,O34*197.82,0)+IF(P34&gt;0,P34*244.09,0)+IF(Q34&gt;0,Q34*315.35,0)+IF(R34&gt;0,R34*1067.3,0)+IF(T34&gt;0,T34*567.47,0)+IF(U34&gt;0,U34*151.63,0)+IF(V34&gt;0,V34*197.84,0)+IF(W34&gt;0,W34*470.51,0)+IF(X34&gt;0,X34*701.69,0)+IF(Z34&gt;0,Z34*151.63,0)+IF(AA34&gt;0,AA34*197.84)+IF(AB34&gt;0,AB34*308.4,0)+IF(AC34&gt;0,AC34*496.16,0)</f>
        <v/>
      </c>
    </row>
    <row r="35">
      <c r="A35" s="59" t="n"/>
      <c r="B35" s="59">
        <f>IF(H35&lt;$B$1,"VENCIDO","NA VALIDADE")</f>
        <v/>
      </c>
      <c r="C35" s="60" t="inlineStr">
        <is>
          <t>SUBESTAÇÃO</t>
        </is>
      </c>
      <c r="D35" s="61" t="inlineStr">
        <is>
          <t>SE GOIANINHA</t>
        </is>
      </c>
      <c r="E35" s="74" t="inlineStr">
        <is>
          <t>GOIANINHA</t>
        </is>
      </c>
      <c r="F35" s="75" t="inlineStr">
        <is>
          <t>RN</t>
        </is>
      </c>
      <c r="G35" s="75" t="inlineStr">
        <is>
          <t>NATAL</t>
        </is>
      </c>
      <c r="H35" s="119" t="n">
        <v>45474</v>
      </c>
      <c r="I35" s="119">
        <f>H35-180</f>
        <v/>
      </c>
      <c r="J35" s="60">
        <f>SUM(L35:AE35)</f>
        <v/>
      </c>
      <c r="K35" s="60">
        <f>SUM(AF35:AK35)</f>
        <v/>
      </c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>
        <v>1</v>
      </c>
      <c r="U35" s="60" t="n"/>
      <c r="V35" s="60" t="n"/>
      <c r="W35" s="60" t="n"/>
      <c r="X35" s="60" t="n"/>
      <c r="Y35" s="60" t="n"/>
      <c r="Z35" s="60" t="n"/>
      <c r="AA35" s="60" t="n">
        <v>2</v>
      </c>
      <c r="AB35" s="60" t="n"/>
      <c r="AC35" s="60" t="n"/>
      <c r="AD35" s="60" t="n"/>
      <c r="AE35" s="60" t="n"/>
      <c r="AF35" s="60" t="n"/>
      <c r="AG35" s="60" t="n"/>
      <c r="AH35" s="60" t="n"/>
      <c r="AI35" s="60" t="n"/>
      <c r="AJ35" s="60" t="n"/>
      <c r="AK35" s="120">
        <f>IF(L35&gt;0,L35*(82.29+8.15),0)+IF(M35&gt;0,M35*(8.15+339.97),0)+IF(N35&gt;0,N35*151.63,0)+IF(O35&gt;0,O35*197.82,0)+IF(P35&gt;0,P35*244.09,0)+IF(Q35&gt;0,Q35*315.35,0)+IF(R35&gt;0,R35*1067.3,0)+IF(T35&gt;0,T35*567.47,0)+IF(U35&gt;0,U35*151.63,0)+IF(V35&gt;0,V35*197.84,0)+IF(W35&gt;0,W35*470.51,0)+IF(X35&gt;0,X35*701.69,0)+IF(Z35&gt;0,Z35*151.63,0)+IF(AA35&gt;0,AA35*197.84)+IF(AB35&gt;0,AB35*308.4,0)+IF(AC35&gt;0,AC35*496.16,0)</f>
        <v/>
      </c>
    </row>
    <row r="36">
      <c r="A36" s="59" t="n"/>
      <c r="B36" s="59">
        <f>IF(H36&lt;$B$1,"VENCIDO","NA VALIDADE")</f>
        <v/>
      </c>
      <c r="C36" s="60" t="inlineStr">
        <is>
          <t>SUBESTAÇÃO</t>
        </is>
      </c>
      <c r="D36" s="61" t="inlineStr">
        <is>
          <t>SE GROSSOS</t>
        </is>
      </c>
      <c r="E36" s="74" t="inlineStr">
        <is>
          <t>GROSSOS</t>
        </is>
      </c>
      <c r="F36" s="75" t="inlineStr">
        <is>
          <t>RN</t>
        </is>
      </c>
      <c r="G36" s="75" t="inlineStr">
        <is>
          <t>NATAL</t>
        </is>
      </c>
      <c r="H36" s="119" t="n">
        <v>45505</v>
      </c>
      <c r="I36" s="119">
        <f>H36-180</f>
        <v/>
      </c>
      <c r="J36" s="60">
        <f>SUM(L36:AE36)</f>
        <v/>
      </c>
      <c r="K36" s="60">
        <f>SUM(AF36:AK36)</f>
        <v/>
      </c>
      <c r="L36" s="60" t="n"/>
      <c r="M36" s="60" t="n"/>
      <c r="N36" s="60" t="n"/>
      <c r="O36" s="60" t="n"/>
      <c r="P36" s="60" t="n"/>
      <c r="Q36" s="60" t="n"/>
      <c r="R36" s="60" t="n"/>
      <c r="S36" s="60" t="n"/>
      <c r="T36" s="60" t="n">
        <v>1</v>
      </c>
      <c r="U36" s="60" t="n"/>
      <c r="V36" s="60" t="n"/>
      <c r="W36" s="60" t="n"/>
      <c r="X36" s="60" t="n"/>
      <c r="Y36" s="60" t="n"/>
      <c r="Z36" s="60" t="n"/>
      <c r="AA36" s="60" t="n">
        <v>2</v>
      </c>
      <c r="AB36" s="60" t="n"/>
      <c r="AC36" s="60" t="n"/>
      <c r="AD36" s="60" t="n"/>
      <c r="AE36" s="60" t="n"/>
      <c r="AF36" s="60" t="n"/>
      <c r="AG36" s="60" t="n"/>
      <c r="AH36" s="60" t="n"/>
      <c r="AI36" s="60" t="n"/>
      <c r="AJ36" s="60" t="n"/>
      <c r="AK36" s="120">
        <f>IF(L36&gt;0,L36*(82.29+8.15),0)+IF(M36&gt;0,M36*(8.15+339.97),0)+IF(N36&gt;0,N36*151.63,0)+IF(O36&gt;0,O36*197.82,0)+IF(P36&gt;0,P36*244.09,0)+IF(Q36&gt;0,Q36*315.35,0)+IF(R36&gt;0,R36*1067.3,0)+IF(T36&gt;0,T36*567.47,0)+IF(U36&gt;0,U36*151.63,0)+IF(V36&gt;0,V36*197.84,0)+IF(W36&gt;0,W36*470.51,0)+IF(X36&gt;0,X36*701.69,0)+IF(Z36&gt;0,Z36*151.63,0)+IF(AA36&gt;0,AA36*197.84)+IF(AB36&gt;0,AB36*308.4,0)+IF(AC36&gt;0,AC36*496.16,0)</f>
        <v/>
      </c>
    </row>
    <row r="37">
      <c r="A37" s="59" t="inlineStr">
        <is>
          <t>SIM</t>
        </is>
      </c>
      <c r="B37" s="59">
        <f>IF(H37&lt;$B$1,"VENCIDO","NA VALIDADE")</f>
        <v/>
      </c>
      <c r="C37" s="60" t="inlineStr">
        <is>
          <t>SUBESTAÇÃO</t>
        </is>
      </c>
      <c r="D37" s="61" t="inlineStr">
        <is>
          <t>SE GUAMARE</t>
        </is>
      </c>
      <c r="E37" s="74" t="inlineStr">
        <is>
          <t>GUAMARÉ</t>
        </is>
      </c>
      <c r="F37" s="75" t="inlineStr">
        <is>
          <t>RN</t>
        </is>
      </c>
      <c r="G37" s="75" t="inlineStr">
        <is>
          <t>NATAL</t>
        </is>
      </c>
      <c r="H37" s="119" t="n">
        <v>45474</v>
      </c>
      <c r="I37" s="119">
        <f>H37-180</f>
        <v/>
      </c>
      <c r="J37" s="60">
        <f>SUM(L37:AE37)</f>
        <v/>
      </c>
      <c r="K37" s="60">
        <f>SUM(AF37:AK37)</f>
        <v/>
      </c>
      <c r="L37" s="60" t="n"/>
      <c r="M37" s="60" t="n"/>
      <c r="N37" s="60" t="n"/>
      <c r="O37" s="60" t="n"/>
      <c r="P37" s="60" t="n"/>
      <c r="Q37" s="60" t="n"/>
      <c r="R37" s="60" t="n"/>
      <c r="S37" s="60" t="n"/>
      <c r="T37" s="60" t="n">
        <v>1</v>
      </c>
      <c r="U37" s="60" t="n"/>
      <c r="V37" s="60" t="n"/>
      <c r="W37" s="60" t="n"/>
      <c r="X37" s="60" t="n"/>
      <c r="Y37" s="60" t="n"/>
      <c r="Z37" s="60" t="n"/>
      <c r="AA37" s="60" t="n">
        <v>2</v>
      </c>
      <c r="AB37" s="60" t="n"/>
      <c r="AC37" s="60" t="n"/>
      <c r="AD37" s="60" t="n"/>
      <c r="AE37" s="60" t="n"/>
      <c r="AF37" s="60" t="n"/>
      <c r="AG37" s="60" t="n"/>
      <c r="AH37" s="60" t="n"/>
      <c r="AI37" s="60" t="n"/>
      <c r="AJ37" s="60" t="n"/>
      <c r="AK37" s="120">
        <f>IF(L37&gt;0,L37*(82.29+8.15),0)+IF(M37&gt;0,M37*(8.15+339.97),0)+IF(N37&gt;0,N37*151.63,0)+IF(O37&gt;0,O37*197.82,0)+IF(P37&gt;0,P37*244.09,0)+IF(Q37&gt;0,Q37*315.35,0)+IF(R37&gt;0,R37*1067.3,0)+IF(T37&gt;0,T37*567.47,0)+IF(U37&gt;0,U37*151.63,0)+IF(V37&gt;0,V37*197.84,0)+IF(W37&gt;0,W37*470.51,0)+IF(X37&gt;0,X37*701.69,0)+IF(Z37&gt;0,Z37*151.63,0)+IF(AA37&gt;0,AA37*197.84)+IF(AB37&gt;0,AB37*308.4,0)+IF(AC37&gt;0,AC37*496.16,0)</f>
        <v/>
      </c>
    </row>
    <row r="38">
      <c r="A38" s="59" t="inlineStr">
        <is>
          <t>rota</t>
        </is>
      </c>
      <c r="B38" s="59">
        <f>IF(H38&lt;$B$1,"VENCIDO","NA VALIDADE")</f>
        <v/>
      </c>
      <c r="C38" s="60" t="inlineStr">
        <is>
          <t>SUBESTAÇÃO</t>
        </is>
      </c>
      <c r="D38" s="61" t="inlineStr">
        <is>
          <t>SE IGAPO</t>
        </is>
      </c>
      <c r="E38" s="74" t="inlineStr">
        <is>
          <t>NATAL</t>
        </is>
      </c>
      <c r="F38" s="75" t="inlineStr">
        <is>
          <t>RN</t>
        </is>
      </c>
      <c r="G38" s="75" t="inlineStr">
        <is>
          <t>NATAL</t>
        </is>
      </c>
      <c r="H38" s="119" t="n">
        <v>45323</v>
      </c>
      <c r="I38" s="119" t="n">
        <v>45323</v>
      </c>
      <c r="J38" s="60">
        <f>SUM(L38:AE38)</f>
        <v/>
      </c>
      <c r="K38" s="60">
        <f>SUM(AF38:AK38)</f>
        <v/>
      </c>
      <c r="L38" s="60" t="n"/>
      <c r="M38" s="60" t="n"/>
      <c r="N38" s="60" t="n"/>
      <c r="O38" s="60" t="n"/>
      <c r="P38" s="60" t="n"/>
      <c r="Q38" s="60" t="n"/>
      <c r="R38" s="60" t="n"/>
      <c r="S38" s="60" t="n"/>
      <c r="T38" s="60" t="n">
        <v>1</v>
      </c>
      <c r="U38" s="60" t="n"/>
      <c r="V38" s="60" t="n"/>
      <c r="W38" s="60" t="n"/>
      <c r="X38" s="60" t="n"/>
      <c r="Y38" s="60" t="n"/>
      <c r="Z38" s="60" t="n"/>
      <c r="AA38" s="60" t="n">
        <v>2</v>
      </c>
      <c r="AB38" s="60" t="n"/>
      <c r="AC38" s="60" t="n"/>
      <c r="AD38" s="60" t="n"/>
      <c r="AE38" s="60" t="n"/>
      <c r="AF38" s="60" t="n"/>
      <c r="AG38" s="60" t="n"/>
      <c r="AH38" s="60" t="n"/>
      <c r="AI38" s="60" t="n"/>
      <c r="AJ38" s="60" t="n"/>
      <c r="AK38" s="120">
        <f>IF(L38&gt;0,L38*(82.29+8.15),0)+IF(M38&gt;0,M38*(8.15+339.97),0)+IF(N38&gt;0,N38*151.63,0)+IF(O38&gt;0,O38*197.82,0)+IF(P38&gt;0,P38*244.09,0)+IF(Q38&gt;0,Q38*315.35,0)+IF(R38&gt;0,R38*1067.3,0)+IF(T38&gt;0,T38*567.47,0)+IF(U38&gt;0,U38*151.63,0)+IF(V38&gt;0,V38*197.84,0)+IF(W38&gt;0,W38*470.51,0)+IF(X38&gt;0,X38*701.69,0)+IF(Z38&gt;0,Z38*151.63,0)+IF(AA38&gt;0,AA38*197.84)+IF(AB38&gt;0,AB38*308.4,0)+IF(AC38&gt;0,AC38*496.16,0)</f>
        <v/>
      </c>
    </row>
    <row r="39">
      <c r="A39" s="59" t="n"/>
      <c r="B39" s="59">
        <f>IF(H39&lt;$B$1,"VENCIDO","NA VALIDADE")</f>
        <v/>
      </c>
      <c r="C39" s="60" t="inlineStr">
        <is>
          <t>SUBESTAÇÃO</t>
        </is>
      </c>
      <c r="D39" s="61" t="inlineStr">
        <is>
          <t>SE ITAJÁ</t>
        </is>
      </c>
      <c r="E39" s="74" t="inlineStr">
        <is>
          <t>ITAJÁ</t>
        </is>
      </c>
      <c r="F39" s="75" t="inlineStr">
        <is>
          <t>RN</t>
        </is>
      </c>
      <c r="G39" s="75" t="inlineStr">
        <is>
          <t>NATAL</t>
        </is>
      </c>
      <c r="H39" s="119" t="n">
        <v>45474</v>
      </c>
      <c r="I39" s="119">
        <f>H39-180</f>
        <v/>
      </c>
      <c r="J39" s="60">
        <f>SUM(L39:AE39)</f>
        <v/>
      </c>
      <c r="K39" s="60">
        <f>SUM(AF39:AK39)</f>
        <v/>
      </c>
      <c r="L39" s="60" t="n"/>
      <c r="M39" s="60" t="n"/>
      <c r="N39" s="60" t="n"/>
      <c r="O39" s="60" t="n"/>
      <c r="P39" s="60" t="n"/>
      <c r="Q39" s="60" t="n"/>
      <c r="R39" s="60" t="n"/>
      <c r="S39" s="60" t="n"/>
      <c r="T39" s="60" t="n">
        <v>1</v>
      </c>
      <c r="U39" s="60" t="n"/>
      <c r="V39" s="60" t="n"/>
      <c r="W39" s="60" t="n"/>
      <c r="X39" s="60" t="n"/>
      <c r="Y39" s="60" t="n"/>
      <c r="Z39" s="60" t="n"/>
      <c r="AA39" s="60" t="n">
        <v>2</v>
      </c>
      <c r="AB39" s="60" t="n"/>
      <c r="AC39" s="60" t="n"/>
      <c r="AD39" s="60" t="n"/>
      <c r="AE39" s="60" t="n"/>
      <c r="AF39" s="60" t="n"/>
      <c r="AG39" s="60" t="n"/>
      <c r="AH39" s="60" t="n"/>
      <c r="AI39" s="60" t="n"/>
      <c r="AJ39" s="60" t="n"/>
      <c r="AK39" s="120">
        <f>IF(L39&gt;0,L39*(82.29+8.15),0)+IF(M39&gt;0,M39*(8.15+339.97),0)+IF(N39&gt;0,N39*151.63,0)+IF(O39&gt;0,O39*197.82,0)+IF(P39&gt;0,P39*244.09,0)+IF(Q39&gt;0,Q39*315.35,0)+IF(R39&gt;0,R39*1067.3,0)+IF(T39&gt;0,T39*567.47,0)+IF(U39&gt;0,U39*151.63,0)+IF(V39&gt;0,V39*197.84,0)+IF(W39&gt;0,W39*470.51,0)+IF(X39&gt;0,X39*701.69,0)+IF(Z39&gt;0,Z39*151.63,0)+IF(AA39&gt;0,AA39*197.84)+IF(AB39&gt;0,AB39*308.4,0)+IF(AC39&gt;0,AC39*496.16,0)</f>
        <v/>
      </c>
    </row>
    <row r="40">
      <c r="A40" s="59" t="n"/>
      <c r="B40" s="59">
        <f>IF(H40&lt;$B$1,"VENCIDO","NA VALIDADE")</f>
        <v/>
      </c>
      <c r="C40" s="60" t="inlineStr">
        <is>
          <t>SUBESTAÇÃO</t>
        </is>
      </c>
      <c r="D40" s="61" t="inlineStr">
        <is>
          <t>SE JAPECANGA</t>
        </is>
      </c>
      <c r="E40" s="74" t="inlineStr">
        <is>
          <t>PARNAMIRIM</t>
        </is>
      </c>
      <c r="F40" s="75" t="inlineStr">
        <is>
          <t>RN</t>
        </is>
      </c>
      <c r="G40" s="75" t="inlineStr">
        <is>
          <t>NATAL</t>
        </is>
      </c>
      <c r="H40" s="119" t="n">
        <v>45323</v>
      </c>
      <c r="I40" s="119" t="n">
        <v>45323</v>
      </c>
      <c r="J40" s="60">
        <f>SUM(L40:AE40)</f>
        <v/>
      </c>
      <c r="K40" s="60">
        <f>SUM(AF40:AK40)</f>
        <v/>
      </c>
      <c r="L40" s="60" t="n"/>
      <c r="M40" s="60" t="n"/>
      <c r="N40" s="60" t="n"/>
      <c r="O40" s="60" t="n"/>
      <c r="P40" s="60" t="n"/>
      <c r="Q40" s="60" t="n"/>
      <c r="R40" s="60" t="n"/>
      <c r="S40" s="60" t="n"/>
      <c r="T40" s="60" t="n">
        <v>1</v>
      </c>
      <c r="U40" s="60" t="n"/>
      <c r="V40" s="60" t="n"/>
      <c r="W40" s="60" t="n"/>
      <c r="X40" s="60" t="n"/>
      <c r="Y40" s="60" t="n"/>
      <c r="Z40" s="60" t="n"/>
      <c r="AA40" s="60" t="n">
        <v>4</v>
      </c>
      <c r="AB40" s="60" t="n"/>
      <c r="AC40" s="60" t="n"/>
      <c r="AD40" s="60" t="n"/>
      <c r="AE40" s="60" t="n"/>
      <c r="AF40" s="60" t="n"/>
      <c r="AG40" s="60" t="n"/>
      <c r="AH40" s="60" t="n"/>
      <c r="AI40" s="60" t="n"/>
      <c r="AJ40" s="60" t="n"/>
      <c r="AK40" s="120">
        <f>IF(L40&gt;0,L40*(82.29+8.15),0)+IF(M40&gt;0,M40*(8.15+339.97),0)+IF(N40&gt;0,N40*151.63,0)+IF(O40&gt;0,O40*197.82,0)+IF(P40&gt;0,P40*244.09,0)+IF(Q40&gt;0,Q40*315.35,0)+IF(R40&gt;0,R40*1067.3,0)+IF(T40&gt;0,T40*567.47,0)+IF(U40&gt;0,U40*151.63,0)+IF(V40&gt;0,V40*197.84,0)+IF(W40&gt;0,W40*470.51,0)+IF(X40&gt;0,X40*701.69,0)+IF(Z40&gt;0,Z40*151.63,0)+IF(AA40&gt;0,AA40*197.84)+IF(AB40&gt;0,AB40*308.4,0)+IF(AC40&gt;0,AC40*496.16,0)</f>
        <v/>
      </c>
    </row>
    <row r="41">
      <c r="A41" s="123" t="n">
        <v>44774</v>
      </c>
      <c r="B41" s="59">
        <f>IF(H41&lt;$B$1,"VENCIDO","NA VALIDADE")</f>
        <v/>
      </c>
      <c r="C41" s="60" t="inlineStr">
        <is>
          <t>SUBESTAÇÃO</t>
        </is>
      </c>
      <c r="D41" s="61" t="inlineStr">
        <is>
          <t>SE JANDAIRA</t>
        </is>
      </c>
      <c r="E41" s="74" t="inlineStr">
        <is>
          <t>JANDAIRA</t>
        </is>
      </c>
      <c r="F41" s="75" t="inlineStr">
        <is>
          <t>RN</t>
        </is>
      </c>
      <c r="G41" s="75" t="inlineStr">
        <is>
          <t>NATAL</t>
        </is>
      </c>
      <c r="H41" s="119" t="n">
        <v>45474</v>
      </c>
      <c r="I41" s="119">
        <f>H41-180</f>
        <v/>
      </c>
      <c r="J41" s="60">
        <f>SUM(L41:AE41)</f>
        <v/>
      </c>
      <c r="K41" s="60">
        <f>SUM(AF41:AK41)</f>
        <v/>
      </c>
      <c r="L41" s="60" t="n"/>
      <c r="M41" s="60" t="n"/>
      <c r="N41" s="60" t="n"/>
      <c r="O41" s="60" t="n"/>
      <c r="P41" s="60" t="n"/>
      <c r="Q41" s="60" t="n"/>
      <c r="R41" s="60" t="n"/>
      <c r="S41" s="60" t="n"/>
      <c r="T41" s="60" t="n">
        <v>1</v>
      </c>
      <c r="U41" s="60" t="n"/>
      <c r="V41" s="60" t="n"/>
      <c r="W41" s="60" t="n"/>
      <c r="X41" s="60" t="n"/>
      <c r="Y41" s="60" t="n"/>
      <c r="Z41" s="60" t="n"/>
      <c r="AA41" s="60" t="n">
        <v>4</v>
      </c>
      <c r="AB41" s="60" t="n"/>
      <c r="AC41" s="60" t="n"/>
      <c r="AD41" s="60" t="n"/>
      <c r="AE41" s="60" t="n"/>
      <c r="AF41" s="60" t="n"/>
      <c r="AG41" s="60" t="n"/>
      <c r="AH41" s="60" t="n"/>
      <c r="AI41" s="60" t="n"/>
      <c r="AJ41" s="60" t="n"/>
      <c r="AK41" s="120">
        <f>IF(L41&gt;0,L41*(82.29+8.15),0)+IF(M41&gt;0,M41*(8.15+339.97),0)+IF(N41&gt;0,N41*151.63,0)+IF(O41&gt;0,O41*197.82,0)+IF(P41&gt;0,P41*244.09,0)+IF(Q41&gt;0,Q41*315.35,0)+IF(R41&gt;0,R41*1067.3,0)+IF(T41&gt;0,T41*567.47,0)+IF(U41&gt;0,U41*151.63,0)+IF(V41&gt;0,V41*197.84,0)+IF(W41&gt;0,W41*470.51,0)+IF(X41&gt;0,X41*701.69,0)+IF(Z41&gt;0,Z41*151.63,0)+IF(AA41&gt;0,AA41*197.84)+IF(AB41&gt;0,AB41*308.4,0)+IF(AC41&gt;0,AC41*496.16,0)</f>
        <v/>
      </c>
    </row>
    <row r="42">
      <c r="A42" s="59" t="n"/>
      <c r="B42" s="59">
        <f>IF(H42&lt;$B$1,"VENCIDO","NA VALIDADE")</f>
        <v/>
      </c>
      <c r="C42" s="60" t="inlineStr">
        <is>
          <t>SUBESTAÇÃO</t>
        </is>
      </c>
      <c r="D42" s="61" t="inlineStr">
        <is>
          <t>SE JARDIM DE PIRANHAS</t>
        </is>
      </c>
      <c r="E42" s="74" t="inlineStr">
        <is>
          <t>JARDIM DE PIRANHAS</t>
        </is>
      </c>
      <c r="F42" s="75" t="inlineStr">
        <is>
          <t>RN</t>
        </is>
      </c>
      <c r="G42" s="75" t="inlineStr">
        <is>
          <t>NATAL</t>
        </is>
      </c>
      <c r="H42" s="119" t="n">
        <v>45474</v>
      </c>
      <c r="I42" s="119">
        <f>H42-180</f>
        <v/>
      </c>
      <c r="J42" s="60">
        <f>SUM(L42:AE42)</f>
        <v/>
      </c>
      <c r="K42" s="60">
        <f>SUM(AF42:AK42)</f>
        <v/>
      </c>
      <c r="L42" s="60" t="n"/>
      <c r="M42" s="60" t="n"/>
      <c r="N42" s="60" t="n"/>
      <c r="O42" s="60" t="n"/>
      <c r="P42" s="60" t="n"/>
      <c r="Q42" s="60" t="n"/>
      <c r="R42" s="60" t="n"/>
      <c r="S42" s="60" t="n"/>
      <c r="T42" s="60" t="n">
        <v>1</v>
      </c>
      <c r="U42" s="60" t="n"/>
      <c r="V42" s="60" t="n"/>
      <c r="W42" s="60" t="n"/>
      <c r="X42" s="60" t="n"/>
      <c r="Y42" s="60" t="n"/>
      <c r="Z42" s="60" t="n"/>
      <c r="AA42" s="60" t="n">
        <v>2</v>
      </c>
      <c r="AB42" s="60" t="n"/>
      <c r="AC42" s="60" t="n"/>
      <c r="AD42" s="60" t="n"/>
      <c r="AE42" s="60" t="n"/>
      <c r="AF42" s="60" t="n"/>
      <c r="AG42" s="60" t="n"/>
      <c r="AH42" s="60" t="n"/>
      <c r="AI42" s="60" t="n"/>
      <c r="AJ42" s="60" t="n"/>
      <c r="AK42" s="120">
        <f>IF(L42&gt;0,L42*(82.29+8.15),0)+IF(M42&gt;0,M42*(8.15+339.97),0)+IF(N42&gt;0,N42*151.63,0)+IF(O42&gt;0,O42*197.82,0)+IF(P42&gt;0,P42*244.09,0)+IF(Q42&gt;0,Q42*315.35,0)+IF(R42&gt;0,R42*1067.3,0)+IF(T42&gt;0,T42*567.47,0)+IF(U42&gt;0,U42*151.63,0)+IF(V42&gt;0,V42*197.84,0)+IF(W42&gt;0,W42*470.51,0)+IF(X42&gt;0,X42*701.69,0)+IF(Z42&gt;0,Z42*151.63,0)+IF(AA42&gt;0,AA42*197.84)+IF(AB42&gt;0,AB42*308.4,0)+IF(AC42&gt;0,AC42*496.16,0)</f>
        <v/>
      </c>
    </row>
    <row r="43">
      <c r="A43" s="59" t="inlineStr">
        <is>
          <t>NATAL 06/12</t>
        </is>
      </c>
      <c r="B43" s="59">
        <f>IF(H43&lt;$B$1,"VENCIDO","NA VALIDADE")</f>
        <v/>
      </c>
      <c r="C43" s="60" t="inlineStr">
        <is>
          <t>SUBESTAÇÃO</t>
        </is>
      </c>
      <c r="D43" s="61" t="inlineStr">
        <is>
          <t>SE JARDIM DO SERIDO</t>
        </is>
      </c>
      <c r="E43" s="74" t="inlineStr">
        <is>
          <t>JARDIM DO SERIDÓ</t>
        </is>
      </c>
      <c r="F43" s="75" t="inlineStr">
        <is>
          <t>RN</t>
        </is>
      </c>
      <c r="G43" s="75" t="inlineStr">
        <is>
          <t>NATAL</t>
        </is>
      </c>
      <c r="H43" s="119" t="n">
        <v>45383</v>
      </c>
      <c r="I43" s="119" t="n">
        <v>45383</v>
      </c>
      <c r="J43" s="60">
        <f>SUM(L43:AE43)</f>
        <v/>
      </c>
      <c r="K43" s="60">
        <f>SUM(AF43:AK43)</f>
        <v/>
      </c>
      <c r="L43" s="60" t="n"/>
      <c r="M43" s="60" t="n"/>
      <c r="N43" s="60" t="n"/>
      <c r="O43" s="60" t="n"/>
      <c r="P43" s="60" t="n"/>
      <c r="Q43" s="60" t="n"/>
      <c r="R43" s="60" t="n"/>
      <c r="S43" s="60" t="n"/>
      <c r="T43" s="60" t="n">
        <v>1</v>
      </c>
      <c r="U43" s="60" t="n"/>
      <c r="V43" s="60" t="n"/>
      <c r="W43" s="60" t="n"/>
      <c r="X43" s="60" t="n"/>
      <c r="Y43" s="60" t="n"/>
      <c r="Z43" s="60" t="n"/>
      <c r="AA43" s="60" t="n">
        <v>2</v>
      </c>
      <c r="AB43" s="60" t="n"/>
      <c r="AC43" s="60" t="n"/>
      <c r="AD43" s="60" t="n"/>
      <c r="AE43" s="60" t="n"/>
      <c r="AF43" s="60" t="n"/>
      <c r="AG43" s="60" t="n"/>
      <c r="AH43" s="60" t="n"/>
      <c r="AI43" s="60" t="n"/>
      <c r="AJ43" s="60" t="n"/>
      <c r="AK43" s="120">
        <f>IF(L43&gt;0,L43*(82.29+8.15),0)+IF(M43&gt;0,M43*(8.15+339.97),0)+IF(N43&gt;0,N43*151.63,0)+IF(O43&gt;0,O43*197.82,0)+IF(P43&gt;0,P43*244.09,0)+IF(Q43&gt;0,Q43*315.35,0)+IF(R43&gt;0,R43*1067.3,0)+IF(T43&gt;0,T43*567.47,0)+IF(U43&gt;0,U43*151.63,0)+IF(V43&gt;0,V43*197.84,0)+IF(W43&gt;0,W43*470.51,0)+IF(X43&gt;0,X43*701.69,0)+IF(Z43&gt;0,Z43*151.63,0)+IF(AA43&gt;0,AA43*197.84)+IF(AB43&gt;0,AB43*308.4,0)+IF(AC43&gt;0,AC43*496.16,0)</f>
        <v/>
      </c>
    </row>
    <row r="44">
      <c r="A44" s="59" t="inlineStr">
        <is>
          <t>NATAL 06/12</t>
        </is>
      </c>
      <c r="B44" s="59">
        <f>IF(H44&lt;$B$1,"VENCIDO","NA VALIDADE")</f>
        <v/>
      </c>
      <c r="C44" s="60" t="inlineStr">
        <is>
          <t>SUBESTAÇÃO</t>
        </is>
      </c>
      <c r="D44" s="61" t="inlineStr">
        <is>
          <t>SE JIQUI</t>
        </is>
      </c>
      <c r="E44" s="74" t="inlineStr">
        <is>
          <t>NATAL</t>
        </is>
      </c>
      <c r="F44" s="75" t="inlineStr">
        <is>
          <t>RN</t>
        </is>
      </c>
      <c r="G44" s="75" t="inlineStr">
        <is>
          <t>NATAL</t>
        </is>
      </c>
      <c r="H44" s="119" t="n">
        <v>45474</v>
      </c>
      <c r="I44" s="119">
        <f>H44-180</f>
        <v/>
      </c>
      <c r="J44" s="60">
        <f>SUM(L44:AE44)</f>
        <v/>
      </c>
      <c r="K44" s="60">
        <f>SUM(AF44:AK44)</f>
        <v/>
      </c>
      <c r="L44" s="60" t="n"/>
      <c r="M44" s="60" t="n"/>
      <c r="N44" s="60" t="n"/>
      <c r="O44" s="60" t="n"/>
      <c r="P44" s="60" t="n"/>
      <c r="Q44" s="60" t="n"/>
      <c r="R44" s="60" t="n"/>
      <c r="S44" s="60" t="n"/>
      <c r="T44" s="60" t="n">
        <v>1</v>
      </c>
      <c r="U44" s="60" t="n"/>
      <c r="V44" s="60" t="n"/>
      <c r="W44" s="60" t="n"/>
      <c r="X44" s="60" t="n"/>
      <c r="Y44" s="60" t="n"/>
      <c r="Z44" s="60" t="n"/>
      <c r="AA44" s="60" t="n">
        <v>2</v>
      </c>
      <c r="AB44" s="60" t="n"/>
      <c r="AC44" s="60" t="n"/>
      <c r="AD44" s="60" t="n"/>
      <c r="AE44" s="60" t="n"/>
      <c r="AF44" s="60" t="n"/>
      <c r="AG44" s="60" t="n"/>
      <c r="AH44" s="60" t="n"/>
      <c r="AI44" s="60" t="n"/>
      <c r="AJ44" s="60" t="n"/>
      <c r="AK44" s="120">
        <f>IF(L44&gt;0,L44*(82.29+8.15),0)+IF(M44&gt;0,M44*(8.15+339.97),0)+IF(N44&gt;0,N44*151.63,0)+IF(O44&gt;0,O44*197.82,0)+IF(P44&gt;0,P44*244.09,0)+IF(Q44&gt;0,Q44*315.35,0)+IF(R44&gt;0,R44*1067.3,0)+IF(T44&gt;0,T44*567.47,0)+IF(U44&gt;0,U44*151.63,0)+IF(V44&gt;0,V44*197.84,0)+IF(W44&gt;0,W44*470.51,0)+IF(X44&gt;0,X44*701.69,0)+IF(Z44&gt;0,Z44*151.63,0)+IF(AA44&gt;0,AA44*197.84)+IF(AB44&gt;0,AB44*308.4,0)+IF(AC44&gt;0,AC44*496.16,0)</f>
        <v/>
      </c>
    </row>
    <row r="45">
      <c r="A45" s="59" t="n"/>
      <c r="B45" s="59">
        <f>IF(H45&lt;$B$1,"VENCIDO","NA VALIDADE")</f>
        <v/>
      </c>
      <c r="C45" s="60" t="inlineStr">
        <is>
          <t>SUBESTAÇÃO</t>
        </is>
      </c>
      <c r="D45" s="61" t="inlineStr">
        <is>
          <t>SE PAJUÇARA</t>
        </is>
      </c>
      <c r="E45" s="74" t="inlineStr">
        <is>
          <t>NATAL</t>
        </is>
      </c>
      <c r="F45" s="75" t="inlineStr">
        <is>
          <t>RN</t>
        </is>
      </c>
      <c r="G45" s="75" t="inlineStr">
        <is>
          <t>NATAL</t>
        </is>
      </c>
      <c r="H45" s="119" t="n">
        <v>45444</v>
      </c>
      <c r="I45" s="119" t="n">
        <v>45444</v>
      </c>
      <c r="J45" s="60">
        <f>SUM(L45:AE45)</f>
        <v/>
      </c>
      <c r="K45" s="60">
        <f>SUM(AF45:AK45)</f>
        <v/>
      </c>
      <c r="L45" s="60" t="n"/>
      <c r="M45" s="60" t="n"/>
      <c r="N45" s="60" t="n"/>
      <c r="O45" s="60" t="n"/>
      <c r="P45" s="60" t="n"/>
      <c r="Q45" s="60" t="n"/>
      <c r="R45" s="60" t="n"/>
      <c r="S45" s="60" t="n"/>
      <c r="T45" s="60" t="n">
        <v>2</v>
      </c>
      <c r="U45" s="60" t="n"/>
      <c r="V45" s="60" t="n"/>
      <c r="W45" s="60" t="n"/>
      <c r="X45" s="60" t="n"/>
      <c r="Y45" s="60" t="n"/>
      <c r="Z45" s="60" t="n"/>
      <c r="AA45" s="60" t="n">
        <v>4</v>
      </c>
      <c r="AB45" s="60" t="n"/>
      <c r="AC45" s="60" t="n"/>
      <c r="AD45" s="60" t="n"/>
      <c r="AE45" s="60" t="n"/>
      <c r="AF45" s="60" t="n"/>
      <c r="AG45" s="60" t="n"/>
      <c r="AH45" s="60" t="n"/>
      <c r="AI45" s="60" t="n"/>
      <c r="AJ45" s="60" t="n"/>
      <c r="AK45" s="120">
        <f>IF(L45&gt;0,L45*(82.29+8.15),0)+IF(M45&gt;0,M45*(8.15+339.97),0)+IF(N45&gt;0,N45*151.63,0)+IF(O45&gt;0,O45*197.82,0)+IF(P45&gt;0,P45*244.09,0)+IF(Q45&gt;0,Q45*315.35,0)+IF(R45&gt;0,R45*1067.3,0)+IF(T45&gt;0,T45*567.47,0)+IF(U45&gt;0,U45*151.63,0)+IF(V45&gt;0,V45*197.84,0)+IF(W45&gt;0,W45*470.51,0)+IF(X45&gt;0,X45*701.69,0)+IF(Z45&gt;0,Z45*151.63,0)+IF(AA45&gt;0,AA45*197.84)+IF(AB45&gt;0,AB45*308.4,0)+IF(AC45&gt;0,AC45*496.16,0)</f>
        <v/>
      </c>
    </row>
    <row r="46">
      <c r="A46" s="59" t="n"/>
      <c r="B46" s="59">
        <f>IF(H46&lt;$B$1,"VENCIDO","NA VALIDADE")</f>
        <v/>
      </c>
      <c r="C46" s="60" t="inlineStr">
        <is>
          <t>SUBESTAÇÃO</t>
        </is>
      </c>
      <c r="D46" s="61" t="inlineStr">
        <is>
          <t>SE JOAO CAMARA</t>
        </is>
      </c>
      <c r="E46" s="74" t="inlineStr">
        <is>
          <t>JOÃO CÂMARA</t>
        </is>
      </c>
      <c r="F46" s="75" t="inlineStr">
        <is>
          <t>RN</t>
        </is>
      </c>
      <c r="G46" s="75" t="inlineStr">
        <is>
          <t>NATAL</t>
        </is>
      </c>
      <c r="H46" s="119" t="n">
        <v>45444</v>
      </c>
      <c r="I46" s="119" t="n">
        <v>45444</v>
      </c>
      <c r="J46" s="60">
        <f>SUM(L46:AE46)</f>
        <v/>
      </c>
      <c r="K46" s="60">
        <f>SUM(AF46:AK46)</f>
        <v/>
      </c>
      <c r="L46" s="60" t="n"/>
      <c r="M46" s="60" t="n"/>
      <c r="N46" s="60" t="n"/>
      <c r="O46" s="60" t="n"/>
      <c r="P46" s="60" t="n"/>
      <c r="Q46" s="60" t="n"/>
      <c r="R46" s="60" t="n"/>
      <c r="S46" s="60" t="n"/>
      <c r="T46" s="60" t="n">
        <v>1</v>
      </c>
      <c r="U46" s="60" t="n"/>
      <c r="V46" s="60" t="n"/>
      <c r="W46" s="60" t="n"/>
      <c r="X46" s="60" t="n"/>
      <c r="Y46" s="60" t="n"/>
      <c r="Z46" s="60" t="n"/>
      <c r="AA46" s="60" t="n">
        <v>2</v>
      </c>
      <c r="AB46" s="60" t="n"/>
      <c r="AC46" s="60" t="n"/>
      <c r="AD46" s="60" t="n"/>
      <c r="AE46" s="60" t="n"/>
      <c r="AF46" s="60" t="n"/>
      <c r="AG46" s="60" t="n"/>
      <c r="AH46" s="60" t="n"/>
      <c r="AI46" s="60" t="n"/>
      <c r="AJ46" s="60" t="n"/>
      <c r="AK46" s="120">
        <f>IF(L46&gt;0,L46*(82.29+8.15),0)+IF(M46&gt;0,M46*(8.15+339.97),0)+IF(N46&gt;0,N46*151.63,0)+IF(O46&gt;0,O46*197.82,0)+IF(P46&gt;0,P46*244.09,0)+IF(Q46&gt;0,Q46*315.35,0)+IF(R46&gt;0,R46*1067.3,0)+IF(T46&gt;0,T46*567.47,0)+IF(U46&gt;0,U46*151.63,0)+IF(V46&gt;0,V46*197.84,0)+IF(W46&gt;0,W46*470.51,0)+IF(X46&gt;0,X46*701.69,0)+IF(Z46&gt;0,Z46*151.63,0)+IF(AA46&gt;0,AA46*197.84)+IF(AB46&gt;0,AB46*308.4,0)+IF(AC46&gt;0,AC46*496.16,0)</f>
        <v/>
      </c>
    </row>
    <row r="47">
      <c r="A47" s="59" t="inlineStr">
        <is>
          <t>NATAL 06/12</t>
        </is>
      </c>
      <c r="B47" s="59">
        <f>IF(H47&lt;$B$1,"VENCIDO","NA VALIDADE")</f>
        <v/>
      </c>
      <c r="C47" s="60" t="inlineStr">
        <is>
          <t>SUBESTAÇÃO</t>
        </is>
      </c>
      <c r="D47" s="61" t="inlineStr">
        <is>
          <t>SE JUCURUTU</t>
        </is>
      </c>
      <c r="E47" s="74" t="inlineStr">
        <is>
          <t>JUCURUTU</t>
        </is>
      </c>
      <c r="F47" s="75" t="inlineStr">
        <is>
          <t>RN</t>
        </is>
      </c>
      <c r="G47" s="75" t="inlineStr">
        <is>
          <t>NATAL</t>
        </is>
      </c>
      <c r="H47" s="119" t="n">
        <v>45566</v>
      </c>
      <c r="I47" s="119">
        <f>H47-180</f>
        <v/>
      </c>
      <c r="J47" s="60">
        <f>SUM(L47:AE47)</f>
        <v/>
      </c>
      <c r="K47" s="60">
        <f>SUM(AF47:AK47)</f>
        <v/>
      </c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>
        <v>1</v>
      </c>
      <c r="U47" s="60" t="n"/>
      <c r="V47" s="60" t="n"/>
      <c r="W47" s="60" t="n"/>
      <c r="X47" s="60" t="n"/>
      <c r="Y47" s="60" t="n"/>
      <c r="Z47" s="60" t="n"/>
      <c r="AA47" s="60" t="n">
        <v>2</v>
      </c>
      <c r="AB47" s="60" t="n"/>
      <c r="AC47" s="60" t="n"/>
      <c r="AD47" s="60" t="n"/>
      <c r="AE47" s="60" t="n"/>
      <c r="AF47" s="60" t="n"/>
      <c r="AG47" s="60" t="n"/>
      <c r="AH47" s="60" t="n"/>
      <c r="AI47" s="60" t="n"/>
      <c r="AJ47" s="60" t="n"/>
      <c r="AK47" s="120">
        <f>IF(L47&gt;0,L47*(82.29+8.15),0)+IF(M47&gt;0,M47*(8.15+339.97),0)+IF(N47&gt;0,N47*151.63,0)+IF(O47&gt;0,O47*197.82,0)+IF(P47&gt;0,P47*244.09,0)+IF(Q47&gt;0,Q47*315.35,0)+IF(R47&gt;0,R47*1067.3,0)+IF(T47&gt;0,T47*567.47,0)+IF(U47&gt;0,U47*151.63,0)+IF(V47&gt;0,V47*197.84,0)+IF(W47&gt;0,W47*470.51,0)+IF(X47&gt;0,X47*701.69,0)+IF(Z47&gt;0,Z47*151.63,0)+IF(AA47&gt;0,AA47*197.84)+IF(AB47&gt;0,AB47*308.4,0)+IF(AC47&gt;0,AC47*496.16,0)</f>
        <v/>
      </c>
    </row>
    <row r="48">
      <c r="A48" s="59" t="n"/>
      <c r="B48" s="59">
        <f>IF(H48&lt;$B$1,"VENCIDO","NA VALIDADE")</f>
        <v/>
      </c>
      <c r="C48" s="60" t="inlineStr">
        <is>
          <t>SUBESTAÇÃO</t>
        </is>
      </c>
      <c r="D48" s="61" t="inlineStr">
        <is>
          <t>SE LAGOA NOVA</t>
        </is>
      </c>
      <c r="E48" s="74" t="inlineStr">
        <is>
          <t>NATAL</t>
        </is>
      </c>
      <c r="F48" s="75" t="inlineStr">
        <is>
          <t>RN</t>
        </is>
      </c>
      <c r="G48" s="75" t="inlineStr">
        <is>
          <t>NATAL</t>
        </is>
      </c>
      <c r="H48" s="119" t="n">
        <v>45658</v>
      </c>
      <c r="I48" s="119">
        <f>H48-180</f>
        <v/>
      </c>
      <c r="J48" s="60">
        <f>SUM(L48:AE48)</f>
        <v/>
      </c>
      <c r="K48" s="60">
        <f>SUM(AF48:AK48)</f>
        <v/>
      </c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>
        <v>1</v>
      </c>
      <c r="U48" s="60" t="n"/>
      <c r="V48" s="60" t="n"/>
      <c r="W48" s="60" t="n"/>
      <c r="X48" s="60" t="n"/>
      <c r="Y48" s="60" t="n"/>
      <c r="Z48" s="60" t="n"/>
      <c r="AA48" s="60" t="n">
        <v>4</v>
      </c>
      <c r="AB48" s="60" t="n"/>
      <c r="AC48" s="60" t="n"/>
      <c r="AD48" s="60" t="n"/>
      <c r="AE48" s="60" t="n"/>
      <c r="AF48" s="60" t="n"/>
      <c r="AG48" s="60" t="n"/>
      <c r="AH48" s="60" t="n"/>
      <c r="AI48" s="60" t="n"/>
      <c r="AJ48" s="60" t="n"/>
      <c r="AK48" s="120">
        <f>IF(L48&gt;0,L48*(82.29+8.15),0)+IF(M48&gt;0,M48*(8.15+339.97),0)+IF(N48&gt;0,N48*151.63,0)+IF(O48&gt;0,O48*197.82,0)+IF(P48&gt;0,P48*244.09,0)+IF(Q48&gt;0,Q48*315.35,0)+IF(R48&gt;0,R48*1067.3,0)+IF(T48&gt;0,T48*567.47,0)+IF(U48&gt;0,U48*151.63,0)+IF(V48&gt;0,V48*197.84,0)+IF(W48&gt;0,W48*470.51,0)+IF(X48&gt;0,X48*701.69,0)+IF(Z48&gt;0,Z48*151.63,0)+IF(AA48&gt;0,AA48*197.84)+IF(AB48&gt;0,AB48*308.4,0)+IF(AC48&gt;0,AC48*496.16,0)</f>
        <v/>
      </c>
    </row>
    <row r="49">
      <c r="A49" s="59" t="inlineStr">
        <is>
          <t>SIM</t>
        </is>
      </c>
      <c r="B49" s="59">
        <f>IF(H49&lt;$B$1,"VENCIDO","NA VALIDADE")</f>
        <v/>
      </c>
      <c r="C49" s="60" t="inlineStr">
        <is>
          <t>SUBESTAÇÃO</t>
        </is>
      </c>
      <c r="D49" s="61" t="inlineStr">
        <is>
          <t>SE LITORAL SUL</t>
        </is>
      </c>
      <c r="E49" s="74" t="inlineStr">
        <is>
          <t>PARNAMIRIM</t>
        </is>
      </c>
      <c r="F49" s="75" t="inlineStr">
        <is>
          <t>RN</t>
        </is>
      </c>
      <c r="G49" s="75" t="inlineStr">
        <is>
          <t>NATAL</t>
        </is>
      </c>
      <c r="H49" s="119" t="n">
        <v>45444</v>
      </c>
      <c r="I49" s="119" t="n">
        <v>45444</v>
      </c>
      <c r="J49" s="60">
        <f>SUM(L49:AE49)</f>
        <v/>
      </c>
      <c r="K49" s="60">
        <f>SUM(AF49:AK49)</f>
        <v/>
      </c>
      <c r="L49" s="60" t="n"/>
      <c r="M49" s="60" t="n"/>
      <c r="N49" s="60" t="n"/>
      <c r="O49" s="60" t="n"/>
      <c r="P49" s="60" t="n"/>
      <c r="Q49" s="60" t="n"/>
      <c r="R49" s="60" t="n"/>
      <c r="S49" s="60" t="n"/>
      <c r="T49" s="60" t="n">
        <v>1</v>
      </c>
      <c r="U49" s="60" t="n"/>
      <c r="V49" s="60" t="n"/>
      <c r="W49" s="60" t="n"/>
      <c r="X49" s="60" t="n"/>
      <c r="Y49" s="60" t="n"/>
      <c r="Z49" s="60" t="n"/>
      <c r="AA49" s="60" t="n">
        <v>2</v>
      </c>
      <c r="AB49" s="60" t="n"/>
      <c r="AC49" s="60" t="n"/>
      <c r="AD49" s="60" t="n"/>
      <c r="AE49" s="60" t="n"/>
      <c r="AF49" s="60" t="n"/>
      <c r="AG49" s="60" t="n"/>
      <c r="AH49" s="60" t="n"/>
      <c r="AI49" s="60" t="n"/>
      <c r="AJ49" s="60" t="n"/>
      <c r="AK49" s="120">
        <f>IF(L49&gt;0,L49*(82.29+8.15),0)+IF(M49&gt;0,M49*(8.15+339.97),0)+IF(N49&gt;0,N49*151.63,0)+IF(O49&gt;0,O49*197.82,0)+IF(P49&gt;0,P49*244.09,0)+IF(Q49&gt;0,Q49*315.35,0)+IF(R49&gt;0,R49*1067.3,0)+IF(T49&gt;0,T49*567.47,0)+IF(U49&gt;0,U49*151.63,0)+IF(V49&gt;0,V49*197.84,0)+IF(W49&gt;0,W49*470.51,0)+IF(X49&gt;0,X49*701.69,0)+IF(Z49&gt;0,Z49*151.63,0)+IF(AA49&gt;0,AA49*197.84)+IF(AB49&gt;0,AB49*308.4,0)+IF(AC49&gt;0,AC49*496.16,0)</f>
        <v/>
      </c>
    </row>
    <row r="50">
      <c r="A50" s="123" t="n">
        <v>44774</v>
      </c>
      <c r="B50" s="59">
        <f>IF(H50&lt;$B$1,"VENCIDO","NA VALIDADE")</f>
        <v/>
      </c>
      <c r="C50" s="60" t="inlineStr">
        <is>
          <t>SUBESTAÇÃO</t>
        </is>
      </c>
      <c r="D50" s="61" t="inlineStr">
        <is>
          <t>SE MACAU</t>
        </is>
      </c>
      <c r="E50" s="74" t="inlineStr">
        <is>
          <t>MACAU</t>
        </is>
      </c>
      <c r="F50" s="75" t="inlineStr">
        <is>
          <t>RN</t>
        </is>
      </c>
      <c r="G50" s="75" t="inlineStr">
        <is>
          <t>NATAL</t>
        </is>
      </c>
      <c r="H50" s="119" t="n">
        <v>45474</v>
      </c>
      <c r="I50" s="119">
        <f>H50-180</f>
        <v/>
      </c>
      <c r="J50" s="60">
        <f>SUM(L50:AE50)</f>
        <v/>
      </c>
      <c r="K50" s="60">
        <f>SUM(AF50:AK50)</f>
        <v/>
      </c>
      <c r="L50" s="60" t="n"/>
      <c r="M50" s="60" t="n"/>
      <c r="N50" s="60" t="n"/>
      <c r="O50" s="60" t="n"/>
      <c r="P50" s="60" t="n"/>
      <c r="Q50" s="60" t="n"/>
      <c r="R50" s="60" t="n"/>
      <c r="S50" s="60" t="n"/>
      <c r="T50" s="60" t="n">
        <v>1</v>
      </c>
      <c r="U50" s="60" t="n"/>
      <c r="V50" s="60" t="n"/>
      <c r="W50" s="60" t="n"/>
      <c r="X50" s="60" t="n"/>
      <c r="Y50" s="60" t="n"/>
      <c r="Z50" s="60" t="n"/>
      <c r="AA50" s="60" t="n">
        <v>2</v>
      </c>
      <c r="AB50" s="60" t="n"/>
      <c r="AC50" s="60" t="n"/>
      <c r="AD50" s="60" t="n"/>
      <c r="AE50" s="60" t="n"/>
      <c r="AF50" s="60" t="n"/>
      <c r="AG50" s="60" t="n"/>
      <c r="AH50" s="60" t="n"/>
      <c r="AI50" s="60" t="n"/>
      <c r="AJ50" s="60" t="n"/>
      <c r="AK50" s="120">
        <f>IF(L50&gt;0,L50*(82.29+8.15),0)+IF(M50&gt;0,M50*(8.15+339.97),0)+IF(N50&gt;0,N50*151.63,0)+IF(O50&gt;0,O50*197.82,0)+IF(P50&gt;0,P50*244.09,0)+IF(Q50&gt;0,Q50*315.35,0)+IF(R50&gt;0,R50*1067.3,0)+IF(T50&gt;0,T50*567.47,0)+IF(U50&gt;0,U50*151.63,0)+IF(V50&gt;0,V50*197.84,0)+IF(W50&gt;0,W50*470.51,0)+IF(X50&gt;0,X50*701.69,0)+IF(Z50&gt;0,Z50*151.63,0)+IF(AA50&gt;0,AA50*197.84)+IF(AB50&gt;0,AB50*308.4,0)+IF(AC50&gt;0,AC50*496.16,0)</f>
        <v/>
      </c>
    </row>
    <row r="51">
      <c r="A51" s="59" t="inlineStr">
        <is>
          <t>rota</t>
        </is>
      </c>
      <c r="B51" s="59">
        <f>IF(H51&lt;$B$1,"VENCIDO","NA VALIDADE")</f>
        <v/>
      </c>
      <c r="C51" s="60" t="inlineStr">
        <is>
          <t>SUBESTAÇÃO</t>
        </is>
      </c>
      <c r="D51" s="61" t="inlineStr">
        <is>
          <t>SE MAISA</t>
        </is>
      </c>
      <c r="E51" s="74" t="inlineStr">
        <is>
          <t>MOSSORÓ</t>
        </is>
      </c>
      <c r="F51" s="75" t="inlineStr">
        <is>
          <t>RN</t>
        </is>
      </c>
      <c r="G51" s="75" t="inlineStr">
        <is>
          <t>NATAL</t>
        </is>
      </c>
      <c r="H51" s="119" t="n">
        <v>45474</v>
      </c>
      <c r="I51" s="119">
        <f>H51-180</f>
        <v/>
      </c>
      <c r="J51" s="60">
        <f>SUM(L51:AE51)</f>
        <v/>
      </c>
      <c r="K51" s="60">
        <f>SUM(AF51:AK51)</f>
        <v/>
      </c>
      <c r="L51" s="60" t="n"/>
      <c r="M51" s="60" t="n"/>
      <c r="N51" s="60" t="n"/>
      <c r="O51" s="60" t="n"/>
      <c r="P51" s="60" t="n"/>
      <c r="Q51" s="60" t="n"/>
      <c r="R51" s="60" t="n"/>
      <c r="S51" s="60" t="n"/>
      <c r="T51" s="60" t="n">
        <v>1</v>
      </c>
      <c r="U51" s="60" t="n"/>
      <c r="V51" s="60" t="n"/>
      <c r="W51" s="60" t="n"/>
      <c r="X51" s="60" t="n"/>
      <c r="Y51" s="60" t="n"/>
      <c r="Z51" s="60" t="n"/>
      <c r="AA51" s="60" t="n">
        <v>2</v>
      </c>
      <c r="AB51" s="60" t="n"/>
      <c r="AC51" s="60" t="n"/>
      <c r="AD51" s="60" t="n"/>
      <c r="AE51" s="60" t="n"/>
      <c r="AF51" s="60" t="n"/>
      <c r="AG51" s="60" t="n"/>
      <c r="AH51" s="60" t="n"/>
      <c r="AI51" s="60" t="n"/>
      <c r="AJ51" s="60" t="n"/>
      <c r="AK51" s="120">
        <f>IF(L51&gt;0,L51*(82.29+8.15),0)+IF(M51&gt;0,M51*(8.15+339.97),0)+IF(N51&gt;0,N51*151.63,0)+IF(O51&gt;0,O51*197.82,0)+IF(P51&gt;0,P51*244.09,0)+IF(Q51&gt;0,Q51*315.35,0)+IF(R51&gt;0,R51*1067.3,0)+IF(T51&gt;0,T51*567.47,0)+IF(U51&gt;0,U51*151.63,0)+IF(V51&gt;0,V51*197.84,0)+IF(W51&gt;0,W51*470.51,0)+IF(X51&gt;0,X51*701.69,0)+IF(Z51&gt;0,Z51*151.63,0)+IF(AA51&gt;0,AA51*197.84)+IF(AB51&gt;0,AB51*308.4,0)+IF(AC51&gt;0,AC51*496.16,0)</f>
        <v/>
      </c>
    </row>
    <row r="52">
      <c r="A52" s="59" t="inlineStr">
        <is>
          <t>NATAL 06/12</t>
        </is>
      </c>
      <c r="B52" s="59">
        <f>IF(H52&lt;$B$1,"VENCIDO","NA VALIDADE")</f>
        <v/>
      </c>
      <c r="C52" s="60" t="inlineStr">
        <is>
          <t>SUBESTAÇÃO</t>
        </is>
      </c>
      <c r="D52" s="61" t="inlineStr">
        <is>
          <t>SE MAJOR SALES</t>
        </is>
      </c>
      <c r="E52" s="74" t="inlineStr">
        <is>
          <t>MAJOR SALES</t>
        </is>
      </c>
      <c r="F52" s="75" t="inlineStr">
        <is>
          <t>RN</t>
        </is>
      </c>
      <c r="G52" s="75" t="inlineStr">
        <is>
          <t>NATAL</t>
        </is>
      </c>
      <c r="H52" s="119" t="n">
        <v>45566</v>
      </c>
      <c r="I52" s="119">
        <f>H52-180</f>
        <v/>
      </c>
      <c r="J52" s="60">
        <f>SUM(L52:AE52)</f>
        <v/>
      </c>
      <c r="K52" s="60">
        <f>SUM(AF52:AK52)</f>
        <v/>
      </c>
      <c r="L52" s="60" t="n"/>
      <c r="M52" s="60" t="n"/>
      <c r="N52" s="60" t="n"/>
      <c r="O52" s="60" t="n"/>
      <c r="P52" s="60" t="n"/>
      <c r="Q52" s="60" t="n"/>
      <c r="R52" s="60" t="n"/>
      <c r="S52" s="60" t="n"/>
      <c r="T52" s="60" t="n">
        <v>1</v>
      </c>
      <c r="U52" s="60" t="n"/>
      <c r="V52" s="60" t="n"/>
      <c r="W52" s="60" t="n"/>
      <c r="X52" s="60" t="n"/>
      <c r="Y52" s="60" t="n"/>
      <c r="Z52" s="60" t="n"/>
      <c r="AA52" s="60" t="n">
        <v>4</v>
      </c>
      <c r="AB52" s="60" t="n"/>
      <c r="AC52" s="60" t="n"/>
      <c r="AD52" s="60" t="n"/>
      <c r="AE52" s="60" t="n"/>
      <c r="AF52" s="60" t="n"/>
      <c r="AG52" s="60" t="n"/>
      <c r="AH52" s="60" t="n"/>
      <c r="AI52" s="60" t="n"/>
      <c r="AJ52" s="60" t="n"/>
      <c r="AK52" s="120">
        <f>IF(L52&gt;0,L52*(82.29+8.15),0)+IF(M52&gt;0,M52*(8.15+339.97),0)+IF(N52&gt;0,N52*151.63,0)+IF(O52&gt;0,O52*197.82,0)+IF(P52&gt;0,P52*244.09,0)+IF(Q52&gt;0,Q52*315.35,0)+IF(R52&gt;0,R52*1067.3,0)+IF(T52&gt;0,T52*567.47,0)+IF(U52&gt;0,U52*151.63,0)+IF(V52&gt;0,V52*197.84,0)+IF(W52&gt;0,W52*470.51,0)+IF(X52&gt;0,X52*701.69,0)+IF(Z52&gt;0,Z52*151.63,0)+IF(AA52&gt;0,AA52*197.84)+IF(AB52&gt;0,AB52*308.4,0)+IF(AC52&gt;0,AC52*496.16,0)</f>
        <v/>
      </c>
    </row>
    <row r="53">
      <c r="A53" s="59" t="inlineStr">
        <is>
          <t>NATAL 06/12</t>
        </is>
      </c>
      <c r="B53" s="59">
        <f>IF(H53&lt;$B$1,"VENCIDO","NA VALIDADE")</f>
        <v/>
      </c>
      <c r="C53" s="60" t="inlineStr">
        <is>
          <t>SUBESTAÇÃO</t>
        </is>
      </c>
      <c r="D53" s="61" t="inlineStr">
        <is>
          <t>SE MARCELINO VIEIRA</t>
        </is>
      </c>
      <c r="E53" s="74" t="inlineStr">
        <is>
          <t>MARCELINO VIEIRA</t>
        </is>
      </c>
      <c r="F53" s="75" t="inlineStr">
        <is>
          <t>RN</t>
        </is>
      </c>
      <c r="G53" s="75" t="inlineStr">
        <is>
          <t>NATAL</t>
        </is>
      </c>
      <c r="H53" s="119" t="n">
        <v>45444</v>
      </c>
      <c r="I53" s="119" t="n">
        <v>45444</v>
      </c>
      <c r="J53" s="60">
        <f>SUM(L53:AE53)</f>
        <v/>
      </c>
      <c r="K53" s="60">
        <f>SUM(AF53:AK53)</f>
        <v/>
      </c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>
        <v>1</v>
      </c>
      <c r="U53" s="60" t="n"/>
      <c r="V53" s="60" t="n"/>
      <c r="W53" s="60" t="n"/>
      <c r="X53" s="60" t="n"/>
      <c r="Y53" s="60" t="n"/>
      <c r="Z53" s="60" t="n"/>
      <c r="AA53" s="60" t="n">
        <v>2</v>
      </c>
      <c r="AB53" s="60" t="n"/>
      <c r="AC53" s="60" t="n"/>
      <c r="AD53" s="60" t="n"/>
      <c r="AE53" s="60" t="n"/>
      <c r="AF53" s="60" t="n"/>
      <c r="AG53" s="60" t="n"/>
      <c r="AH53" s="60" t="n"/>
      <c r="AI53" s="60" t="n"/>
      <c r="AJ53" s="60" t="n"/>
      <c r="AK53" s="120">
        <f>IF(L53&gt;0,L53*(82.29+8.15),0)+IF(M53&gt;0,M53*(8.15+339.97),0)+IF(N53&gt;0,N53*151.63,0)+IF(O53&gt;0,O53*197.82,0)+IF(P53&gt;0,P53*244.09,0)+IF(Q53&gt;0,Q53*315.35,0)+IF(R53&gt;0,R53*1067.3,0)+IF(T53&gt;0,T53*567.47,0)+IF(U53&gt;0,U53*151.63,0)+IF(V53&gt;0,V53*197.84,0)+IF(W53&gt;0,W53*470.51,0)+IF(X53&gt;0,X53*701.69,0)+IF(Z53&gt;0,Z53*151.63,0)+IF(AA53&gt;0,AA53*197.84)+IF(AB53&gt;0,AB53*308.4,0)+IF(AC53&gt;0,AC53*496.16,0)</f>
        <v/>
      </c>
    </row>
    <row r="54">
      <c r="A54" s="59" t="inlineStr">
        <is>
          <t>rota</t>
        </is>
      </c>
      <c r="B54" s="59">
        <f>IF(H54&lt;$B$1,"VENCIDO","NA VALIDADE")</f>
        <v/>
      </c>
      <c r="C54" s="60" t="inlineStr">
        <is>
          <t>SUBESTAÇÃO</t>
        </is>
      </c>
      <c r="D54" s="61" t="inlineStr">
        <is>
          <t>SE MOSSORO I</t>
        </is>
      </c>
      <c r="E54" s="74" t="inlineStr">
        <is>
          <t>MOSSORÓ</t>
        </is>
      </c>
      <c r="F54" s="75" t="inlineStr">
        <is>
          <t>RN</t>
        </is>
      </c>
      <c r="G54" s="75" t="inlineStr">
        <is>
          <t>NATAL</t>
        </is>
      </c>
      <c r="H54" s="119" t="n">
        <v>45536</v>
      </c>
      <c r="I54" s="119">
        <f>H54-180</f>
        <v/>
      </c>
      <c r="J54" s="60">
        <f>SUM(L54:AE54)</f>
        <v/>
      </c>
      <c r="K54" s="60">
        <f>SUM(AF54:AK54)</f>
        <v/>
      </c>
      <c r="L54" s="60" t="n"/>
      <c r="M54" s="60" t="n"/>
      <c r="N54" s="60" t="n"/>
      <c r="O54" s="60" t="n"/>
      <c r="P54" s="60" t="n"/>
      <c r="Q54" s="60" t="n"/>
      <c r="R54" s="60" t="n"/>
      <c r="S54" s="60" t="n"/>
      <c r="T54" s="60" t="n">
        <v>1</v>
      </c>
      <c r="U54" s="60" t="n"/>
      <c r="V54" s="60" t="n"/>
      <c r="W54" s="60" t="n"/>
      <c r="X54" s="60" t="n"/>
      <c r="Y54" s="60" t="n"/>
      <c r="Z54" s="60" t="n"/>
      <c r="AA54" s="60" t="n">
        <v>2</v>
      </c>
      <c r="AB54" s="60" t="n"/>
      <c r="AC54" s="60" t="n"/>
      <c r="AD54" s="60" t="n"/>
      <c r="AE54" s="60" t="n"/>
      <c r="AF54" s="60" t="n"/>
      <c r="AG54" s="60" t="n"/>
      <c r="AH54" s="60" t="n"/>
      <c r="AI54" s="60" t="n"/>
      <c r="AJ54" s="60" t="n"/>
      <c r="AK54" s="120">
        <f>IF(L54&gt;0,L54*(82.29+8.15),0)+IF(M54&gt;0,M54*(8.15+339.97),0)+IF(N54&gt;0,N54*151.63,0)+IF(O54&gt;0,O54*197.82,0)+IF(P54&gt;0,P54*244.09,0)+IF(Q54&gt;0,Q54*315.35,0)+IF(R54&gt;0,R54*1067.3,0)+IF(T54&gt;0,T54*567.47,0)+IF(U54&gt;0,U54*151.63,0)+IF(V54&gt;0,V54*197.84,0)+IF(W54&gt;0,W54*470.51,0)+IF(X54&gt;0,X54*701.69,0)+IF(Z54&gt;0,Z54*151.63,0)+IF(AA54&gt;0,AA54*197.84)+IF(AB54&gt;0,AB54*308.4,0)+IF(AC54&gt;0,AC54*496.16,0)</f>
        <v/>
      </c>
    </row>
    <row r="55">
      <c r="A55" s="59" t="inlineStr">
        <is>
          <t>rota</t>
        </is>
      </c>
      <c r="B55" s="59">
        <f>IF(H55&lt;$B$1,"VENCIDO","NA VALIDADE")</f>
        <v/>
      </c>
      <c r="C55" s="60" t="inlineStr">
        <is>
          <t>SUBESTAÇÃO</t>
        </is>
      </c>
      <c r="D55" s="61" t="inlineStr">
        <is>
          <t>SE MOSSORO III</t>
        </is>
      </c>
      <c r="E55" s="74" t="inlineStr">
        <is>
          <t>MOSSORÓ</t>
        </is>
      </c>
      <c r="F55" s="75" t="inlineStr">
        <is>
          <t>RN</t>
        </is>
      </c>
      <c r="G55" s="75" t="inlineStr">
        <is>
          <t>NATAL</t>
        </is>
      </c>
      <c r="H55" s="119" t="n">
        <v>45536</v>
      </c>
      <c r="I55" s="119">
        <f>H55-180</f>
        <v/>
      </c>
      <c r="J55" s="60">
        <f>SUM(L55:AE55)</f>
        <v/>
      </c>
      <c r="K55" s="60">
        <f>SUM(AF55:AK55)</f>
        <v/>
      </c>
      <c r="L55" s="60" t="n"/>
      <c r="M55" s="60" t="n"/>
      <c r="N55" s="60" t="n"/>
      <c r="O55" s="60" t="n"/>
      <c r="P55" s="60" t="n"/>
      <c r="Q55" s="60" t="n"/>
      <c r="R55" s="60" t="n"/>
      <c r="S55" s="60" t="n"/>
      <c r="T55" s="60" t="n">
        <v>1</v>
      </c>
      <c r="U55" s="60" t="n"/>
      <c r="V55" s="60" t="n"/>
      <c r="W55" s="60" t="n"/>
      <c r="X55" s="60" t="n"/>
      <c r="Y55" s="60" t="n"/>
      <c r="Z55" s="60" t="n"/>
      <c r="AA55" s="60" t="n">
        <v>2</v>
      </c>
      <c r="AB55" s="60" t="n"/>
      <c r="AC55" s="60" t="n"/>
      <c r="AD55" s="60" t="n"/>
      <c r="AE55" s="60" t="n"/>
      <c r="AF55" s="60" t="n"/>
      <c r="AG55" s="60" t="n"/>
      <c r="AH55" s="60" t="n"/>
      <c r="AI55" s="60" t="n"/>
      <c r="AJ55" s="60" t="n"/>
      <c r="AK55" s="120">
        <f>IF(L55&gt;0,L55*(82.29+8.15),0)+IF(M55&gt;0,M55*(8.15+339.97),0)+IF(N55&gt;0,N55*151.63,0)+IF(O55&gt;0,O55*197.82,0)+IF(P55&gt;0,P55*244.09,0)+IF(Q55&gt;0,Q55*315.35,0)+IF(R55&gt;0,R55*1067.3,0)+IF(T55&gt;0,T55*567.47,0)+IF(U55&gt;0,U55*151.63,0)+IF(V55&gt;0,V55*197.84,0)+IF(W55&gt;0,W55*470.51,0)+IF(X55&gt;0,X55*701.69,0)+IF(Z55&gt;0,Z55*151.63,0)+IF(AA55&gt;0,AA55*197.84)+IF(AB55&gt;0,AB55*308.4,0)+IF(AC55&gt;0,AC55*496.16,0)</f>
        <v/>
      </c>
    </row>
    <row r="56">
      <c r="A56" s="59" t="inlineStr">
        <is>
          <t>rota</t>
        </is>
      </c>
      <c r="B56" s="59">
        <f>IF(H56&lt;$B$1,"VENCIDO","NA VALIDADE")</f>
        <v/>
      </c>
      <c r="C56" s="60" t="inlineStr">
        <is>
          <t>SUBESTAÇÃO</t>
        </is>
      </c>
      <c r="D56" s="61" t="inlineStr">
        <is>
          <t>SE NATAL I</t>
        </is>
      </c>
      <c r="E56" s="74" t="inlineStr">
        <is>
          <t>NATAL</t>
        </is>
      </c>
      <c r="F56" s="75" t="inlineStr">
        <is>
          <t>RN</t>
        </is>
      </c>
      <c r="G56" s="75" t="inlineStr">
        <is>
          <t>NATAL</t>
        </is>
      </c>
      <c r="H56" s="119" t="n">
        <v>45658</v>
      </c>
      <c r="I56" s="119">
        <f>H56-180</f>
        <v/>
      </c>
      <c r="J56" s="60">
        <f>SUM(L56:AE56)</f>
        <v/>
      </c>
      <c r="K56" s="60">
        <f>SUM(AF56:AK56)</f>
        <v/>
      </c>
      <c r="L56" s="60" t="n"/>
      <c r="M56" s="60" t="n"/>
      <c r="N56" s="60" t="n"/>
      <c r="O56" s="60" t="n"/>
      <c r="P56" s="60" t="n"/>
      <c r="Q56" s="60" t="n"/>
      <c r="R56" s="60" t="n"/>
      <c r="S56" s="60" t="n"/>
      <c r="T56" s="60" t="n">
        <v>1</v>
      </c>
      <c r="U56" s="60" t="n"/>
      <c r="V56" s="60" t="n"/>
      <c r="W56" s="60" t="n"/>
      <c r="X56" s="60" t="n"/>
      <c r="Y56" s="60" t="n"/>
      <c r="Z56" s="60" t="n"/>
      <c r="AA56" s="60" t="n">
        <v>2</v>
      </c>
      <c r="AB56" s="60" t="n"/>
      <c r="AC56" s="60" t="n"/>
      <c r="AD56" s="60" t="n"/>
      <c r="AE56" s="60" t="n"/>
      <c r="AF56" s="60" t="n"/>
      <c r="AG56" s="60" t="n"/>
      <c r="AH56" s="60" t="n"/>
      <c r="AI56" s="60" t="n"/>
      <c r="AJ56" s="60" t="n"/>
      <c r="AK56" s="120">
        <f>IF(L56&gt;0,L56*(82.29+8.15),0)+IF(M56&gt;0,M56*(8.15+339.97),0)+IF(N56&gt;0,N56*151.63,0)+IF(O56&gt;0,O56*197.82,0)+IF(P56&gt;0,P56*244.09,0)+IF(Q56&gt;0,Q56*315.35,0)+IF(R56&gt;0,R56*1067.3,0)+IF(T56&gt;0,T56*567.47,0)+IF(U56&gt;0,U56*151.63,0)+IF(V56&gt;0,V56*197.84,0)+IF(W56&gt;0,W56*470.51,0)+IF(X56&gt;0,X56*701.69,0)+IF(Z56&gt;0,Z56*151.63,0)+IF(AA56&gt;0,AA56*197.84)+IF(AB56&gt;0,AB56*308.4,0)+IF(AC56&gt;0,AC56*496.16,0)</f>
        <v/>
      </c>
    </row>
    <row r="57">
      <c r="A57" s="59" t="n"/>
      <c r="B57" s="59">
        <f>IF(H57&lt;$B$1,"VENCIDO","NA VALIDADE")</f>
        <v/>
      </c>
      <c r="C57" s="60" t="inlineStr">
        <is>
          <t>SUBESTAÇÃO</t>
        </is>
      </c>
      <c r="D57" s="61" t="inlineStr">
        <is>
          <t>SE NEOPOLIS</t>
        </is>
      </c>
      <c r="E57" s="74" t="inlineStr">
        <is>
          <t>NATAL</t>
        </is>
      </c>
      <c r="F57" s="75" t="inlineStr">
        <is>
          <t>RN</t>
        </is>
      </c>
      <c r="G57" s="75" t="inlineStr">
        <is>
          <t>NATAL</t>
        </is>
      </c>
      <c r="H57" s="119" t="n">
        <v>45323</v>
      </c>
      <c r="I57" s="119" t="n">
        <v>45323</v>
      </c>
      <c r="J57" s="60">
        <f>SUM(L57:AE57)</f>
        <v/>
      </c>
      <c r="K57" s="60">
        <f>SUM(AF57:AK57)</f>
        <v/>
      </c>
      <c r="L57" s="60" t="n"/>
      <c r="M57" s="60" t="n"/>
      <c r="N57" s="60" t="n"/>
      <c r="O57" s="60" t="n"/>
      <c r="P57" s="60" t="n"/>
      <c r="Q57" s="60" t="n"/>
      <c r="R57" s="60" t="n"/>
      <c r="S57" s="60" t="n"/>
      <c r="T57" s="60" t="n">
        <v>1</v>
      </c>
      <c r="U57" s="60" t="n"/>
      <c r="V57" s="60" t="n"/>
      <c r="W57" s="60" t="n"/>
      <c r="X57" s="60" t="n"/>
      <c r="Y57" s="60" t="n"/>
      <c r="Z57" s="60" t="n"/>
      <c r="AA57" s="60" t="n">
        <v>2</v>
      </c>
      <c r="AB57" s="60" t="n"/>
      <c r="AC57" s="60" t="n"/>
      <c r="AD57" s="60" t="n"/>
      <c r="AE57" s="60" t="n"/>
      <c r="AF57" s="60" t="n"/>
      <c r="AG57" s="60" t="n"/>
      <c r="AH57" s="60" t="n"/>
      <c r="AI57" s="60" t="n"/>
      <c r="AJ57" s="60" t="n"/>
      <c r="AK57" s="120">
        <f>IF(L57&gt;0,L57*(82.29+8.15),0)+IF(M57&gt;0,M57*(8.15+339.97),0)+IF(N57&gt;0,N57*151.63,0)+IF(O57&gt;0,O57*197.82,0)+IF(P57&gt;0,P57*244.09,0)+IF(Q57&gt;0,Q57*315.35,0)+IF(R57&gt;0,R57*1067.3,0)+IF(T57&gt;0,T57*567.47,0)+IF(U57&gt;0,U57*151.63,0)+IF(V57&gt;0,V57*197.84,0)+IF(W57&gt;0,W57*470.51,0)+IF(X57&gt;0,X57*701.69,0)+IF(Z57&gt;0,Z57*151.63,0)+IF(AA57&gt;0,AA57*197.84)+IF(AB57&gt;0,AB57*308.4,0)+IF(AC57&gt;0,AC57*496.16,0)</f>
        <v/>
      </c>
    </row>
    <row r="58">
      <c r="A58" s="59" t="n"/>
      <c r="B58" s="59">
        <f>IF(H58&lt;$B$1,"VENCIDO","NA VALIDADE")</f>
        <v/>
      </c>
      <c r="C58" s="60" t="inlineStr">
        <is>
          <t>SUBESTAÇÃO</t>
        </is>
      </c>
      <c r="D58" s="61" t="inlineStr">
        <is>
          <t>SE PARELHAS</t>
        </is>
      </c>
      <c r="E58" s="74" t="inlineStr">
        <is>
          <t>NOVA CRUZ</t>
        </is>
      </c>
      <c r="F58" s="75" t="inlineStr">
        <is>
          <t>RN</t>
        </is>
      </c>
      <c r="G58" s="75" t="inlineStr">
        <is>
          <t>NATAL</t>
        </is>
      </c>
      <c r="H58" s="119" t="n">
        <v>45505</v>
      </c>
      <c r="I58" s="119">
        <f>H58-180</f>
        <v/>
      </c>
      <c r="J58" s="60">
        <f>SUM(L58:AE58)</f>
        <v/>
      </c>
      <c r="K58" s="60">
        <f>SUM(AF58:AK58)</f>
        <v/>
      </c>
      <c r="L58" s="60" t="n"/>
      <c r="M58" s="60" t="n"/>
      <c r="N58" s="60" t="n"/>
      <c r="O58" s="60" t="n"/>
      <c r="P58" s="60" t="n"/>
      <c r="Q58" s="60" t="n"/>
      <c r="R58" s="60" t="n"/>
      <c r="S58" s="60" t="n"/>
      <c r="T58" s="60" t="n">
        <v>1</v>
      </c>
      <c r="U58" s="60" t="n"/>
      <c r="V58" s="60" t="n"/>
      <c r="W58" s="60" t="n"/>
      <c r="X58" s="60" t="n"/>
      <c r="Y58" s="60" t="n"/>
      <c r="Z58" s="60" t="n"/>
      <c r="AA58" s="60" t="n">
        <v>2</v>
      </c>
      <c r="AB58" s="60" t="n"/>
      <c r="AC58" s="60" t="n"/>
      <c r="AD58" s="60" t="n"/>
      <c r="AE58" s="60" t="n"/>
      <c r="AF58" s="60" t="n"/>
      <c r="AG58" s="60" t="n"/>
      <c r="AH58" s="60" t="n"/>
      <c r="AI58" s="60" t="n"/>
      <c r="AJ58" s="60" t="n"/>
      <c r="AK58" s="120">
        <f>IF(L58&gt;0,L58*(82.29+8.15),0)+IF(M58&gt;0,M58*(8.15+339.97),0)+IF(N58&gt;0,N58*151.63,0)+IF(O58&gt;0,O58*197.82,0)+IF(P58&gt;0,P58*244.09,0)+IF(Q58&gt;0,Q58*315.35,0)+IF(R58&gt;0,R58*1067.3,0)+IF(T58&gt;0,T58*567.47,0)+IF(U58&gt;0,U58*151.63,0)+IF(V58&gt;0,V58*197.84,0)+IF(W58&gt;0,W58*470.51,0)+IF(X58&gt;0,X58*701.69,0)+IF(Z58&gt;0,Z58*151.63,0)+IF(AA58&gt;0,AA58*197.84)+IF(AB58&gt;0,AB58*308.4,0)+IF(AC58&gt;0,AC58*496.16,0)</f>
        <v/>
      </c>
    </row>
    <row r="59">
      <c r="A59" s="59" t="n"/>
      <c r="B59" s="59">
        <f>IF(H59&lt;$B$1,"VENCIDO","NA VALIDADE")</f>
        <v/>
      </c>
      <c r="C59" s="60" t="inlineStr">
        <is>
          <t>SUBESTAÇÃO</t>
        </is>
      </c>
      <c r="D59" s="61" t="inlineStr">
        <is>
          <t>SE PARNAMIRIM</t>
        </is>
      </c>
      <c r="E59" s="74" t="inlineStr">
        <is>
          <t>PARNAMIRIM</t>
        </is>
      </c>
      <c r="F59" s="75" t="inlineStr">
        <is>
          <t>RN</t>
        </is>
      </c>
      <c r="G59" s="75" t="inlineStr">
        <is>
          <t>NATAL</t>
        </is>
      </c>
      <c r="H59" s="119" t="n">
        <v>45566</v>
      </c>
      <c r="I59" s="119">
        <f>H59-180</f>
        <v/>
      </c>
      <c r="J59" s="60">
        <f>SUM(L59:AE59)</f>
        <v/>
      </c>
      <c r="K59" s="60">
        <f>SUM(AF59:AK59)</f>
        <v/>
      </c>
      <c r="L59" s="60" t="n"/>
      <c r="M59" s="60" t="n"/>
      <c r="N59" s="60" t="n"/>
      <c r="O59" s="60" t="n"/>
      <c r="P59" s="60" t="n"/>
      <c r="Q59" s="60" t="n"/>
      <c r="R59" s="60" t="n"/>
      <c r="S59" s="60" t="n"/>
      <c r="T59" s="60" t="n">
        <v>1</v>
      </c>
      <c r="U59" s="60" t="n"/>
      <c r="V59" s="60" t="n"/>
      <c r="W59" s="60" t="n"/>
      <c r="X59" s="60" t="n"/>
      <c r="Y59" s="60" t="n"/>
      <c r="Z59" s="60" t="n"/>
      <c r="AA59" s="60" t="n">
        <v>4</v>
      </c>
      <c r="AB59" s="60" t="n"/>
      <c r="AC59" s="60" t="n"/>
      <c r="AD59" s="60" t="n"/>
      <c r="AE59" s="60" t="n"/>
      <c r="AF59" s="60" t="n"/>
      <c r="AG59" s="60" t="n"/>
      <c r="AH59" s="60" t="n"/>
      <c r="AI59" s="60" t="n"/>
      <c r="AJ59" s="60" t="n"/>
      <c r="AK59" s="120">
        <f>IF(L59&gt;0,L59*(82.29+8.15),0)+IF(M59&gt;0,M59*(8.15+339.97),0)+IF(N59&gt;0,N59*151.63,0)+IF(O59&gt;0,O59*197.82,0)+IF(P59&gt;0,P59*244.09,0)+IF(Q59&gt;0,Q59*315.35,0)+IF(R59&gt;0,R59*1067.3,0)+IF(T59&gt;0,T59*567.47,0)+IF(U59&gt;0,U59*151.63,0)+IF(V59&gt;0,V59*197.84,0)+IF(W59&gt;0,W59*470.51,0)+IF(X59&gt;0,X59*701.69,0)+IF(Z59&gt;0,Z59*151.63,0)+IF(AA59&gt;0,AA59*197.84)+IF(AB59&gt;0,AB59*308.4,0)+IF(AC59&gt;0,AC59*496.16,0)</f>
        <v/>
      </c>
    </row>
    <row r="60">
      <c r="A60" s="59" t="n"/>
      <c r="B60" s="59">
        <f>IF(H60&lt;$B$1,"VENCIDO","NA VALIDADE")</f>
        <v/>
      </c>
      <c r="C60" s="60" t="inlineStr">
        <is>
          <t>SUBESTAÇÃO</t>
        </is>
      </c>
      <c r="D60" s="61" t="inlineStr">
        <is>
          <t>SE PAU DOS FERROS</t>
        </is>
      </c>
      <c r="E60" s="74" t="inlineStr">
        <is>
          <t>PAU DOS FERROS</t>
        </is>
      </c>
      <c r="F60" s="75" t="inlineStr">
        <is>
          <t>RN</t>
        </is>
      </c>
      <c r="G60" s="75" t="inlineStr">
        <is>
          <t>NATAL</t>
        </is>
      </c>
      <c r="H60" s="119" t="n">
        <v>45323</v>
      </c>
      <c r="I60" s="119" t="n">
        <v>45323</v>
      </c>
      <c r="J60" s="60">
        <f>SUM(L60:AE60)</f>
        <v/>
      </c>
      <c r="K60" s="60">
        <f>SUM(AF60:AK60)</f>
        <v/>
      </c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>
        <v>1</v>
      </c>
      <c r="U60" s="60" t="n"/>
      <c r="V60" s="60" t="n"/>
      <c r="W60" s="60" t="n"/>
      <c r="X60" s="60" t="n"/>
      <c r="Y60" s="60" t="n"/>
      <c r="Z60" s="60" t="n"/>
      <c r="AA60" s="60" t="n">
        <v>2</v>
      </c>
      <c r="AB60" s="60" t="n"/>
      <c r="AC60" s="60" t="n"/>
      <c r="AD60" s="60" t="n"/>
      <c r="AE60" s="60" t="n"/>
      <c r="AF60" s="60" t="n"/>
      <c r="AG60" s="60" t="n"/>
      <c r="AH60" s="60" t="n"/>
      <c r="AI60" s="60" t="n"/>
      <c r="AJ60" s="60" t="n"/>
      <c r="AK60" s="120">
        <f>IF(L60&gt;0,L60*(82.29+8.15),0)+IF(M60&gt;0,M60*(8.15+339.97),0)+IF(N60&gt;0,N60*151.63,0)+IF(O60&gt;0,O60*197.82,0)+IF(P60&gt;0,P60*244.09,0)+IF(Q60&gt;0,Q60*315.35,0)+IF(R60&gt;0,R60*1067.3,0)+IF(T60&gt;0,T60*567.47,0)+IF(U60&gt;0,U60*151.63,0)+IF(V60&gt;0,V60*197.84,0)+IF(W60&gt;0,W60*470.51,0)+IF(X60&gt;0,X60*701.69,0)+IF(Z60&gt;0,Z60*151.63,0)+IF(AA60&gt;0,AA60*197.84)+IF(AB60&gt;0,AB60*308.4,0)+IF(AC60&gt;0,AC60*496.16,0)</f>
        <v/>
      </c>
    </row>
    <row r="61">
      <c r="A61" s="59" t="inlineStr">
        <is>
          <t>SIM</t>
        </is>
      </c>
      <c r="B61" s="59">
        <f>IF(H61&lt;$B$1,"VENCIDO","NA VALIDADE")</f>
        <v/>
      </c>
      <c r="C61" s="60" t="inlineStr">
        <is>
          <t>SUBESTAÇÃO</t>
        </is>
      </c>
      <c r="D61" s="61" t="inlineStr">
        <is>
          <t>SE PENDENCIAS</t>
        </is>
      </c>
      <c r="E61" s="74" t="inlineStr">
        <is>
          <t>PENDÊNCIAS</t>
        </is>
      </c>
      <c r="F61" s="75" t="inlineStr">
        <is>
          <t>RN</t>
        </is>
      </c>
      <c r="G61" s="75" t="inlineStr">
        <is>
          <t>NATAL</t>
        </is>
      </c>
      <c r="H61" s="119" t="n">
        <v>45474</v>
      </c>
      <c r="I61" s="119">
        <f>H61-180</f>
        <v/>
      </c>
      <c r="J61" s="60">
        <f>SUM(L61:AE61)</f>
        <v/>
      </c>
      <c r="K61" s="60">
        <f>SUM(AF61:AK61)</f>
        <v/>
      </c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>
        <v>1</v>
      </c>
      <c r="U61" s="60" t="n"/>
      <c r="V61" s="60" t="n"/>
      <c r="W61" s="60" t="n"/>
      <c r="X61" s="60" t="n"/>
      <c r="Y61" s="60" t="n"/>
      <c r="Z61" s="60" t="n"/>
      <c r="AA61" s="60" t="n">
        <v>2</v>
      </c>
      <c r="AB61" s="60" t="n"/>
      <c r="AC61" s="60" t="n"/>
      <c r="AD61" s="60" t="n"/>
      <c r="AE61" s="60" t="n"/>
      <c r="AF61" s="60" t="n"/>
      <c r="AG61" s="60" t="n"/>
      <c r="AH61" s="60" t="n"/>
      <c r="AI61" s="60" t="n"/>
      <c r="AJ61" s="60" t="n"/>
      <c r="AK61" s="120">
        <f>IF(L61&gt;0,L61*(82.29+8.15),0)+IF(M61&gt;0,M61*(8.15+339.97),0)+IF(N61&gt;0,N61*151.63,0)+IF(O61&gt;0,O61*197.82,0)+IF(P61&gt;0,P61*244.09,0)+IF(Q61&gt;0,Q61*315.35,0)+IF(R61&gt;0,R61*1067.3,0)+IF(T61&gt;0,T61*567.47,0)+IF(U61&gt;0,U61*151.63,0)+IF(V61&gt;0,V61*197.84,0)+IF(W61&gt;0,W61*470.51,0)+IF(X61&gt;0,X61*701.69,0)+IF(Z61&gt;0,Z61*151.63,0)+IF(AA61&gt;0,AA61*197.84)+IF(AB61&gt;0,AB61*308.4,0)+IF(AC61&gt;0,AC61*496.16,0)</f>
        <v/>
      </c>
    </row>
    <row r="62">
      <c r="A62" s="123" t="n">
        <v>44774</v>
      </c>
      <c r="B62" s="59">
        <f>IF(H62&lt;$B$1,"VENCIDO","NA VALIDADE")</f>
        <v/>
      </c>
      <c r="C62" s="60" t="inlineStr">
        <is>
          <t>SUBESTAÇÃO</t>
        </is>
      </c>
      <c r="D62" s="61" t="inlineStr">
        <is>
          <t>SE PLANALTO</t>
        </is>
      </c>
      <c r="E62" s="74" t="inlineStr">
        <is>
          <t>NATAL</t>
        </is>
      </c>
      <c r="F62" s="75" t="inlineStr">
        <is>
          <t>RN</t>
        </is>
      </c>
      <c r="G62" s="75" t="inlineStr">
        <is>
          <t>NATAL</t>
        </is>
      </c>
      <c r="H62" s="119" t="n">
        <v>45658</v>
      </c>
      <c r="I62" s="119">
        <f>H62-180</f>
        <v/>
      </c>
      <c r="J62" s="60">
        <f>SUM(L62:AE62)</f>
        <v/>
      </c>
      <c r="K62" s="60" t="n"/>
      <c r="L62" s="60" t="n"/>
      <c r="M62" s="60" t="n"/>
      <c r="N62" s="60" t="n"/>
      <c r="O62" s="60" t="n"/>
      <c r="P62" s="60" t="n"/>
      <c r="Q62" s="60" t="n"/>
      <c r="R62" s="60" t="n"/>
      <c r="S62" s="60" t="n"/>
      <c r="T62" s="60" t="n">
        <v>1</v>
      </c>
      <c r="U62" s="60" t="n"/>
      <c r="V62" s="60" t="n"/>
      <c r="W62" s="60" t="n"/>
      <c r="X62" s="60" t="n"/>
      <c r="Y62" s="60" t="n"/>
      <c r="Z62" s="60" t="n"/>
      <c r="AA62" s="60" t="n">
        <v>4</v>
      </c>
      <c r="AB62" s="60" t="n"/>
      <c r="AC62" s="60" t="n"/>
      <c r="AD62" s="60" t="n"/>
      <c r="AE62" s="60" t="n"/>
      <c r="AF62" s="60" t="n"/>
      <c r="AG62" s="60" t="n"/>
      <c r="AH62" s="60" t="n"/>
      <c r="AI62" s="60" t="n"/>
      <c r="AJ62" s="60" t="n"/>
      <c r="AK62" s="120">
        <f>IF(L62&gt;0,L62*(82.29+8.15),0)+IF(M62&gt;0,M62*(8.15+339.97),0)+IF(N62&gt;0,N62*151.63,0)+IF(O62&gt;0,O62*197.82,0)+IF(P62&gt;0,P62*244.09,0)+IF(Q62&gt;0,Q62*315.35,0)+IF(R62&gt;0,R62*1067.3,0)+IF(T62&gt;0,T62*567.47,0)+IF(U62&gt;0,U62*151.63,0)+IF(V62&gt;0,V62*197.84,0)+IF(W62&gt;0,W62*470.51,0)+IF(X62&gt;0,X62*701.69,0)+IF(Z62&gt;0,Z62*151.63,0)+IF(AA62&gt;0,AA62*197.84)+IF(AB62&gt;0,AB62*308.4,0)+IF(AC62&gt;0,AC62*496.16,0)</f>
        <v/>
      </c>
    </row>
    <row r="63">
      <c r="A63" s="59" t="n"/>
      <c r="B63" s="59">
        <f>IF(H63&lt;$B$1,"VENCIDO","NA VALIDADE")</f>
        <v/>
      </c>
      <c r="C63" s="60" t="inlineStr">
        <is>
          <t>SUBESTAÇÃO</t>
        </is>
      </c>
      <c r="D63" s="61" t="inlineStr">
        <is>
          <t>SE RIACHO DA CRUZ</t>
        </is>
      </c>
      <c r="E63" s="74" t="inlineStr">
        <is>
          <t>RIACHO DA CRUZ</t>
        </is>
      </c>
      <c r="F63" s="75" t="inlineStr">
        <is>
          <t>RN</t>
        </is>
      </c>
      <c r="G63" s="75" t="inlineStr">
        <is>
          <t>NATAL</t>
        </is>
      </c>
      <c r="H63" s="119" t="n">
        <v>45444</v>
      </c>
      <c r="I63" s="119" t="n">
        <v>45444</v>
      </c>
      <c r="J63" s="60">
        <f>SUM(L63:AE63)</f>
        <v/>
      </c>
      <c r="K63" s="60">
        <f>SUM(AF63:AK63)</f>
        <v/>
      </c>
      <c r="L63" s="60" t="n"/>
      <c r="M63" s="60" t="n"/>
      <c r="N63" s="60" t="n"/>
      <c r="O63" s="60" t="n"/>
      <c r="P63" s="60" t="n"/>
      <c r="Q63" s="60" t="n"/>
      <c r="R63" s="60" t="n"/>
      <c r="S63" s="60" t="n"/>
      <c r="T63" s="60" t="n">
        <v>1</v>
      </c>
      <c r="U63" s="60" t="n"/>
      <c r="V63" s="60" t="n"/>
      <c r="W63" s="60" t="n"/>
      <c r="X63" s="60" t="n"/>
      <c r="Y63" s="60" t="n"/>
      <c r="Z63" s="60" t="n"/>
      <c r="AA63" s="60" t="n">
        <v>2</v>
      </c>
      <c r="AB63" s="60" t="n"/>
      <c r="AC63" s="60" t="n"/>
      <c r="AD63" s="60" t="n"/>
      <c r="AE63" s="60" t="n"/>
      <c r="AF63" s="60" t="n"/>
      <c r="AG63" s="60" t="n"/>
      <c r="AH63" s="60" t="n"/>
      <c r="AI63" s="60" t="n"/>
      <c r="AJ63" s="60" t="n"/>
      <c r="AK63" s="120">
        <f>IF(L63&gt;0,L63*(82.29+8.15),0)+IF(M63&gt;0,M63*(8.15+339.97),0)+IF(N63&gt;0,N63*151.63,0)+IF(O63&gt;0,O63*197.82,0)+IF(P63&gt;0,P63*244.09,0)+IF(Q63&gt;0,Q63*315.35,0)+IF(R63&gt;0,R63*1067.3,0)+IF(T63&gt;0,T63*567.47,0)+IF(U63&gt;0,U63*151.63,0)+IF(V63&gt;0,V63*197.84,0)+IF(W63&gt;0,W63*470.51,0)+IF(X63&gt;0,X63*701.69,0)+IF(Z63&gt;0,Z63*151.63,0)+IF(AA63&gt;0,AA63*197.84)+IF(AB63&gt;0,AB63*308.4,0)+IF(AC63&gt;0,AC63*496.16,0)</f>
        <v/>
      </c>
    </row>
    <row r="64">
      <c r="A64" s="59" t="n"/>
      <c r="B64" s="59">
        <f>IF(H64&lt;$B$1,"VENCIDO","NA VALIDADE")</f>
        <v/>
      </c>
      <c r="C64" s="60" t="inlineStr">
        <is>
          <t>SUBESTAÇÃO</t>
        </is>
      </c>
      <c r="D64" s="61" t="inlineStr">
        <is>
          <t>SE RIBEIRA</t>
        </is>
      </c>
      <c r="E64" s="74" t="inlineStr">
        <is>
          <t>NATAL</t>
        </is>
      </c>
      <c r="F64" s="75" t="inlineStr">
        <is>
          <t>RN</t>
        </is>
      </c>
      <c r="G64" s="75" t="inlineStr">
        <is>
          <t>NATAL</t>
        </is>
      </c>
      <c r="H64" s="119" t="n">
        <v>45536</v>
      </c>
      <c r="I64" s="119">
        <f>H64-180</f>
        <v/>
      </c>
      <c r="J64" s="60">
        <f>SUM(L64:AE64)</f>
        <v/>
      </c>
      <c r="K64" s="60">
        <f>SUM(AF64:AK64)</f>
        <v/>
      </c>
      <c r="L64" s="60" t="n"/>
      <c r="M64" s="60" t="n"/>
      <c r="N64" s="60" t="n"/>
      <c r="O64" s="60" t="n"/>
      <c r="P64" s="60" t="n"/>
      <c r="Q64" s="60" t="n"/>
      <c r="R64" s="60" t="n"/>
      <c r="S64" s="60" t="n"/>
      <c r="T64" s="60" t="n">
        <v>2</v>
      </c>
      <c r="U64" s="60" t="n"/>
      <c r="V64" s="60" t="n"/>
      <c r="W64" s="60" t="n"/>
      <c r="X64" s="60" t="n"/>
      <c r="Y64" s="60" t="n"/>
      <c r="Z64" s="60" t="n"/>
      <c r="AA64" s="60" t="n">
        <v>2</v>
      </c>
      <c r="AB64" s="60" t="n"/>
      <c r="AC64" s="60" t="n"/>
      <c r="AD64" s="60" t="n"/>
      <c r="AE64" s="60" t="n"/>
      <c r="AF64" s="60" t="n"/>
      <c r="AG64" s="60" t="n"/>
      <c r="AH64" s="60" t="n"/>
      <c r="AI64" s="60" t="n"/>
      <c r="AJ64" s="60" t="n"/>
      <c r="AK64" s="120">
        <f>IF(L64&gt;0,L64*(82.29+8.15),0)+IF(M64&gt;0,M64*(8.15+339.97),0)+IF(N64&gt;0,N64*151.63,0)+IF(O64&gt;0,O64*197.82,0)+IF(P64&gt;0,P64*244.09,0)+IF(Q64&gt;0,Q64*315.35,0)+IF(R64&gt;0,R64*1067.3,0)+IF(T64&gt;0,T64*567.47,0)+IF(U64&gt;0,U64*151.63,0)+IF(V64&gt;0,V64*197.84,0)+IF(W64&gt;0,W64*470.51,0)+IF(X64&gt;0,X64*701.69,0)+IF(Z64&gt;0,Z64*151.63,0)+IF(AA64&gt;0,AA64*197.84)+IF(AB64&gt;0,AB64*308.4,0)+IF(AC64&gt;0,AC64*496.16,0)</f>
        <v/>
      </c>
    </row>
    <row r="65">
      <c r="A65" s="59" t="n"/>
      <c r="B65" s="59">
        <f>IF(H65&lt;$B$1,"VENCIDO","NA VALIDADE")</f>
        <v/>
      </c>
      <c r="C65" s="60" t="inlineStr">
        <is>
          <t>SUBESTAÇÃO</t>
        </is>
      </c>
      <c r="D65" s="61" t="inlineStr">
        <is>
          <t>SE SANTANA DOS MATOS</t>
        </is>
      </c>
      <c r="E65" s="74" t="inlineStr">
        <is>
          <t>SANTANA DO MATOS</t>
        </is>
      </c>
      <c r="F65" s="75" t="inlineStr">
        <is>
          <t>RN</t>
        </is>
      </c>
      <c r="G65" s="75" t="inlineStr">
        <is>
          <t>NATAL</t>
        </is>
      </c>
      <c r="H65" s="119" t="n">
        <v>45444</v>
      </c>
      <c r="I65" s="119" t="n">
        <v>45444</v>
      </c>
      <c r="J65" s="60">
        <f>SUM(L65:AE65)</f>
        <v/>
      </c>
      <c r="K65" s="60">
        <f>SUM(AF65:AK65)</f>
        <v/>
      </c>
      <c r="L65" s="60" t="n"/>
      <c r="M65" s="60" t="n"/>
      <c r="N65" s="60" t="n"/>
      <c r="O65" s="60" t="n"/>
      <c r="P65" s="60" t="n"/>
      <c r="Q65" s="60" t="n"/>
      <c r="R65" s="60" t="n"/>
      <c r="S65" s="60" t="n"/>
      <c r="T65" s="60" t="n">
        <v>1</v>
      </c>
      <c r="U65" s="60" t="n"/>
      <c r="V65" s="60" t="n"/>
      <c r="W65" s="60" t="n"/>
      <c r="X65" s="60" t="n"/>
      <c r="Y65" s="60" t="n"/>
      <c r="Z65" s="60" t="n"/>
      <c r="AA65" s="60" t="n">
        <v>2</v>
      </c>
      <c r="AB65" s="60" t="n"/>
      <c r="AC65" s="60" t="n"/>
      <c r="AD65" s="60" t="n"/>
      <c r="AE65" s="60" t="n"/>
      <c r="AF65" s="60" t="n"/>
      <c r="AG65" s="60" t="n"/>
      <c r="AH65" s="60" t="n"/>
      <c r="AI65" s="60" t="n"/>
      <c r="AJ65" s="60" t="n"/>
      <c r="AK65" s="120">
        <f>IF(L65&gt;0,L65*(82.29+8.15),0)+IF(M65&gt;0,M65*(8.15+339.97),0)+IF(N65&gt;0,N65*151.63,0)+IF(O65&gt;0,O65*197.82,0)+IF(P65&gt;0,P65*244.09,0)+IF(Q65&gt;0,Q65*315.35,0)+IF(R65&gt;0,R65*1067.3,0)+IF(T65&gt;0,T65*567.47,0)+IF(U65&gt;0,U65*151.63,0)+IF(V65&gt;0,V65*197.84,0)+IF(W65&gt;0,W65*470.51,0)+IF(X65&gt;0,X65*701.69,0)+IF(Z65&gt;0,Z65*151.63,0)+IF(AA65&gt;0,AA65*197.84)+IF(AB65&gt;0,AB65*308.4,0)+IF(AC65&gt;0,AC65*496.16,0)</f>
        <v/>
      </c>
    </row>
    <row r="66">
      <c r="A66" s="59" t="n"/>
      <c r="B66" s="59">
        <f>IF(H66&lt;$B$1,"VENCIDO","NA VALIDADE")</f>
        <v/>
      </c>
      <c r="C66" s="60" t="inlineStr">
        <is>
          <t>SUBESTAÇÃO</t>
        </is>
      </c>
      <c r="D66" s="61" t="inlineStr">
        <is>
          <t>SE SAO BENTO DO NORTE</t>
        </is>
      </c>
      <c r="E66" s="74" t="inlineStr">
        <is>
          <t>SÃO BENTO DO NORTE</t>
        </is>
      </c>
      <c r="F66" s="75" t="inlineStr">
        <is>
          <t>RN</t>
        </is>
      </c>
      <c r="G66" s="75" t="inlineStr">
        <is>
          <t>NATAL</t>
        </is>
      </c>
      <c r="H66" s="119" t="n">
        <v>45474</v>
      </c>
      <c r="I66" s="119">
        <f>H66-180</f>
        <v/>
      </c>
      <c r="J66" s="60">
        <f>SUM(L66:AE66)</f>
        <v/>
      </c>
      <c r="K66" s="60">
        <f>SUM(AF66:AK66)</f>
        <v/>
      </c>
      <c r="L66" s="60" t="n"/>
      <c r="M66" s="60" t="n"/>
      <c r="N66" s="60" t="n"/>
      <c r="O66" s="60" t="n"/>
      <c r="P66" s="60" t="n"/>
      <c r="Q66" s="60" t="n"/>
      <c r="R66" s="60" t="n"/>
      <c r="S66" s="60" t="n"/>
      <c r="T66" s="60" t="n">
        <v>1</v>
      </c>
      <c r="U66" s="60" t="n"/>
      <c r="V66" s="60" t="n"/>
      <c r="W66" s="60" t="n"/>
      <c r="X66" s="60" t="n"/>
      <c r="Y66" s="60" t="n"/>
      <c r="Z66" s="60" t="n"/>
      <c r="AA66" s="60" t="n">
        <v>2</v>
      </c>
      <c r="AB66" s="60" t="n"/>
      <c r="AC66" s="60" t="n"/>
      <c r="AD66" s="60" t="n"/>
      <c r="AE66" s="60" t="n"/>
      <c r="AF66" s="60" t="n"/>
      <c r="AG66" s="60" t="n"/>
      <c r="AH66" s="60" t="n"/>
      <c r="AI66" s="60" t="n"/>
      <c r="AJ66" s="60" t="n"/>
      <c r="AK66" s="120">
        <f>IF(L66&gt;0,L66*(82.29+8.15),0)+IF(M66&gt;0,M66*(8.15+339.97),0)+IF(N66&gt;0,N66*151.63,0)+IF(O66&gt;0,O66*197.82,0)+IF(P66&gt;0,P66*244.09,0)+IF(Q66&gt;0,Q66*315.35,0)+IF(R66&gt;0,R66*1067.3,0)+IF(T66&gt;0,T66*567.47,0)+IF(U66&gt;0,U66*151.63,0)+IF(V66&gt;0,V66*197.84,0)+IF(W66&gt;0,W66*470.51,0)+IF(X66&gt;0,X66*701.69,0)+IF(Z66&gt;0,Z66*151.63,0)+IF(AA66&gt;0,AA66*197.84)+IF(AB66&gt;0,AB66*308.4,0)+IF(AC66&gt;0,AC66*496.16,0)</f>
        <v/>
      </c>
    </row>
    <row r="67">
      <c r="A67" s="59" t="inlineStr">
        <is>
          <t>SIM</t>
        </is>
      </c>
      <c r="B67" s="59">
        <f>IF(H67&lt;$B$1,"VENCIDO","NA VALIDADE")</f>
        <v/>
      </c>
      <c r="C67" s="60" t="inlineStr">
        <is>
          <t>SUBESTAÇÃO</t>
        </is>
      </c>
      <c r="D67" s="61" t="inlineStr">
        <is>
          <t>SE SÃO MIGUEL</t>
        </is>
      </c>
      <c r="E67" s="77" t="inlineStr">
        <is>
          <t>LAJE</t>
        </is>
      </c>
      <c r="F67" s="75" t="inlineStr">
        <is>
          <t>RN</t>
        </is>
      </c>
      <c r="G67" s="75" t="inlineStr">
        <is>
          <t>NATAL</t>
        </is>
      </c>
      <c r="H67" s="119" t="n">
        <v>45566</v>
      </c>
      <c r="I67" s="119">
        <f>H67-180</f>
        <v/>
      </c>
      <c r="J67" s="60">
        <f>SUM(L67:AE67)</f>
        <v/>
      </c>
      <c r="K67" s="60">
        <f>SUM(AF67:AK67)</f>
        <v/>
      </c>
      <c r="L67" s="60" t="n"/>
      <c r="M67" s="60" t="n"/>
      <c r="N67" s="60" t="n"/>
      <c r="O67" s="60" t="n"/>
      <c r="P67" s="60" t="n"/>
      <c r="Q67" s="60" t="n"/>
      <c r="R67" s="60" t="n"/>
      <c r="S67" s="60" t="n"/>
      <c r="T67" s="60" t="n">
        <v>1</v>
      </c>
      <c r="U67" s="60" t="n"/>
      <c r="V67" s="60" t="n"/>
      <c r="W67" s="60" t="n"/>
      <c r="X67" s="60" t="n"/>
      <c r="Y67" s="60" t="n"/>
      <c r="Z67" s="60" t="n"/>
      <c r="AA67" s="60" t="n">
        <v>2</v>
      </c>
      <c r="AB67" s="60" t="n"/>
      <c r="AC67" s="60" t="n"/>
      <c r="AD67" s="60" t="n"/>
      <c r="AE67" s="60" t="n"/>
      <c r="AF67" s="60" t="n"/>
      <c r="AG67" s="60" t="n"/>
      <c r="AH67" s="60" t="n"/>
      <c r="AI67" s="60" t="n"/>
      <c r="AJ67" s="60" t="n"/>
      <c r="AK67" s="120">
        <f>IF(L67&gt;0,L67*(82.29+8.15),0)+IF(M67&gt;0,M67*(8.15+339.97)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/>
      </c>
    </row>
    <row r="68">
      <c r="A68" s="59" t="inlineStr">
        <is>
          <t>SIM</t>
        </is>
      </c>
      <c r="B68" s="59">
        <f>IF(H68&lt;$B$1,"VENCIDO","NA VALIDADE")</f>
        <v/>
      </c>
      <c r="C68" s="60" t="inlineStr">
        <is>
          <t>SUBESTAÇÃO</t>
        </is>
      </c>
      <c r="D68" s="61" t="inlineStr">
        <is>
          <t>SE SAO MIGUEL DO OESTE</t>
        </is>
      </c>
      <c r="E68" s="74" t="inlineStr">
        <is>
          <t>SÃO MIGUEL</t>
        </is>
      </c>
      <c r="F68" s="75" t="inlineStr">
        <is>
          <t>RN</t>
        </is>
      </c>
      <c r="G68" s="75" t="inlineStr">
        <is>
          <t>NATAL</t>
        </is>
      </c>
      <c r="H68" s="119" t="n">
        <v>45444</v>
      </c>
      <c r="I68" s="119" t="n">
        <v>45444</v>
      </c>
      <c r="J68" s="60">
        <f>SUM(L68:AE68)</f>
        <v/>
      </c>
      <c r="K68" s="60">
        <f>SUM(AF68:AK68)</f>
        <v/>
      </c>
      <c r="L68" s="60" t="n"/>
      <c r="M68" s="60" t="n"/>
      <c r="N68" s="60" t="n"/>
      <c r="O68" s="60" t="n"/>
      <c r="P68" s="60" t="n"/>
      <c r="Q68" s="60" t="n"/>
      <c r="R68" s="60" t="n"/>
      <c r="S68" s="60" t="n"/>
      <c r="T68" s="60" t="n">
        <v>1</v>
      </c>
      <c r="U68" s="60" t="n"/>
      <c r="V68" s="60" t="n"/>
      <c r="W68" s="60" t="n"/>
      <c r="X68" s="60" t="n"/>
      <c r="Y68" s="60" t="n"/>
      <c r="Z68" s="60" t="n"/>
      <c r="AA68" s="60" t="n">
        <v>2</v>
      </c>
      <c r="AB68" s="60" t="n"/>
      <c r="AC68" s="60" t="n"/>
      <c r="AD68" s="60" t="n"/>
      <c r="AE68" s="60" t="n"/>
      <c r="AF68" s="60" t="n"/>
      <c r="AG68" s="60" t="n"/>
      <c r="AH68" s="60" t="n"/>
      <c r="AI68" s="60" t="n"/>
      <c r="AJ68" s="60" t="n"/>
      <c r="AK68" s="120">
        <f>IF(L68&gt;0,L68*(82.29+8.15),0)+IF(M68&gt;0,M68*(8.15+339.97),0)+IF(N68&gt;0,N68*151.63,0)+IF(O68&gt;0,O68*197.82,0)+IF(P68&gt;0,P68*244.09,0)+IF(Q68&gt;0,Q68*315.35,0)+IF(R68&gt;0,R68*1067.3,0)+IF(T68&gt;0,T68*567.47,0)+IF(U68&gt;0,U68*151.63,0)+IF(V68&gt;0,V68*197.84,0)+IF(W68&gt;0,W68*470.51,0)+IF(X68&gt;0,X68*701.69,0)+IF(Z68&gt;0,Z68*151.63,0)+IF(AA68&gt;0,AA68*197.84)+IF(AB68&gt;0,AB68*308.4,0)+IF(AC68&gt;0,AC68*496.16,0)</f>
        <v/>
      </c>
    </row>
    <row r="69">
      <c r="A69" s="59" t="inlineStr">
        <is>
          <t>rota</t>
        </is>
      </c>
      <c r="B69" s="59">
        <f>IF(H69&lt;$B$1,"VENCIDO","NA VALIDADE")</f>
        <v/>
      </c>
      <c r="C69" s="60" t="inlineStr">
        <is>
          <t>SUBESTAÇÃO</t>
        </is>
      </c>
      <c r="D69" s="61" t="inlineStr">
        <is>
          <t>SE SERRA VERMELHA</t>
        </is>
      </c>
      <c r="E69" s="74" t="inlineStr">
        <is>
          <t>AREIA BRANCA</t>
        </is>
      </c>
      <c r="F69" s="75" t="inlineStr">
        <is>
          <t>RN</t>
        </is>
      </c>
      <c r="G69" s="75" t="inlineStr">
        <is>
          <t>NATAL</t>
        </is>
      </c>
      <c r="H69" s="119" t="n">
        <v>45566</v>
      </c>
      <c r="I69" s="119">
        <f>H69-180</f>
        <v/>
      </c>
      <c r="J69" s="60">
        <f>SUM(L69:AE69)</f>
        <v/>
      </c>
      <c r="K69" s="60">
        <f>SUM(AF69:AK69)</f>
        <v/>
      </c>
      <c r="L69" s="60" t="n"/>
      <c r="M69" s="60" t="n"/>
      <c r="N69" s="60" t="n"/>
      <c r="O69" s="60" t="n"/>
      <c r="P69" s="60" t="n"/>
      <c r="Q69" s="60" t="n"/>
      <c r="R69" s="60" t="n"/>
      <c r="S69" s="60" t="n"/>
      <c r="T69" s="60" t="n">
        <v>1</v>
      </c>
      <c r="U69" s="60" t="n"/>
      <c r="V69" s="60" t="n"/>
      <c r="W69" s="60" t="n"/>
      <c r="X69" s="60" t="n"/>
      <c r="Y69" s="60" t="n"/>
      <c r="Z69" s="60" t="n"/>
      <c r="AA69" s="60" t="n">
        <v>2</v>
      </c>
      <c r="AB69" s="60" t="n"/>
      <c r="AC69" s="60" t="n"/>
      <c r="AD69" s="60" t="n"/>
      <c r="AE69" s="60" t="n"/>
      <c r="AF69" s="60" t="n"/>
      <c r="AG69" s="60" t="n"/>
      <c r="AH69" s="60" t="n"/>
      <c r="AI69" s="60" t="n"/>
      <c r="AJ69" s="60" t="n"/>
      <c r="AK69" s="120">
        <f>IF(L69&gt;0,L69*(82.29+8.15),0)+IF(M69&gt;0,M69*(8.15+339.97),0)+IF(N69&gt;0,N69*151.63,0)+IF(O69&gt;0,O69*197.82,0)+IF(P69&gt;0,P69*244.09,0)+IF(Q69&gt;0,Q69*315.35,0)+IF(R69&gt;0,R69*1067.3,0)+IF(T69&gt;0,T69*567.47,0)+IF(U69&gt;0,U69*151.63,0)+IF(V69&gt;0,V69*197.84,0)+IF(W69&gt;0,W69*470.51,0)+IF(X69&gt;0,X69*701.69,0)+IF(Z69&gt;0,Z69*151.63,0)+IF(AA69&gt;0,AA69*197.84)+IF(AB69&gt;0,AB69*308.4,0)+IF(AC69&gt;0,AC69*496.16,0)</f>
        <v/>
      </c>
    </row>
    <row r="70">
      <c r="A70" s="59" t="n"/>
      <c r="B70" s="59">
        <f>IF(H70&lt;$B$1,"VENCIDO","NA VALIDADE")</f>
        <v/>
      </c>
      <c r="C70" s="60" t="inlineStr">
        <is>
          <t>SUBESTAÇÃO</t>
        </is>
      </c>
      <c r="D70" s="61" t="inlineStr">
        <is>
          <t>SE TANGARA</t>
        </is>
      </c>
      <c r="E70" s="74" t="inlineStr">
        <is>
          <t>TANGARÁ</t>
        </is>
      </c>
      <c r="F70" s="75" t="inlineStr">
        <is>
          <t>RN</t>
        </is>
      </c>
      <c r="G70" s="75" t="inlineStr">
        <is>
          <t>NATAL</t>
        </is>
      </c>
      <c r="H70" s="119" t="n">
        <v>45323</v>
      </c>
      <c r="I70" s="119" t="n">
        <v>45323</v>
      </c>
      <c r="J70" s="60">
        <f>SUM(L70:AE70)</f>
        <v/>
      </c>
      <c r="K70" s="60">
        <f>SUM(AF70:AK70)</f>
        <v/>
      </c>
      <c r="L70" s="60" t="n"/>
      <c r="M70" s="60" t="n"/>
      <c r="N70" s="60" t="n"/>
      <c r="O70" s="60" t="n"/>
      <c r="P70" s="60" t="n"/>
      <c r="Q70" s="60" t="n"/>
      <c r="R70" s="60" t="n"/>
      <c r="S70" s="60" t="n"/>
      <c r="T70" s="60" t="n">
        <v>1</v>
      </c>
      <c r="U70" s="60" t="n"/>
      <c r="V70" s="60" t="n"/>
      <c r="W70" s="60" t="n"/>
      <c r="X70" s="60" t="n"/>
      <c r="Y70" s="60" t="n"/>
      <c r="Z70" s="60" t="n"/>
      <c r="AA70" s="60" t="n">
        <v>2</v>
      </c>
      <c r="AB70" s="60" t="n"/>
      <c r="AC70" s="60" t="n"/>
      <c r="AD70" s="60" t="n"/>
      <c r="AE70" s="60" t="n"/>
      <c r="AF70" s="60" t="n"/>
      <c r="AG70" s="60" t="n"/>
      <c r="AH70" s="60" t="n"/>
      <c r="AI70" s="60" t="n"/>
      <c r="AJ70" s="60" t="n"/>
      <c r="AK70" s="120">
        <f>IF(L70&gt;0,L70*(82.29+8.15),0)+IF(M70&gt;0,M70*(8.15+339.97),0)+IF(N70&gt;0,N70*151.63,0)+IF(O70&gt;0,O70*197.82,0)+IF(P70&gt;0,P70*244.09,0)+IF(Q70&gt;0,Q70*315.35,0)+IF(R70&gt;0,R70*1067.3,0)+IF(T70&gt;0,T70*567.47,0)+IF(U70&gt;0,U70*151.63,0)+IF(V70&gt;0,V70*197.84,0)+IF(W70&gt;0,W70*470.51,0)+IF(X70&gt;0,X70*701.69,0)+IF(Z70&gt;0,Z70*151.63,0)+IF(AA70&gt;0,AA70*197.84)+IF(AB70&gt;0,AB70*308.4,0)+IF(AC70&gt;0,AC70*496.16,0)</f>
        <v/>
      </c>
    </row>
    <row r="71">
      <c r="A71" s="59" t="inlineStr">
        <is>
          <t>rota</t>
        </is>
      </c>
      <c r="B71" s="59">
        <f>IF(H71&lt;$B$1,"VENCIDO","NA VALIDADE")</f>
        <v/>
      </c>
      <c r="C71" s="60" t="inlineStr">
        <is>
          <t>SUBESTAÇÃO</t>
        </is>
      </c>
      <c r="D71" s="61" t="inlineStr">
        <is>
          <t>SE VELAME</t>
        </is>
      </c>
      <c r="E71" s="74" t="inlineStr">
        <is>
          <t>BARAÚNA</t>
        </is>
      </c>
      <c r="F71" s="75" t="inlineStr">
        <is>
          <t>RN</t>
        </is>
      </c>
      <c r="G71" s="75" t="inlineStr">
        <is>
          <t>NATAL</t>
        </is>
      </c>
      <c r="H71" s="119" t="n">
        <v>45413</v>
      </c>
      <c r="I71" s="119" t="n">
        <v>45413</v>
      </c>
      <c r="J71" s="60">
        <f>SUM(L71:AE71)</f>
        <v/>
      </c>
      <c r="K71" s="60">
        <f>SUM(AF71:AK71)</f>
        <v/>
      </c>
      <c r="L71" s="60" t="n"/>
      <c r="M71" s="60" t="n"/>
      <c r="N71" s="60" t="n"/>
      <c r="O71" s="60" t="n"/>
      <c r="P71" s="60" t="n"/>
      <c r="Q71" s="60" t="n"/>
      <c r="R71" s="60" t="n"/>
      <c r="S71" s="60" t="n"/>
      <c r="T71" s="60" t="n"/>
      <c r="U71" s="60" t="n"/>
      <c r="V71" s="60" t="n"/>
      <c r="W71" s="60" t="n"/>
      <c r="X71" s="60" t="n"/>
      <c r="Y71" s="60" t="n"/>
      <c r="Z71" s="60" t="n"/>
      <c r="AA71" s="60" t="n">
        <v>2</v>
      </c>
      <c r="AB71" s="60" t="n"/>
      <c r="AC71" s="60" t="n"/>
      <c r="AD71" s="60" t="n"/>
      <c r="AE71" s="60" t="n"/>
      <c r="AF71" s="60" t="n"/>
      <c r="AG71" s="60" t="n"/>
      <c r="AH71" s="60" t="n"/>
      <c r="AI71" s="60" t="n"/>
      <c r="AJ71" s="60" t="n"/>
      <c r="AK71" s="120">
        <f>IF(L71&gt;0,L71*(82.29+8.15),0)+IF(M71&gt;0,M71*(8.15+339.97),0)+IF(N71&gt;0,N71*151.63,0)+IF(O71&gt;0,O71*197.82,0)+IF(P71&gt;0,P71*244.09,0)+IF(Q71&gt;0,Q71*315.35,0)+IF(R71&gt;0,R71*1067.3,0)+IF(T71&gt;0,T71*567.47,0)+IF(U71&gt;0,U71*151.63,0)+IF(V71&gt;0,V71*197.84,0)+IF(W71&gt;0,W71*470.51,0)+IF(X71&gt;0,X71*701.69,0)+IF(Z71&gt;0,Z71*151.63,0)+IF(AA71&gt;0,AA71*197.84)+IF(AB71&gt;0,AB71*308.4,0)+IF(AC71&gt;0,AC71*496.16,0)</f>
        <v/>
      </c>
    </row>
    <row r="72">
      <c r="A72" s="59" t="n"/>
      <c r="B72" s="59">
        <f>IF(H72&lt;$B$1,"VENCIDO","NA VALIDADE")</f>
        <v/>
      </c>
      <c r="C72" s="60" t="inlineStr">
        <is>
          <t>SUBESTAÇÃO</t>
        </is>
      </c>
      <c r="D72" s="61" t="inlineStr">
        <is>
          <t>SE ZABELE</t>
        </is>
      </c>
      <c r="E72" s="74" t="inlineStr">
        <is>
          <t>TOUROS</t>
        </is>
      </c>
      <c r="F72" s="75" t="inlineStr">
        <is>
          <t>RN</t>
        </is>
      </c>
      <c r="G72" s="75" t="inlineStr">
        <is>
          <t>NATAL</t>
        </is>
      </c>
      <c r="H72" s="119" t="n">
        <v>45444</v>
      </c>
      <c r="I72" s="119" t="n">
        <v>45444</v>
      </c>
      <c r="J72" s="60">
        <f>SUM(L72:AE72)</f>
        <v/>
      </c>
      <c r="K72" s="60">
        <f>SUM(AF72:AK72)</f>
        <v/>
      </c>
      <c r="L72" s="60" t="n"/>
      <c r="M72" s="60" t="n"/>
      <c r="N72" s="60" t="n"/>
      <c r="O72" s="60" t="n"/>
      <c r="P72" s="60" t="n"/>
      <c r="Q72" s="60" t="n"/>
      <c r="R72" s="60" t="n"/>
      <c r="S72" s="60" t="n"/>
      <c r="T72" s="60" t="n">
        <v>1</v>
      </c>
      <c r="U72" s="60" t="n"/>
      <c r="V72" s="60" t="n"/>
      <c r="W72" s="60" t="n"/>
      <c r="X72" s="60" t="n"/>
      <c r="Y72" s="60" t="n"/>
      <c r="Z72" s="60" t="n"/>
      <c r="AA72" s="60" t="n">
        <v>2</v>
      </c>
      <c r="AB72" s="60" t="n"/>
      <c r="AC72" s="60" t="n"/>
      <c r="AD72" s="60" t="n"/>
      <c r="AE72" s="60" t="n"/>
      <c r="AF72" s="60" t="n"/>
      <c r="AG72" s="60" t="n"/>
      <c r="AH72" s="60" t="n"/>
      <c r="AI72" s="60" t="n"/>
      <c r="AJ72" s="60" t="n"/>
      <c r="AK72" s="120">
        <f>IF(L72&gt;0,L72*(82.29+8.15),0)+IF(M72&gt;0,M72*(8.15+339.97),0)+IF(N72&gt;0,N72*151.63,0)+IF(O72&gt;0,O72*197.82,0)+IF(P72&gt;0,P72*244.09,0)+IF(Q72&gt;0,Q72*315.35,0)+IF(R72&gt;0,R72*1067.3,0)+IF(T72&gt;0,T72*567.47,0)+IF(U72&gt;0,U72*151.63,0)+IF(V72&gt;0,V72*197.84,0)+IF(W72&gt;0,W72*470.51,0)+IF(X72&gt;0,X72*701.69,0)+IF(Z72&gt;0,Z72*151.63,0)+IF(AA72&gt;0,AA72*197.84)+IF(AB72&gt;0,AB72*308.4,0)+IF(AC72&gt;0,AC72*496.16,0)</f>
        <v/>
      </c>
    </row>
    <row r="73">
      <c r="A73" s="59" t="inlineStr">
        <is>
          <t>rota</t>
        </is>
      </c>
      <c r="B73" s="59">
        <f>IF(H73&lt;$B$1,"VENCIDO","NA VALIDADE")</f>
        <v/>
      </c>
      <c r="C73" s="60" t="inlineStr">
        <is>
          <t>SUBESTAÇÃO</t>
        </is>
      </c>
      <c r="D73" s="61" t="inlineStr">
        <is>
          <t>SE GANGORRA</t>
        </is>
      </c>
      <c r="E73" s="74" t="inlineStr">
        <is>
          <t>GROSSOS</t>
        </is>
      </c>
      <c r="F73" s="75" t="inlineStr">
        <is>
          <t>RN</t>
        </is>
      </c>
      <c r="G73" s="75" t="inlineStr">
        <is>
          <t>NATAL</t>
        </is>
      </c>
      <c r="H73" s="119" t="n">
        <v>45474</v>
      </c>
      <c r="I73" s="119">
        <f>H73-180</f>
        <v/>
      </c>
      <c r="J73" s="60">
        <f>SUM(L73:AE73)</f>
        <v/>
      </c>
      <c r="K73" s="60">
        <f>SUM(AF73:AK73)</f>
        <v/>
      </c>
      <c r="L73" s="60" t="n"/>
      <c r="M73" s="60" t="n"/>
      <c r="N73" s="60" t="n"/>
      <c r="O73" s="60" t="n"/>
      <c r="P73" s="60" t="n"/>
      <c r="Q73" s="60" t="n"/>
      <c r="R73" s="60" t="n"/>
      <c r="S73" s="60" t="n"/>
      <c r="T73" s="60" t="n">
        <v>1</v>
      </c>
      <c r="U73" s="60" t="n"/>
      <c r="V73" s="60" t="n"/>
      <c r="W73" s="60" t="n"/>
      <c r="X73" s="60" t="n"/>
      <c r="Y73" s="60" t="n"/>
      <c r="Z73" s="60" t="n"/>
      <c r="AA73" s="60" t="n">
        <v>2</v>
      </c>
      <c r="AB73" s="60" t="n"/>
      <c r="AC73" s="60" t="n"/>
      <c r="AD73" s="60" t="n"/>
      <c r="AE73" s="60" t="n"/>
      <c r="AF73" s="60" t="n"/>
      <c r="AG73" s="60" t="n"/>
      <c r="AH73" s="60" t="n"/>
      <c r="AI73" s="60" t="n"/>
      <c r="AJ73" s="60" t="n"/>
      <c r="AK73" s="120">
        <f>IF(L73&gt;0,L73*(82.29+8.15),0)+IF(M73&gt;0,M73*(8.15+339.97),0)+IF(N73&gt;0,N73*151.63,0)+IF(O73&gt;0,O73*197.82,0)+IF(P73&gt;0,P73*244.09,0)+IF(Q73&gt;0,Q73*315.35,0)+IF(R73&gt;0,R73*1067.3,0)+IF(T73&gt;0,T73*567.47,0)+IF(U73&gt;0,U73*151.63,0)+IF(V73&gt;0,V73*197.84,0)+IF(W73&gt;0,W73*470.51,0)+IF(X73&gt;0,X73*701.69,0)+IF(Z73&gt;0,Z73*151.63,0)+IF(AA73&gt;0,AA73*197.84)+IF(AB73&gt;0,AB73*308.4,0)+IF(AC73&gt;0,AC73*496.16,0)</f>
        <v/>
      </c>
    </row>
    <row r="74">
      <c r="A74" s="59" t="inlineStr">
        <is>
          <t>SIM</t>
        </is>
      </c>
      <c r="B74" s="59">
        <f>IF(H74&lt;$B$1,"VENCIDO","NA VALIDADE")</f>
        <v/>
      </c>
      <c r="C74" s="60" t="inlineStr">
        <is>
          <t>SUBESTAÇÃO</t>
        </is>
      </c>
      <c r="D74" s="61" t="inlineStr">
        <is>
          <t>SE ACARI</t>
        </is>
      </c>
      <c r="E74" s="74" t="inlineStr">
        <is>
          <t>ACARI</t>
        </is>
      </c>
      <c r="F74" s="75" t="inlineStr">
        <is>
          <t>RN</t>
        </is>
      </c>
      <c r="G74" s="75" t="inlineStr">
        <is>
          <t>NATAL</t>
        </is>
      </c>
      <c r="H74" s="119" t="n">
        <v>45352</v>
      </c>
      <c r="I74" s="119" t="n">
        <v>45352</v>
      </c>
      <c r="J74" s="60">
        <f>SUM(L74:AE74)</f>
        <v/>
      </c>
      <c r="K74" s="60">
        <f>SUM(AF74:AK74)</f>
        <v/>
      </c>
      <c r="L74" s="60" t="n"/>
      <c r="M74" s="60" t="n"/>
      <c r="N74" s="60" t="n"/>
      <c r="O74" s="60" t="n"/>
      <c r="P74" s="60" t="n"/>
      <c r="Q74" s="60" t="n"/>
      <c r="R74" s="60" t="n"/>
      <c r="S74" s="60" t="n"/>
      <c r="T74" s="60" t="n">
        <v>1</v>
      </c>
      <c r="U74" s="60" t="n"/>
      <c r="V74" s="60" t="n"/>
      <c r="W74" s="60" t="n"/>
      <c r="X74" s="60" t="n"/>
      <c r="Y74" s="60" t="n"/>
      <c r="Z74" s="60" t="n"/>
      <c r="AA74" s="60" t="n">
        <v>2</v>
      </c>
      <c r="AB74" s="60" t="n"/>
      <c r="AC74" s="60" t="n"/>
      <c r="AD74" s="60" t="n"/>
      <c r="AE74" s="60" t="n"/>
      <c r="AF74" s="60" t="n"/>
      <c r="AG74" s="60" t="n"/>
      <c r="AH74" s="60" t="n"/>
      <c r="AI74" s="60" t="n"/>
      <c r="AJ74" s="60" t="n"/>
      <c r="AK74" s="120">
        <f>IF(L74&gt;0,L74*(82.29+8.15),0)+IF(M74&gt;0,M74*(8.15+339.97),0)+IF(N74&gt;0,N74*151.63,0)+IF(O74&gt;0,O74*197.82,0)+IF(P74&gt;0,P74*244.09,0)+IF(Q74&gt;0,Q74*315.35,0)+IF(R74&gt;0,R74*1067.3,0)+IF(T74&gt;0,T74*567.47,0)+IF(U74&gt;0,U74*151.63,0)+IF(V74&gt;0,V74*197.84,0)+IF(W74&gt;0,W74*470.51,0)+IF(X74&gt;0,X74*701.69,0)+IF(Z74&gt;0,Z74*151.63,0)+IF(AA74&gt;0,AA74*197.84)+IF(AB74&gt;0,AB74*308.4,0)+IF(AC74&gt;0,AC74*496.16,0)</f>
        <v/>
      </c>
    </row>
    <row r="75">
      <c r="A75" s="59" t="n"/>
      <c r="B75" s="59">
        <f>IF(H75&lt;$B$1,"VENCIDO","NA VALIDADE")</f>
        <v/>
      </c>
      <c r="C75" s="60" t="inlineStr">
        <is>
          <t>SUBESTAÇÃO</t>
        </is>
      </c>
      <c r="D75" s="61" t="inlineStr">
        <is>
          <t>SUBESTAÇÃO ALECRIM</t>
        </is>
      </c>
      <c r="E75" s="74" t="inlineStr">
        <is>
          <t>NATAL</t>
        </is>
      </c>
      <c r="F75" s="75" t="inlineStr">
        <is>
          <t>RN</t>
        </is>
      </c>
      <c r="G75" s="75" t="inlineStr">
        <is>
          <t>NATAL</t>
        </is>
      </c>
      <c r="H75" s="119" t="n">
        <v>45597</v>
      </c>
      <c r="I75" s="119">
        <f>H75-180</f>
        <v/>
      </c>
      <c r="J75" s="60">
        <f>SUM(L75:AE75)</f>
        <v/>
      </c>
      <c r="K75" s="60">
        <f>SUM(AF75:AK75)</f>
        <v/>
      </c>
      <c r="L75" s="60" t="n"/>
      <c r="M75" s="60" t="n"/>
      <c r="N75" s="60" t="n"/>
      <c r="O75" s="60" t="n"/>
      <c r="P75" s="60" t="n"/>
      <c r="Q75" s="60" t="n"/>
      <c r="R75" s="60" t="n"/>
      <c r="S75" s="60" t="n"/>
      <c r="T75" s="60" t="n">
        <v>1</v>
      </c>
      <c r="U75" s="60" t="n"/>
      <c r="V75" s="60" t="n"/>
      <c r="W75" s="60" t="n"/>
      <c r="X75" s="60" t="n"/>
      <c r="Y75" s="60" t="n"/>
      <c r="Z75" s="60" t="n"/>
      <c r="AA75" s="60" t="n">
        <v>4</v>
      </c>
      <c r="AB75" s="60" t="n"/>
      <c r="AC75" s="60" t="n"/>
      <c r="AD75" s="60" t="n"/>
      <c r="AE75" s="60" t="n"/>
      <c r="AF75" s="60" t="n"/>
      <c r="AG75" s="60" t="n"/>
      <c r="AH75" s="60" t="n"/>
      <c r="AI75" s="60" t="n"/>
      <c r="AJ75" s="60" t="n"/>
      <c r="AK75" s="120">
        <f>IF(L75&gt;0,L75*(82.29+8.15),0)+IF(M75&gt;0,M75*(8.15+339.97),0)+IF(N75&gt;0,N75*151.63,0)+IF(O75&gt;0,O75*197.82,0)+IF(P75&gt;0,P75*244.09,0)+IF(Q75&gt;0,Q75*315.35,0)+IF(R75&gt;0,R75*1067.3,0)+IF(T75&gt;0,T75*567.47,0)+IF(U75&gt;0,U75*151.63,0)+IF(V75&gt;0,V75*197.84,0)+IF(W75&gt;0,W75*470.51,0)+IF(X75&gt;0,X75*701.69,0)+IF(Z75&gt;0,Z75*151.63,0)+IF(AA75&gt;0,AA75*197.84)+IF(AB75&gt;0,AB75*308.4,0)+IF(AC75&gt;0,AC75*496.16,0)</f>
        <v/>
      </c>
    </row>
    <row r="76">
      <c r="A76" s="59" t="n"/>
      <c r="B76" s="59">
        <f>IF(H76&lt;$B$1,"VENCIDO","NA VALIDADE")</f>
        <v/>
      </c>
      <c r="C76" s="60" t="inlineStr">
        <is>
          <t>SUBESTAÇÃO</t>
        </is>
      </c>
      <c r="D76" s="61" t="inlineStr">
        <is>
          <t>SUBESTAÇÃO ALMINO AFONSO</t>
        </is>
      </c>
      <c r="E76" s="74" t="inlineStr">
        <is>
          <t>ALMINO AFONSO</t>
        </is>
      </c>
      <c r="F76" s="75" t="inlineStr">
        <is>
          <t>RN</t>
        </is>
      </c>
      <c r="G76" s="75" t="inlineStr">
        <is>
          <t>NATAL</t>
        </is>
      </c>
      <c r="H76" s="119" t="n">
        <v>45444</v>
      </c>
      <c r="I76" s="119" t="n">
        <v>45444</v>
      </c>
      <c r="J76" s="60">
        <f>SUM(L76:AE76)</f>
        <v/>
      </c>
      <c r="K76" s="60">
        <f>SUM(AF76:AK76)</f>
        <v/>
      </c>
      <c r="L76" s="60" t="n"/>
      <c r="M76" s="60" t="n"/>
      <c r="N76" s="60" t="n"/>
      <c r="O76" s="60" t="n"/>
      <c r="P76" s="60" t="n"/>
      <c r="Q76" s="60" t="n"/>
      <c r="R76" s="60" t="n"/>
      <c r="S76" s="60" t="n"/>
      <c r="T76" s="60" t="n">
        <v>1</v>
      </c>
      <c r="U76" s="60" t="n"/>
      <c r="V76" s="60" t="n"/>
      <c r="W76" s="60" t="n"/>
      <c r="X76" s="60" t="n"/>
      <c r="Y76" s="60" t="n"/>
      <c r="Z76" s="60" t="n"/>
      <c r="AA76" s="60" t="n">
        <v>2</v>
      </c>
      <c r="AB76" s="60" t="n"/>
      <c r="AC76" s="60" t="n"/>
      <c r="AD76" s="60" t="n"/>
      <c r="AE76" s="60" t="n"/>
      <c r="AF76" s="60" t="n"/>
      <c r="AG76" s="60" t="n"/>
      <c r="AH76" s="60" t="n"/>
      <c r="AI76" s="60" t="n"/>
      <c r="AJ76" s="60" t="n"/>
      <c r="AK76" s="120">
        <f>IF(L76&gt;0,L76*(82.29+8.15),0)+IF(M76&gt;0,M76*(8.15+339.97),0)+IF(N76&gt;0,N76*151.63,0)+IF(O76&gt;0,O76*197.82,0)+IF(P76&gt;0,P76*244.09,0)+IF(Q76&gt;0,Q76*315.35,0)+IF(R76&gt;0,R76*1067.3,0)+IF(T76&gt;0,T76*567.47,0)+IF(U76&gt;0,U76*151.63,0)+IF(V76&gt;0,V76*197.84,0)+IF(W76&gt;0,W76*470.51,0)+IF(X76&gt;0,X76*701.69,0)+IF(Z76&gt;0,Z76*151.63,0)+IF(AA76&gt;0,AA76*197.84)+IF(AB76&gt;0,AB76*308.4,0)+IF(AC76&gt;0,AC76*496.16,0)</f>
        <v/>
      </c>
    </row>
    <row r="77">
      <c r="A77" s="123" t="n">
        <v>44774</v>
      </c>
      <c r="B77" s="59">
        <f>IF(H77&lt;$B$1,"VENCIDO","NA VALIDADE")</f>
        <v/>
      </c>
      <c r="C77" s="60" t="inlineStr">
        <is>
          <t>SUBESTAÇÃO</t>
        </is>
      </c>
      <c r="D77" s="61" t="inlineStr">
        <is>
          <t>SUBESTAÇÃO ALTO DE RODRIGUES</t>
        </is>
      </c>
      <c r="E77" s="74" t="inlineStr">
        <is>
          <t>ALTO DO RODRIGUES</t>
        </is>
      </c>
      <c r="F77" s="75" t="inlineStr">
        <is>
          <t>RN</t>
        </is>
      </c>
      <c r="G77" s="75" t="inlineStr">
        <is>
          <t>NATAL</t>
        </is>
      </c>
      <c r="H77" s="119" t="n">
        <v>45474</v>
      </c>
      <c r="I77" s="119">
        <f>H77-180</f>
        <v/>
      </c>
      <c r="J77" s="60">
        <f>SUM(L77:AE77)</f>
        <v/>
      </c>
      <c r="K77" s="60">
        <f>SUM(AF77:AK77)</f>
        <v/>
      </c>
      <c r="L77" s="60" t="n"/>
      <c r="M77" s="60" t="n"/>
      <c r="N77" s="60" t="n"/>
      <c r="O77" s="60" t="n"/>
      <c r="P77" s="60" t="n"/>
      <c r="Q77" s="60" t="n"/>
      <c r="R77" s="60" t="n"/>
      <c r="S77" s="60" t="n"/>
      <c r="T77" s="60" t="n"/>
      <c r="U77" s="60" t="n"/>
      <c r="V77" s="60" t="n"/>
      <c r="W77" s="60" t="n"/>
      <c r="X77" s="60" t="n"/>
      <c r="Y77" s="60" t="n"/>
      <c r="Z77" s="60" t="n"/>
      <c r="AA77" s="60" t="n">
        <v>2</v>
      </c>
      <c r="AB77" s="60" t="n"/>
      <c r="AC77" s="60" t="n"/>
      <c r="AD77" s="60" t="n"/>
      <c r="AE77" s="60" t="n"/>
      <c r="AF77" s="60" t="n"/>
      <c r="AG77" s="60" t="n"/>
      <c r="AH77" s="60" t="n"/>
      <c r="AI77" s="60" t="n"/>
      <c r="AJ77" s="60" t="n"/>
      <c r="AK77" s="120">
        <f>IF(L77&gt;0,L77*(82.29+8.15),0)+IF(M77&gt;0,M77*(8.15+339.97),0)+IF(N77&gt;0,N77*151.63,0)+IF(O77&gt;0,O77*197.82,0)+IF(P77&gt;0,P77*244.09,0)+IF(Q77&gt;0,Q77*315.35,0)+IF(R77&gt;0,R77*1067.3,0)+IF(T77&gt;0,T77*567.47,0)+IF(U77&gt;0,U77*151.63,0)+IF(V77&gt;0,V77*197.84,0)+IF(W77&gt;0,W77*470.51,0)+IF(X77&gt;0,X77*701.69,0)+IF(Z77&gt;0,Z77*151.63,0)+IF(AA77&gt;0,AA77*197.84)+IF(AB77&gt;0,AB77*308.4,0)+IF(AC77&gt;0,AC77*496.16,0)</f>
        <v/>
      </c>
    </row>
    <row r="78">
      <c r="A78" s="59" t="inlineStr">
        <is>
          <t>NATAL 06/12</t>
        </is>
      </c>
      <c r="B78" s="59">
        <f>IF(H78&lt;$B$1,"VENCIDO","NA VALIDADE")</f>
        <v/>
      </c>
      <c r="C78" s="60" t="inlineStr">
        <is>
          <t>SUBESTAÇÃO</t>
        </is>
      </c>
      <c r="D78" s="61" t="inlineStr">
        <is>
          <t>SUBESTAÇÃO APODI</t>
        </is>
      </c>
      <c r="E78" s="74" t="inlineStr">
        <is>
          <t>APODI</t>
        </is>
      </c>
      <c r="F78" s="75" t="inlineStr">
        <is>
          <t>RN</t>
        </is>
      </c>
      <c r="G78" s="75" t="inlineStr">
        <is>
          <t>NATAL</t>
        </is>
      </c>
      <c r="H78" s="119" t="n">
        <v>45444</v>
      </c>
      <c r="I78" s="119" t="n">
        <v>45444</v>
      </c>
      <c r="J78" s="60">
        <f>SUM(L78:AE78)</f>
        <v/>
      </c>
      <c r="K78" s="60">
        <f>SUM(AF78:AK78)</f>
        <v/>
      </c>
      <c r="L78" s="60" t="n"/>
      <c r="M78" s="60" t="n"/>
      <c r="N78" s="60" t="n"/>
      <c r="O78" s="60" t="n"/>
      <c r="P78" s="60" t="n"/>
      <c r="Q78" s="60" t="n"/>
      <c r="R78" s="60" t="n"/>
      <c r="S78" s="60" t="n"/>
      <c r="T78" s="60" t="n">
        <v>1</v>
      </c>
      <c r="U78" s="60" t="n"/>
      <c r="V78" s="60" t="n"/>
      <c r="W78" s="60" t="n"/>
      <c r="X78" s="60" t="n"/>
      <c r="Y78" s="60" t="n"/>
      <c r="Z78" s="60" t="n"/>
      <c r="AA78" s="60" t="n">
        <v>2</v>
      </c>
      <c r="AB78" s="60" t="n"/>
      <c r="AC78" s="60" t="n"/>
      <c r="AD78" s="60" t="n"/>
      <c r="AE78" s="60" t="n"/>
      <c r="AF78" s="60" t="n"/>
      <c r="AG78" s="60" t="n"/>
      <c r="AH78" s="60" t="n"/>
      <c r="AI78" s="60" t="n"/>
      <c r="AJ78" s="60" t="n"/>
      <c r="AK78" s="120">
        <f>IF(L78&gt;0,L78*(82.29+8.15),0)+IF(M78&gt;0,M78*(8.15+339.97),0)+IF(N78&gt;0,N78*151.63,0)+IF(O78&gt;0,O78*197.82,0)+IF(P78&gt;0,P78*244.09,0)+IF(Q78&gt;0,Q78*315.35,0)+IF(R78&gt;0,R78*1067.3,0)+IF(T78&gt;0,T78*567.47,0)+IF(U78&gt;0,U78*151.63,0)+IF(V78&gt;0,V78*197.84,0)+IF(W78&gt;0,W78*470.51,0)+IF(X78&gt;0,X78*701.69,0)+IF(Z78&gt;0,Z78*151.63,0)+IF(AA78&gt;0,AA78*197.84)+IF(AB78&gt;0,AB78*308.4,0)+IF(AC78&gt;0,AC78*496.16,0)</f>
        <v/>
      </c>
    </row>
    <row r="79">
      <c r="A79" s="59" t="inlineStr">
        <is>
          <t>SIM</t>
        </is>
      </c>
      <c r="B79" s="59">
        <f>IF(H79&lt;$B$1,"VENCIDO","NA VALIDADE")</f>
        <v/>
      </c>
      <c r="C79" s="60" t="inlineStr">
        <is>
          <t>SUBESTAÇÃO</t>
        </is>
      </c>
      <c r="D79" s="61" t="inlineStr">
        <is>
          <t>SUBESTAÇÃO ASSU</t>
        </is>
      </c>
      <c r="E79" s="74" t="inlineStr">
        <is>
          <t>ASSÚ</t>
        </is>
      </c>
      <c r="F79" s="75" t="inlineStr">
        <is>
          <t>RN</t>
        </is>
      </c>
      <c r="G79" s="75" t="inlineStr">
        <is>
          <t>NATAL</t>
        </is>
      </c>
      <c r="H79" s="119" t="n">
        <v>45474</v>
      </c>
      <c r="I79" s="119">
        <f>H79-180</f>
        <v/>
      </c>
      <c r="J79" s="60">
        <f>SUM(L79:AE79)</f>
        <v/>
      </c>
      <c r="K79" s="60">
        <f>SUM(AF79:AK79)</f>
        <v/>
      </c>
      <c r="L79" s="60" t="n"/>
      <c r="M79" s="60" t="n"/>
      <c r="N79" s="60" t="n"/>
      <c r="O79" s="60" t="n"/>
      <c r="P79" s="60" t="n"/>
      <c r="Q79" s="60" t="n"/>
      <c r="R79" s="60" t="n"/>
      <c r="S79" s="60" t="n"/>
      <c r="T79" s="60" t="n">
        <v>1</v>
      </c>
      <c r="U79" s="60" t="n"/>
      <c r="V79" s="60" t="n"/>
      <c r="W79" s="60" t="n"/>
      <c r="X79" s="60" t="n"/>
      <c r="Y79" s="60" t="n"/>
      <c r="Z79" s="60" t="n"/>
      <c r="AA79" s="60" t="n">
        <v>3</v>
      </c>
      <c r="AB79" s="60" t="n"/>
      <c r="AC79" s="60" t="n"/>
      <c r="AD79" s="60" t="n"/>
      <c r="AE79" s="60" t="n"/>
      <c r="AF79" s="60" t="n"/>
      <c r="AG79" s="60" t="n"/>
      <c r="AH79" s="60" t="n"/>
      <c r="AI79" s="60" t="n"/>
      <c r="AJ79" s="60" t="n"/>
      <c r="AK79" s="120">
        <f>IF(L79&gt;0,L79*(82.29+8.15),0)+IF(M79&gt;0,M79*(8.15+339.97),0)+IF(N79&gt;0,N79*151.63,0)+IF(O79&gt;0,O79*197.82,0)+IF(P79&gt;0,P79*244.09,0)+IF(Q79&gt;0,Q79*315.35,0)+IF(R79&gt;0,R79*1067.3,0)+IF(T79&gt;0,T79*567.47,0)+IF(U79&gt;0,U79*151.63,0)+IF(V79&gt;0,V79*197.84,0)+IF(W79&gt;0,W79*470.51,0)+IF(X79&gt;0,X79*701.69,0)+IF(Z79&gt;0,Z79*151.63,0)+IF(AA79&gt;0,AA79*197.84)+IF(AB79&gt;0,AB79*308.4,0)+IF(AC79&gt;0,AC79*496.16,0)</f>
        <v/>
      </c>
    </row>
    <row r="80">
      <c r="A80" s="59" t="inlineStr">
        <is>
          <t>rota</t>
        </is>
      </c>
      <c r="B80" s="59">
        <f>IF(H80&lt;$B$1,"VENCIDO","NA VALIDADE")</f>
        <v/>
      </c>
      <c r="C80" s="60" t="inlineStr">
        <is>
          <t>SUBESTAÇÃO</t>
        </is>
      </c>
      <c r="D80" s="61" t="inlineStr">
        <is>
          <t>SUBESTAÇÃO BARAUNA</t>
        </is>
      </c>
      <c r="E80" s="74" t="inlineStr">
        <is>
          <t>BARAÚNA</t>
        </is>
      </c>
      <c r="F80" s="75" t="inlineStr">
        <is>
          <t>RN</t>
        </is>
      </c>
      <c r="G80" s="75" t="inlineStr">
        <is>
          <t>NATAL</t>
        </is>
      </c>
      <c r="H80" s="119" t="n">
        <v>45413</v>
      </c>
      <c r="I80" s="119" t="n">
        <v>45413</v>
      </c>
      <c r="J80" s="60">
        <f>SUM(L80:AE80)</f>
        <v/>
      </c>
      <c r="K80" s="60">
        <f>SUM(AF80:AK80)</f>
        <v/>
      </c>
      <c r="L80" s="60" t="n"/>
      <c r="M80" s="60" t="n"/>
      <c r="N80" s="60" t="n"/>
      <c r="O80" s="60" t="n"/>
      <c r="P80" s="60" t="n"/>
      <c r="Q80" s="60" t="n"/>
      <c r="R80" s="60" t="n"/>
      <c r="S80" s="60" t="n"/>
      <c r="T80" s="60" t="n">
        <v>1</v>
      </c>
      <c r="U80" s="60" t="n"/>
      <c r="V80" s="60" t="n"/>
      <c r="W80" s="60" t="n"/>
      <c r="X80" s="60" t="n"/>
      <c r="Y80" s="60" t="n"/>
      <c r="Z80" s="60" t="n"/>
      <c r="AA80" s="60" t="n">
        <v>2</v>
      </c>
      <c r="AB80" s="60" t="n"/>
      <c r="AC80" s="60" t="n"/>
      <c r="AD80" s="60" t="n"/>
      <c r="AE80" s="60" t="n"/>
      <c r="AF80" s="60" t="n"/>
      <c r="AG80" s="60" t="n"/>
      <c r="AH80" s="60" t="n"/>
      <c r="AI80" s="60" t="n"/>
      <c r="AJ80" s="60" t="n"/>
      <c r="AK80" s="120">
        <f>IF(L80&gt;0,L80*(82.29+8.15),0)+IF(M80&gt;0,M80*(8.15+339.97),0)+IF(N80&gt;0,N80*151.63,0)+IF(O80&gt;0,O80*197.82,0)+IF(P80&gt;0,P80*244.09,0)+IF(Q80&gt;0,Q80*315.35,0)+IF(R80&gt;0,R80*1067.3,0)+IF(T80&gt;0,T80*567.47,0)+IF(U80&gt;0,U80*151.63,0)+IF(V80&gt;0,V80*197.84,0)+IF(W80&gt;0,W80*470.51,0)+IF(X80&gt;0,X80*701.69,0)+IF(Z80&gt;0,Z80*151.63,0)+IF(AA80&gt;0,AA80*197.84)+IF(AB80&gt;0,AB80*308.4,0)+IF(AC80&gt;0,AC80*496.16,0)</f>
        <v/>
      </c>
    </row>
    <row r="81">
      <c r="A81" s="59" t="inlineStr">
        <is>
          <t>rota</t>
        </is>
      </c>
      <c r="B81" s="59">
        <f>IF(H81&lt;$B$1,"VENCIDO","NA VALIDADE")</f>
        <v/>
      </c>
      <c r="C81" s="60" t="inlineStr">
        <is>
          <t>SUBESTAÇÃO</t>
        </is>
      </c>
      <c r="D81" s="61" t="inlineStr">
        <is>
          <t>SUBESTAÇÃO BARROCAS</t>
        </is>
      </c>
      <c r="E81" s="74" t="inlineStr">
        <is>
          <t>MOSSORÓ</t>
        </is>
      </c>
      <c r="F81" s="75" t="inlineStr">
        <is>
          <t>RN</t>
        </is>
      </c>
      <c r="G81" s="75" t="inlineStr">
        <is>
          <t>NATAL</t>
        </is>
      </c>
      <c r="H81" s="119" t="n">
        <v>45536</v>
      </c>
      <c r="I81" s="119">
        <f>H81-180</f>
        <v/>
      </c>
      <c r="J81" s="60">
        <f>SUM(L81:AE81)</f>
        <v/>
      </c>
      <c r="K81" s="60">
        <f>SUM(AF81:AK81)</f>
        <v/>
      </c>
      <c r="L81" s="60" t="n"/>
      <c r="M81" s="60" t="n"/>
      <c r="N81" s="60" t="n"/>
      <c r="O81" s="60" t="n"/>
      <c r="P81" s="60" t="n"/>
      <c r="Q81" s="60" t="n"/>
      <c r="R81" s="60" t="n"/>
      <c r="S81" s="60" t="n"/>
      <c r="T81" s="60" t="n">
        <v>1</v>
      </c>
      <c r="U81" s="60" t="n"/>
      <c r="V81" s="60" t="n"/>
      <c r="W81" s="60" t="n"/>
      <c r="X81" s="60" t="n"/>
      <c r="Y81" s="60" t="n"/>
      <c r="Z81" s="60" t="n"/>
      <c r="AA81" s="60" t="n">
        <v>2</v>
      </c>
      <c r="AB81" s="60" t="n"/>
      <c r="AC81" s="60" t="n"/>
      <c r="AD81" s="60" t="n"/>
      <c r="AE81" s="60" t="n"/>
      <c r="AF81" s="60" t="n"/>
      <c r="AG81" s="60" t="n"/>
      <c r="AH81" s="60" t="n"/>
      <c r="AI81" s="60" t="n"/>
      <c r="AJ81" s="60" t="n"/>
      <c r="AK81" s="120">
        <f>IF(L81&gt;0,L81*(82.29+8.15),0)+IF(M81&gt;0,M81*(8.15+339.97),0)+IF(N81&gt;0,N81*151.63,0)+IF(O81&gt;0,O81*197.82,0)+IF(P81&gt;0,P81*244.09,0)+IF(Q81&gt;0,Q81*315.35,0)+IF(R81&gt;0,R81*1067.3,0)+IF(T81&gt;0,T81*567.47,0)+IF(U81&gt;0,U81*151.63,0)+IF(V81&gt;0,V81*197.84,0)+IF(W81&gt;0,W81*470.51,0)+IF(X81&gt;0,X81*701.69,0)+IF(Z81&gt;0,Z81*151.63,0)+IF(AA81&gt;0,AA81*197.84)+IF(AB81&gt;0,AB81*308.4,0)+IF(AC81&gt;0,AC81*496.16,0)</f>
        <v/>
      </c>
    </row>
    <row r="82">
      <c r="A82" s="59" t="n"/>
      <c r="B82" s="59">
        <f>IF(H82&lt;$B$1,"VENCIDO","NA VALIDADE")</f>
        <v/>
      </c>
      <c r="C82" s="60" t="inlineStr">
        <is>
          <t>SUBESTAÇÃO</t>
        </is>
      </c>
      <c r="D82" s="61" t="inlineStr">
        <is>
          <t>SUBESTAÇÃO BOA CICA</t>
        </is>
      </c>
      <c r="E82" s="74" t="inlineStr">
        <is>
          <t>TIBAU DO SUL</t>
        </is>
      </c>
      <c r="F82" s="75" t="inlineStr">
        <is>
          <t>RN</t>
        </is>
      </c>
      <c r="G82" s="75" t="inlineStr">
        <is>
          <t>NATAL</t>
        </is>
      </c>
      <c r="H82" s="119" t="n">
        <v>45323</v>
      </c>
      <c r="I82" s="119" t="n">
        <v>45323</v>
      </c>
      <c r="J82" s="60">
        <f>SUM(L82:AE82)</f>
        <v/>
      </c>
      <c r="K82" s="60">
        <f>SUM(AF82:AK82)</f>
        <v/>
      </c>
      <c r="L82" s="60" t="n"/>
      <c r="M82" s="60" t="n"/>
      <c r="N82" s="60" t="n"/>
      <c r="O82" s="60" t="n"/>
      <c r="P82" s="60" t="n"/>
      <c r="Q82" s="60" t="n"/>
      <c r="R82" s="60" t="n"/>
      <c r="S82" s="60" t="n"/>
      <c r="T82" s="60" t="n">
        <v>1</v>
      </c>
      <c r="U82" s="60" t="n"/>
      <c r="V82" s="60" t="n"/>
      <c r="W82" s="60" t="n"/>
      <c r="X82" s="60" t="n"/>
      <c r="Y82" s="60" t="n"/>
      <c r="Z82" s="60" t="n"/>
      <c r="AA82" s="60" t="n">
        <v>2</v>
      </c>
      <c r="AB82" s="60" t="n"/>
      <c r="AC82" s="60" t="n"/>
      <c r="AD82" s="60" t="n"/>
      <c r="AE82" s="60" t="n"/>
      <c r="AF82" s="60" t="n"/>
      <c r="AG82" s="60" t="n"/>
      <c r="AH82" s="60" t="n"/>
      <c r="AI82" s="60" t="n"/>
      <c r="AJ82" s="60" t="n"/>
      <c r="AK82" s="120">
        <f>IF(L82&gt;0,L82*(82.29+8.15),0)+IF(M82&gt;0,M82*(8.15+339.97),0)+IF(N82&gt;0,N82*151.63,0)+IF(O82&gt;0,O82*197.82,0)+IF(P82&gt;0,P82*244.09,0)+IF(Q82&gt;0,Q82*315.35,0)+IF(R82&gt;0,R82*1067.3,0)+IF(T82&gt;0,T82*567.47,0)+IF(U82&gt;0,U82*151.63,0)+IF(V82&gt;0,V82*197.84,0)+IF(W82&gt;0,W82*470.51,0)+IF(X82&gt;0,X82*701.69,0)+IF(Z82&gt;0,Z82*151.63,0)+IF(AA82&gt;0,AA82*197.84)+IF(AB82&gt;0,AB82*308.4,0)+IF(AC82&gt;0,AC82*496.16,0)</f>
        <v/>
      </c>
    </row>
    <row r="83">
      <c r="A83" s="59" t="n"/>
      <c r="B83" s="59">
        <f>IF(H83&lt;$B$1,"VENCIDO","NA VALIDADE")</f>
        <v/>
      </c>
      <c r="C83" s="60" t="inlineStr">
        <is>
          <t>SUBESTAÇÃO</t>
        </is>
      </c>
      <c r="D83" s="61" t="inlineStr">
        <is>
          <t>SUBESTAÇÃO BREJINHO</t>
        </is>
      </c>
      <c r="E83" s="74" t="inlineStr">
        <is>
          <t>BREJINHO</t>
        </is>
      </c>
      <c r="F83" s="75" t="inlineStr">
        <is>
          <t>RN</t>
        </is>
      </c>
      <c r="G83" s="75" t="inlineStr">
        <is>
          <t>NATAL</t>
        </is>
      </c>
      <c r="H83" s="119" t="n">
        <v>45536</v>
      </c>
      <c r="I83" s="119">
        <f>H83-180</f>
        <v/>
      </c>
      <c r="J83" s="60">
        <f>SUM(L83:AE83)</f>
        <v/>
      </c>
      <c r="K83" s="60">
        <f>SUM(AF83:AK83)</f>
        <v/>
      </c>
      <c r="L83" s="60" t="n"/>
      <c r="M83" s="60" t="n"/>
      <c r="N83" s="60" t="n"/>
      <c r="O83" s="60" t="n"/>
      <c r="P83" s="60" t="n"/>
      <c r="Q83" s="60" t="n"/>
      <c r="R83" s="60" t="n"/>
      <c r="S83" s="60" t="n"/>
      <c r="T83" s="60" t="n">
        <v>1</v>
      </c>
      <c r="U83" s="60" t="n"/>
      <c r="V83" s="60" t="n"/>
      <c r="W83" s="60" t="n"/>
      <c r="X83" s="60" t="n"/>
      <c r="Y83" s="60" t="n"/>
      <c r="Z83" s="60" t="n"/>
      <c r="AA83" s="60" t="n">
        <v>2</v>
      </c>
      <c r="AB83" s="60" t="n"/>
      <c r="AC83" s="60" t="n"/>
      <c r="AD83" s="60" t="n"/>
      <c r="AE83" s="60" t="n"/>
      <c r="AF83" s="60" t="n"/>
      <c r="AG83" s="60" t="n"/>
      <c r="AH83" s="60" t="n"/>
      <c r="AI83" s="60" t="n"/>
      <c r="AJ83" s="60" t="n"/>
      <c r="AK83" s="120">
        <f>IF(L83&gt;0,L83*(82.29+8.15),0)+IF(M83&gt;0,M83*(8.15+339.97),0)+IF(N83&gt;0,N83*151.63,0)+IF(O83&gt;0,O83*197.82,0)+IF(P83&gt;0,P83*244.09,0)+IF(Q83&gt;0,Q83*315.35,0)+IF(R83&gt;0,R83*1067.3,0)+IF(T83&gt;0,T83*567.47,0)+IF(U83&gt;0,U83*151.63,0)+IF(V83&gt;0,V83*197.84,0)+IF(W83&gt;0,W83*470.51,0)+IF(X83&gt;0,X83*701.69,0)+IF(Z83&gt;0,Z83*151.63,0)+IF(AA83&gt;0,AA83*197.84)+IF(AB83&gt;0,AB83*308.4,0)+IF(AC83&gt;0,AC83*496.16,0)</f>
        <v/>
      </c>
    </row>
    <row r="84">
      <c r="A84" s="59" t="inlineStr">
        <is>
          <t>NATAL 06/12</t>
        </is>
      </c>
      <c r="B84" s="59">
        <f>IF(H84&lt;$B$1,"VENCIDO","NA VALIDADE")</f>
        <v/>
      </c>
      <c r="C84" s="60" t="inlineStr">
        <is>
          <t>SUBESTAÇÃO</t>
        </is>
      </c>
      <c r="D84" s="61" t="inlineStr">
        <is>
          <t>SUBESTAÇÃO CAICO</t>
        </is>
      </c>
      <c r="E84" s="74" t="inlineStr">
        <is>
          <t>CAICÓ</t>
        </is>
      </c>
      <c r="F84" s="75" t="inlineStr">
        <is>
          <t>RN</t>
        </is>
      </c>
      <c r="G84" s="75" t="inlineStr">
        <is>
          <t>NATAL</t>
        </is>
      </c>
      <c r="H84" s="119" t="n">
        <v>45566</v>
      </c>
      <c r="I84" s="119">
        <f>H84-180</f>
        <v/>
      </c>
      <c r="J84" s="60">
        <f>SUM(L84:AE84)</f>
        <v/>
      </c>
      <c r="K84" s="60">
        <f>SUM(AF84:AK84)</f>
        <v/>
      </c>
      <c r="L84" s="60" t="n"/>
      <c r="M84" s="60" t="n"/>
      <c r="N84" s="60" t="n"/>
      <c r="O84" s="60" t="n"/>
      <c r="P84" s="60" t="n"/>
      <c r="Q84" s="60" t="n"/>
      <c r="R84" s="60" t="n"/>
      <c r="S84" s="60" t="n"/>
      <c r="T84" s="60" t="n">
        <v>1</v>
      </c>
      <c r="U84" s="60" t="n"/>
      <c r="V84" s="60" t="n"/>
      <c r="W84" s="60" t="n"/>
      <c r="X84" s="60" t="n"/>
      <c r="Y84" s="60" t="n"/>
      <c r="Z84" s="60" t="n"/>
      <c r="AA84" s="60" t="n">
        <v>2</v>
      </c>
      <c r="AB84" s="60" t="n"/>
      <c r="AC84" s="60" t="n"/>
      <c r="AD84" s="60" t="n"/>
      <c r="AE84" s="60" t="n"/>
      <c r="AF84" s="60" t="n"/>
      <c r="AG84" s="60" t="n"/>
      <c r="AH84" s="60" t="n"/>
      <c r="AI84" s="60" t="n"/>
      <c r="AJ84" s="60" t="n"/>
      <c r="AK84" s="120">
        <f>IF(L84&gt;0,L84*(82.29+8.15),0)+IF(M84&gt;0,M84*(8.15+339.97),0)+IF(N84&gt;0,N84*151.63,0)+IF(O84&gt;0,O84*197.82,0)+IF(P84&gt;0,P84*244.09,0)+IF(Q84&gt;0,Q84*315.35,0)+IF(R84&gt;0,R84*1067.3,0)+IF(T84&gt;0,T84*567.47,0)+IF(U84&gt;0,U84*151.63,0)+IF(V84&gt;0,V84*197.84,0)+IF(W84&gt;0,W84*470.51,0)+IF(X84&gt;0,X84*701.69,0)+IF(Z84&gt;0,Z84*151.63,0)+IF(AA84&gt;0,AA84*197.84)+IF(AB84&gt;0,AB84*308.4,0)+IF(AC84&gt;0,AC84*496.16,0)</f>
        <v/>
      </c>
    </row>
    <row r="85">
      <c r="A85" s="59" t="inlineStr">
        <is>
          <t>NATAL 06/12</t>
        </is>
      </c>
      <c r="B85" s="59">
        <f>IF(H85&lt;$B$1,"VENCIDO","NA VALIDADE")</f>
        <v/>
      </c>
      <c r="C85" s="60" t="inlineStr">
        <is>
          <t>SUBESTAÇÃO</t>
        </is>
      </c>
      <c r="D85" s="61" t="inlineStr">
        <is>
          <t>SUBESTAÇÃO CAMPO GRANDE</t>
        </is>
      </c>
      <c r="E85" s="74" t="inlineStr">
        <is>
          <t>CAMPO GRANDE</t>
        </is>
      </c>
      <c r="F85" s="75" t="inlineStr">
        <is>
          <t>RN</t>
        </is>
      </c>
      <c r="G85" s="75" t="inlineStr">
        <is>
          <t>NATAL</t>
        </is>
      </c>
      <c r="H85" s="119" t="n">
        <v>45444</v>
      </c>
      <c r="I85" s="119" t="n">
        <v>45444</v>
      </c>
      <c r="J85" s="60">
        <f>SUM(L85:AE85)</f>
        <v/>
      </c>
      <c r="K85" s="60">
        <f>SUM(AF85:AK85)</f>
        <v/>
      </c>
      <c r="L85" s="60" t="n"/>
      <c r="M85" s="60" t="n"/>
      <c r="N85" s="60" t="n"/>
      <c r="O85" s="60" t="n"/>
      <c r="P85" s="60" t="n"/>
      <c r="Q85" s="60" t="n"/>
      <c r="R85" s="60" t="n"/>
      <c r="S85" s="60" t="n"/>
      <c r="T85" s="60" t="n">
        <v>1</v>
      </c>
      <c r="U85" s="60" t="n"/>
      <c r="V85" s="60" t="n"/>
      <c r="W85" s="60" t="n"/>
      <c r="X85" s="60" t="n"/>
      <c r="Y85" s="60" t="n"/>
      <c r="Z85" s="60" t="n"/>
      <c r="AA85" s="60" t="n">
        <v>2</v>
      </c>
      <c r="AB85" s="60" t="n"/>
      <c r="AC85" s="60" t="n"/>
      <c r="AD85" s="60" t="n"/>
      <c r="AE85" s="60" t="n"/>
      <c r="AF85" s="60" t="n"/>
      <c r="AG85" s="60" t="n"/>
      <c r="AH85" s="60" t="n"/>
      <c r="AI85" s="60" t="n"/>
      <c r="AJ85" s="60" t="n"/>
      <c r="AK85" s="120">
        <f>IF(L85&gt;0,L85*(82.29+8.15),0)+IF(M85&gt;0,M85*(8.15+339.97),0)+IF(N85&gt;0,N85*151.63,0)+IF(O85&gt;0,O85*197.82,0)+IF(P85&gt;0,P85*244.09,0)+IF(Q85&gt;0,Q85*315.35,0)+IF(R85&gt;0,R85*1067.3,0)+IF(T85&gt;0,T85*567.47,0)+IF(U85&gt;0,U85*151.63,0)+IF(V85&gt;0,V85*197.84,0)+IF(W85&gt;0,W85*470.51,0)+IF(X85&gt;0,X85*701.69,0)+IF(Z85&gt;0,Z85*151.63,0)+IF(AA85&gt;0,AA85*197.84)+IF(AB85&gt;0,AB85*308.4,0)+IF(AC85&gt;0,AC85*496.16,0)</f>
        <v/>
      </c>
    </row>
    <row r="86">
      <c r="A86" s="59" t="n"/>
      <c r="B86" s="59">
        <f>IF(H86&lt;$B$1,"VENCIDO","NA VALIDADE")</f>
        <v/>
      </c>
      <c r="C86" s="60" t="inlineStr">
        <is>
          <t>SUBESTAÇÃO</t>
        </is>
      </c>
      <c r="D86" s="61" t="inlineStr">
        <is>
          <t>SUBESTAÇÃO CANGUARETAMA</t>
        </is>
      </c>
      <c r="E86" s="74" t="inlineStr">
        <is>
          <t>CANGUARETAMA</t>
        </is>
      </c>
      <c r="F86" s="75" t="inlineStr">
        <is>
          <t>RN</t>
        </is>
      </c>
      <c r="G86" s="75" t="inlineStr">
        <is>
          <t>NATAL</t>
        </is>
      </c>
      <c r="H86" s="119" t="n">
        <v>45292</v>
      </c>
      <c r="I86" s="119" t="n">
        <v>45292</v>
      </c>
      <c r="J86" s="60">
        <f>SUM(L86:AE86)</f>
        <v/>
      </c>
      <c r="K86" s="60">
        <f>SUM(AF86:AK86)</f>
        <v/>
      </c>
      <c r="L86" s="60" t="n"/>
      <c r="M86" s="60" t="n"/>
      <c r="N86" s="60" t="n"/>
      <c r="O86" s="60" t="n"/>
      <c r="P86" s="60" t="n"/>
      <c r="Q86" s="60" t="n"/>
      <c r="R86" s="60" t="n"/>
      <c r="S86" s="60" t="n"/>
      <c r="T86" s="60" t="n">
        <v>1</v>
      </c>
      <c r="U86" s="60" t="n"/>
      <c r="V86" s="60" t="n"/>
      <c r="W86" s="60" t="n"/>
      <c r="X86" s="60" t="n"/>
      <c r="Y86" s="60" t="n"/>
      <c r="Z86" s="60" t="n"/>
      <c r="AA86" s="60" t="n">
        <v>2</v>
      </c>
      <c r="AB86" s="60" t="n"/>
      <c r="AC86" s="60" t="n"/>
      <c r="AD86" s="60" t="n"/>
      <c r="AE86" s="60" t="n"/>
      <c r="AF86" s="60" t="n"/>
      <c r="AG86" s="60" t="n"/>
      <c r="AH86" s="60" t="n"/>
      <c r="AI86" s="60" t="n"/>
      <c r="AJ86" s="60" t="n"/>
      <c r="AK86" s="120">
        <f>IF(L86&gt;0,L86*(82.29+8.15),0)+IF(M86&gt;0,M86*(8.15+339.97),0)+IF(N86&gt;0,N86*151.63,0)+IF(O86&gt;0,O86*197.82,0)+IF(P86&gt;0,P86*244.09,0)+IF(Q86&gt;0,Q86*315.35,0)+IF(R86&gt;0,R86*1067.3,0)+IF(T86&gt;0,T86*567.47,0)+IF(U86&gt;0,U86*151.63,0)+IF(V86&gt;0,V86*197.84,0)+IF(W86&gt;0,W86*470.51,0)+IF(X86&gt;0,X86*701.69,0)+IF(Z86&gt;0,Z86*151.63,0)+IF(AA86&gt;0,AA86*197.84)+IF(AB86&gt;0,AB86*308.4,0)+IF(AC86&gt;0,AC86*496.16,0)</f>
        <v/>
      </c>
    </row>
    <row r="87">
      <c r="A87" s="59" t="n"/>
      <c r="B87" s="59">
        <f>IF(H87&lt;$B$1,"VENCIDO","NA VALIDADE")</f>
        <v/>
      </c>
      <c r="C87" s="60" t="inlineStr">
        <is>
          <t>SUBESTAÇÃO</t>
        </is>
      </c>
      <c r="D87" s="61" t="inlineStr">
        <is>
          <t>SUBESTAÇÃO ELOI DE SOUZA</t>
        </is>
      </c>
      <c r="E87" s="74" t="inlineStr">
        <is>
          <t>senador ELOI DE SOUZA</t>
        </is>
      </c>
      <c r="F87" s="75" t="inlineStr">
        <is>
          <t>RN</t>
        </is>
      </c>
      <c r="G87" s="75" t="inlineStr">
        <is>
          <t>NATAL</t>
        </is>
      </c>
      <c r="H87" s="119" t="n">
        <v>45323</v>
      </c>
      <c r="I87" s="119" t="n">
        <v>45323</v>
      </c>
      <c r="J87" s="60">
        <f>SUM(L87:AE87)</f>
        <v/>
      </c>
      <c r="K87" s="60">
        <f>SUM(AF87:AK87)</f>
        <v/>
      </c>
      <c r="L87" s="60" t="n"/>
      <c r="M87" s="60" t="n"/>
      <c r="N87" s="60" t="n"/>
      <c r="O87" s="60" t="n"/>
      <c r="P87" s="60" t="n"/>
      <c r="Q87" s="60" t="n"/>
      <c r="R87" s="60" t="n"/>
      <c r="S87" s="60" t="n"/>
      <c r="T87" s="60" t="n">
        <v>1</v>
      </c>
      <c r="U87" s="60" t="n"/>
      <c r="V87" s="60" t="n"/>
      <c r="W87" s="60" t="n"/>
      <c r="X87" s="60" t="n"/>
      <c r="Y87" s="60" t="n"/>
      <c r="Z87" s="60" t="n"/>
      <c r="AA87" s="60" t="n">
        <v>2</v>
      </c>
      <c r="AB87" s="60" t="n"/>
      <c r="AC87" s="60" t="n"/>
      <c r="AD87" s="60" t="n"/>
      <c r="AE87" s="60" t="n"/>
      <c r="AF87" s="60" t="n"/>
      <c r="AG87" s="60" t="n"/>
      <c r="AH87" s="60" t="n"/>
      <c r="AI87" s="60" t="n"/>
      <c r="AJ87" s="60" t="n"/>
      <c r="AK87" s="120">
        <f>IF(L87&gt;0,L87*(82.29+8.15),0)+IF(M87&gt;0,M87*(8.15+339.97),0)+IF(N87&gt;0,N87*151.63,0)+IF(O87&gt;0,O87*197.82,0)+IF(P87&gt;0,P87*244.09,0)+IF(Q87&gt;0,Q87*315.35,0)+IF(R87&gt;0,R87*1067.3,0)+IF(T87&gt;0,T87*567.47,0)+IF(U87&gt;0,U87*151.63,0)+IF(V87&gt;0,V87*197.84,0)+IF(W87&gt;0,W87*470.51,0)+IF(X87&gt;0,X87*701.69,0)+IF(Z87&gt;0,Z87*151.63,0)+IF(AA87&gt;0,AA87*197.84)+IF(AB87&gt;0,AB87*308.4,0)+IF(AC87&gt;0,AC87*496.16,0)</f>
        <v/>
      </c>
    </row>
    <row r="88">
      <c r="A88" s="59" t="inlineStr">
        <is>
          <t>SIM</t>
        </is>
      </c>
      <c r="B88" s="59">
        <f>IF(H88&lt;$B$1,"VENCIDO","NA VALIDADE")</f>
        <v/>
      </c>
      <c r="C88" s="60" t="inlineStr">
        <is>
          <t>SUBESTAÇÃO</t>
        </is>
      </c>
      <c r="D88" s="61" t="inlineStr">
        <is>
          <t>SUBESTAÇÃO EXTREMOZ I</t>
        </is>
      </c>
      <c r="E88" s="74" t="inlineStr">
        <is>
          <t>EXTREMOZ</t>
        </is>
      </c>
      <c r="F88" s="75" t="inlineStr">
        <is>
          <t>RN</t>
        </is>
      </c>
      <c r="G88" s="75" t="inlineStr">
        <is>
          <t>NATAL</t>
        </is>
      </c>
      <c r="H88" s="119" t="n">
        <v>45505</v>
      </c>
      <c r="I88" s="119">
        <f>H88-180</f>
        <v/>
      </c>
      <c r="J88" s="60">
        <f>SUM(L88:AE88)</f>
        <v/>
      </c>
      <c r="K88" s="60">
        <f>SUM(AF88:AK88)</f>
        <v/>
      </c>
      <c r="L88" s="60" t="n"/>
      <c r="M88" s="60" t="n"/>
      <c r="N88" s="60" t="n"/>
      <c r="O88" s="60" t="n"/>
      <c r="P88" s="60" t="n"/>
      <c r="Q88" s="60" t="n"/>
      <c r="R88" s="60" t="n"/>
      <c r="S88" s="60" t="n"/>
      <c r="T88" s="60" t="n">
        <v>1</v>
      </c>
      <c r="U88" s="60" t="n"/>
      <c r="V88" s="60" t="n"/>
      <c r="W88" s="60" t="n"/>
      <c r="X88" s="60" t="n"/>
      <c r="Y88" s="60" t="n"/>
      <c r="Z88" s="60" t="n"/>
      <c r="AA88" s="60" t="n">
        <v>2</v>
      </c>
      <c r="AB88" s="60" t="n"/>
      <c r="AC88" s="60" t="n"/>
      <c r="AD88" s="60" t="n"/>
      <c r="AE88" s="60" t="n"/>
      <c r="AF88" s="60" t="n"/>
      <c r="AG88" s="60" t="n"/>
      <c r="AH88" s="60" t="n"/>
      <c r="AI88" s="60" t="n"/>
      <c r="AJ88" s="60" t="n"/>
      <c r="AK88" s="120">
        <f>IF(L88&gt;0,L88*(82.29+8.15),0)+IF(M88&gt;0,M88*(8.15+339.97),0)+IF(N88&gt;0,N88*151.63,0)+IF(O88&gt;0,O88*197.82,0)+IF(P88&gt;0,P88*244.09,0)+IF(Q88&gt;0,Q88*315.35,0)+IF(R88&gt;0,R88*1067.3,0)+IF(T88&gt;0,T88*567.47,0)+IF(U88&gt;0,U88*151.63,0)+IF(V88&gt;0,V88*197.84,0)+IF(W88&gt;0,W88*470.51,0)+IF(X88&gt;0,X88*701.69,0)+IF(Z88&gt;0,Z88*151.63,0)+IF(AA88&gt;0,AA88*197.84)+IF(AB88&gt;0,AB88*308.4,0)+IF(AC88&gt;0,AC88*496.16,0)</f>
        <v/>
      </c>
    </row>
    <row r="89">
      <c r="A89" s="59" t="n"/>
      <c r="B89" s="59">
        <f>IF(H89&lt;$B$1,"VENCIDO","NA VALIDADE")</f>
        <v/>
      </c>
      <c r="C89" s="60" t="inlineStr">
        <is>
          <t>SUBESTAÇÃO</t>
        </is>
      </c>
      <c r="D89" s="61" t="inlineStr">
        <is>
          <t>SUBESTAÇÃO EXTREMOZ II</t>
        </is>
      </c>
      <c r="E89" s="74" t="inlineStr">
        <is>
          <t>EXTREMOZ</t>
        </is>
      </c>
      <c r="F89" s="75" t="inlineStr">
        <is>
          <t>RN</t>
        </is>
      </c>
      <c r="G89" s="75" t="inlineStr">
        <is>
          <t>NATAL</t>
        </is>
      </c>
      <c r="H89" s="119" t="n">
        <v>45323</v>
      </c>
      <c r="I89" s="119" t="n">
        <v>45323</v>
      </c>
      <c r="J89" s="60">
        <f>SUM(L89:AE89)</f>
        <v/>
      </c>
      <c r="K89" s="60">
        <f>SUM(AF89:AK89)</f>
        <v/>
      </c>
      <c r="L89" s="60" t="n">
        <v>1</v>
      </c>
      <c r="M89" s="60" t="n"/>
      <c r="N89" s="60" t="n"/>
      <c r="O89" s="60" t="n">
        <v>2</v>
      </c>
      <c r="P89" s="60" t="n"/>
      <c r="Q89" s="60" t="n"/>
      <c r="R89" s="60" t="n"/>
      <c r="S89" s="60" t="n"/>
      <c r="T89" s="60" t="n">
        <v>4</v>
      </c>
      <c r="U89" s="60" t="n"/>
      <c r="V89" s="60" t="n">
        <v>3</v>
      </c>
      <c r="W89" s="60" t="n"/>
      <c r="X89" s="60" t="n"/>
      <c r="Y89" s="60" t="n"/>
      <c r="Z89" s="60" t="n"/>
      <c r="AA89" s="60" t="n">
        <v>1</v>
      </c>
      <c r="AB89" s="60" t="n"/>
      <c r="AC89" s="60" t="n"/>
      <c r="AD89" s="60" t="n"/>
      <c r="AE89" s="60" t="n"/>
      <c r="AF89" s="60" t="n"/>
      <c r="AG89" s="60" t="n"/>
      <c r="AH89" s="60" t="n"/>
      <c r="AI89" s="60" t="n"/>
      <c r="AJ89" s="60" t="n"/>
      <c r="AK89" s="120">
        <f>IF(L89&gt;0,L89*(82.29+8.15),0)+IF(M89&gt;0,M89*(8.15+339.97),0)+IF(N89&gt;0,N89*151.63,0)+IF(O89&gt;0,O89*197.82,0)+IF(P89&gt;0,P89*244.09,0)+IF(Q89&gt;0,Q89*315.35,0)+IF(R89&gt;0,R89*1067.3,0)+IF(T89&gt;0,T89*567.47,0)+IF(U89&gt;0,U89*151.63,0)+IF(V89&gt;0,V89*197.84,0)+IF(W89&gt;0,W89*470.51,0)+IF(X89&gt;0,X89*701.69,0)+IF(Z89&gt;0,Z89*151.63,0)+IF(AA89&gt;0,AA89*197.84)+IF(AB89&gt;0,AB89*308.4,0)+IF(AC89&gt;0,AC89*496.16,0)</f>
        <v/>
      </c>
    </row>
    <row r="90">
      <c r="A90" s="59" t="inlineStr">
        <is>
          <t>SIM</t>
        </is>
      </c>
      <c r="B90" s="59">
        <f>IF(H90&lt;$B$1,"VENCIDO","NA VALIDADE")</f>
        <v/>
      </c>
      <c r="C90" s="60" t="inlineStr">
        <is>
          <t>SUBESTAÇÃO</t>
        </is>
      </c>
      <c r="D90" s="61" t="inlineStr">
        <is>
          <t>SUBESTAÇÃO ITANS</t>
        </is>
      </c>
      <c r="E90" s="74" t="inlineStr">
        <is>
          <t>CAICÓ</t>
        </is>
      </c>
      <c r="F90" s="75" t="inlineStr">
        <is>
          <t>RN</t>
        </is>
      </c>
      <c r="G90" s="75" t="inlineStr">
        <is>
          <t>NATAL</t>
        </is>
      </c>
      <c r="H90" s="119" t="n">
        <v>45566</v>
      </c>
      <c r="I90" s="119">
        <f>H90-180</f>
        <v/>
      </c>
      <c r="J90" s="60">
        <f>SUM(L90:AE90)</f>
        <v/>
      </c>
      <c r="K90" s="60">
        <f>SUM(AF90:AK90)</f>
        <v/>
      </c>
      <c r="L90" s="60" t="n"/>
      <c r="M90" s="60" t="n"/>
      <c r="N90" s="60" t="n"/>
      <c r="O90" s="60" t="n"/>
      <c r="P90" s="60" t="n"/>
      <c r="Q90" s="60" t="n"/>
      <c r="R90" s="60" t="n"/>
      <c r="S90" s="60" t="n"/>
      <c r="T90" s="60" t="n">
        <v>1</v>
      </c>
      <c r="U90" s="60" t="n"/>
      <c r="V90" s="60" t="n"/>
      <c r="W90" s="60" t="n"/>
      <c r="X90" s="60" t="n"/>
      <c r="Y90" s="60" t="n"/>
      <c r="Z90" s="60" t="n"/>
      <c r="AA90" s="60" t="n">
        <v>2</v>
      </c>
      <c r="AB90" s="60" t="n"/>
      <c r="AC90" s="60" t="n"/>
      <c r="AD90" s="60" t="n"/>
      <c r="AE90" s="60" t="n"/>
      <c r="AF90" s="60" t="n"/>
      <c r="AG90" s="60" t="n"/>
      <c r="AH90" s="60" t="n"/>
      <c r="AI90" s="60" t="n"/>
      <c r="AJ90" s="60" t="n"/>
      <c r="AK90" s="120">
        <f>IF(L90&gt;0,L90*(82.29+8.15),0)+IF(M90&gt;0,M90*(8.15+339.97),0)+IF(N90&gt;0,N90*151.63,0)+IF(O90&gt;0,O90*197.82,0)+IF(P90&gt;0,P90*244.09,0)+IF(Q90&gt;0,Q90*315.35,0)+IF(R90&gt;0,R90*1067.3,0)+IF(T90&gt;0,T90*567.47,0)+IF(U90&gt;0,U90*151.63,0)+IF(V90&gt;0,V90*197.84,0)+IF(W90&gt;0,W90*470.51,0)+IF(X90&gt;0,X90*701.69,0)+IF(Z90&gt;0,Z90*151.63,0)+IF(AA90&gt;0,AA90*197.84)+IF(AB90&gt;0,AB90*308.4,0)+IF(AC90&gt;0,AC90*496.16,0)</f>
        <v/>
      </c>
    </row>
    <row r="91">
      <c r="A91" s="59" t="inlineStr">
        <is>
          <t>NATAL 06/12</t>
        </is>
      </c>
      <c r="B91" s="59">
        <f>IF(H91&lt;$B$1,"VENCIDO","NA VALIDADE")</f>
        <v/>
      </c>
      <c r="C91" s="60" t="inlineStr">
        <is>
          <t>SUBESTAÇÃO</t>
        </is>
      </c>
      <c r="D91" s="61" t="inlineStr">
        <is>
          <t>SUBESTAÇÃO LAGOA D ANTA</t>
        </is>
      </c>
      <c r="E91" s="74" t="inlineStr">
        <is>
          <t>LAGOA DANTA</t>
        </is>
      </c>
      <c r="F91" s="75" t="inlineStr">
        <is>
          <t>RN</t>
        </is>
      </c>
      <c r="G91" s="75" t="inlineStr">
        <is>
          <t>NATAL</t>
        </is>
      </c>
      <c r="H91" s="119" t="n">
        <v>45536</v>
      </c>
      <c r="I91" s="119">
        <f>H91-180</f>
        <v/>
      </c>
      <c r="J91" s="60">
        <f>SUM(L91:AE91)</f>
        <v/>
      </c>
      <c r="K91" s="60">
        <f>SUM(AF91:AK91)</f>
        <v/>
      </c>
      <c r="L91" s="60" t="n"/>
      <c r="M91" s="60" t="n"/>
      <c r="N91" s="60" t="n"/>
      <c r="O91" s="60" t="n"/>
      <c r="P91" s="60" t="n"/>
      <c r="Q91" s="60" t="n"/>
      <c r="R91" s="60" t="n"/>
      <c r="S91" s="60" t="n"/>
      <c r="T91" s="60" t="n">
        <v>1</v>
      </c>
      <c r="U91" s="60" t="n"/>
      <c r="V91" s="60" t="n"/>
      <c r="W91" s="60" t="n"/>
      <c r="X91" s="60" t="n"/>
      <c r="Y91" s="60" t="n"/>
      <c r="Z91" s="60" t="n"/>
      <c r="AA91" s="60" t="n">
        <v>2</v>
      </c>
      <c r="AB91" s="60" t="n"/>
      <c r="AC91" s="60" t="n"/>
      <c r="AD91" s="60" t="n"/>
      <c r="AE91" s="60" t="n"/>
      <c r="AF91" s="60" t="n"/>
      <c r="AG91" s="60" t="n"/>
      <c r="AH91" s="60" t="n"/>
      <c r="AI91" s="60" t="n"/>
      <c r="AJ91" s="60" t="n"/>
      <c r="AK91" s="120">
        <f>IF(L91&gt;0,L91*(82.29+8.15),0)+IF(M91&gt;0,M91*(8.15+339.97),0)+IF(N91&gt;0,N91*151.63,0)+IF(O91&gt;0,O91*197.82,0)+IF(P91&gt;0,P91*244.09,0)+IF(Q91&gt;0,Q91*315.35,0)+IF(R91&gt;0,R91*1067.3,0)+IF(T91&gt;0,T91*567.47,0)+IF(U91&gt;0,U91*151.63,0)+IF(V91&gt;0,V91*197.84,0)+IF(W91&gt;0,W91*470.51,0)+IF(X91&gt;0,X91*701.69,0)+IF(Z91&gt;0,Z91*151.63,0)+IF(AA91&gt;0,AA91*197.84)+IF(AB91&gt;0,AB91*308.4,0)+IF(AC91&gt;0,AC91*496.16,0)</f>
        <v/>
      </c>
    </row>
    <row r="92">
      <c r="A92" s="59" t="n"/>
      <c r="B92" s="59">
        <f>IF(H92&lt;$B$1,"VENCIDO","NA VALIDADE")</f>
        <v/>
      </c>
      <c r="C92" s="60" t="inlineStr">
        <is>
          <t>SUBESTAÇÃO</t>
        </is>
      </c>
      <c r="D92" s="61" t="inlineStr">
        <is>
          <t>SUBESTAÇÃO MACAIBA</t>
        </is>
      </c>
      <c r="E92" s="74" t="inlineStr">
        <is>
          <t>MACAÍBA</t>
        </is>
      </c>
      <c r="F92" s="75" t="inlineStr">
        <is>
          <t>RN</t>
        </is>
      </c>
      <c r="G92" s="75" t="inlineStr">
        <is>
          <t>NATAL</t>
        </is>
      </c>
      <c r="H92" s="119" t="n">
        <v>45323</v>
      </c>
      <c r="I92" s="119" t="n">
        <v>45323</v>
      </c>
      <c r="J92" s="60">
        <f>SUM(L92:AE92)</f>
        <v/>
      </c>
      <c r="K92" s="60">
        <f>SUM(AF92:AK92)</f>
        <v/>
      </c>
      <c r="L92" s="60" t="n"/>
      <c r="M92" s="60" t="n"/>
      <c r="N92" s="60" t="n"/>
      <c r="O92" s="60" t="n"/>
      <c r="P92" s="60" t="n"/>
      <c r="Q92" s="60" t="n"/>
      <c r="R92" s="60" t="n"/>
      <c r="S92" s="60" t="n"/>
      <c r="T92" s="60" t="n">
        <v>1</v>
      </c>
      <c r="U92" s="60" t="n"/>
      <c r="V92" s="60" t="n"/>
      <c r="W92" s="60" t="n"/>
      <c r="X92" s="60" t="n"/>
      <c r="Y92" s="60" t="n"/>
      <c r="Z92" s="60" t="n"/>
      <c r="AA92" s="60" t="n">
        <v>2</v>
      </c>
      <c r="AB92" s="60" t="n"/>
      <c r="AC92" s="60" t="n"/>
      <c r="AD92" s="60" t="n"/>
      <c r="AE92" s="60" t="n"/>
      <c r="AF92" s="60" t="n"/>
      <c r="AG92" s="60" t="n"/>
      <c r="AH92" s="60" t="n"/>
      <c r="AI92" s="60" t="n"/>
      <c r="AJ92" s="60" t="n"/>
      <c r="AK92" s="120">
        <f>IF(L92&gt;0,L92*(82.29+8.15),0)+IF(M92&gt;0,M92*(8.15+339.97),0)+IF(N92&gt;0,N92*151.63,0)+IF(O92&gt;0,O92*197.82,0)+IF(P92&gt;0,P92*244.09,0)+IF(Q92&gt;0,Q92*315.35,0)+IF(R92&gt;0,R92*1067.3,0)+IF(T92&gt;0,T92*567.47,0)+IF(U92&gt;0,U92*151.63,0)+IF(V92&gt;0,V92*197.84,0)+IF(W92&gt;0,W92*470.51,0)+IF(X92&gt;0,X92*701.69,0)+IF(Z92&gt;0,Z92*151.63,0)+IF(AA92&gt;0,AA92*197.84)+IF(AB92&gt;0,AB92*308.4,0)+IF(AC92&gt;0,AC92*496.16,0)</f>
        <v/>
      </c>
    </row>
    <row r="93">
      <c r="A93" s="59" t="n"/>
      <c r="B93" s="59">
        <f>IF(H93&lt;$B$1,"VENCIDO","NA VALIDADE")</f>
        <v/>
      </c>
      <c r="C93" s="60" t="inlineStr">
        <is>
          <t>SUBESTAÇÃO</t>
        </is>
      </c>
      <c r="D93" s="61" t="inlineStr">
        <is>
          <t>SUBESTAÇÃO NOVA CRUZ</t>
        </is>
      </c>
      <c r="E93" s="74" t="inlineStr">
        <is>
          <t>NISIA FLORESTA</t>
        </is>
      </c>
      <c r="F93" s="75" t="inlineStr">
        <is>
          <t>RN</t>
        </is>
      </c>
      <c r="G93" s="75" t="inlineStr">
        <is>
          <t>NATAL</t>
        </is>
      </c>
      <c r="H93" s="119" t="n">
        <v>45292</v>
      </c>
      <c r="I93" s="119" t="n">
        <v>45292</v>
      </c>
      <c r="J93" s="60">
        <f>SUM(L93:AE93)</f>
        <v/>
      </c>
      <c r="K93" s="60">
        <f>SUM(AF93:AK93)</f>
        <v/>
      </c>
      <c r="L93" s="60" t="n"/>
      <c r="M93" s="60" t="n"/>
      <c r="N93" s="60" t="n"/>
      <c r="O93" s="60" t="n"/>
      <c r="P93" s="60" t="n"/>
      <c r="Q93" s="60" t="n"/>
      <c r="R93" s="60" t="n"/>
      <c r="S93" s="60" t="n"/>
      <c r="T93" s="60" t="n">
        <v>1</v>
      </c>
      <c r="U93" s="60" t="n"/>
      <c r="V93" s="60" t="n"/>
      <c r="W93" s="60" t="n"/>
      <c r="X93" s="60" t="n"/>
      <c r="Y93" s="60" t="n"/>
      <c r="Z93" s="60" t="n"/>
      <c r="AA93" s="60" t="n">
        <v>2</v>
      </c>
      <c r="AB93" s="60" t="n"/>
      <c r="AC93" s="60" t="n"/>
      <c r="AD93" s="60" t="n"/>
      <c r="AE93" s="60" t="n"/>
      <c r="AF93" s="60" t="n"/>
      <c r="AG93" s="60" t="n"/>
      <c r="AH93" s="60" t="n"/>
      <c r="AI93" s="60" t="n"/>
      <c r="AJ93" s="60" t="n"/>
      <c r="AK93" s="120">
        <f>IF(L93&gt;0,L93*(82.29+8.15),0)+IF(M93&gt;0,M93*(8.15+339.97),0)+IF(N93&gt;0,N93*151.63,0)+IF(O93&gt;0,O93*197.82,0)+IF(P93&gt;0,P93*244.09,0)+IF(Q93&gt;0,Q93*315.35,0)+IF(R93&gt;0,R93*1067.3,0)+IF(T93&gt;0,T93*567.47,0)+IF(U93&gt;0,U93*151.63,0)+IF(V93&gt;0,V93*197.84,0)+IF(W93&gt;0,W93*470.51,0)+IF(X93&gt;0,X93*701.69,0)+IF(Z93&gt;0,Z93*151.63,0)+IF(AA93&gt;0,AA93*197.84)+IF(AB93&gt;0,AB93*308.4,0)+IF(AC93&gt;0,AC93*496.16,0)</f>
        <v/>
      </c>
    </row>
    <row r="94">
      <c r="A94" s="59" t="inlineStr">
        <is>
          <t>SIM</t>
        </is>
      </c>
      <c r="B94" s="59">
        <f>IF(H94&lt;$B$1,"VENCIDO","NA VALIDADE")</f>
        <v/>
      </c>
      <c r="C94" s="60" t="inlineStr">
        <is>
          <t>SUBESTAÇÃO</t>
        </is>
      </c>
      <c r="D94" s="61" t="inlineStr">
        <is>
          <t>SUBESTAÇÃO PASSAGEM DE AREIA</t>
        </is>
      </c>
      <c r="E94" s="74" t="inlineStr">
        <is>
          <t>PARNAMIRIM</t>
        </is>
      </c>
      <c r="F94" s="75" t="inlineStr">
        <is>
          <t>RN</t>
        </is>
      </c>
      <c r="G94" s="75" t="inlineStr">
        <is>
          <t>NATAL</t>
        </is>
      </c>
      <c r="H94" s="119" t="n">
        <v>45323</v>
      </c>
      <c r="I94" s="119" t="n">
        <v>45323</v>
      </c>
      <c r="J94" s="60">
        <f>SUM(L94:AE94)</f>
        <v/>
      </c>
      <c r="K94" s="60">
        <f>SUM(AF94:AK94)</f>
        <v/>
      </c>
      <c r="L94" s="60" t="n"/>
      <c r="M94" s="60" t="n"/>
      <c r="N94" s="60" t="n"/>
      <c r="O94" s="60" t="n"/>
      <c r="P94" s="60" t="n"/>
      <c r="Q94" s="60" t="n"/>
      <c r="R94" s="60" t="n"/>
      <c r="S94" s="60" t="n"/>
      <c r="T94" s="60" t="n">
        <v>1</v>
      </c>
      <c r="U94" s="60" t="n"/>
      <c r="V94" s="60" t="n"/>
      <c r="W94" s="60" t="n"/>
      <c r="X94" s="60" t="n"/>
      <c r="Y94" s="60" t="n"/>
      <c r="Z94" s="60" t="n"/>
      <c r="AA94" s="60" t="n">
        <v>4</v>
      </c>
      <c r="AB94" s="60" t="n"/>
      <c r="AC94" s="60" t="n"/>
      <c r="AD94" s="60" t="n"/>
      <c r="AE94" s="60" t="n"/>
      <c r="AF94" s="60" t="n"/>
      <c r="AG94" s="60" t="n"/>
      <c r="AH94" s="60" t="n"/>
      <c r="AI94" s="60" t="n"/>
      <c r="AJ94" s="60" t="n"/>
      <c r="AK94" s="120">
        <f>IF(L94&gt;0,L94*(82.29+8.15),0)+IF(M94&gt;0,M94*(8.15+339.97),0)+IF(N94&gt;0,N94*151.63,0)+IF(O94&gt;0,O94*197.82,0)+IF(P94&gt;0,P94*244.09,0)+IF(Q94&gt;0,Q94*315.35,0)+IF(R94&gt;0,R94*1067.3,0)+IF(T94&gt;0,T94*567.47,0)+IF(U94&gt;0,U94*151.63,0)+IF(V94&gt;0,V94*197.84,0)+IF(W94&gt;0,W94*470.51,0)+IF(X94&gt;0,X94*701.69,0)+IF(Z94&gt;0,Z94*151.63,0)+IF(AA94&gt;0,AA94*197.84)+IF(AB94&gt;0,AB94*308.4,0)+IF(AC94&gt;0,AC94*496.16,0)</f>
        <v/>
      </c>
    </row>
    <row r="95">
      <c r="A95" s="59" t="n"/>
      <c r="B95" s="59">
        <f>IF(H95&lt;$B$1,"VENCIDO","NA VALIDADE")</f>
        <v/>
      </c>
      <c r="C95" s="60" t="inlineStr">
        <is>
          <t>SUBESTAÇÃO</t>
        </is>
      </c>
      <c r="D95" s="61" t="inlineStr">
        <is>
          <t>SUBESTAÇÃO PIPA</t>
        </is>
      </c>
      <c r="E95" s="74" t="inlineStr">
        <is>
          <t>TIBAU DO SUL</t>
        </is>
      </c>
      <c r="F95" s="75" t="inlineStr">
        <is>
          <t>RN</t>
        </is>
      </c>
      <c r="G95" s="75" t="inlineStr">
        <is>
          <t>NATAL</t>
        </is>
      </c>
      <c r="H95" s="119" t="n">
        <v>45292</v>
      </c>
      <c r="I95" s="119" t="n">
        <v>45292</v>
      </c>
      <c r="J95" s="60">
        <f>SUM(L95:AE95)</f>
        <v/>
      </c>
      <c r="K95" s="60">
        <f>SUM(AF95:AK95)</f>
        <v/>
      </c>
      <c r="L95" s="60" t="n"/>
      <c r="M95" s="60" t="n"/>
      <c r="N95" s="60" t="n"/>
      <c r="O95" s="60" t="n"/>
      <c r="P95" s="60" t="n"/>
      <c r="Q95" s="60" t="n"/>
      <c r="R95" s="60" t="n"/>
      <c r="S95" s="60" t="n"/>
      <c r="T95" s="60" t="n">
        <v>1</v>
      </c>
      <c r="U95" s="60" t="n"/>
      <c r="V95" s="60" t="n"/>
      <c r="W95" s="60" t="n"/>
      <c r="X95" s="60" t="n"/>
      <c r="Y95" s="60" t="n"/>
      <c r="Z95" s="60" t="n"/>
      <c r="AA95" s="60" t="n">
        <v>2</v>
      </c>
      <c r="AB95" s="60" t="n"/>
      <c r="AC95" s="60" t="n"/>
      <c r="AD95" s="60" t="n"/>
      <c r="AE95" s="60" t="n"/>
      <c r="AF95" s="60" t="n"/>
      <c r="AG95" s="60" t="n"/>
      <c r="AH95" s="60" t="n"/>
      <c r="AI95" s="60" t="n"/>
      <c r="AJ95" s="60" t="n"/>
      <c r="AK95" s="120">
        <f>IF(L95&gt;0,L95*(82.29+8.15),0)+IF(M95&gt;0,M95*(8.15+339.97),0)+IF(N95&gt;0,N95*151.63,0)+IF(O95&gt;0,O95*197.82,0)+IF(P95&gt;0,P95*244.09,0)+IF(Q95&gt;0,Q95*315.35,0)+IF(R95&gt;0,R95*1067.3,0)+IF(T95&gt;0,T95*567.47,0)+IF(U95&gt;0,U95*151.63,0)+IF(V95&gt;0,V95*197.84,0)+IF(W95&gt;0,W95*470.51,0)+IF(X95&gt;0,X95*701.69,0)+IF(Z95&gt;0,Z95*151.63,0)+IF(AA95&gt;0,AA95*197.84)+IF(AB95&gt;0,AB95*308.4,0)+IF(AC95&gt;0,AC95*496.16,0)</f>
        <v/>
      </c>
    </row>
    <row r="96">
      <c r="A96" s="59" t="n"/>
      <c r="B96" s="59">
        <f>IF(H96&lt;$B$1,"VENCIDO","NA VALIDADE")</f>
        <v/>
      </c>
      <c r="C96" s="60" t="inlineStr">
        <is>
          <t>SUBESTAÇÃO</t>
        </is>
      </c>
      <c r="D96" s="61" t="inlineStr">
        <is>
          <t>SUBESTAÇÃO POTENGI</t>
        </is>
      </c>
      <c r="E96" s="74" t="inlineStr">
        <is>
          <t>NATAL</t>
        </is>
      </c>
      <c r="F96" s="75" t="inlineStr">
        <is>
          <t>RN</t>
        </is>
      </c>
      <c r="G96" s="75" t="inlineStr">
        <is>
          <t>NATAL</t>
        </is>
      </c>
      <c r="H96" s="119" t="n">
        <v>45658</v>
      </c>
      <c r="I96" s="119">
        <f>H96-180</f>
        <v/>
      </c>
      <c r="J96" s="60">
        <f>SUM(L96:AE96)</f>
        <v/>
      </c>
      <c r="K96" s="60">
        <f>SUM(AF96:AK96)</f>
        <v/>
      </c>
      <c r="L96" s="60" t="n"/>
      <c r="M96" s="60" t="n"/>
      <c r="N96" s="60" t="n"/>
      <c r="O96" s="60" t="n"/>
      <c r="P96" s="60" t="n"/>
      <c r="Q96" s="60" t="n"/>
      <c r="R96" s="60" t="n"/>
      <c r="S96" s="60" t="n"/>
      <c r="T96" s="60" t="n">
        <v>1</v>
      </c>
      <c r="U96" s="60" t="n"/>
      <c r="V96" s="60" t="n"/>
      <c r="W96" s="60" t="n"/>
      <c r="X96" s="60" t="n"/>
      <c r="Y96" s="60" t="n"/>
      <c r="Z96" s="60" t="n"/>
      <c r="AA96" s="60" t="n">
        <v>4</v>
      </c>
      <c r="AB96" s="60" t="n"/>
      <c r="AC96" s="60" t="n"/>
      <c r="AD96" s="60" t="n"/>
      <c r="AE96" s="60" t="n"/>
      <c r="AF96" s="60" t="n"/>
      <c r="AG96" s="60" t="n"/>
      <c r="AH96" s="60" t="n"/>
      <c r="AI96" s="60" t="n"/>
      <c r="AJ96" s="60" t="n"/>
      <c r="AK96" s="120">
        <f>IF(L96&gt;0,L96*(82.29+8.15),0)+IF(M96&gt;0,M96*(8.15+339.97),0)+IF(N96&gt;0,N96*151.63,0)+IF(O96&gt;0,O96*197.82,0)+IF(P96&gt;0,P96*244.09,0)+IF(Q96&gt;0,Q96*315.35,0)+IF(R96&gt;0,R96*1067.3,0)+IF(T96&gt;0,T96*567.47,0)+IF(U96&gt;0,U96*151.63,0)+IF(V96&gt;0,V96*197.84,0)+IF(W96&gt;0,W96*470.51,0)+IF(X96&gt;0,X96*701.69,0)+IF(Z96&gt;0,Z96*151.63,0)+IF(AA96&gt;0,AA96*197.84)+IF(AB96&gt;0,AB96*308.4,0)+IF(AC96&gt;0,AC96*496.16,0)</f>
        <v/>
      </c>
    </row>
    <row r="97">
      <c r="A97" s="59" t="n"/>
      <c r="B97" s="59">
        <f>IF(H97&lt;$B$1,"VENCIDO","NA VALIDADE")</f>
        <v/>
      </c>
      <c r="C97" s="60" t="inlineStr">
        <is>
          <t>SUBESTAÇÃO</t>
        </is>
      </c>
      <c r="D97" s="61" t="inlineStr">
        <is>
          <t>SUBESTAÇÃO SANTA CRUZ</t>
        </is>
      </c>
      <c r="E97" s="74" t="inlineStr">
        <is>
          <t>SANTA CRUZ</t>
        </is>
      </c>
      <c r="F97" s="75" t="inlineStr">
        <is>
          <t>RN</t>
        </is>
      </c>
      <c r="G97" s="75" t="inlineStr">
        <is>
          <t>NATAL</t>
        </is>
      </c>
      <c r="H97" s="119" t="n">
        <v>45352</v>
      </c>
      <c r="I97" s="119">
        <f>H97-180</f>
        <v/>
      </c>
      <c r="J97" s="60">
        <f>SUM(L97:AE97)</f>
        <v/>
      </c>
      <c r="K97" s="60">
        <f>SUM(AF97:AK97)</f>
        <v/>
      </c>
      <c r="L97" s="60" t="n"/>
      <c r="M97" s="60" t="n"/>
      <c r="N97" s="60" t="n">
        <v>5</v>
      </c>
      <c r="O97" s="60" t="n">
        <v>1</v>
      </c>
      <c r="P97" s="60" t="n"/>
      <c r="Q97" s="60" t="n"/>
      <c r="R97" s="60" t="n"/>
      <c r="S97" s="60" t="n"/>
      <c r="T97" s="60" t="n">
        <v>1</v>
      </c>
      <c r="U97" s="60" t="n"/>
      <c r="V97" s="60" t="n"/>
      <c r="W97" s="60" t="n"/>
      <c r="X97" s="60" t="n"/>
      <c r="Y97" s="60" t="n"/>
      <c r="Z97" s="60" t="n"/>
      <c r="AA97" s="60" t="n"/>
      <c r="AB97" s="60" t="n"/>
      <c r="AC97" s="60" t="n"/>
      <c r="AD97" s="60" t="n"/>
      <c r="AE97" s="60" t="n"/>
      <c r="AF97" s="60" t="n"/>
      <c r="AG97" s="60" t="n"/>
      <c r="AH97" s="60" t="n"/>
      <c r="AI97" s="60" t="n"/>
      <c r="AJ97" s="60" t="n"/>
      <c r="AK97" s="120">
        <f>IF(L97&gt;0,L97*(82.29+8.15),0)+IF(M97&gt;0,M97*(8.15+339.97),0)+IF(N97&gt;0,N97*151.63,0)+IF(O97&gt;0,O97*197.82,0)+IF(P97&gt;0,P97*244.09,0)+IF(Q97&gt;0,Q97*315.35,0)+IF(R97&gt;0,R97*1067.3,0)+IF(T97&gt;0,T97*567.47,0)+IF(U97&gt;0,U97*151.63,0)+IF(V97&gt;0,V97*197.84,0)+IF(W97&gt;0,W97*470.51,0)+IF(X97&gt;0,X97*701.69,0)+IF(Z97&gt;0,Z97*151.63,0)+IF(AA97&gt;0,AA97*197.84)+IF(AB97&gt;0,AB97*308.4,0)+IF(AC97&gt;0,AC97*496.16,0)</f>
        <v/>
      </c>
    </row>
    <row r="98">
      <c r="A98" s="59" t="n"/>
      <c r="B98" s="59">
        <f>IF(H98&lt;$B$1,"VENCIDO","NA VALIDADE")</f>
        <v/>
      </c>
      <c r="C98" s="60" t="inlineStr">
        <is>
          <t>SUBESTAÇÃO</t>
        </is>
      </c>
      <c r="D98" s="61" t="inlineStr">
        <is>
          <t xml:space="preserve">SUBESTAÇÃO SANTO ANTONIO </t>
        </is>
      </c>
      <c r="E98" s="74" t="inlineStr">
        <is>
          <t>SANTO ANTÔNIO</t>
        </is>
      </c>
      <c r="F98" s="75" t="inlineStr">
        <is>
          <t>RN</t>
        </is>
      </c>
      <c r="G98" s="75" t="inlineStr">
        <is>
          <t>NATAL</t>
        </is>
      </c>
      <c r="H98" s="119" t="n">
        <v>45292</v>
      </c>
      <c r="I98" s="119" t="n">
        <v>45292</v>
      </c>
      <c r="J98" s="60">
        <f>SUM(L98:AE98)</f>
        <v/>
      </c>
      <c r="K98" s="60">
        <f>SUM(AF98:AK98)</f>
        <v/>
      </c>
      <c r="L98" s="60" t="n"/>
      <c r="M98" s="60" t="n"/>
      <c r="N98" s="60" t="n"/>
      <c r="O98" s="60" t="n"/>
      <c r="P98" s="60" t="n"/>
      <c r="Q98" s="60" t="n"/>
      <c r="R98" s="60" t="n"/>
      <c r="S98" s="60" t="n"/>
      <c r="T98" s="60" t="n">
        <v>1</v>
      </c>
      <c r="U98" s="60" t="n"/>
      <c r="V98" s="60" t="n"/>
      <c r="W98" s="60" t="n"/>
      <c r="X98" s="60" t="n"/>
      <c r="Y98" s="60" t="n"/>
      <c r="Z98" s="60" t="n"/>
      <c r="AA98" s="60" t="n">
        <v>2</v>
      </c>
      <c r="AB98" s="60" t="n"/>
      <c r="AC98" s="60" t="n"/>
      <c r="AD98" s="60" t="n"/>
      <c r="AE98" s="60" t="n"/>
      <c r="AF98" s="60" t="n"/>
      <c r="AG98" s="60" t="n"/>
      <c r="AH98" s="60" t="n"/>
      <c r="AI98" s="60" t="n"/>
      <c r="AJ98" s="60" t="n"/>
      <c r="AK98" s="120">
        <f>IF(L98&gt;0,L98*(82.29+8.15),0)+IF(M98&gt;0,M98*(8.15+339.97),0)+IF(N98&gt;0,N98*151.63,0)+IF(O98&gt;0,O98*197.82,0)+IF(P98&gt;0,P98*244.09,0)+IF(Q98&gt;0,Q98*315.35,0)+IF(R98&gt;0,R98*1067.3,0)+IF(T98&gt;0,T98*567.47,0)+IF(U98&gt;0,U98*151.63,0)+IF(V98&gt;0,V98*197.84,0)+IF(W98&gt;0,W98*470.51,0)+IF(X98&gt;0,X98*701.69,0)+IF(Z98&gt;0,Z98*151.63,0)+IF(AA98&gt;0,AA98*197.84)+IF(AB98&gt;0,AB98*308.4,0)+IF(AC98&gt;0,AC98*496.16,0)</f>
        <v/>
      </c>
    </row>
    <row r="99">
      <c r="A99" s="59" t="n"/>
      <c r="B99" s="59">
        <f>IF(H99&lt;$B$1,"VENCIDO","NA VALIDADE")</f>
        <v/>
      </c>
      <c r="C99" s="60" t="inlineStr">
        <is>
          <t>BASE OP</t>
        </is>
      </c>
      <c r="D99" s="61" t="inlineStr">
        <is>
          <t>BASE OP SÃO PAULO POTENGI</t>
        </is>
      </c>
      <c r="E99" s="74" t="inlineStr">
        <is>
          <t>SÃO PAULO DO POTENGI</t>
        </is>
      </c>
      <c r="F99" s="75" t="inlineStr">
        <is>
          <t>RN</t>
        </is>
      </c>
      <c r="G99" s="75" t="inlineStr">
        <is>
          <t>NATAL</t>
        </is>
      </c>
      <c r="H99" s="119" t="n">
        <v>45413</v>
      </c>
      <c r="I99" s="119">
        <f>H99-180</f>
        <v/>
      </c>
      <c r="J99" s="60">
        <f>SUM(L99:AE99)</f>
        <v/>
      </c>
      <c r="K99" s="60">
        <f>SUM(AF99:AK99)</f>
        <v/>
      </c>
      <c r="L99" s="60" t="n">
        <v>2</v>
      </c>
      <c r="M99" s="60" t="n"/>
      <c r="N99" s="60" t="n">
        <v>2</v>
      </c>
      <c r="O99" s="60" t="n"/>
      <c r="P99" s="60" t="n"/>
      <c r="Q99" s="60" t="n"/>
      <c r="R99" s="60" t="n"/>
      <c r="S99" s="60" t="n"/>
      <c r="T99" s="60" t="n"/>
      <c r="U99" s="60" t="n"/>
      <c r="V99" s="60" t="n"/>
      <c r="W99" s="60" t="n"/>
      <c r="X99" s="60" t="n"/>
      <c r="Y99" s="60" t="n"/>
      <c r="Z99" s="60" t="n"/>
      <c r="AA99" s="60" t="n"/>
      <c r="AB99" s="60" t="n"/>
      <c r="AC99" s="60" t="n"/>
      <c r="AD99" s="60" t="n"/>
      <c r="AE99" s="60" t="n"/>
      <c r="AF99" s="60" t="n"/>
      <c r="AG99" s="60" t="n"/>
      <c r="AH99" s="60" t="n"/>
      <c r="AI99" s="60" t="n"/>
      <c r="AJ99" s="60" t="n"/>
      <c r="AK99" s="120">
        <f>IF(L99&gt;0,L99*(82.29+8.15),0)+IF(M99&gt;0,M99*(8.15+339.97),0)+IF(N99&gt;0,N99*151.63,0)+IF(O99&gt;0,O99*197.82,0)+IF(P99&gt;0,P99*244.09,0)+IF(Q99&gt;0,Q99*315.35,0)+IF(R99&gt;0,R99*1067.3,0)+IF(T99&gt;0,T99*567.47,0)+IF(U99&gt;0,U99*151.63,0)+IF(V99&gt;0,V99*197.84,0)+IF(W99&gt;0,W99*470.51,0)+IF(X99&gt;0,X99*701.69,0)+IF(Z99&gt;0,Z99*151.63,0)+IF(AA99&gt;0,AA99*197.84)+IF(AB99&gt;0,AB99*308.4,0)+IF(AC99&gt;0,AC99*496.16,0)</f>
        <v/>
      </c>
    </row>
    <row r="100">
      <c r="A100" s="59" t="n"/>
      <c r="B100" s="59">
        <f>IF(H100&lt;$B$1,"VENCIDO","NA VALIDADE")</f>
        <v/>
      </c>
      <c r="C100" s="60" t="inlineStr">
        <is>
          <t>SUBESTAÇÃO</t>
        </is>
      </c>
      <c r="D100" s="61" t="inlineStr">
        <is>
          <t>SUBESTAÇÃO SAO JOSE DE MIPIBU</t>
        </is>
      </c>
      <c r="E100" s="74" t="inlineStr">
        <is>
          <t>SÃO JOSÉ DE MIPIBU</t>
        </is>
      </c>
      <c r="F100" s="75" t="inlineStr">
        <is>
          <t>RN</t>
        </is>
      </c>
      <c r="G100" s="75" t="inlineStr">
        <is>
          <t>NATAL</t>
        </is>
      </c>
      <c r="H100" s="119" t="n">
        <v>45292</v>
      </c>
      <c r="I100" s="119" t="n">
        <v>45292</v>
      </c>
      <c r="J100" s="60">
        <f>SUM(L100:AE100)</f>
        <v/>
      </c>
      <c r="K100" s="60">
        <f>SUM(AF100:AK100)</f>
        <v/>
      </c>
      <c r="L100" s="60" t="n"/>
      <c r="M100" s="60" t="n"/>
      <c r="N100" s="60" t="n"/>
      <c r="O100" s="60" t="n"/>
      <c r="P100" s="60" t="n"/>
      <c r="Q100" s="60" t="n"/>
      <c r="R100" s="60" t="n"/>
      <c r="S100" s="60" t="n"/>
      <c r="T100" s="60" t="n">
        <v>2</v>
      </c>
      <c r="U100" s="60" t="n"/>
      <c r="V100" s="60" t="n"/>
      <c r="W100" s="60" t="n"/>
      <c r="X100" s="60" t="n"/>
      <c r="Y100" s="60" t="n"/>
      <c r="Z100" s="60" t="n"/>
      <c r="AA100" s="60" t="n">
        <v>2</v>
      </c>
      <c r="AB100" s="60" t="n"/>
      <c r="AC100" s="60" t="n"/>
      <c r="AD100" s="60" t="n"/>
      <c r="AE100" s="60" t="n"/>
      <c r="AF100" s="60" t="n"/>
      <c r="AG100" s="60" t="n"/>
      <c r="AH100" s="60" t="n"/>
      <c r="AI100" s="60" t="n"/>
      <c r="AJ100" s="60" t="n"/>
      <c r="AK100" s="120">
        <f>IF(L100&gt;0,L100*(82.29+8.15),0)+IF(M100&gt;0,M100*(8.15+339.97),0)+IF(N100&gt;0,N100*151.63,0)+IF(O100&gt;0,O100*197.82,0)+IF(P100&gt;0,P100*244.09,0)+IF(Q100&gt;0,Q100*315.35,0)+IF(R100&gt;0,R100*1067.3,0)+IF(T100&gt;0,T100*567.47,0)+IF(U100&gt;0,U100*151.63,0)+IF(V100&gt;0,V100*197.84,0)+IF(W100&gt;0,W100*470.51,0)+IF(X100&gt;0,X100*701.69,0)+IF(Z100&gt;0,Z100*151.63,0)+IF(AA100&gt;0,AA100*197.84)+IF(AB100&gt;0,AB100*308.4,0)+IF(AC100&gt;0,AC100*496.16,0)</f>
        <v/>
      </c>
    </row>
    <row r="101">
      <c r="A101" s="59" t="inlineStr">
        <is>
          <t>SIM</t>
        </is>
      </c>
      <c r="B101" s="59">
        <f>IF(H101&lt;$B$1,"VENCIDO","NA VALIDADE")</f>
        <v/>
      </c>
      <c r="C101" s="60" t="inlineStr">
        <is>
          <t>SUBESTAÇÃO</t>
        </is>
      </c>
      <c r="D101" s="61" t="inlineStr">
        <is>
          <t>SUBESTAÇÃO SÃO PAULO DO POTENGI</t>
        </is>
      </c>
      <c r="E101" s="74" t="inlineStr">
        <is>
          <t>SÃO PAULO DO POTENGI</t>
        </is>
      </c>
      <c r="F101" s="75" t="inlineStr">
        <is>
          <t>RN</t>
        </is>
      </c>
      <c r="G101" s="75" t="inlineStr">
        <is>
          <t>NATAL</t>
        </is>
      </c>
      <c r="H101" s="119" t="n">
        <v>45413</v>
      </c>
      <c r="I101" s="119" t="n">
        <v>45413</v>
      </c>
      <c r="J101" s="60">
        <f>SUM(L101:AE101)</f>
        <v/>
      </c>
      <c r="K101" s="60">
        <f>SUM(AF101:AK101)</f>
        <v/>
      </c>
      <c r="L101" s="60" t="n"/>
      <c r="M101" s="60" t="n"/>
      <c r="N101" s="60" t="n"/>
      <c r="O101" s="60" t="n"/>
      <c r="P101" s="60" t="n"/>
      <c r="Q101" s="60" t="n"/>
      <c r="R101" s="60" t="n"/>
      <c r="S101" s="60" t="n"/>
      <c r="T101" s="60" t="n">
        <v>1</v>
      </c>
      <c r="U101" s="60" t="n"/>
      <c r="V101" s="60" t="n"/>
      <c r="W101" s="60" t="n"/>
      <c r="X101" s="60" t="n"/>
      <c r="Y101" s="60" t="n"/>
      <c r="Z101" s="60" t="n"/>
      <c r="AA101" s="60" t="n">
        <v>2</v>
      </c>
      <c r="AB101" s="60" t="n"/>
      <c r="AC101" s="60" t="n"/>
      <c r="AD101" s="60" t="n"/>
      <c r="AE101" s="60" t="n"/>
      <c r="AF101" s="60" t="n"/>
      <c r="AG101" s="60" t="n"/>
      <c r="AH101" s="60" t="n"/>
      <c r="AI101" s="60" t="n"/>
      <c r="AJ101" s="60" t="n"/>
      <c r="AK101" s="120">
        <f>IF(L101&gt;0,L101*(82.29+8.15),0)+IF(M101&gt;0,M101*(8.15+339.97),0)+IF(N101&gt;0,N101*151.63,0)+IF(O101&gt;0,O101*197.82,0)+IF(P101&gt;0,P101*244.09,0)+IF(Q101&gt;0,Q101*315.35,0)+IF(R101&gt;0,R101*1067.3,0)+IF(T101&gt;0,T101*567.47,0)+IF(U101&gt;0,U101*151.63,0)+IF(V101&gt;0,V101*197.84,0)+IF(W101&gt;0,W101*470.51,0)+IF(X101&gt;0,X101*701.69,0)+IF(Z101&gt;0,Z101*151.63,0)+IF(AA101&gt;0,AA101*197.84)+IF(AB101&gt;0,AB101*308.4,0)+IF(AC101&gt;0,AC101*496.16,0)</f>
        <v/>
      </c>
    </row>
    <row r="102">
      <c r="A102" s="59" t="n"/>
      <c r="B102" s="59">
        <f>IF(H102&lt;$B$1,"VENCIDO","NA VALIDADE")</f>
        <v/>
      </c>
      <c r="C102" s="60" t="inlineStr">
        <is>
          <t>SUBESTAÇÃO</t>
        </is>
      </c>
      <c r="D102" s="61" t="inlineStr">
        <is>
          <t>SE TAIPU</t>
        </is>
      </c>
      <c r="E102" s="74" t="inlineStr">
        <is>
          <t>TAIPU</t>
        </is>
      </c>
      <c r="F102" s="75" t="inlineStr">
        <is>
          <t>RN</t>
        </is>
      </c>
      <c r="G102" s="75" t="inlineStr">
        <is>
          <t>NATAL</t>
        </is>
      </c>
      <c r="H102" s="119" t="n">
        <v>45444</v>
      </c>
      <c r="I102" s="119" t="n">
        <v>45444</v>
      </c>
      <c r="J102" s="60">
        <f>SUM(L102:AE102)</f>
        <v/>
      </c>
      <c r="K102" s="60">
        <f>SUM(AF102:AK102)</f>
        <v/>
      </c>
      <c r="L102" s="60" t="n"/>
      <c r="M102" s="60" t="n"/>
      <c r="N102" s="60" t="n"/>
      <c r="O102" s="60" t="n"/>
      <c r="P102" s="60" t="n"/>
      <c r="Q102" s="60" t="n"/>
      <c r="R102" s="60" t="n"/>
      <c r="S102" s="60" t="n"/>
      <c r="T102" s="60" t="n">
        <v>2</v>
      </c>
      <c r="U102" s="60" t="n"/>
      <c r="V102" s="60" t="n"/>
      <c r="W102" s="60" t="n"/>
      <c r="X102" s="60" t="n"/>
      <c r="Y102" s="60" t="n"/>
      <c r="Z102" s="60" t="n"/>
      <c r="AA102" s="60" t="n">
        <v>6</v>
      </c>
      <c r="AB102" s="60" t="n"/>
      <c r="AC102" s="60" t="n"/>
      <c r="AD102" s="60" t="n"/>
      <c r="AE102" s="60" t="n"/>
      <c r="AF102" s="60" t="n"/>
      <c r="AG102" s="60" t="n"/>
      <c r="AH102" s="60" t="n"/>
      <c r="AI102" s="60" t="n"/>
      <c r="AJ102" s="60" t="n"/>
      <c r="AK102" s="120">
        <f>IF(L102&gt;0,L102*(82.29+8.15),0)+IF(M102&gt;0,M102*(8.15+339.97),0)+IF(N102&gt;0,N102*151.63,0)+IF(O102&gt;0,O102*197.82,0)+IF(P102&gt;0,P102*244.09,0)+IF(Q102&gt;0,Q102*315.35,0)+IF(R102&gt;0,R102*1067.3,0)+IF(T102&gt;0,T102*567.47,0)+IF(U102&gt;0,U102*151.63,0)+IF(V102&gt;0,V102*197.84,0)+IF(W102&gt;0,W102*470.51,0)+IF(X102&gt;0,X102*701.69,0)+IF(Z102&gt;0,Z102*151.63,0)+IF(AA102&gt;0,AA102*197.84)+IF(AB102&gt;0,AB102*308.4,0)+IF(AC102&gt;0,AC102*496.16,0)</f>
        <v/>
      </c>
    </row>
    <row r="103">
      <c r="A103" s="59" t="n"/>
      <c r="B103" s="59">
        <f>IF(H103&lt;$B$1,"VENCIDO","NA VALIDADE")</f>
        <v/>
      </c>
      <c r="C103" s="60" t="inlineStr">
        <is>
          <t>SUBESTAÇÃO</t>
        </is>
      </c>
      <c r="D103" s="61" t="inlineStr">
        <is>
          <t>SUBESTAÇÃO TERMO POTIGUAR</t>
        </is>
      </c>
      <c r="E103" s="74" t="inlineStr">
        <is>
          <t>MACAÍBA</t>
        </is>
      </c>
      <c r="F103" s="75" t="inlineStr">
        <is>
          <t>RN</t>
        </is>
      </c>
      <c r="G103" s="75" t="inlineStr">
        <is>
          <t>NATAL</t>
        </is>
      </c>
      <c r="H103" s="119" t="n">
        <v>45292</v>
      </c>
      <c r="I103" s="119" t="n">
        <v>45292</v>
      </c>
      <c r="J103" s="60">
        <f>SUM(L103:AE103)</f>
        <v/>
      </c>
      <c r="K103" s="60">
        <f>SUM(AF103:AK103)</f>
        <v/>
      </c>
      <c r="L103" s="60" t="n"/>
      <c r="M103" s="60" t="n"/>
      <c r="N103" s="60" t="n"/>
      <c r="O103" s="60" t="n"/>
      <c r="P103" s="60" t="n"/>
      <c r="Q103" s="60" t="n"/>
      <c r="R103" s="60" t="n"/>
      <c r="S103" s="60" t="n"/>
      <c r="T103" s="60" t="n">
        <v>1</v>
      </c>
      <c r="U103" s="60" t="n"/>
      <c r="V103" s="60" t="n"/>
      <c r="W103" s="60" t="n"/>
      <c r="X103" s="60" t="n"/>
      <c r="Y103" s="60" t="n"/>
      <c r="Z103" s="60" t="n"/>
      <c r="AA103" s="60" t="n">
        <v>2</v>
      </c>
      <c r="AB103" s="60" t="n"/>
      <c r="AC103" s="60" t="n"/>
      <c r="AD103" s="60" t="n"/>
      <c r="AE103" s="60" t="n"/>
      <c r="AF103" s="60" t="n"/>
      <c r="AG103" s="60" t="n"/>
      <c r="AH103" s="60" t="n"/>
      <c r="AI103" s="60" t="n"/>
      <c r="AJ103" s="60" t="n"/>
      <c r="AK103" s="120">
        <f>IF(L103&gt;0,L103*(82.29+8.15),0)+IF(M103&gt;0,M103*(8.15+339.97),0)+IF(N103&gt;0,N103*151.63,0)+IF(O103&gt;0,O103*197.82,0)+IF(P103&gt;0,P103*244.09,0)+IF(Q103&gt;0,Q103*315.35,0)+IF(R103&gt;0,R103*1067.3,0)+IF(T103&gt;0,T103*567.47,0)+IF(U103&gt;0,U103*151.63,0)+IF(V103&gt;0,V103*197.84,0)+IF(W103&gt;0,W103*470.51,0)+IF(X103&gt;0,X103*701.69,0)+IF(Z103&gt;0,Z103*151.63,0)+IF(AA103&gt;0,AA103*197.84)+IF(AB103&gt;0,AB103*308.4,0)+IF(AC103&gt;0,AC103*496.16,0)</f>
        <v/>
      </c>
    </row>
    <row r="104">
      <c r="A104" s="59" t="inlineStr">
        <is>
          <t>SIM</t>
        </is>
      </c>
      <c r="B104" s="59">
        <f>IF(H104&lt;$B$1,"VENCIDO","NA VALIDADE")</f>
        <v/>
      </c>
      <c r="C104" s="60" t="inlineStr">
        <is>
          <t>SUBESTAÇÃO</t>
        </is>
      </c>
      <c r="D104" s="61" t="inlineStr">
        <is>
          <t>SUBESTAÇÃO VERA CRUZ</t>
        </is>
      </c>
      <c r="E104" s="74" t="inlineStr">
        <is>
          <t>VERA CRUZ</t>
        </is>
      </c>
      <c r="F104" s="75" t="inlineStr">
        <is>
          <t>RN</t>
        </is>
      </c>
      <c r="G104" s="75" t="inlineStr">
        <is>
          <t>NATAL</t>
        </is>
      </c>
      <c r="H104" s="119" t="n">
        <v>45292</v>
      </c>
      <c r="I104" s="119" t="n">
        <v>45292</v>
      </c>
      <c r="J104" s="60">
        <f>SUM(L104:AE104)</f>
        <v/>
      </c>
      <c r="K104" s="60">
        <f>SUM(AF104:AK104)</f>
        <v/>
      </c>
      <c r="L104" s="60" t="n"/>
      <c r="M104" s="60" t="n"/>
      <c r="N104" s="60" t="n"/>
      <c r="O104" s="60" t="n"/>
      <c r="P104" s="60" t="n"/>
      <c r="Q104" s="60" t="n"/>
      <c r="R104" s="60" t="n"/>
      <c r="S104" s="60" t="n"/>
      <c r="T104" s="60" t="n">
        <v>1</v>
      </c>
      <c r="U104" s="60" t="n"/>
      <c r="V104" s="60" t="n"/>
      <c r="W104" s="60" t="n"/>
      <c r="X104" s="60" t="n"/>
      <c r="Y104" s="60" t="n"/>
      <c r="Z104" s="60" t="n"/>
      <c r="AA104" s="60" t="n">
        <v>2</v>
      </c>
      <c r="AB104" s="60" t="n"/>
      <c r="AC104" s="60" t="n"/>
      <c r="AD104" s="60" t="n"/>
      <c r="AE104" s="60" t="n"/>
      <c r="AF104" s="60" t="n"/>
      <c r="AG104" s="60" t="n"/>
      <c r="AH104" s="60" t="n"/>
      <c r="AI104" s="60" t="n"/>
      <c r="AJ104" s="60" t="n"/>
      <c r="AK104" s="120">
        <f>IF(L104&gt;0,L104*(82.29+8.15),0)+IF(M104&gt;0,M104*(8.15+339.97),0)+IF(N104&gt;0,N104*151.63,0)+IF(O104&gt;0,O104*197.82,0)+IF(P104&gt;0,P104*244.09,0)+IF(Q104&gt;0,Q104*315.35,0)+IF(R104&gt;0,R104*1067.3,0)+IF(T104&gt;0,T104*567.47,0)+IF(U104&gt;0,U104*151.63,0)+IF(V104&gt;0,V104*197.84,0)+IF(W104&gt;0,W104*470.51,0)+IF(X104&gt;0,X104*701.69,0)+IF(Z104&gt;0,Z104*151.63,0)+IF(AA104&gt;0,AA104*197.84)+IF(AB104&gt;0,AB104*308.4,0)+IF(AC104&gt;0,AC104*496.16,0)</f>
        <v/>
      </c>
    </row>
    <row r="105">
      <c r="A105" s="59" t="inlineStr">
        <is>
          <t>SIM</t>
        </is>
      </c>
      <c r="B105" s="59">
        <f>IF(H105&lt;$B$1,"VENCIDO","NA VALIDADE")</f>
        <v/>
      </c>
      <c r="C105" s="60" t="inlineStr">
        <is>
          <t>UTD</t>
        </is>
      </c>
      <c r="D105" s="61" t="inlineStr">
        <is>
          <t>UTD ASSÚ</t>
        </is>
      </c>
      <c r="E105" s="74" t="inlineStr">
        <is>
          <t>ASSÚ</t>
        </is>
      </c>
      <c r="F105" s="75" t="inlineStr">
        <is>
          <t>RN</t>
        </is>
      </c>
      <c r="G105" s="75" t="inlineStr">
        <is>
          <t>NATAL</t>
        </is>
      </c>
      <c r="H105" s="119" t="n">
        <v>45474</v>
      </c>
      <c r="I105" s="119">
        <f>H105-180</f>
        <v/>
      </c>
      <c r="J105" s="60" t="n">
        <v>6</v>
      </c>
      <c r="K105" s="60">
        <f>SUM(AF105:AK105)</f>
        <v/>
      </c>
      <c r="L105" s="60" t="n">
        <v>3</v>
      </c>
      <c r="M105" s="60" t="n"/>
      <c r="N105" s="60" t="n"/>
      <c r="O105" s="60" t="n">
        <v>2</v>
      </c>
      <c r="P105" s="60" t="n"/>
      <c r="Q105" s="60" t="n"/>
      <c r="R105" s="60" t="n"/>
      <c r="S105" s="60" t="n"/>
      <c r="T105" s="60" t="n"/>
      <c r="U105" s="60" t="n"/>
      <c r="V105" s="60" t="n"/>
      <c r="W105" s="60" t="n"/>
      <c r="X105" s="60" t="n"/>
      <c r="Y105" s="60" t="n"/>
      <c r="Z105" s="60" t="n"/>
      <c r="AA105" s="60" t="n">
        <v>1</v>
      </c>
      <c r="AB105" s="60" t="n"/>
      <c r="AC105" s="60" t="n"/>
      <c r="AD105" s="60" t="n"/>
      <c r="AE105" s="60" t="n"/>
      <c r="AF105" s="60" t="n"/>
      <c r="AG105" s="60" t="n"/>
      <c r="AH105" s="60" t="n"/>
      <c r="AI105" s="60" t="n"/>
      <c r="AJ105" s="60" t="n"/>
      <c r="AK105" s="120">
        <f>IF(L105&gt;0,L105*(82.29+8.15),0)+IF(M105&gt;0,M105*(8.15+339.97),0)+IF(N105&gt;0,N105*151.63,0)+IF(O105&gt;0,O105*197.82,0)+IF(P105&gt;0,P105*244.09,0)+IF(Q105&gt;0,Q105*315.35,0)+IF(R105&gt;0,R105*1067.3,0)+IF(T105&gt;0,T105*567.47,0)+IF(U105&gt;0,U105*151.63,0)+IF(V105&gt;0,V105*197.84,0)+IF(W105&gt;0,W105*470.51,0)+IF(X105&gt;0,X105*701.69,0)+IF(Z105&gt;0,Z105*151.63,0)+IF(AA105&gt;0,AA105*197.84)+IF(AB105&gt;0,AB105*308.4,0)+IF(AC105&gt;0,AC105*496.16,0)</f>
        <v/>
      </c>
    </row>
    <row r="106">
      <c r="A106" s="59" t="inlineStr">
        <is>
          <t>SIM</t>
        </is>
      </c>
      <c r="B106" s="59">
        <f>IF(H106&lt;$B$1,"VENCIDO","NA VALIDADE")</f>
        <v/>
      </c>
      <c r="C106" s="60" t="inlineStr">
        <is>
          <t>UTD</t>
        </is>
      </c>
      <c r="D106" s="61" t="inlineStr">
        <is>
          <t>UTD CAICÓ</t>
        </is>
      </c>
      <c r="E106" s="74" t="inlineStr">
        <is>
          <t>CAICÓ</t>
        </is>
      </c>
      <c r="F106" s="75" t="inlineStr">
        <is>
          <t>RN</t>
        </is>
      </c>
      <c r="G106" s="75" t="inlineStr">
        <is>
          <t>NATAL</t>
        </is>
      </c>
      <c r="H106" s="119" t="n">
        <v>45413</v>
      </c>
      <c r="I106" s="119" t="n">
        <v>45413</v>
      </c>
      <c r="J106" s="60">
        <f>SUM(L106:AE106)</f>
        <v/>
      </c>
      <c r="K106" s="60">
        <f>SUM(AF106:AK106)</f>
        <v/>
      </c>
      <c r="L106" s="60" t="n">
        <v>5</v>
      </c>
      <c r="M106" s="60" t="n"/>
      <c r="N106" s="60" t="n">
        <v>3</v>
      </c>
      <c r="O106" s="60" t="n"/>
      <c r="P106" s="60" t="n"/>
      <c r="Q106" s="60" t="n"/>
      <c r="R106" s="60" t="n"/>
      <c r="S106" s="60" t="n"/>
      <c r="T106" s="60" t="n"/>
      <c r="U106" s="60" t="n"/>
      <c r="V106" s="60" t="n"/>
      <c r="W106" s="60" t="n"/>
      <c r="X106" s="60" t="n"/>
      <c r="Y106" s="60" t="n"/>
      <c r="Z106" s="60" t="n"/>
      <c r="AA106" s="60" t="n">
        <v>2</v>
      </c>
      <c r="AB106" s="60" t="n"/>
      <c r="AC106" s="60" t="n"/>
      <c r="AD106" s="60" t="n"/>
      <c r="AE106" s="60" t="n"/>
      <c r="AF106" s="60" t="n"/>
      <c r="AG106" s="60" t="n"/>
      <c r="AH106" s="60" t="n"/>
      <c r="AI106" s="60" t="n"/>
      <c r="AJ106" s="60" t="n"/>
      <c r="AK106" s="120">
        <f>IF(L106&gt;0,L106*(82.29+8.15),0)+IF(M106&gt;0,M106*(8.15+339.97),0)+IF(N106&gt;0,N106*151.63,0)+IF(O106&gt;0,O106*197.82,0)+IF(P106&gt;0,P106*244.09,0)+IF(Q106&gt;0,Q106*315.35,0)+IF(R106&gt;0,R106*1067.3,0)+IF(T106&gt;0,T106*567.47,0)+IF(U106&gt;0,U106*151.63,0)+IF(V106&gt;0,V106*197.84,0)+IF(W106&gt;0,W106*470.51,0)+IF(X106&gt;0,X106*701.69,0)+IF(Z106&gt;0,Z106*151.63,0)+IF(AA106&gt;0,AA106*197.84)+IF(AB106&gt;0,AB106*308.4,0)+IF(AC106&gt;0,AC106*496.16,0)</f>
        <v/>
      </c>
    </row>
    <row r="107">
      <c r="A107" s="59" t="inlineStr">
        <is>
          <t>SIM</t>
        </is>
      </c>
      <c r="B107" s="59">
        <f>IF(H107&lt;$B$1,"VENCIDO","NA VALIDADE")</f>
        <v/>
      </c>
      <c r="C107" s="60" t="inlineStr">
        <is>
          <t>BASE OP</t>
        </is>
      </c>
      <c r="D107" s="61" t="inlineStr">
        <is>
          <t>BASE OP CARAÚBAS</t>
        </is>
      </c>
      <c r="E107" s="74" t="inlineStr">
        <is>
          <t>CARAÚBAS</t>
        </is>
      </c>
      <c r="F107" s="75" t="inlineStr">
        <is>
          <t>RN</t>
        </is>
      </c>
      <c r="G107" s="75" t="inlineStr">
        <is>
          <t>NATAL</t>
        </is>
      </c>
      <c r="H107" s="119" t="n">
        <v>45444</v>
      </c>
      <c r="I107" s="119" t="n">
        <v>45444</v>
      </c>
      <c r="J107" s="60">
        <f>SUM(L107:AE107)</f>
        <v/>
      </c>
      <c r="K107" s="60">
        <f>SUM(AF107:AK107)</f>
        <v/>
      </c>
      <c r="L107" s="60" t="n">
        <v>3</v>
      </c>
      <c r="M107" s="60" t="n"/>
      <c r="N107" s="60" t="n"/>
      <c r="O107" s="60" t="n"/>
      <c r="P107" s="60" t="n"/>
      <c r="Q107" s="60" t="n"/>
      <c r="R107" s="60" t="n"/>
      <c r="S107" s="60" t="n"/>
      <c r="T107" s="60" t="n"/>
      <c r="U107" s="60" t="n"/>
      <c r="V107" s="60" t="n"/>
      <c r="W107" s="60" t="n"/>
      <c r="X107" s="60" t="n"/>
      <c r="Y107" s="60" t="n"/>
      <c r="Z107" s="60" t="n"/>
      <c r="AA107" s="60" t="n">
        <v>3</v>
      </c>
      <c r="AB107" s="60" t="n"/>
      <c r="AC107" s="60" t="n"/>
      <c r="AD107" s="60" t="n"/>
      <c r="AE107" s="60" t="n"/>
      <c r="AF107" s="60" t="n"/>
      <c r="AG107" s="60" t="n"/>
      <c r="AH107" s="60" t="n"/>
      <c r="AI107" s="60" t="n"/>
      <c r="AJ107" s="60" t="n"/>
      <c r="AK107" s="120">
        <f>IF(L107&gt;0,L107*(82.29+8.15),0)+IF(M107&gt;0,M107*(8.15+339.97),0)+IF(N107&gt;0,N107*151.63,0)+IF(O107&gt;0,O107*197.82,0)+IF(P107&gt;0,P107*244.09,0)+IF(Q107&gt;0,Q107*315.35,0)+IF(R107&gt;0,R107*1067.3,0)+IF(T107&gt;0,T107*567.47,0)+IF(U107&gt;0,U107*151.63,0)+IF(V107&gt;0,V107*197.84,0)+IF(W107&gt;0,W107*470.51,0)+IF(X107&gt;0,X107*701.69,0)+IF(Z107&gt;0,Z107*151.63,0)+IF(AA107&gt;0,AA107*197.84)+IF(AB107&gt;0,AB107*308.4,0)+IF(AC107&gt;0,AC107*496.16,0)</f>
        <v/>
      </c>
    </row>
    <row r="108">
      <c r="A108" s="59" t="inlineStr">
        <is>
          <t>SIM</t>
        </is>
      </c>
      <c r="B108" s="59">
        <f>IF(H108&lt;$B$1,"VENCIDO","NA VALIDADE")</f>
        <v/>
      </c>
      <c r="C108" s="60" t="inlineStr">
        <is>
          <t>UTD</t>
        </is>
      </c>
      <c r="D108" s="61" t="inlineStr">
        <is>
          <t>UTD CEARÁ-MIRIM</t>
        </is>
      </c>
      <c r="E108" s="74" t="inlineStr">
        <is>
          <t>CEARÁ-MIRIM</t>
        </is>
      </c>
      <c r="F108" s="75" t="inlineStr">
        <is>
          <t>RN</t>
        </is>
      </c>
      <c r="G108" s="75" t="inlineStr">
        <is>
          <t>NATAL</t>
        </is>
      </c>
      <c r="H108" s="119" t="n">
        <v>45658</v>
      </c>
      <c r="I108" s="119">
        <f>H108-180</f>
        <v/>
      </c>
      <c r="J108" s="60">
        <f>SUM(L108:AE108)</f>
        <v/>
      </c>
      <c r="K108" s="60">
        <f>SUM(AF108:AK108)</f>
        <v/>
      </c>
      <c r="L108" s="60" t="n">
        <v>6</v>
      </c>
      <c r="M108" s="60" t="n"/>
      <c r="N108" s="60" t="n">
        <v>4</v>
      </c>
      <c r="O108" s="60" t="n"/>
      <c r="P108" s="60" t="n">
        <v>1</v>
      </c>
      <c r="Q108" s="60" t="n"/>
      <c r="R108" s="60" t="n"/>
      <c r="S108" s="60" t="n"/>
      <c r="T108" s="60" t="n"/>
      <c r="U108" s="60" t="n"/>
      <c r="V108" s="60" t="n"/>
      <c r="W108" s="60" t="n"/>
      <c r="X108" s="60" t="n"/>
      <c r="Y108" s="60" t="n"/>
      <c r="Z108" s="60" t="n"/>
      <c r="AA108" s="60" t="n">
        <v>2</v>
      </c>
      <c r="AB108" s="60" t="n"/>
      <c r="AC108" s="60" t="n"/>
      <c r="AD108" s="60" t="n"/>
      <c r="AE108" s="60" t="n"/>
      <c r="AF108" s="60" t="n"/>
      <c r="AG108" s="60" t="n"/>
      <c r="AH108" s="60" t="n"/>
      <c r="AI108" s="60" t="n"/>
      <c r="AJ108" s="60" t="n"/>
      <c r="AK108" s="120">
        <f>IF(L108&gt;0,L108*(82.29+8.15),0)+IF(M108&gt;0,M108*(8.15+339.97),0)+IF(N108&gt;0,N108*151.63,0)+IF(O108&gt;0,O108*197.82,0)+IF(P108&gt;0,P108*244.09,0)+IF(Q108&gt;0,Q108*315.35,0)+IF(R108&gt;0,R108*1067.3,0)+IF(T108&gt;0,T108*567.47,0)+IF(U108&gt;0,U108*151.63,0)+IF(V108&gt;0,V108*197.84,0)+IF(W108&gt;0,W108*470.51,0)+IF(X108&gt;0,X108*701.69,0)+IF(Z108&gt;0,Z108*151.63,0)+IF(AA108&gt;0,AA108*197.84)+IF(AB108&gt;0,AB108*308.4,0)+IF(AC108&gt;0,AC108*496.16,0)</f>
        <v/>
      </c>
    </row>
    <row r="109">
      <c r="A109" s="59" t="inlineStr">
        <is>
          <t>SIM</t>
        </is>
      </c>
      <c r="B109" s="59">
        <f>IF(H109&lt;$B$1,"VENCIDO","NA VALIDADE")</f>
        <v/>
      </c>
      <c r="C109" s="60" t="inlineStr">
        <is>
          <t>UTD</t>
        </is>
      </c>
      <c r="D109" s="61" t="inlineStr">
        <is>
          <t>UTD CURRAIS NOVOS</t>
        </is>
      </c>
      <c r="E109" s="74" t="inlineStr">
        <is>
          <t>CURRAIS NOVOS</t>
        </is>
      </c>
      <c r="F109" s="75" t="inlineStr">
        <is>
          <t>RN</t>
        </is>
      </c>
      <c r="G109" s="75" t="inlineStr">
        <is>
          <t>NATAL</t>
        </is>
      </c>
      <c r="H109" s="119" t="n">
        <v>45444</v>
      </c>
      <c r="I109" s="119" t="n">
        <v>45444</v>
      </c>
      <c r="J109" s="60">
        <f>SUM(L109:AE109)</f>
        <v/>
      </c>
      <c r="K109" s="60">
        <f>SUM(AF109:AK109)</f>
        <v/>
      </c>
      <c r="L109" s="60" t="n">
        <v>2</v>
      </c>
      <c r="M109" s="60" t="n"/>
      <c r="N109" s="60" t="n"/>
      <c r="O109" s="60" t="n"/>
      <c r="P109" s="60" t="n"/>
      <c r="Q109" s="60" t="n"/>
      <c r="R109" s="60" t="n"/>
      <c r="S109" s="60" t="n"/>
      <c r="T109" s="60" t="n"/>
      <c r="U109" s="60" t="n"/>
      <c r="V109" s="60" t="n"/>
      <c r="W109" s="60" t="n"/>
      <c r="X109" s="60" t="n"/>
      <c r="Y109" s="60" t="n"/>
      <c r="Z109" s="60" t="n"/>
      <c r="AA109" s="60" t="n">
        <v>2</v>
      </c>
      <c r="AB109" s="60" t="n"/>
      <c r="AC109" s="60" t="n"/>
      <c r="AD109" s="60" t="n"/>
      <c r="AE109" s="60" t="n"/>
      <c r="AF109" s="60" t="n"/>
      <c r="AG109" s="60" t="n"/>
      <c r="AH109" s="60" t="n"/>
      <c r="AI109" s="60" t="n"/>
      <c r="AJ109" s="60" t="n"/>
      <c r="AK109" s="120">
        <f>IF(L109&gt;0,L109*(82.29+8.15),0)+IF(M109&gt;0,M109*(8.15+339.97),0)+IF(N109&gt;0,N109*151.63,0)+IF(O109&gt;0,O109*197.82,0)+IF(P109&gt;0,P109*244.09,0)+IF(Q109&gt;0,Q109*315.35,0)+IF(R109&gt;0,R109*1067.3,0)+IF(T109&gt;0,T109*567.47,0)+IF(U109&gt;0,U109*151.63,0)+IF(V109&gt;0,V109*197.84,0)+IF(W109&gt;0,W109*470.51,0)+IF(X109&gt;0,X109*701.69,0)+IF(Z109&gt;0,Z109*151.63,0)+IF(AA109&gt;0,AA109*197.84)+IF(AB109&gt;0,AB109*308.4,0)+IF(AC109&gt;0,AC109*496.16,0)</f>
        <v/>
      </c>
    </row>
    <row r="110">
      <c r="A110" s="123" t="n">
        <v>44774</v>
      </c>
      <c r="B110" s="59">
        <f>IF(H110&lt;$B$1,"VENCIDO","NA VALIDADE")</f>
        <v/>
      </c>
      <c r="C110" s="60" t="inlineStr">
        <is>
          <t>UTD</t>
        </is>
      </c>
      <c r="D110" s="61" t="inlineStr">
        <is>
          <t>UTD GOIANINHA</t>
        </is>
      </c>
      <c r="E110" s="74" t="inlineStr">
        <is>
          <t>GOIANINHA</t>
        </is>
      </c>
      <c r="F110" s="75" t="inlineStr">
        <is>
          <t>RN</t>
        </is>
      </c>
      <c r="G110" s="75" t="inlineStr">
        <is>
          <t>NATAL</t>
        </is>
      </c>
      <c r="H110" s="119" t="n">
        <v>45474</v>
      </c>
      <c r="I110" s="119">
        <f>H110-180</f>
        <v/>
      </c>
      <c r="J110" s="60">
        <f>SUM(L110:AE110)</f>
        <v/>
      </c>
      <c r="K110" s="60">
        <f>SUM(AF110:AK110)</f>
        <v/>
      </c>
      <c r="L110" s="60" t="n">
        <v>3</v>
      </c>
      <c r="M110" s="60" t="n"/>
      <c r="N110" s="60" t="n">
        <v>1</v>
      </c>
      <c r="O110" s="60" t="n">
        <v>1</v>
      </c>
      <c r="P110" s="60" t="n"/>
      <c r="Q110" s="60" t="n"/>
      <c r="R110" s="60" t="n"/>
      <c r="S110" s="60" t="n"/>
      <c r="T110" s="60" t="n"/>
      <c r="U110" s="60" t="n"/>
      <c r="V110" s="60" t="n"/>
      <c r="W110" s="60" t="n"/>
      <c r="X110" s="60" t="n"/>
      <c r="Y110" s="60" t="n"/>
      <c r="Z110" s="60" t="n"/>
      <c r="AA110" s="60" t="n">
        <v>1</v>
      </c>
      <c r="AB110" s="60" t="n"/>
      <c r="AC110" s="60" t="n"/>
      <c r="AD110" s="60" t="n"/>
      <c r="AE110" s="60" t="n"/>
      <c r="AF110" s="60" t="n"/>
      <c r="AG110" s="60" t="n"/>
      <c r="AH110" s="60" t="n"/>
      <c r="AI110" s="60" t="n"/>
      <c r="AJ110" s="60" t="n"/>
      <c r="AK110" s="120">
        <f>IF(L110&gt;0,L110*(82.29+8.15),0)+IF(M110&gt;0,M110*(8.15+339.97),0)+IF(N110&gt;0,N110*151.63,0)+IF(O110&gt;0,O110*197.82,0)+IF(P110&gt;0,P110*244.09,0)+IF(Q110&gt;0,Q110*315.35,0)+IF(R110&gt;0,R110*1067.3,0)+IF(T110&gt;0,T110*567.47,0)+IF(U110&gt;0,U110*151.63,0)+IF(V110&gt;0,V110*197.84,0)+IF(W110&gt;0,W110*470.51,0)+IF(X110&gt;0,X110*701.69,0)+IF(Z110&gt;0,Z110*151.63,0)+IF(AA110&gt;0,AA110*197.84)+IF(AB110&gt;0,AB110*308.4,0)+IF(AC110&gt;0,AC110*496.16,0)</f>
        <v/>
      </c>
    </row>
    <row r="111">
      <c r="A111" s="59" t="inlineStr">
        <is>
          <t>SIM</t>
        </is>
      </c>
      <c r="B111" s="59">
        <f>IF(H111&lt;$B$1,"VENCIDO","NA VALIDADE")</f>
        <v/>
      </c>
      <c r="C111" s="60" t="inlineStr">
        <is>
          <t>UTD</t>
        </is>
      </c>
      <c r="D111" s="61" t="inlineStr">
        <is>
          <t>UTD LAGOA AZUL</t>
        </is>
      </c>
      <c r="E111" s="74" t="inlineStr">
        <is>
          <t>NATAL</t>
        </is>
      </c>
      <c r="F111" s="75" t="inlineStr">
        <is>
          <t>RN</t>
        </is>
      </c>
      <c r="G111" s="75" t="inlineStr">
        <is>
          <t>NATAL</t>
        </is>
      </c>
      <c r="H111" s="119" t="n">
        <v>45505</v>
      </c>
      <c r="I111" s="119">
        <f>H111-180</f>
        <v/>
      </c>
      <c r="J111" s="60">
        <f>SUM(L111:AE111)</f>
        <v/>
      </c>
      <c r="K111" s="60">
        <f>SUM(AF111:AK111)</f>
        <v/>
      </c>
      <c r="L111" s="60" t="n"/>
      <c r="M111" s="60" t="n"/>
      <c r="N111" s="60" t="n"/>
      <c r="O111" s="60" t="n"/>
      <c r="P111" s="60" t="n"/>
      <c r="Q111" s="60" t="n"/>
      <c r="R111" s="60" t="n"/>
      <c r="S111" s="60" t="n"/>
      <c r="T111" s="60" t="n"/>
      <c r="U111" s="60" t="n">
        <v>4</v>
      </c>
      <c r="V111" s="60" t="n"/>
      <c r="W111" s="60" t="n"/>
      <c r="X111" s="60" t="n"/>
      <c r="Y111" s="60" t="n"/>
      <c r="Z111" s="60" t="n"/>
      <c r="AA111" s="60" t="n"/>
      <c r="AB111" s="60" t="n"/>
      <c r="AC111" s="60" t="n"/>
      <c r="AD111" s="60" t="n"/>
      <c r="AE111" s="60" t="n"/>
      <c r="AF111" s="60" t="n"/>
      <c r="AG111" s="60" t="n"/>
      <c r="AH111" s="60" t="n"/>
      <c r="AI111" s="60" t="n"/>
      <c r="AJ111" s="60" t="n"/>
      <c r="AK111" s="120">
        <f>IF(L111&gt;0,L111*(82.29+8.15),0)+IF(M111&gt;0,M111*(8.15+339.97),0)+IF(N111&gt;0,N111*151.63,0)+IF(O111&gt;0,O111*197.82,0)+IF(P111&gt;0,P111*244.09,0)+IF(Q111&gt;0,Q111*315.35,0)+IF(R111&gt;0,R111*1067.3,0)+IF(T111&gt;0,T111*567.47,0)+IF(U111&gt;0,U111*151.63,0)+IF(V111&gt;0,V111*197.84,0)+IF(W111&gt;0,W111*470.51,0)+IF(X111&gt;0,X111*701.69,0)+IF(Z111&gt;0,Z111*151.63,0)+IF(AA111&gt;0,AA111*197.84)+IF(AB111&gt;0,AB111*308.4,0)+IF(AC111&gt;0,AC111*496.16,0)</f>
        <v/>
      </c>
    </row>
    <row r="112">
      <c r="A112" s="59" t="n"/>
      <c r="B112" s="59">
        <f>IF(H112&lt;$B$1,"VENCIDO","NA VALIDADE")</f>
        <v/>
      </c>
      <c r="C112" s="60" t="inlineStr">
        <is>
          <t>UTD</t>
        </is>
      </c>
      <c r="D112" s="61" t="inlineStr">
        <is>
          <t>UTD MOSSORÓ</t>
        </is>
      </c>
      <c r="E112" s="74" t="inlineStr">
        <is>
          <t>MOSSORÓ</t>
        </is>
      </c>
      <c r="F112" s="75" t="inlineStr">
        <is>
          <t>RN</t>
        </is>
      </c>
      <c r="G112" s="75" t="inlineStr">
        <is>
          <t>NATAL</t>
        </is>
      </c>
      <c r="H112" s="119" t="n">
        <v>45474</v>
      </c>
      <c r="I112" s="119">
        <f>H112-180</f>
        <v/>
      </c>
      <c r="J112" s="60">
        <f>SUM(L112:AE112)</f>
        <v/>
      </c>
      <c r="K112" s="60">
        <f>SUM(AF112:AK112)</f>
        <v/>
      </c>
      <c r="L112" s="60" t="n">
        <v>22</v>
      </c>
      <c r="M112" s="60" t="n"/>
      <c r="N112" s="60" t="n">
        <v>10</v>
      </c>
      <c r="O112" s="60" t="n">
        <v>9</v>
      </c>
      <c r="P112" s="60" t="n"/>
      <c r="Q112" s="60" t="n"/>
      <c r="R112" s="60" t="n"/>
      <c r="S112" s="60" t="n"/>
      <c r="T112" s="60" t="n"/>
      <c r="U112" s="60" t="n"/>
      <c r="V112" s="60" t="n"/>
      <c r="W112" s="60" t="n"/>
      <c r="X112" s="60" t="n"/>
      <c r="Y112" s="60" t="n"/>
      <c r="Z112" s="60" t="n"/>
      <c r="AA112" s="60" t="n">
        <v>6</v>
      </c>
      <c r="AB112" s="60" t="n"/>
      <c r="AC112" s="60" t="n"/>
      <c r="AD112" s="60" t="n"/>
      <c r="AE112" s="60" t="n"/>
      <c r="AF112" s="60" t="n"/>
      <c r="AG112" s="60" t="n"/>
      <c r="AH112" s="60" t="n"/>
      <c r="AI112" s="60" t="n"/>
      <c r="AJ112" s="60" t="n"/>
      <c r="AK112" s="120">
        <f>IF(L112&gt;0,L112*(82.29+8.15),0)+IF(M112&gt;0,M112*(8.15+339.97),0)+IF(N112&gt;0,N112*151.63,0)+IF(O112&gt;0,O112*197.82,0)+IF(P112&gt;0,P112*244.09,0)+IF(Q112&gt;0,Q112*315.35,0)+IF(R112&gt;0,R112*1067.3,0)+IF(T112&gt;0,T112*567.47,0)+IF(U112&gt;0,U112*151.63,0)+IF(V112&gt;0,V112*197.84,0)+IF(W112&gt;0,W112*470.51,0)+IF(X112&gt;0,X112*701.69,0)+IF(Z112&gt;0,Z112*151.63,0)+IF(AA112&gt;0,AA112*197.84)+IF(AB112&gt;0,AB112*308.4,0)+IF(AC112&gt;0,AC112*496.16,0)</f>
        <v/>
      </c>
    </row>
    <row r="113">
      <c r="B113" s="59">
        <f>IF(H113&lt;$B$1,"VENCIDO","NA VALIDADE")</f>
        <v/>
      </c>
      <c r="C113" s="60" t="inlineStr">
        <is>
          <t>UTD</t>
        </is>
      </c>
      <c r="D113" s="61" t="inlineStr">
        <is>
          <t>UTD PAU DOS FERROS</t>
        </is>
      </c>
      <c r="E113" s="74" t="inlineStr">
        <is>
          <t>PAU DOS FERROS</t>
        </is>
      </c>
      <c r="F113" s="75" t="inlineStr">
        <is>
          <t>RN</t>
        </is>
      </c>
      <c r="G113" s="75" t="inlineStr">
        <is>
          <t>NATAL</t>
        </is>
      </c>
      <c r="H113" s="119" t="n">
        <v>45323</v>
      </c>
      <c r="I113" s="119" t="n">
        <v>45323</v>
      </c>
      <c r="J113" s="60">
        <f>SUM(L113:AE113)</f>
        <v/>
      </c>
      <c r="K113" s="60">
        <f>SUM(AF113:AK113)</f>
        <v/>
      </c>
      <c r="L113" s="60" t="n">
        <v>3</v>
      </c>
      <c r="M113" s="60" t="n"/>
      <c r="N113" s="60" t="n"/>
      <c r="O113" s="60" t="n"/>
      <c r="P113" s="60" t="n"/>
      <c r="Q113" s="60" t="n"/>
      <c r="R113" s="60" t="n"/>
      <c r="S113" s="60" t="n"/>
      <c r="T113" s="60" t="n"/>
      <c r="U113" s="60" t="n"/>
      <c r="V113" s="60" t="n"/>
      <c r="W113" s="60" t="n"/>
      <c r="X113" s="60" t="n"/>
      <c r="Y113" s="60" t="n"/>
      <c r="Z113" s="60" t="n"/>
      <c r="AA113" s="60" t="n">
        <v>3</v>
      </c>
      <c r="AB113" s="60" t="n"/>
      <c r="AC113" s="60" t="n"/>
      <c r="AD113" s="60" t="n"/>
      <c r="AE113" s="60" t="n"/>
      <c r="AF113" s="60" t="n"/>
      <c r="AG113" s="60" t="n"/>
      <c r="AH113" s="60" t="n"/>
      <c r="AI113" s="60" t="n"/>
      <c r="AJ113" s="60" t="n"/>
      <c r="AK113" s="120">
        <f>IF(L113&gt;0,L113*(82.29+8.15),0)+IF(M113&gt;0,M113*(8.15+339.97),0)+IF(N113&gt;0,N113*151.63,0)+IF(O113&gt;0,O113*197.82,0)+IF(P113&gt;0,P113*244.09,0)+IF(Q113&gt;0,Q113*315.35,0)+IF(R113&gt;0,R113*1067.3,0)+IF(T113&gt;0,T113*567.47,0)+IF(U113&gt;0,U113*151.63,0)+IF(V113&gt;0,V113*197.84,0)+IF(W113&gt;0,W113*470.51,0)+IF(X113&gt;0,X113*701.69,0)+IF(Z113&gt;0,Z113*151.63,0)+IF(AA113&gt;0,AA113*197.84)+IF(AB113&gt;0,AB113*308.4,0)+IF(AC113&gt;0,AC113*496.16,0)</f>
        <v/>
      </c>
    </row>
    <row r="114">
      <c r="B114" s="61" t="n"/>
      <c r="C114" s="60" t="n"/>
      <c r="D114" s="61" t="n"/>
      <c r="E114" s="75" t="n"/>
      <c r="F114" s="75" t="n"/>
      <c r="G114" s="75" t="n"/>
      <c r="H114" s="119" t="n"/>
      <c r="I114" s="119" t="n"/>
      <c r="J114" s="60" t="n"/>
      <c r="K114" s="60" t="n"/>
      <c r="L114" s="60" t="n"/>
      <c r="M114" s="60" t="n"/>
      <c r="N114" s="60" t="n"/>
      <c r="O114" s="60" t="n"/>
      <c r="P114" s="60" t="n"/>
      <c r="Q114" s="60" t="n"/>
      <c r="R114" s="60" t="n"/>
      <c r="S114" s="60" t="n"/>
      <c r="T114" s="60" t="n"/>
      <c r="U114" s="60" t="n"/>
      <c r="V114" s="60" t="n"/>
      <c r="W114" s="60" t="n"/>
      <c r="X114" s="60" t="n"/>
      <c r="Y114" s="60" t="n"/>
      <c r="Z114" s="60" t="n"/>
      <c r="AA114" s="60" t="n"/>
      <c r="AB114" s="60" t="n"/>
      <c r="AC114" s="60" t="n"/>
      <c r="AD114" s="60" t="n"/>
      <c r="AE114" s="60" t="n"/>
      <c r="AF114" s="60" t="n"/>
      <c r="AG114" s="60" t="n"/>
      <c r="AH114" s="60" t="n"/>
      <c r="AI114" s="60" t="n"/>
      <c r="AJ114" s="60" t="n"/>
      <c r="AK114" s="60" t="n"/>
    </row>
    <row r="115" ht="15.75" customHeight="1">
      <c r="B115" s="61" t="n"/>
      <c r="C115" s="61" t="n"/>
      <c r="D115" s="61" t="n"/>
      <c r="E115" s="61" t="n"/>
      <c r="F115" s="61" t="n"/>
      <c r="G115" s="61" t="n"/>
      <c r="H115" s="119" t="n"/>
      <c r="I115" s="124" t="inlineStr">
        <is>
          <t>TOTAL</t>
        </is>
      </c>
      <c r="J115" s="79">
        <f>SUBTOTAL(109,J3:J113)</f>
        <v/>
      </c>
      <c r="K115" s="79">
        <f>SUBTOTAL(109,K3:K113)</f>
        <v/>
      </c>
      <c r="L115" s="79">
        <f>SUBTOTAL(109,L3:L113)</f>
        <v/>
      </c>
      <c r="M115" s="79">
        <f>SUBTOTAL(109,M3:M113)</f>
        <v/>
      </c>
      <c r="N115" s="79">
        <f>SUBTOTAL(109,N3:N113)</f>
        <v/>
      </c>
      <c r="O115" s="79">
        <f>SUBTOTAL(109,O3:O113)</f>
        <v/>
      </c>
      <c r="P115" s="79">
        <f>SUBTOTAL(109,P3:P113)</f>
        <v/>
      </c>
      <c r="Q115" s="79">
        <f>SUBTOTAL(109,Q3:Q113)</f>
        <v/>
      </c>
      <c r="R115" s="79">
        <f>SUBTOTAL(109,R3:R113)</f>
        <v/>
      </c>
      <c r="S115" s="79" t="n"/>
      <c r="T115" s="79">
        <f>SUBTOTAL(109,T3:T113)</f>
        <v/>
      </c>
      <c r="U115" s="79">
        <f>SUBTOTAL(109,U3:U113)</f>
        <v/>
      </c>
      <c r="V115" s="79">
        <f>SUBTOTAL(109,V3:V113)</f>
        <v/>
      </c>
      <c r="W115" s="79">
        <f>SUBTOTAL(109,W3:W113)</f>
        <v/>
      </c>
      <c r="X115" s="79">
        <f>SUBTOTAL(109,X3:X113)</f>
        <v/>
      </c>
      <c r="Y115" s="79">
        <f>SUBTOTAL(109,Y3:Y113)</f>
        <v/>
      </c>
      <c r="Z115" s="79">
        <f>SUBTOTAL(109,Z3:Z113)</f>
        <v/>
      </c>
      <c r="AA115" s="79">
        <f>SUBTOTAL(109,AA3:AA113)</f>
        <v/>
      </c>
      <c r="AB115" s="79">
        <f>SUBTOTAL(109,AB3:AB113)</f>
        <v/>
      </c>
      <c r="AC115" s="79">
        <f>SUBTOTAL(109,AC3:AC113)</f>
        <v/>
      </c>
      <c r="AD115" s="79">
        <f>SUBTOTAL(109,AD3:AD113)</f>
        <v/>
      </c>
      <c r="AE115" s="79">
        <f>SUBTOTAL(109,AE3:AE113)</f>
        <v/>
      </c>
      <c r="AF115" s="79">
        <f>SUBTOTAL(109,AF3:AF113)</f>
        <v/>
      </c>
      <c r="AG115" s="79">
        <f>SUBTOTAL(109,AG3:AG113)</f>
        <v/>
      </c>
      <c r="AH115" s="79">
        <f>SUBTOTAL(109,AH3:AH113)</f>
        <v/>
      </c>
      <c r="AI115" s="79">
        <f>SUBTOTAL(109,AI3:AI113)</f>
        <v/>
      </c>
      <c r="AJ115" s="79" t="n"/>
      <c r="AK115" s="125">
        <f>SUBTOTAL(109,AK3:AK113)</f>
        <v/>
      </c>
    </row>
  </sheetData>
  <autoFilter ref="A2:AK113"/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114">
    <cfRule type="cellIs" priority="6" operator="equal" dxfId="4">
      <formula>"SIM"</formula>
    </cfRule>
  </conditionalFormatting>
  <conditionalFormatting sqref="A3:A112">
    <cfRule type="containsText" priority="7" operator="containsText" dxfId="3" text="NA VALIDADE">
      <formula>NOT(ISERROR(SEARCH("NA VALIDADE",A3)))</formula>
    </cfRule>
    <cfRule type="containsText" priority="8" operator="containsText" dxfId="2" text="VENCIDO">
      <formula>NOT(ISERROR(SEARCH("VENCIDO",A3)))</formula>
    </cfRule>
  </conditionalFormatting>
  <conditionalFormatting sqref="A2:B2">
    <cfRule type="containsText" priority="9" operator="containsText" dxfId="8" text="ENVIADO">
      <formula>NOT(ISERROR(SEARCH("ENVIADO",A2)))</formula>
    </cfRule>
    <cfRule type="cellIs" priority="10" operator="equal" dxfId="7">
      <formula>#REF!</formula>
    </cfRule>
    <cfRule type="cellIs" priority="11" operator="equal" dxfId="6">
      <formula>#REF!</formula>
    </cfRule>
    <cfRule type="cellIs" priority="12" operator="equal" dxfId="5">
      <formula>#REF!</formula>
    </cfRule>
    <cfRule type="cellIs" priority="13" operator="equal" dxfId="4">
      <formula>#REF!</formula>
    </cfRule>
  </conditionalFormatting>
  <conditionalFormatting sqref="B3:B113">
    <cfRule type="containsText" priority="3" operator="containsText" dxfId="3" text="NA VALIDADE">
      <formula>NOT(ISERROR(SEARCH("NA VALIDADE",B3)))</formula>
    </cfRule>
    <cfRule type="containsText" priority="4" operator="containsText" dxfId="2" text="VENCIDO">
      <formula>NOT(ISERROR(SEARCH("VENCIDO",B3)))</formula>
    </cfRule>
  </conditionalFormatting>
  <conditionalFormatting sqref="J3:AK114">
    <cfRule type="cellIs" priority="2" operator="greaterThan" dxfId="1">
      <formula>0</formula>
    </cfRule>
  </conditionalFormatting>
  <conditionalFormatting sqref="J115:AK115">
    <cfRule type="cellIs" priority="5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1" fitToHeight="0" horizontalDpi="300" verticalDpi="300"/>
  <drawing r:id="rIdDrw1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5">
    <tabColor rgb="FFC55A11"/>
    <outlinePr summaryBelow="1" summaryRight="1"/>
    <pageSetUpPr fitToPage="1"/>
  </sheetPr>
  <dimension ref="A1:AJ232"/>
  <sheetViews>
    <sheetView view="pageBreakPreview" zoomScale="80" zoomScaleNormal="100" zoomScalePageLayoutView="80" workbookViewId="0">
      <selection activeCell="AG15" sqref="AG15"/>
    </sheetView>
  </sheetViews>
  <sheetFormatPr baseColWidth="8" defaultColWidth="8.7109375" defaultRowHeight="15"/>
  <cols>
    <col width="13.5703125" customWidth="1" min="1" max="1"/>
    <col width="13.140625" customWidth="1" min="2" max="2"/>
    <col width="50.5703125" customWidth="1" min="3" max="3"/>
    <col width="29.85546875" customWidth="1" min="4" max="4"/>
    <col width="3.5703125" customWidth="1" min="5" max="5"/>
    <col width="28.5703125" customWidth="1" min="6" max="6"/>
    <col width="13.5703125" customWidth="1" min="7" max="8"/>
    <col width="18.140625" customWidth="1" min="9" max="9"/>
    <col width="14.42578125" customWidth="1" min="10" max="10"/>
    <col width="15.5703125" customWidth="1" min="35" max="35"/>
    <col hidden="1" width="17" customWidth="1" min="36" max="36"/>
  </cols>
  <sheetData>
    <row r="1" ht="50.25" customHeight="1">
      <c r="A1" s="122">
        <f>TODAY()</f>
        <v/>
      </c>
      <c r="B1" s="48" t="n"/>
      <c r="C1" s="49">
        <f>SUBTOTAL(3,C3:C525)</f>
        <v/>
      </c>
      <c r="D1" s="81" t="inlineStr">
        <is>
          <t>MAPA:</t>
        </is>
      </c>
      <c r="E1" s="48" t="n"/>
      <c r="F1" s="48" t="n"/>
      <c r="G1" s="52" t="inlineStr">
        <is>
          <t>CLIENTE:</t>
        </is>
      </c>
      <c r="H1" s="53" t="n"/>
      <c r="I1" s="5" t="inlineStr">
        <is>
          <t>TOTAL</t>
        </is>
      </c>
      <c r="J1" s="117" t="n"/>
      <c r="K1" s="4" t="inlineStr">
        <is>
          <t xml:space="preserve">Extintor de Água </t>
        </is>
      </c>
      <c r="L1" s="117" t="n"/>
      <c r="M1" s="3" t="inlineStr">
        <is>
          <t>Extintor de Pó Quimico</t>
        </is>
      </c>
      <c r="N1" s="118" t="n"/>
      <c r="O1" s="118" t="n"/>
      <c r="P1" s="118" t="n"/>
      <c r="Q1" s="118" t="n"/>
      <c r="R1" s="118" t="n"/>
      <c r="S1" s="117" t="n"/>
      <c r="T1" s="2" t="inlineStr">
        <is>
          <t>Extintor ABC</t>
        </is>
      </c>
      <c r="U1" s="118" t="n"/>
      <c r="V1" s="118" t="n"/>
      <c r="W1" s="118" t="n"/>
      <c r="X1" s="117" t="n"/>
      <c r="Y1" s="1" t="inlineStr">
        <is>
          <t>Extintor de CO2</t>
        </is>
      </c>
      <c r="Z1" s="118" t="n"/>
      <c r="AA1" s="118" t="n"/>
      <c r="AB1" s="117" t="n"/>
      <c r="AC1" s="98" t="inlineStr">
        <is>
          <t>ESPUMA</t>
        </is>
      </c>
      <c r="AD1" s="117" t="n"/>
      <c r="AE1" s="99" t="inlineStr">
        <is>
          <t>Mangueiras</t>
        </is>
      </c>
      <c r="AF1" s="118" t="n"/>
      <c r="AG1" s="118" t="n"/>
      <c r="AH1" s="118" t="n"/>
      <c r="AI1" s="118" t="n"/>
      <c r="AJ1" s="117" t="n"/>
    </row>
    <row r="2" ht="37.5" customHeight="1">
      <c r="A2" s="54" t="inlineStr">
        <is>
          <t>STATUS</t>
        </is>
      </c>
      <c r="B2" s="54" t="inlineStr">
        <is>
          <t>ID CLIENTE</t>
        </is>
      </c>
      <c r="C2" s="54" t="inlineStr">
        <is>
          <t>SITE</t>
        </is>
      </c>
      <c r="D2" s="48" t="inlineStr">
        <is>
          <t>CIDADE</t>
        </is>
      </c>
      <c r="E2" s="54" t="inlineStr">
        <is>
          <t>UF</t>
        </is>
      </c>
      <c r="F2" s="54" t="inlineStr">
        <is>
          <t>BASE DE ATENDIMENTO</t>
        </is>
      </c>
      <c r="G2" s="54" t="inlineStr">
        <is>
          <t>VENCIMENTO</t>
        </is>
      </c>
      <c r="H2" s="54" t="inlineStr">
        <is>
          <t>PESAGEM</t>
        </is>
      </c>
      <c r="I2" s="55" t="inlineStr">
        <is>
          <t xml:space="preserve"> EXTINTORES</t>
        </is>
      </c>
      <c r="J2" s="55" t="inlineStr">
        <is>
          <t>MANGUEIRAS</t>
        </is>
      </c>
      <c r="K2" s="56" t="inlineStr">
        <is>
          <t>10L</t>
        </is>
      </c>
      <c r="L2" s="56" t="inlineStr">
        <is>
          <t>75L</t>
        </is>
      </c>
      <c r="M2" s="56" t="inlineStr">
        <is>
          <t>4Kg</t>
        </is>
      </c>
      <c r="N2" s="56" t="inlineStr">
        <is>
          <t>6Kg</t>
        </is>
      </c>
      <c r="O2" s="56" t="inlineStr">
        <is>
          <t>8Kg</t>
        </is>
      </c>
      <c r="P2" s="56" t="inlineStr">
        <is>
          <t>12Kg</t>
        </is>
      </c>
      <c r="Q2" s="56" t="inlineStr">
        <is>
          <t>20Kg</t>
        </is>
      </c>
      <c r="R2" s="56" t="inlineStr">
        <is>
          <t>30Kg</t>
        </is>
      </c>
      <c r="S2" s="56" t="inlineStr">
        <is>
          <t>50Kg</t>
        </is>
      </c>
      <c r="T2" s="56" t="inlineStr">
        <is>
          <t>4Kg</t>
        </is>
      </c>
      <c r="U2" s="56" t="inlineStr">
        <is>
          <t>6Kg</t>
        </is>
      </c>
      <c r="V2" s="56" t="inlineStr">
        <is>
          <t>8Kg</t>
        </is>
      </c>
      <c r="W2" s="56" t="inlineStr">
        <is>
          <t>12kg</t>
        </is>
      </c>
      <c r="X2" s="56" t="inlineStr">
        <is>
          <t>20 KG</t>
        </is>
      </c>
      <c r="Y2" s="56" t="inlineStr">
        <is>
          <t>4Kg</t>
        </is>
      </c>
      <c r="Z2" s="56" t="inlineStr">
        <is>
          <t>6Kg</t>
        </is>
      </c>
      <c r="AA2" s="56" t="inlineStr">
        <is>
          <t>10Kg</t>
        </is>
      </c>
      <c r="AB2" s="56" t="inlineStr">
        <is>
          <t>25Kg</t>
        </is>
      </c>
      <c r="AC2" s="56" t="inlineStr">
        <is>
          <t>9 Lts</t>
        </is>
      </c>
      <c r="AD2" s="56" t="inlineStr">
        <is>
          <t>50 lts</t>
        </is>
      </c>
      <c r="AE2" s="57" t="inlineStr">
        <is>
          <t>1,5 15M</t>
        </is>
      </c>
      <c r="AF2" s="57" t="inlineStr">
        <is>
          <t>1,5 30M</t>
        </is>
      </c>
      <c r="AG2" s="57" t="inlineStr">
        <is>
          <t>2,5 15M</t>
        </is>
      </c>
      <c r="AH2" s="57" t="inlineStr">
        <is>
          <t>2,5 30M</t>
        </is>
      </c>
      <c r="AI2" s="57" t="inlineStr">
        <is>
          <t>Mangotinho</t>
        </is>
      </c>
      <c r="AJ2" s="57" t="inlineStr">
        <is>
          <t>VALOR</t>
        </is>
      </c>
    </row>
    <row r="3">
      <c r="A3" s="59">
        <f>IF(G3&lt;$A$1,"VENCIDO","NA VALIDADE")</f>
        <v/>
      </c>
      <c r="B3" s="60" t="inlineStr">
        <is>
          <t>SUBESTAÇÃO</t>
        </is>
      </c>
      <c r="C3" s="61" t="inlineStr">
        <is>
          <t xml:space="preserve"> SE ESCADA</t>
        </is>
      </c>
      <c r="D3" s="82" t="inlineStr">
        <is>
          <t>ESCADA</t>
        </is>
      </c>
      <c r="E3" s="75" t="inlineStr">
        <is>
          <t>PE</t>
        </is>
      </c>
      <c r="F3" s="75" t="inlineStr">
        <is>
          <t>CABO DE SANTO AGOSTINHO</t>
        </is>
      </c>
      <c r="G3" s="119" t="n">
        <v>45658</v>
      </c>
      <c r="H3" s="119">
        <f>G3-180</f>
        <v/>
      </c>
      <c r="I3" s="60">
        <f>SUM(K3:AD3)</f>
        <v/>
      </c>
      <c r="J3" s="60">
        <f>SUM(AE3:AI3)</f>
        <v/>
      </c>
      <c r="K3" s="60" t="n"/>
      <c r="L3" s="60" t="n"/>
      <c r="M3" s="60" t="n"/>
      <c r="N3" s="60" t="n">
        <v>1</v>
      </c>
      <c r="O3" s="60" t="n">
        <v>1</v>
      </c>
      <c r="P3" s="60" t="n"/>
      <c r="Q3" s="60" t="n"/>
      <c r="R3" s="60" t="n"/>
      <c r="S3" s="60" t="n"/>
      <c r="T3" s="60" t="n"/>
      <c r="U3" s="60" t="n"/>
      <c r="V3" s="60" t="n"/>
      <c r="W3" s="60" t="n"/>
      <c r="X3" s="60" t="n"/>
      <c r="Y3" s="60" t="n"/>
      <c r="Z3" s="60" t="n"/>
      <c r="AA3" s="60" t="n"/>
      <c r="AB3" s="60" t="n"/>
      <c r="AC3" s="60" t="n"/>
      <c r="AD3" s="60" t="n"/>
      <c r="AE3" s="60" t="n"/>
      <c r="AF3" s="60" t="n"/>
      <c r="AG3" s="60" t="n"/>
      <c r="AH3" s="60" t="n"/>
      <c r="AI3" s="60" t="n"/>
      <c r="AJ3" s="120">
        <f>IF(K3&gt;0,K3*(82.29+8.15),0)+IF(L3&gt;0,L3*(8.15+339.97),0)+IF(M3&gt;0,M3*151.63,0)+IF(N3&gt;0,N3*197.82,0)+IF(O3&gt;0,O3*244.09,0)+IF(P3&gt;0,P3*315.35,0)+IF(Q3&gt;0,Q3*1067.3,0)+IF(S3&gt;0,S3*567.47,0)+IF(T3&gt;0,T3*151.63,0)+IF(U3&gt;0,U3*197.84,0)+IF(V3&gt;0,V3*470.51,0)+IF(W3&gt;0,W3*701.69,0)+IF(Y3&gt;0,Y3*151.63,0)+IF(Z3&gt;0,Z3*197.84)+IF(AA3&gt;0,AA3*308.4,0)+IF(AB3&gt;0,AB3*496.16,0)</f>
        <v/>
      </c>
    </row>
    <row r="4">
      <c r="A4" s="59">
        <f>IF(G4&lt;$A$1,"VENCIDO","NA VALIDADE")</f>
        <v/>
      </c>
      <c r="B4" s="60" t="inlineStr">
        <is>
          <t>AGÊNCIA</t>
        </is>
      </c>
      <c r="C4" s="61" t="inlineStr">
        <is>
          <t>AGÊNCIA IGARASSU</t>
        </is>
      </c>
      <c r="D4" s="82" t="inlineStr">
        <is>
          <t>IGARASSU</t>
        </is>
      </c>
      <c r="E4" s="75" t="inlineStr">
        <is>
          <t>PE</t>
        </is>
      </c>
      <c r="F4" s="75" t="inlineStr">
        <is>
          <t>CABO DE SANTO AGOSTINHO</t>
        </is>
      </c>
      <c r="G4" s="119" t="n">
        <v>45413</v>
      </c>
      <c r="H4" s="119">
        <f>G4-180</f>
        <v/>
      </c>
      <c r="I4" s="60">
        <f>SUM(K4:AD4)</f>
        <v/>
      </c>
      <c r="J4" s="60">
        <f>SUM(AE4:AI4)</f>
        <v/>
      </c>
      <c r="K4" s="60" t="n">
        <v>1</v>
      </c>
      <c r="L4" s="60" t="n"/>
      <c r="M4" s="60" t="n">
        <v>2</v>
      </c>
      <c r="N4" s="60" t="n"/>
      <c r="O4" s="60" t="n"/>
      <c r="P4" s="60" t="n"/>
      <c r="Q4" s="60" t="n"/>
      <c r="R4" s="60" t="n"/>
      <c r="S4" s="60" t="n"/>
      <c r="T4" s="60" t="n"/>
      <c r="U4" s="60" t="n"/>
      <c r="V4" s="60" t="n"/>
      <c r="W4" s="60" t="n"/>
      <c r="X4" s="60" t="n"/>
      <c r="Y4" s="60" t="n"/>
      <c r="Z4" s="60" t="n"/>
      <c r="AA4" s="60" t="n"/>
      <c r="AB4" s="60" t="n"/>
      <c r="AC4" s="60" t="n"/>
      <c r="AD4" s="60" t="n"/>
      <c r="AE4" s="60" t="n"/>
      <c r="AF4" s="60" t="n"/>
      <c r="AG4" s="60" t="n"/>
      <c r="AH4" s="60" t="n"/>
      <c r="AI4" s="60" t="n"/>
      <c r="AJ4" s="120">
        <f>IF(K4&gt;0,K4*(82.29+8.15),0)+IF(L4&gt;0,L4*(8.15+339.97),0)+IF(M4&gt;0,M4*151.63,0)+IF(N4&gt;0,N4*197.82,0)+IF(O4&gt;0,O4*244.09,0)+IF(P4&gt;0,P4*315.35,0)+IF(Q4&gt;0,Q4*1067.3,0)+IF(S4&gt;0,S4*567.47,0)+IF(T4&gt;0,T4*151.63,0)+IF(U4&gt;0,U4*197.84,0)+IF(V4&gt;0,V4*470.51,0)+IF(W4&gt;0,W4*701.69,0)+IF(Y4&gt;0,Y4*151.63,0)+IF(Z4&gt;0,Z4*197.84)+IF(AA4&gt;0,AA4*308.4,0)+IF(AB4&gt;0,AB4*496.16,0)</f>
        <v/>
      </c>
    </row>
    <row r="5">
      <c r="A5" s="59">
        <f>IF(G5&lt;$A$1,"VENCIDO","NA VALIDADE")</f>
        <v/>
      </c>
      <c r="B5" s="60" t="inlineStr">
        <is>
          <t>SUBESTAÇÃO</t>
        </is>
      </c>
      <c r="C5" s="61" t="inlineStr">
        <is>
          <t>SE AFOGADOS DA INGAZEIRA</t>
        </is>
      </c>
      <c r="D5" s="82" t="inlineStr">
        <is>
          <t>AFOGADOS DA INGAZEIRA</t>
        </is>
      </c>
      <c r="E5" s="75" t="inlineStr">
        <is>
          <t>PE</t>
        </is>
      </c>
      <c r="F5" s="75" t="inlineStr">
        <is>
          <t>CABO DE SANTO AGOSTINHO</t>
        </is>
      </c>
      <c r="G5" s="119" t="n">
        <v>45505</v>
      </c>
      <c r="H5" s="119">
        <f>G5-180</f>
        <v/>
      </c>
      <c r="I5" s="60">
        <f>SUM(K5:AD5)</f>
        <v/>
      </c>
      <c r="J5" s="60">
        <f>SUM(AE5:AI5)</f>
        <v/>
      </c>
      <c r="K5" s="60" t="n"/>
      <c r="L5" s="60" t="n"/>
      <c r="M5" s="60" t="n"/>
      <c r="N5" s="60" t="n"/>
      <c r="O5" s="60" t="n"/>
      <c r="P5" s="60" t="n">
        <v>1</v>
      </c>
      <c r="Q5" s="60" t="n"/>
      <c r="R5" s="60" t="n"/>
      <c r="S5" s="60" t="n"/>
      <c r="T5" s="60" t="n"/>
      <c r="U5" s="60" t="n"/>
      <c r="V5" s="60" t="n"/>
      <c r="W5" s="60" t="n"/>
      <c r="X5" s="60" t="n"/>
      <c r="Y5" s="60" t="n"/>
      <c r="Z5" s="60" t="n">
        <v>1</v>
      </c>
      <c r="AA5" s="60" t="n"/>
      <c r="AB5" s="60" t="n"/>
      <c r="AC5" s="60" t="n"/>
      <c r="AD5" s="60" t="n"/>
      <c r="AE5" s="60" t="n"/>
      <c r="AF5" s="60" t="n"/>
      <c r="AG5" s="60" t="n"/>
      <c r="AH5" s="60" t="n"/>
      <c r="AI5" s="60" t="n"/>
      <c r="AJ5" s="120">
        <f>IF(K5&gt;0,K5*(82.29+8.15),0)+IF(L5&gt;0,L5*(8.15+339.97),0)+IF(M5&gt;0,M5*151.63,0)+IF(N5&gt;0,N5*197.82,0)+IF(O5&gt;0,O5*244.09,0)+IF(P5&gt;0,P5*315.35,0)+IF(Q5&gt;0,Q5*1067.3,0)+IF(S5&gt;0,S5*567.47,0)+IF(T5&gt;0,T5*151.63,0)+IF(U5&gt;0,U5*197.84,0)+IF(V5&gt;0,V5*470.51,0)+IF(W5&gt;0,W5*701.69,0)+IF(Y5&gt;0,Y5*151.63,0)+IF(Z5&gt;0,Z5*197.84)+IF(AA5&gt;0,AA5*308.4,0)+IF(AB5&gt;0,AB5*496.16,0)</f>
        <v/>
      </c>
    </row>
    <row r="6">
      <c r="A6" s="59">
        <f>IF(G6&lt;$A$1,"VENCIDO","NA VALIDADE")</f>
        <v/>
      </c>
      <c r="B6" s="60" t="inlineStr">
        <is>
          <t>SUBESTAÇÃO</t>
        </is>
      </c>
      <c r="C6" s="61" t="inlineStr">
        <is>
          <t>SE AFRÂNIO</t>
        </is>
      </c>
      <c r="D6" s="82" t="inlineStr">
        <is>
          <t>AFRANIO</t>
        </is>
      </c>
      <c r="E6" s="75" t="inlineStr">
        <is>
          <t>PE</t>
        </is>
      </c>
      <c r="F6" s="75" t="inlineStr">
        <is>
          <t>CABO DE SANTO AGOSTINHO</t>
        </is>
      </c>
      <c r="G6" s="119" t="n">
        <v>45566</v>
      </c>
      <c r="H6" s="119">
        <f>G6-180</f>
        <v/>
      </c>
      <c r="I6" s="60">
        <f>SUM(K6:AD6)</f>
        <v/>
      </c>
      <c r="J6" s="60">
        <f>SUM(AE6:AI6)</f>
        <v/>
      </c>
      <c r="K6" s="60" t="n"/>
      <c r="L6" s="60" t="n"/>
      <c r="M6" s="60" t="n"/>
      <c r="N6" s="60" t="n"/>
      <c r="O6" s="60" t="n"/>
      <c r="P6" s="60" t="n"/>
      <c r="Q6" s="60" t="n"/>
      <c r="R6" s="60" t="n"/>
      <c r="S6" s="60" t="n">
        <v>1</v>
      </c>
      <c r="T6" s="60" t="n"/>
      <c r="U6" s="60" t="n"/>
      <c r="V6" s="60" t="n"/>
      <c r="W6" s="60" t="n"/>
      <c r="X6" s="60" t="n"/>
      <c r="Y6" s="60" t="n"/>
      <c r="Z6" s="60" t="n">
        <v>1</v>
      </c>
      <c r="AA6" s="60" t="n"/>
      <c r="AB6" s="60" t="n"/>
      <c r="AC6" s="60" t="n"/>
      <c r="AD6" s="60" t="n"/>
      <c r="AE6" s="60" t="n"/>
      <c r="AF6" s="60" t="n"/>
      <c r="AG6" s="60" t="n"/>
      <c r="AH6" s="60" t="n"/>
      <c r="AI6" s="60" t="n"/>
      <c r="AJ6" s="120">
        <f>IF(K6&gt;0,K6*(82.29+8.15),0)+IF(L6&gt;0,L6*(8.15+339.97),0)+IF(M6&gt;0,M6*151.63,0)+IF(N6&gt;0,N6*197.82,0)+IF(O6&gt;0,O6*244.09,0)+IF(P6&gt;0,P6*315.35,0)+IF(Q6&gt;0,Q6*1067.3,0)+IF(S6&gt;0,S6*567.47,0)+IF(T6&gt;0,T6*151.63,0)+IF(U6&gt;0,U6*197.84,0)+IF(V6&gt;0,V6*470.51,0)+IF(W6&gt;0,W6*701.69,0)+IF(Y6&gt;0,Y6*151.63,0)+IF(Z6&gt;0,Z6*197.84)+IF(AA6&gt;0,AA6*308.4,0)+IF(AB6&gt;0,AB6*496.16,0)</f>
        <v/>
      </c>
    </row>
    <row r="7">
      <c r="A7" s="59">
        <f>IF(G7&lt;$A$1,"VENCIDO","NA VALIDADE")</f>
        <v/>
      </c>
      <c r="B7" s="60" t="inlineStr">
        <is>
          <t>AGÊNCIA</t>
        </is>
      </c>
      <c r="C7" s="61" t="inlineStr">
        <is>
          <t>AGÊNCIA ABREU E LIMA</t>
        </is>
      </c>
      <c r="D7" s="82" t="inlineStr">
        <is>
          <t>ABREU E LIMA</t>
        </is>
      </c>
      <c r="E7" s="75" t="inlineStr">
        <is>
          <t>PE</t>
        </is>
      </c>
      <c r="F7" s="75" t="inlineStr">
        <is>
          <t>CABO DE SANTO AGOSTINHO</t>
        </is>
      </c>
      <c r="G7" s="119" t="n">
        <v>45505</v>
      </c>
      <c r="H7" s="119">
        <f>G7-180</f>
        <v/>
      </c>
      <c r="I7" s="60">
        <f>SUM(K7:AD7)</f>
        <v/>
      </c>
      <c r="J7" s="60">
        <f>SUM(AE7:AI7)</f>
        <v/>
      </c>
      <c r="K7" s="60" t="n"/>
      <c r="L7" s="60" t="n"/>
      <c r="M7" s="60" t="n">
        <v>1</v>
      </c>
      <c r="N7" s="60" t="n"/>
      <c r="O7" s="60" t="n"/>
      <c r="P7" s="60" t="n"/>
      <c r="Q7" s="60" t="n"/>
      <c r="R7" s="60" t="n"/>
      <c r="S7" s="60" t="n"/>
      <c r="T7" s="60" t="n"/>
      <c r="U7" s="60" t="n"/>
      <c r="V7" s="60" t="n"/>
      <c r="W7" s="60" t="n"/>
      <c r="X7" s="60" t="n"/>
      <c r="Y7" s="60" t="n"/>
      <c r="Z7" s="60" t="n">
        <v>1</v>
      </c>
      <c r="AA7" s="60" t="n"/>
      <c r="AB7" s="60" t="n"/>
      <c r="AC7" s="60" t="n"/>
      <c r="AD7" s="60" t="n"/>
      <c r="AE7" s="60" t="n"/>
      <c r="AF7" s="60" t="n"/>
      <c r="AG7" s="60" t="n"/>
      <c r="AH7" s="60" t="n"/>
      <c r="AI7" s="60" t="n"/>
      <c r="AJ7" s="120">
        <f>IF(K7&gt;0,K7*(82.29+8.15),0)+IF(L7&gt;0,L7*(8.15+339.97),0)+IF(M7&gt;0,M7*151.63,0)+IF(N7&gt;0,N7*197.82,0)+IF(O7&gt;0,O7*244.09,0)+IF(P7&gt;0,P7*315.35,0)+IF(Q7&gt;0,Q7*1067.3,0)+IF(S7&gt;0,S7*567.47,0)+IF(T7&gt;0,T7*151.63,0)+IF(U7&gt;0,U7*197.84,0)+IF(V7&gt;0,V7*470.51,0)+IF(W7&gt;0,W7*701.69,0)+IF(Y7&gt;0,Y7*151.63,0)+IF(Z7&gt;0,Z7*197.84)+IF(AA7&gt;0,AA7*308.4,0)+IF(AB7&gt;0,AB7*496.16,0)</f>
        <v/>
      </c>
    </row>
    <row r="8">
      <c r="A8" s="59">
        <f>IF(G8&lt;$A$1,"VENCIDO","NA VALIDADE")</f>
        <v/>
      </c>
      <c r="B8" s="60" t="inlineStr">
        <is>
          <t>AGÊNCIA</t>
        </is>
      </c>
      <c r="C8" s="61" t="inlineStr">
        <is>
          <t>AGÊNCIA AFOGADOS DA INGAZEIRA</t>
        </is>
      </c>
      <c r="D8" s="82" t="inlineStr">
        <is>
          <t>AFOGADOS DA INGAZEIRA</t>
        </is>
      </c>
      <c r="E8" s="75" t="inlineStr">
        <is>
          <t>PE</t>
        </is>
      </c>
      <c r="F8" s="75" t="inlineStr">
        <is>
          <t>CABO DE SANTO AGOSTINHO</t>
        </is>
      </c>
      <c r="G8" s="119" t="n">
        <v>45505</v>
      </c>
      <c r="H8" s="119">
        <f>G8-180</f>
        <v/>
      </c>
      <c r="I8" s="60">
        <f>SUM(K8:AD8)</f>
        <v/>
      </c>
      <c r="J8" s="60">
        <f>SUM(AE8:AI8)</f>
        <v/>
      </c>
      <c r="K8" s="60" t="n">
        <v>1</v>
      </c>
      <c r="L8" s="60" t="n"/>
      <c r="M8" s="60" t="n"/>
      <c r="N8" s="60" t="n"/>
      <c r="O8" s="60" t="n">
        <v>1</v>
      </c>
      <c r="P8" s="60" t="n"/>
      <c r="Q8" s="60" t="n"/>
      <c r="R8" s="60" t="n"/>
      <c r="S8" s="60" t="n"/>
      <c r="T8" s="60" t="n"/>
      <c r="U8" s="60" t="n"/>
      <c r="V8" s="60" t="n"/>
      <c r="W8" s="60" t="n"/>
      <c r="X8" s="60" t="n"/>
      <c r="Y8" s="60" t="n"/>
      <c r="Z8" s="60" t="n">
        <v>1</v>
      </c>
      <c r="AA8" s="60" t="n"/>
      <c r="AB8" s="60" t="n"/>
      <c r="AC8" s="60" t="n"/>
      <c r="AD8" s="60" t="n"/>
      <c r="AE8" s="60" t="n"/>
      <c r="AF8" s="60" t="n"/>
      <c r="AG8" s="60" t="n"/>
      <c r="AH8" s="60" t="n"/>
      <c r="AI8" s="60" t="n"/>
      <c r="AJ8" s="120">
        <f>IF(K8&gt;0,K8*(82.29+8.15),0)+IF(L8&gt;0,L8*(8.15+339.97),0)+IF(M8&gt;0,M8*151.63,0)+IF(N8&gt;0,N8*197.82,0)+IF(O8&gt;0,O8*244.09,0)+IF(P8&gt;0,P8*315.35,0)+IF(Q8&gt;0,Q8*1067.3,0)+IF(S8&gt;0,S8*567.47,0)+IF(T8&gt;0,T8*151.63,0)+IF(U8&gt;0,U8*197.84,0)+IF(V8&gt;0,V8*470.51,0)+IF(W8&gt;0,W8*701.69,0)+IF(Y8&gt;0,Y8*151.63,0)+IF(Z8&gt;0,Z8*197.84)+IF(AA8&gt;0,AA8*308.4,0)+IF(AB8&gt;0,AB8*496.16,0)</f>
        <v/>
      </c>
    </row>
    <row r="9">
      <c r="A9" s="59">
        <f>IF(G9&lt;$A$1,"VENCIDO","NA VALIDADE")</f>
        <v/>
      </c>
      <c r="B9" s="60" t="inlineStr">
        <is>
          <t>AGÊNCIA</t>
        </is>
      </c>
      <c r="C9" s="61" t="inlineStr">
        <is>
          <t>AGÊNCIA ARARIPINA</t>
        </is>
      </c>
      <c r="D9" s="82" t="inlineStr">
        <is>
          <t>ARARIPINA</t>
        </is>
      </c>
      <c r="E9" s="75" t="inlineStr">
        <is>
          <t>PE</t>
        </is>
      </c>
      <c r="F9" s="75" t="inlineStr">
        <is>
          <t>CABO DE SANTO AGOSTINHO</t>
        </is>
      </c>
      <c r="G9" s="119" t="n">
        <v>45536</v>
      </c>
      <c r="H9" s="119">
        <f>G9-180</f>
        <v/>
      </c>
      <c r="I9" s="60">
        <f>SUM(K9:AD9)</f>
        <v/>
      </c>
      <c r="J9" s="60">
        <f>SUM(AE9:AI9)</f>
        <v/>
      </c>
      <c r="K9" s="60" t="n">
        <v>1</v>
      </c>
      <c r="L9" s="60" t="n"/>
      <c r="M9" s="60" t="n"/>
      <c r="N9" s="60" t="n">
        <v>1</v>
      </c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  <c r="X9" s="60" t="n"/>
      <c r="Y9" s="60" t="n"/>
      <c r="Z9" s="60" t="n">
        <v>1</v>
      </c>
      <c r="AA9" s="60" t="n"/>
      <c r="AB9" s="60" t="n"/>
      <c r="AC9" s="60" t="n"/>
      <c r="AD9" s="60" t="n"/>
      <c r="AE9" s="60" t="n"/>
      <c r="AF9" s="60" t="n"/>
      <c r="AG9" s="60" t="n"/>
      <c r="AH9" s="60" t="n"/>
      <c r="AI9" s="60" t="n"/>
      <c r="AJ9" s="120">
        <f>IF(K9&gt;0,K9*(82.29+8.15),0)+IF(L9&gt;0,L9*(8.15+339.97),0)+IF(M9&gt;0,M9*151.63,0)+IF(N9&gt;0,N9*197.82,0)+IF(O9&gt;0,O9*244.09,0)+IF(P9&gt;0,P9*315.35,0)+IF(Q9&gt;0,Q9*1067.3,0)+IF(S9&gt;0,S9*567.47,0)+IF(T9&gt;0,T9*151.63,0)+IF(U9&gt;0,U9*197.84,0)+IF(V9&gt;0,V9*470.51,0)+IF(W9&gt;0,W9*701.69,0)+IF(Y9&gt;0,Y9*151.63,0)+IF(Z9&gt;0,Z9*197.84)+IF(AA9&gt;0,AA9*308.4,0)+IF(AB9&gt;0,AB9*496.16,0)</f>
        <v/>
      </c>
    </row>
    <row r="10">
      <c r="A10" s="59">
        <f>IF(G10&lt;$A$1,"VENCIDO","NA VALIDADE")</f>
        <v/>
      </c>
      <c r="B10" s="60" t="inlineStr">
        <is>
          <t>AGÊNCIA</t>
        </is>
      </c>
      <c r="C10" s="61" t="inlineStr">
        <is>
          <t>AGÊNCIA BELO JARDIM</t>
        </is>
      </c>
      <c r="D10" s="82" t="inlineStr">
        <is>
          <t>BELO JARDIM</t>
        </is>
      </c>
      <c r="E10" s="75" t="inlineStr">
        <is>
          <t>PE</t>
        </is>
      </c>
      <c r="F10" s="75" t="inlineStr">
        <is>
          <t>CABO DE SANTO AGOSTINHO</t>
        </is>
      </c>
      <c r="G10" s="119" t="n">
        <v>45323</v>
      </c>
      <c r="H10" s="119" t="n">
        <v>45323</v>
      </c>
      <c r="I10" s="60">
        <f>SUM(K10:AD10)</f>
        <v/>
      </c>
      <c r="J10" s="60">
        <f>SUM(AE10:AI10)</f>
        <v/>
      </c>
      <c r="K10" s="60" t="n">
        <v>1</v>
      </c>
      <c r="L10" s="60" t="n"/>
      <c r="M10" s="60" t="n"/>
      <c r="N10" s="60" t="n">
        <v>1</v>
      </c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>
        <v>1</v>
      </c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120">
        <f>IF(K10&gt;0,K10*(82.29+8.15),0)+IF(L10&gt;0,L10*(8.15+339.97),0)+IF(M10&gt;0,M10*151.63,0)+IF(N10&gt;0,N10*197.82,0)+IF(O10&gt;0,O10*244.09,0)+IF(P10&gt;0,P10*315.35,0)+IF(Q10&gt;0,Q10*1067.3,0)+IF(S10&gt;0,S10*567.47,0)+IF(T10&gt;0,T10*151.63,0)+IF(U10&gt;0,U10*197.84,0)+IF(V10&gt;0,V10*470.51,0)+IF(W10&gt;0,W10*701.69,0)+IF(Y10&gt;0,Y10*151.63,0)+IF(Z10&gt;0,Z10*197.84)+IF(AA10&gt;0,AA10*308.4,0)+IF(AB10&gt;0,AB10*496.16,0)</f>
        <v/>
      </c>
    </row>
    <row r="11">
      <c r="A11" s="59">
        <f>IF(G11&lt;$A$1,"VENCIDO","NA VALIDADE")</f>
        <v/>
      </c>
      <c r="B11" s="60" t="inlineStr">
        <is>
          <t>AGÊNCIA</t>
        </is>
      </c>
      <c r="C11" s="61" t="inlineStr">
        <is>
          <t>AGÊNCIA CABO</t>
        </is>
      </c>
      <c r="D11" s="82" t="inlineStr">
        <is>
          <t>CABO DE SANTO AGOSTINHO</t>
        </is>
      </c>
      <c r="E11" s="75" t="inlineStr">
        <is>
          <t>PE</t>
        </is>
      </c>
      <c r="F11" s="75" t="inlineStr">
        <is>
          <t>CABO DE SANTO AGOSTINHO</t>
        </is>
      </c>
      <c r="G11" s="119" t="n">
        <v>45413</v>
      </c>
      <c r="H11" s="119" t="n">
        <v>45413</v>
      </c>
      <c r="I11" s="60">
        <f>SUM(K11:AD11)</f>
        <v/>
      </c>
      <c r="J11" s="60">
        <f>SUM(AE11:AI11)</f>
        <v/>
      </c>
      <c r="K11" s="60" t="n">
        <v>1</v>
      </c>
      <c r="L11" s="60" t="n"/>
      <c r="M11" s="60" t="n"/>
      <c r="N11" s="60" t="n"/>
      <c r="O11" s="60" t="n">
        <v>1</v>
      </c>
      <c r="P11" s="60" t="n"/>
      <c r="Q11" s="60" t="n"/>
      <c r="R11" s="60" t="n"/>
      <c r="S11" s="60" t="n"/>
      <c r="T11" s="60" t="n"/>
      <c r="U11" s="60" t="n"/>
      <c r="V11" s="60" t="n"/>
      <c r="W11" s="60" t="n"/>
      <c r="X11" s="60" t="n"/>
      <c r="Y11" s="60" t="n"/>
      <c r="Z11" s="60" t="n">
        <v>2</v>
      </c>
      <c r="AA11" s="60" t="n"/>
      <c r="AB11" s="60" t="n"/>
      <c r="AC11" s="60" t="n"/>
      <c r="AD11" s="60" t="n"/>
      <c r="AE11" s="60" t="n"/>
      <c r="AF11" s="60" t="n"/>
      <c r="AG11" s="60" t="n"/>
      <c r="AH11" s="60" t="n"/>
      <c r="AI11" s="60" t="n"/>
      <c r="AJ11" s="120">
        <f>IF(K11&gt;0,K11*(82.29+8.15),0)+IF(L11&gt;0,L11*(8.15+339.97),0)+IF(M11&gt;0,M11*151.63,0)+IF(N11&gt;0,N11*197.82,0)+IF(O11&gt;0,O11*244.09,0)+IF(P11&gt;0,P11*315.35,0)+IF(Q11&gt;0,Q11*1067.3,0)+IF(S11&gt;0,S11*567.47,0)+IF(T11&gt;0,T11*151.63,0)+IF(U11&gt;0,U11*197.84,0)+IF(V11&gt;0,V11*470.51,0)+IF(W11&gt;0,W11*701.69,0)+IF(Y11&gt;0,Y11*151.63,0)+IF(Z11&gt;0,Z11*197.84)+IF(AA11&gt;0,AA11*308.4,0)+IF(AB11&gt;0,AB11*496.16,0)</f>
        <v/>
      </c>
    </row>
    <row r="12">
      <c r="A12" s="59">
        <f>IF(G12&lt;$A$1,"VENCIDO","NA VALIDADE")</f>
        <v/>
      </c>
      <c r="B12" s="60" t="inlineStr">
        <is>
          <t>AGÊNCIA</t>
        </is>
      </c>
      <c r="C12" s="61" t="inlineStr">
        <is>
          <t>AGÊNCIA CAMARAGIBE</t>
        </is>
      </c>
      <c r="D12" s="82" t="inlineStr">
        <is>
          <t>CAMARAGIBE</t>
        </is>
      </c>
      <c r="E12" s="75" t="inlineStr">
        <is>
          <t>PE</t>
        </is>
      </c>
      <c r="F12" s="75" t="inlineStr">
        <is>
          <t>CABO DE SANTO AGOSTINHO</t>
        </is>
      </c>
      <c r="G12" s="119" t="n">
        <v>45505</v>
      </c>
      <c r="H12" s="119">
        <f>G12-180</f>
        <v/>
      </c>
      <c r="I12" s="60">
        <f>SUM(K12:AD12)</f>
        <v/>
      </c>
      <c r="J12" s="60">
        <f>SUM(AE12:AI12)</f>
        <v/>
      </c>
      <c r="K12" s="60" t="n">
        <v>1</v>
      </c>
      <c r="L12" s="60" t="n"/>
      <c r="M12" s="60" t="n">
        <v>1</v>
      </c>
      <c r="N12" s="60" t="n"/>
      <c r="O12" s="60" t="n"/>
      <c r="P12" s="60" t="n"/>
      <c r="Q12" s="60" t="n"/>
      <c r="R12" s="60" t="n"/>
      <c r="S12" s="60" t="n"/>
      <c r="T12" s="60" t="n"/>
      <c r="U12" s="60" t="n"/>
      <c r="V12" s="60" t="n"/>
      <c r="W12" s="60" t="n"/>
      <c r="X12" s="60" t="n"/>
      <c r="Y12" s="60" t="n"/>
      <c r="Z12" s="60" t="n">
        <v>1</v>
      </c>
      <c r="AA12" s="60" t="n"/>
      <c r="AB12" s="60" t="n"/>
      <c r="AC12" s="60" t="n"/>
      <c r="AD12" s="60" t="n"/>
      <c r="AE12" s="60" t="n"/>
      <c r="AF12" s="60" t="n"/>
      <c r="AG12" s="60" t="n"/>
      <c r="AH12" s="60" t="n"/>
      <c r="AI12" s="60" t="n"/>
      <c r="AJ12" s="120">
        <f>IF(K12&gt;0,K12*(82.29+8.15),0)+IF(L12&gt;0,L12*(8.15+339.97),0)+IF(M12&gt;0,M12*151.63,0)+IF(N12&gt;0,N12*197.82,0)+IF(O12&gt;0,O12*244.09,0)+IF(P12&gt;0,P12*315.35,0)+IF(Q12&gt;0,Q12*1067.3,0)+IF(S12&gt;0,S12*567.47,0)+IF(T12&gt;0,T12*151.63,0)+IF(U12&gt;0,U12*197.84,0)+IF(V12&gt;0,V12*470.51,0)+IF(W12&gt;0,W12*701.69,0)+IF(Y12&gt;0,Y12*151.63,0)+IF(Z12&gt;0,Z12*197.84)+IF(AA12&gt;0,AA12*308.4,0)+IF(AB12&gt;0,AB12*496.16,0)</f>
        <v/>
      </c>
    </row>
    <row r="13">
      <c r="A13" s="59">
        <f>IF(G13&lt;$A$1,"VENCIDO","NA VALIDADE")</f>
        <v/>
      </c>
      <c r="B13" s="60" t="inlineStr">
        <is>
          <t>AGÊNCIA</t>
        </is>
      </c>
      <c r="C13" s="61" t="inlineStr">
        <is>
          <t>AGÊNCIA CARPINA</t>
        </is>
      </c>
      <c r="D13" s="82" t="inlineStr">
        <is>
          <t>CARPINA</t>
        </is>
      </c>
      <c r="E13" s="75" t="inlineStr">
        <is>
          <t>PE</t>
        </is>
      </c>
      <c r="F13" s="75" t="inlineStr">
        <is>
          <t>CABO DE SANTO AGOSTINHO</t>
        </is>
      </c>
      <c r="G13" s="119" t="n">
        <v>45352</v>
      </c>
      <c r="H13" s="119">
        <f>G13-180</f>
        <v/>
      </c>
      <c r="I13" s="60">
        <f>SUM(K13:AD13)</f>
        <v/>
      </c>
      <c r="J13" s="60">
        <f>SUM(AE13:AI13)</f>
        <v/>
      </c>
      <c r="K13" s="60" t="n">
        <v>1</v>
      </c>
      <c r="L13" s="60" t="n"/>
      <c r="M13" s="60" t="n">
        <v>1</v>
      </c>
      <c r="N13" s="60" t="n"/>
      <c r="O13" s="60" t="n"/>
      <c r="P13" s="60" t="n">
        <v>1</v>
      </c>
      <c r="Q13" s="60" t="n"/>
      <c r="R13" s="60" t="n"/>
      <c r="S13" s="60" t="n"/>
      <c r="T13" s="60" t="n"/>
      <c r="U13" s="60" t="n"/>
      <c r="V13" s="60" t="n"/>
      <c r="W13" s="60" t="n"/>
      <c r="X13" s="60" t="n"/>
      <c r="Y13" s="60" t="n"/>
      <c r="Z13" s="60" t="n"/>
      <c r="AA13" s="60" t="n"/>
      <c r="AB13" s="60" t="n"/>
      <c r="AC13" s="60" t="n"/>
      <c r="AD13" s="60" t="n"/>
      <c r="AE13" s="60" t="n"/>
      <c r="AF13" s="60" t="n"/>
      <c r="AG13" s="60" t="n"/>
      <c r="AH13" s="60" t="n"/>
      <c r="AI13" s="60" t="n"/>
      <c r="AJ13" s="120">
        <f>IF(K13&gt;0,K13*(82.29+8.15),0)+IF(L13&gt;0,L13*(8.15+339.97),0)+IF(M13&gt;0,M13*151.63,0)+IF(N13&gt;0,N13*197.82,0)+IF(O13&gt;0,O13*244.09,0)+IF(P13&gt;0,P13*315.35,0)+IF(Q13&gt;0,Q13*1067.3,0)+IF(S13&gt;0,S13*567.47,0)+IF(T13&gt;0,T13*151.63,0)+IF(U13&gt;0,U13*197.84,0)+IF(V13&gt;0,V13*470.51,0)+IF(W13&gt;0,W13*701.69,0)+IF(Y13&gt;0,Y13*151.63,0)+IF(Z13&gt;0,Z13*197.84)+IF(AA13&gt;0,AA13*308.4,0)+IF(AB13&gt;0,AB13*496.16,0)</f>
        <v/>
      </c>
    </row>
    <row r="14">
      <c r="A14" s="59">
        <f>IF(G14&lt;$A$1,"VENCIDO","NA VALIDADE")</f>
        <v/>
      </c>
      <c r="B14" s="60" t="inlineStr">
        <is>
          <t>AGÊNCIA</t>
        </is>
      </c>
      <c r="C14" s="61" t="inlineStr">
        <is>
          <t>AGÊNCIA CARUARU</t>
        </is>
      </c>
      <c r="D14" s="82" t="inlineStr">
        <is>
          <t>CARUARU</t>
        </is>
      </c>
      <c r="E14" s="75" t="inlineStr">
        <is>
          <t>PE</t>
        </is>
      </c>
      <c r="F14" s="75" t="inlineStr">
        <is>
          <t>CABO DE SANTO AGOSTINHO</t>
        </is>
      </c>
      <c r="G14" s="119" t="n">
        <v>45444</v>
      </c>
      <c r="H14" s="119" t="n">
        <v>45444</v>
      </c>
      <c r="I14" s="60">
        <f>SUM(K14:AD14)</f>
        <v/>
      </c>
      <c r="J14" s="60">
        <f>SUM(AE14:AI14)</f>
        <v/>
      </c>
      <c r="K14" s="60" t="n">
        <v>1</v>
      </c>
      <c r="L14" s="60" t="n"/>
      <c r="M14" s="60" t="n"/>
      <c r="N14" s="60" t="n"/>
      <c r="O14" s="60" t="n">
        <v>1</v>
      </c>
      <c r="P14" s="60" t="n"/>
      <c r="Q14" s="60" t="n"/>
      <c r="R14" s="60" t="n"/>
      <c r="S14" s="60" t="n"/>
      <c r="T14" s="60" t="n"/>
      <c r="U14" s="60" t="n"/>
      <c r="V14" s="60" t="n"/>
      <c r="W14" s="60" t="n"/>
      <c r="X14" s="60" t="n"/>
      <c r="Y14" s="60" t="n"/>
      <c r="Z14" s="60" t="n">
        <v>1</v>
      </c>
      <c r="AA14" s="60" t="n"/>
      <c r="AB14" s="60" t="n"/>
      <c r="AC14" s="60" t="n"/>
      <c r="AD14" s="60" t="n"/>
      <c r="AE14" s="60" t="n"/>
      <c r="AF14" s="60" t="n"/>
      <c r="AG14" s="60" t="n"/>
      <c r="AH14" s="60" t="n"/>
      <c r="AI14" s="60" t="n"/>
      <c r="AJ14" s="120">
        <f>IF(K14&gt;0,K14*(82.29+8.15),0)+IF(L14&gt;0,L14*(8.15+339.97),0)+IF(M14&gt;0,M14*151.63,0)+IF(N14&gt;0,N14*197.82,0)+IF(O14&gt;0,O14*244.09,0)+IF(P14&gt;0,P14*315.35,0)+IF(Q14&gt;0,Q14*1067.3,0)+IF(S14&gt;0,S14*567.47,0)+IF(T14&gt;0,T14*151.63,0)+IF(U14&gt;0,U14*197.84,0)+IF(V14&gt;0,V14*470.51,0)+IF(W14&gt;0,W14*701.69,0)+IF(Y14&gt;0,Y14*151.63,0)+IF(Z14&gt;0,Z14*197.84)+IF(AA14&gt;0,AA14*308.4,0)+IF(AB14&gt;0,AB14*496.16,0)</f>
        <v/>
      </c>
    </row>
    <row r="15">
      <c r="A15" s="59">
        <f>IF(G15&lt;$A$1,"VENCIDO","NA VALIDADE")</f>
        <v/>
      </c>
      <c r="B15" s="60" t="inlineStr">
        <is>
          <t>AGÊNCIA</t>
        </is>
      </c>
      <c r="C15" s="61" t="inlineStr">
        <is>
          <t xml:space="preserve">AGÊNCIA CASA AMARELA </t>
        </is>
      </c>
      <c r="D15" s="82" t="inlineStr">
        <is>
          <t>RECIFE</t>
        </is>
      </c>
      <c r="E15" s="75" t="inlineStr">
        <is>
          <t>PE</t>
        </is>
      </c>
      <c r="F15" s="75" t="inlineStr">
        <is>
          <t>CABO DE SANTO AGOSTINHO</t>
        </is>
      </c>
      <c r="G15" s="119" t="n">
        <v>45474</v>
      </c>
      <c r="H15" s="119" t="n">
        <v>45474</v>
      </c>
      <c r="I15" s="60">
        <f>SUM(K15:AD15)</f>
        <v/>
      </c>
      <c r="J15" s="60">
        <f>SUM(AE15:AI15)</f>
        <v/>
      </c>
      <c r="K15" s="60" t="n"/>
      <c r="L15" s="60" t="n"/>
      <c r="M15" s="60" t="n">
        <v>1</v>
      </c>
      <c r="N15" s="60" t="n"/>
      <c r="O15" s="60" t="n">
        <v>1</v>
      </c>
      <c r="P15" s="60" t="n"/>
      <c r="Q15" s="60" t="n"/>
      <c r="R15" s="60" t="n"/>
      <c r="S15" s="60" t="n"/>
      <c r="T15" s="60" t="n"/>
      <c r="U15" s="60" t="n"/>
      <c r="V15" s="60" t="n"/>
      <c r="W15" s="60" t="n"/>
      <c r="X15" s="60" t="n"/>
      <c r="Y15" s="60" t="n"/>
      <c r="Z15" s="60" t="n">
        <v>1</v>
      </c>
      <c r="AA15" s="60" t="n"/>
      <c r="AB15" s="60" t="n"/>
      <c r="AC15" s="60" t="n"/>
      <c r="AD15" s="60" t="n"/>
      <c r="AE15" s="60" t="n"/>
      <c r="AF15" s="60" t="n"/>
      <c r="AG15" s="60" t="n"/>
      <c r="AH15" s="60" t="n"/>
      <c r="AI15" s="60" t="n"/>
      <c r="AJ15" s="120">
        <f>IF(K15&gt;0,K15*(82.29+8.15),0)+IF(L15&gt;0,L15*(8.15+339.97),0)+IF(M15&gt;0,M15*151.63,0)+IF(N15&gt;0,N15*197.82,0)+IF(O15&gt;0,O15*244.09,0)+IF(P15&gt;0,P15*315.35,0)+IF(Q15&gt;0,Q15*1067.3,0)+IF(S15&gt;0,S15*567.47,0)+IF(T15&gt;0,T15*151.63,0)+IF(U15&gt;0,U15*197.84,0)+IF(V15&gt;0,V15*470.51,0)+IF(W15&gt;0,W15*701.69,0)+IF(Y15&gt;0,Y15*151.63,0)+IF(Z15&gt;0,Z15*197.84)+IF(AA15&gt;0,AA15*308.4,0)+IF(AB15&gt;0,AB15*496.16,0)</f>
        <v/>
      </c>
    </row>
    <row r="16">
      <c r="A16" s="59">
        <f>IF(G16&lt;$A$1,"VENCIDO","NA VALIDADE")</f>
        <v/>
      </c>
      <c r="B16" s="60" t="inlineStr">
        <is>
          <t>AGÊNCIA</t>
        </is>
      </c>
      <c r="C16" t="inlineStr">
        <is>
          <t xml:space="preserve">AGÊNCIA CENTRO </t>
        </is>
      </c>
      <c r="D16" s="82" t="inlineStr">
        <is>
          <t>RECIFE</t>
        </is>
      </c>
      <c r="E16" s="75" t="inlineStr">
        <is>
          <t>PE</t>
        </is>
      </c>
      <c r="F16" s="75" t="inlineStr">
        <is>
          <t>CABO DE SANTO AGOSTINHO</t>
        </is>
      </c>
      <c r="G16" s="119" t="n">
        <v>45323</v>
      </c>
      <c r="H16" s="119" t="n">
        <v>45323</v>
      </c>
      <c r="I16" s="60">
        <f>SUM(K16:AD16)</f>
        <v/>
      </c>
      <c r="J16" s="60">
        <f>SUM(AE16:AI16)</f>
        <v/>
      </c>
      <c r="K16" s="60" t="n"/>
      <c r="L16" s="60" t="n"/>
      <c r="M16" s="60" t="n">
        <v>1</v>
      </c>
      <c r="N16" s="60" t="n"/>
      <c r="O16" s="60" t="n"/>
      <c r="P16" s="60" t="n">
        <v>1</v>
      </c>
      <c r="Q16" s="60" t="n"/>
      <c r="R16" s="60" t="n"/>
      <c r="S16" s="60" t="n"/>
      <c r="T16" s="60" t="n"/>
      <c r="U16" s="60" t="n"/>
      <c r="V16" s="60" t="n"/>
      <c r="W16" s="60" t="n"/>
      <c r="X16" s="60" t="n"/>
      <c r="Y16" s="60" t="n"/>
      <c r="Z16" s="60" t="n">
        <v>1</v>
      </c>
      <c r="AA16" s="60" t="n"/>
      <c r="AB16" s="60" t="n"/>
      <c r="AC16" s="60" t="n"/>
      <c r="AD16" s="60" t="n"/>
      <c r="AE16" s="60" t="n"/>
      <c r="AF16" s="60" t="n"/>
      <c r="AG16" s="60" t="n"/>
      <c r="AH16" s="60" t="n"/>
      <c r="AI16" s="60" t="n"/>
      <c r="AJ16" s="120">
        <f>IF(K16&gt;0,K16*(82.29+8.15),0)+IF(L16&gt;0,L16*(8.15+339.97),0)+IF(M16&gt;0,M16*151.63,0)+IF(N16&gt;0,N16*197.82,0)+IF(O16&gt;0,O16*244.09,0)+IF(P16&gt;0,P16*315.35,0)+IF(Q16&gt;0,Q16*1067.3,0)+IF(S16&gt;0,S16*567.47,0)+IF(T16&gt;0,T16*151.63,0)+IF(U16&gt;0,U16*197.84,0)+IF(V16&gt;0,V16*470.51,0)+IF(W16&gt;0,W16*701.69,0)+IF(Y16&gt;0,Y16*151.63,0)+IF(Z16&gt;0,Z16*197.84)+IF(AA16&gt;0,AA16*308.4,0)+IF(AB16&gt;0,AB16*496.16,0)</f>
        <v/>
      </c>
    </row>
    <row r="17">
      <c r="A17" s="59">
        <f>IF(G17&lt;$A$1,"VENCIDO","NA VALIDADE")</f>
        <v/>
      </c>
      <c r="B17" s="60" t="inlineStr">
        <is>
          <t>AGÊNCIA</t>
        </is>
      </c>
      <c r="C17" s="61" t="inlineStr">
        <is>
          <t>AGÊNCIA GOIANA</t>
        </is>
      </c>
      <c r="D17" s="82" t="inlineStr">
        <is>
          <t>GOIANA</t>
        </is>
      </c>
      <c r="E17" s="75" t="inlineStr">
        <is>
          <t>PE</t>
        </is>
      </c>
      <c r="F17" s="75" t="inlineStr">
        <is>
          <t>CABO DE SANTO AGOSTINHO</t>
        </is>
      </c>
      <c r="G17" s="119" t="n">
        <v>45505</v>
      </c>
      <c r="H17" s="119">
        <f>G17-180</f>
        <v/>
      </c>
      <c r="I17" s="60">
        <f>SUM(K17:AD17)</f>
        <v/>
      </c>
      <c r="J17" s="60">
        <f>SUM(AE17:AI17)</f>
        <v/>
      </c>
      <c r="K17" s="60" t="n">
        <v>1</v>
      </c>
      <c r="L17" s="60" t="n"/>
      <c r="M17" s="60" t="n"/>
      <c r="N17" s="60" t="n"/>
      <c r="O17" s="60" t="n"/>
      <c r="P17" s="60" t="n">
        <v>1</v>
      </c>
      <c r="Q17" s="60" t="n"/>
      <c r="R17" s="60" t="n"/>
      <c r="S17" s="60" t="n"/>
      <c r="T17" s="60" t="n"/>
      <c r="U17" s="60" t="n"/>
      <c r="V17" s="60" t="n"/>
      <c r="W17" s="60" t="n"/>
      <c r="X17" s="60" t="n"/>
      <c r="Y17" s="60" t="n"/>
      <c r="Z17" s="60" t="n">
        <v>1</v>
      </c>
      <c r="AA17" s="60" t="n"/>
      <c r="AB17" s="60" t="n"/>
      <c r="AC17" s="60" t="n"/>
      <c r="AD17" s="60" t="n"/>
      <c r="AE17" s="60" t="n"/>
      <c r="AF17" s="60" t="n"/>
      <c r="AG17" s="60" t="n"/>
      <c r="AH17" s="60" t="n"/>
      <c r="AI17" s="60" t="n"/>
      <c r="AJ17" s="120">
        <f>IF(K17&gt;0,K17*(82.29+8.15),0)+IF(L17&gt;0,L17*(8.15+339.97),0)+IF(M17&gt;0,M17*151.63,0)+IF(N17&gt;0,N17*197.82,0)+IF(O17&gt;0,O17*244.09,0)+IF(P17&gt;0,P17*315.35,0)+IF(Q17&gt;0,Q17*1067.3,0)+IF(S17&gt;0,S17*567.47,0)+IF(T17&gt;0,T17*151.63,0)+IF(U17&gt;0,U17*197.84,0)+IF(V17&gt;0,V17*470.51,0)+IF(W17&gt;0,W17*701.69,0)+IF(Y17&gt;0,Y17*151.63,0)+IF(Z17&gt;0,Z17*197.84)+IF(AA17&gt;0,AA17*308.4,0)+IF(AB17&gt;0,AB17*496.16,0)</f>
        <v/>
      </c>
    </row>
    <row r="18">
      <c r="A18" s="59">
        <f>IF(G18&lt;$A$1,"VENCIDO","NA VALIDADE")</f>
        <v/>
      </c>
      <c r="B18" s="60" t="inlineStr">
        <is>
          <t>AGÊNCIA</t>
        </is>
      </c>
      <c r="C18" s="61" t="inlineStr">
        <is>
          <t>AGÊNCIA GRAVATÁ</t>
        </is>
      </c>
      <c r="D18" s="82" t="inlineStr">
        <is>
          <t>GRAVATA</t>
        </is>
      </c>
      <c r="E18" s="75" t="inlineStr">
        <is>
          <t>PE</t>
        </is>
      </c>
      <c r="F18" s="75" t="inlineStr">
        <is>
          <t>CABO DE SANTO AGOSTINHO</t>
        </is>
      </c>
      <c r="G18" s="119" t="n">
        <v>45323</v>
      </c>
      <c r="H18" s="119" t="n">
        <v>45323</v>
      </c>
      <c r="I18" s="60">
        <f>SUM(K18:AD18)</f>
        <v/>
      </c>
      <c r="J18" s="60">
        <f>SUM(AE18:AI18)</f>
        <v/>
      </c>
      <c r="K18" s="60" t="n">
        <v>1</v>
      </c>
      <c r="L18" s="60" t="n"/>
      <c r="M18" s="60" t="n"/>
      <c r="N18" s="60" t="n">
        <v>2</v>
      </c>
      <c r="O18" s="60" t="n"/>
      <c r="P18" s="60" t="n"/>
      <c r="Q18" s="60" t="n"/>
      <c r="R18" s="60" t="n"/>
      <c r="S18" s="60" t="n"/>
      <c r="T18" s="60" t="n"/>
      <c r="U18" s="60" t="n"/>
      <c r="V18" s="60" t="n"/>
      <c r="W18" s="60" t="n"/>
      <c r="X18" s="60" t="n"/>
      <c r="Y18" s="60" t="n"/>
      <c r="Z18" s="60" t="n">
        <v>1</v>
      </c>
      <c r="AA18" s="60" t="n"/>
      <c r="AB18" s="60" t="n"/>
      <c r="AC18" s="60" t="n"/>
      <c r="AD18" s="60" t="n"/>
      <c r="AE18" s="60" t="n"/>
      <c r="AF18" s="60" t="n"/>
      <c r="AG18" s="60" t="n"/>
      <c r="AH18" s="60" t="n"/>
      <c r="AI18" s="60" t="n"/>
      <c r="AJ18" s="120">
        <f>IF(K18&gt;0,K18*(82.29+8.15),0)+IF(L18&gt;0,L18*(8.15+339.97),0)+IF(M18&gt;0,M18*151.63,0)+IF(N18&gt;0,N18*197.82,0)+IF(O18&gt;0,O18*244.09,0)+IF(P18&gt;0,P18*315.35,0)+IF(Q18&gt;0,Q18*1067.3,0)+IF(S18&gt;0,S18*567.47,0)+IF(T18&gt;0,T18*151.63,0)+IF(U18&gt;0,U18*197.84,0)+IF(V18&gt;0,V18*470.51,0)+IF(W18&gt;0,W18*701.69,0)+IF(Y18&gt;0,Y18*151.63,0)+IF(Z18&gt;0,Z18*197.84)+IF(AA18&gt;0,AA18*308.4,0)+IF(AB18&gt;0,AB18*496.16,0)</f>
        <v/>
      </c>
    </row>
    <row r="19">
      <c r="A19" s="59">
        <f>IF(G19&lt;$A$1,"VENCIDO","NA VALIDADE")</f>
        <v/>
      </c>
      <c r="B19" s="60" t="inlineStr">
        <is>
          <t>AGÊNCIA</t>
        </is>
      </c>
      <c r="C19" s="61" t="inlineStr">
        <is>
          <t xml:space="preserve">AGÊNCIA MADALENA </t>
        </is>
      </c>
      <c r="D19" s="82" t="inlineStr">
        <is>
          <t>RECIFE</t>
        </is>
      </c>
      <c r="E19" s="75" t="inlineStr">
        <is>
          <t>PE</t>
        </is>
      </c>
      <c r="F19" s="75" t="inlineStr">
        <is>
          <t>CABO DE SANTO AGOSTINHO</t>
        </is>
      </c>
      <c r="G19" s="119" t="n">
        <v>45505</v>
      </c>
      <c r="H19" s="119">
        <f>G19-180</f>
        <v/>
      </c>
      <c r="I19" s="60">
        <f>SUM(K19:AD19)</f>
        <v/>
      </c>
      <c r="J19" s="60">
        <f>SUM(AE19:AI19)</f>
        <v/>
      </c>
      <c r="K19" s="60" t="n">
        <v>1</v>
      </c>
      <c r="L19" s="60" t="n"/>
      <c r="M19" s="60" t="n">
        <v>2</v>
      </c>
      <c r="N19" s="60" t="n"/>
      <c r="O19" s="60" t="n"/>
      <c r="P19" s="60" t="n"/>
      <c r="Q19" s="60" t="n"/>
      <c r="R19" s="60" t="n"/>
      <c r="S19" s="60" t="n"/>
      <c r="T19" s="60" t="n"/>
      <c r="U19" s="60" t="n"/>
      <c r="V19" s="60" t="n"/>
      <c r="W19" s="60" t="n"/>
      <c r="X19" s="60" t="n"/>
      <c r="Y19" s="60" t="n"/>
      <c r="Z19" s="60" t="n">
        <v>3</v>
      </c>
      <c r="AA19" s="60" t="n"/>
      <c r="AB19" s="60" t="n"/>
      <c r="AC19" s="60" t="n"/>
      <c r="AD19" s="60" t="n"/>
      <c r="AE19" s="60" t="n"/>
      <c r="AF19" s="60" t="n"/>
      <c r="AG19" s="60" t="n"/>
      <c r="AH19" s="60" t="n"/>
      <c r="AI19" s="60" t="n"/>
      <c r="AJ19" s="120">
        <f>IF(K19&gt;0,K19*(82.29+8.15),0)+IF(L19&gt;0,L19*(8.15+339.97),0)+IF(M19&gt;0,M19*151.63,0)+IF(N19&gt;0,N19*197.82,0)+IF(O19&gt;0,O19*244.09,0)+IF(P19&gt;0,P19*315.35,0)+IF(Q19&gt;0,Q19*1067.3,0)+IF(S19&gt;0,S19*567.47,0)+IF(T19&gt;0,T19*151.63,0)+IF(U19&gt;0,U19*197.84,0)+IF(V19&gt;0,V19*470.51,0)+IF(W19&gt;0,W19*701.69,0)+IF(Y19&gt;0,Y19*151.63,0)+IF(Z19&gt;0,Z19*197.84)+IF(AA19&gt;0,AA19*308.4,0)+IF(AB19&gt;0,AB19*496.16,0)</f>
        <v/>
      </c>
    </row>
    <row r="20">
      <c r="A20" s="59">
        <f>IF(G20&lt;$A$1,"VENCIDO","NA VALIDADE")</f>
        <v/>
      </c>
      <c r="B20" s="60" t="inlineStr">
        <is>
          <t>AGÊNCIA</t>
        </is>
      </c>
      <c r="C20" s="61" t="inlineStr">
        <is>
          <t>AGÊNCIA OURICURI</t>
        </is>
      </c>
      <c r="D20" s="82" t="inlineStr">
        <is>
          <t>OURICURI</t>
        </is>
      </c>
      <c r="E20" s="75" t="inlineStr">
        <is>
          <t>PE</t>
        </is>
      </c>
      <c r="F20" s="75" t="inlineStr">
        <is>
          <t>CABO DE SANTO AGOSTINHO</t>
        </is>
      </c>
      <c r="G20" s="119" t="n">
        <v>45383</v>
      </c>
      <c r="H20" s="119" t="n">
        <v>45383</v>
      </c>
      <c r="I20" s="60">
        <f>SUM(K20:AD20)</f>
        <v/>
      </c>
      <c r="J20" s="60">
        <f>SUM(AE20:AI20)</f>
        <v/>
      </c>
      <c r="K20" s="60" t="n">
        <v>1</v>
      </c>
      <c r="L20" s="60" t="n"/>
      <c r="M20" s="60" t="n"/>
      <c r="N20" s="60" t="n"/>
      <c r="O20" s="60" t="n"/>
      <c r="P20" s="60" t="n">
        <v>1</v>
      </c>
      <c r="Q20" s="60" t="n"/>
      <c r="R20" s="60" t="n"/>
      <c r="S20" s="60" t="n"/>
      <c r="T20" s="60" t="n"/>
      <c r="U20" s="60" t="n"/>
      <c r="V20" s="60" t="n"/>
      <c r="W20" s="60" t="n"/>
      <c r="X20" s="60" t="n"/>
      <c r="Y20" s="60" t="n"/>
      <c r="Z20" s="60" t="n">
        <v>1</v>
      </c>
      <c r="AA20" s="60" t="n"/>
      <c r="AB20" s="60" t="n"/>
      <c r="AC20" s="60" t="n"/>
      <c r="AD20" s="60" t="n"/>
      <c r="AE20" s="60" t="n"/>
      <c r="AF20" s="60" t="n"/>
      <c r="AG20" s="60" t="n"/>
      <c r="AH20" s="60" t="n"/>
      <c r="AI20" s="60" t="n"/>
      <c r="AJ20" s="120">
        <f>IF(K20&gt;0,K20*(82.29+8.15),0)+IF(L20&gt;0,L20*(8.15+339.97),0)+IF(M20&gt;0,M20*151.63,0)+IF(N20&gt;0,N20*197.82,0)+IF(O20&gt;0,O20*244.09,0)+IF(P20&gt;0,P20*315.35,0)+IF(Q20&gt;0,Q20*1067.3,0)+IF(S20&gt;0,S20*567.47,0)+IF(T20&gt;0,T20*151.63,0)+IF(U20&gt;0,U20*197.84,0)+IF(V20&gt;0,V20*470.51,0)+IF(W20&gt;0,W20*701.69,0)+IF(Y20&gt;0,Y20*151.63,0)+IF(Z20&gt;0,Z20*197.84)+IF(AA20&gt;0,AA20*308.4,0)+IF(AB20&gt;0,AB20*496.16,0)</f>
        <v/>
      </c>
    </row>
    <row r="21">
      <c r="A21" s="59">
        <f>IF(G21&lt;$A$1,"VENCIDO","NA VALIDADE")</f>
        <v/>
      </c>
      <c r="B21" s="60" t="inlineStr">
        <is>
          <t>AGÊNCIA</t>
        </is>
      </c>
      <c r="C21" s="61" t="inlineStr">
        <is>
          <t>AGÊNCIA PALMARES</t>
        </is>
      </c>
      <c r="D21" s="82" t="inlineStr">
        <is>
          <t>PALMARES</t>
        </is>
      </c>
      <c r="E21" s="75" t="inlineStr">
        <is>
          <t>PE</t>
        </is>
      </c>
      <c r="F21" s="75" t="inlineStr">
        <is>
          <t>CABO DE SANTO AGOSTINHO</t>
        </is>
      </c>
      <c r="G21" s="119" t="n">
        <v>45505</v>
      </c>
      <c r="H21" s="119">
        <f>G21-180</f>
        <v/>
      </c>
      <c r="I21" s="60">
        <f>SUM(K21:AD21)</f>
        <v/>
      </c>
      <c r="J21" s="60">
        <f>SUM(AE21:AI21)</f>
        <v/>
      </c>
      <c r="K21" s="60" t="n">
        <v>1</v>
      </c>
      <c r="L21" s="60" t="n"/>
      <c r="M21" s="60" t="n"/>
      <c r="N21" s="60" t="n">
        <v>1</v>
      </c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  <c r="X21" s="60" t="n"/>
      <c r="Y21" s="60" t="n"/>
      <c r="Z21" s="60" t="n">
        <v>1</v>
      </c>
      <c r="AA21" s="60" t="n"/>
      <c r="AB21" s="60" t="n"/>
      <c r="AC21" s="60" t="n"/>
      <c r="AD21" s="60" t="n"/>
      <c r="AE21" s="60" t="n"/>
      <c r="AF21" s="60" t="n"/>
      <c r="AG21" s="60" t="n"/>
      <c r="AH21" s="60" t="n"/>
      <c r="AI21" s="60" t="n"/>
      <c r="AJ21" s="120">
        <f>IF(K21&gt;0,K21*(82.29+8.15),0)+IF(L21&gt;0,L21*(8.15+339.97),0)+IF(M21&gt;0,M21*151.63,0)+IF(N21&gt;0,N21*197.82,0)+IF(O21&gt;0,O21*244.09,0)+IF(P21&gt;0,P21*315.35,0)+IF(Q21&gt;0,Q21*1067.3,0)+IF(S21&gt;0,S21*567.47,0)+IF(T21&gt;0,T21*151.63,0)+IF(U21&gt;0,U21*197.84,0)+IF(V21&gt;0,V21*470.51,0)+IF(W21&gt;0,W21*701.69,0)+IF(Y21&gt;0,Y21*151.63,0)+IF(Z21&gt;0,Z21*197.84)+IF(AA21&gt;0,AA21*308.4,0)+IF(AB21&gt;0,AB21*496.16,0)</f>
        <v/>
      </c>
    </row>
    <row r="22">
      <c r="A22" s="59">
        <f>IF(G22&lt;$A$1,"VENCIDO","NA VALIDADE")</f>
        <v/>
      </c>
      <c r="B22" s="60" t="inlineStr">
        <is>
          <t>AGÊNCIA</t>
        </is>
      </c>
      <c r="C22" s="61" t="inlineStr">
        <is>
          <t xml:space="preserve">AGÊNCIA PAULISTA </t>
        </is>
      </c>
      <c r="D22" s="82" t="inlineStr">
        <is>
          <t>PAULISTA</t>
        </is>
      </c>
      <c r="E22" s="75" t="inlineStr">
        <is>
          <t>PE</t>
        </is>
      </c>
      <c r="F22" s="75" t="inlineStr">
        <is>
          <t>CABO DE SANTO AGOSTINHO</t>
        </is>
      </c>
      <c r="G22" s="119" t="n">
        <v>45474</v>
      </c>
      <c r="H22" s="119">
        <f>G22-180</f>
        <v/>
      </c>
      <c r="I22" s="60">
        <f>SUM(K22:AD22)</f>
        <v/>
      </c>
      <c r="J22" s="60">
        <f>SUM(AE22:AI22)</f>
        <v/>
      </c>
      <c r="K22" s="60" t="n"/>
      <c r="L22" s="60" t="n"/>
      <c r="M22" s="60" t="n"/>
      <c r="N22" s="60" t="n"/>
      <c r="O22" s="60" t="n">
        <v>2</v>
      </c>
      <c r="P22" s="60" t="n">
        <v>1</v>
      </c>
      <c r="Q22" s="60" t="n"/>
      <c r="R22" s="60" t="n"/>
      <c r="S22" s="60" t="n"/>
      <c r="T22" s="60" t="n"/>
      <c r="U22" s="60" t="n"/>
      <c r="V22" s="60" t="n"/>
      <c r="W22" s="60" t="n"/>
      <c r="X22" s="60" t="n"/>
      <c r="Y22" s="60" t="n"/>
      <c r="Z22" s="60" t="n">
        <v>1</v>
      </c>
      <c r="AA22" s="60" t="n"/>
      <c r="AB22" s="60" t="n"/>
      <c r="AC22" s="60" t="n"/>
      <c r="AD22" s="60" t="n"/>
      <c r="AE22" s="60" t="n"/>
      <c r="AF22" s="60" t="n"/>
      <c r="AG22" s="60" t="n"/>
      <c r="AH22" s="60" t="n"/>
      <c r="AI22" s="60" t="n"/>
      <c r="AJ22" s="120">
        <f>IF(K22&gt;0,K22*(82.29+8.15),0)+IF(L22&gt;0,L22*(8.15+339.97),0)+IF(M22&gt;0,M22*151.63,0)+IF(N22&gt;0,N22*197.82,0)+IF(O22&gt;0,O22*244.09,0)+IF(P22&gt;0,P22*315.35,0)+IF(Q22&gt;0,Q22*1067.3,0)+IF(S22&gt;0,S22*567.47,0)+IF(T22&gt;0,T22*151.63,0)+IF(U22&gt;0,U22*197.84,0)+IF(V22&gt;0,V22*470.51,0)+IF(W22&gt;0,W22*701.69,0)+IF(Y22&gt;0,Y22*151.63,0)+IF(Z22&gt;0,Z22*197.84)+IF(AA22&gt;0,AA22*308.4,0)+IF(AB22&gt;0,AB22*496.16,0)</f>
        <v/>
      </c>
    </row>
    <row r="23">
      <c r="A23" s="59">
        <f>IF(G23&lt;$A$1,"VENCIDO","NA VALIDADE")</f>
        <v/>
      </c>
      <c r="B23" s="60" t="inlineStr">
        <is>
          <t>AGÊNCIA</t>
        </is>
      </c>
      <c r="C23" s="61" t="inlineStr">
        <is>
          <t>AGÊNCIA PETROLINA</t>
        </is>
      </c>
      <c r="D23" s="82" t="inlineStr">
        <is>
          <t>PETROLINA</t>
        </is>
      </c>
      <c r="E23" s="75" t="inlineStr">
        <is>
          <t>PE</t>
        </is>
      </c>
      <c r="F23" s="75" t="inlineStr">
        <is>
          <t>CABO DE SANTO AGOSTINHO</t>
        </is>
      </c>
      <c r="G23" s="119" t="n">
        <v>45383</v>
      </c>
      <c r="H23" s="119" t="n">
        <v>45383</v>
      </c>
      <c r="I23" s="60">
        <f>SUM(K23:AD23)</f>
        <v/>
      </c>
      <c r="J23" s="60">
        <f>SUM(AE23:AI23)</f>
        <v/>
      </c>
      <c r="K23" s="60" t="n">
        <v>2</v>
      </c>
      <c r="L23" s="60" t="n"/>
      <c r="M23" s="60" t="n"/>
      <c r="N23" s="60" t="n"/>
      <c r="O23" s="60" t="n">
        <v>1</v>
      </c>
      <c r="P23" s="60" t="n">
        <v>2</v>
      </c>
      <c r="Q23" s="60" t="n"/>
      <c r="R23" s="60" t="n"/>
      <c r="S23" s="60" t="n"/>
      <c r="T23" s="60" t="n"/>
      <c r="U23" s="60" t="n"/>
      <c r="V23" s="60" t="n"/>
      <c r="W23" s="60" t="n"/>
      <c r="X23" s="60" t="n"/>
      <c r="Y23" s="60" t="n"/>
      <c r="Z23" s="60" t="n">
        <v>3</v>
      </c>
      <c r="AA23" s="60" t="n"/>
      <c r="AB23" s="60" t="n"/>
      <c r="AC23" s="60" t="n"/>
      <c r="AD23" s="60" t="n"/>
      <c r="AE23" s="60" t="n"/>
      <c r="AF23" s="60" t="n"/>
      <c r="AG23" s="60" t="n"/>
      <c r="AH23" s="60" t="n"/>
      <c r="AI23" s="60" t="n"/>
      <c r="AJ23" s="120">
        <f>IF(K23&gt;0,K23*(82.29+8.15),0)+IF(L23&gt;0,L23*(8.15+339.97),0)+IF(M23&gt;0,M23*151.63,0)+IF(N23&gt;0,N23*197.82,0)+IF(O23&gt;0,O23*244.09,0)+IF(P23&gt;0,P23*315.35,0)+IF(Q23&gt;0,Q23*1067.3,0)+IF(S23&gt;0,S23*567.47,0)+IF(T23&gt;0,T23*151.63,0)+IF(U23&gt;0,U23*197.84,0)+IF(V23&gt;0,V23*470.51,0)+IF(W23&gt;0,W23*701.69,0)+IF(Y23&gt;0,Y23*151.63,0)+IF(Z23&gt;0,Z23*197.84)+IF(AA23&gt;0,AA23*308.4,0)+IF(AB23&gt;0,AB23*496.16,0)</f>
        <v/>
      </c>
    </row>
    <row r="24">
      <c r="A24" s="59">
        <f>IF(G24&lt;$A$1,"VENCIDO","NA VALIDADE")</f>
        <v/>
      </c>
      <c r="B24" s="60" t="inlineStr">
        <is>
          <t>AGÊNCIA</t>
        </is>
      </c>
      <c r="C24" s="61" t="inlineStr">
        <is>
          <t>AGÊNCIA PINA</t>
        </is>
      </c>
      <c r="D24" s="82" t="inlineStr">
        <is>
          <t>RECIFE</t>
        </is>
      </c>
      <c r="E24" s="75" t="inlineStr">
        <is>
          <t>PE</t>
        </is>
      </c>
      <c r="F24" s="75" t="inlineStr">
        <is>
          <t>CABO DE SANTO AGOSTINHO</t>
        </is>
      </c>
      <c r="G24" s="119" t="n">
        <v>45505</v>
      </c>
      <c r="H24" s="119">
        <f>G24-180</f>
        <v/>
      </c>
      <c r="I24" s="60">
        <f>SUM(K24:AD24)</f>
        <v/>
      </c>
      <c r="J24" s="60">
        <f>SUM(AE24:AI24)</f>
        <v/>
      </c>
      <c r="K24" s="60" t="n"/>
      <c r="L24" s="60" t="n"/>
      <c r="M24" s="60" t="n"/>
      <c r="N24" s="60" t="n">
        <v>1</v>
      </c>
      <c r="O24" s="60" t="n"/>
      <c r="P24" s="60" t="n"/>
      <c r="Q24" s="60" t="n"/>
      <c r="R24" s="60" t="n"/>
      <c r="S24" s="60" t="n"/>
      <c r="T24" s="60" t="n"/>
      <c r="U24" s="60" t="n"/>
      <c r="V24" s="60" t="n"/>
      <c r="W24" s="60" t="n"/>
      <c r="X24" s="60" t="n"/>
      <c r="Y24" s="60" t="n"/>
      <c r="Z24" s="60" t="n">
        <v>2</v>
      </c>
      <c r="AA24" s="60" t="n"/>
      <c r="AB24" s="60" t="n"/>
      <c r="AC24" s="60" t="n"/>
      <c r="AD24" s="60" t="n"/>
      <c r="AE24" s="60" t="n"/>
      <c r="AF24" s="60" t="n"/>
      <c r="AG24" s="60" t="n"/>
      <c r="AH24" s="60" t="n"/>
      <c r="AI24" s="60" t="n"/>
      <c r="AJ24" s="120">
        <f>IF(K24&gt;0,K24*(82.29+8.15),0)+IF(L24&gt;0,L24*(8.15+339.97),0)+IF(M24&gt;0,M24*151.63,0)+IF(N24&gt;0,N24*197.82,0)+IF(O24&gt;0,O24*244.09,0)+IF(P24&gt;0,P24*315.35,0)+IF(Q24&gt;0,Q24*1067.3,0)+IF(S24&gt;0,S24*567.47,0)+IF(T24&gt;0,T24*151.63,0)+IF(U24&gt;0,U24*197.84,0)+IF(V24&gt;0,V24*470.51,0)+IF(W24&gt;0,W24*701.69,0)+IF(Y24&gt;0,Y24*151.63,0)+IF(Z24&gt;0,Z24*197.84)+IF(AA24&gt;0,AA24*308.4,0)+IF(AB24&gt;0,AB24*496.16,0)</f>
        <v/>
      </c>
    </row>
    <row r="25">
      <c r="A25" s="59">
        <f>IF(G25&lt;$A$1,"VENCIDO","NA VALIDADE")</f>
        <v/>
      </c>
      <c r="B25" s="60" t="inlineStr">
        <is>
          <t>AGÊNCIA</t>
        </is>
      </c>
      <c r="C25" s="61" t="inlineStr">
        <is>
          <t>AGÊNCIA SALGUEIRO</t>
        </is>
      </c>
      <c r="D25" s="82" t="inlineStr">
        <is>
          <t>SALGUEIRO</t>
        </is>
      </c>
      <c r="E25" s="75" t="inlineStr">
        <is>
          <t>PE</t>
        </is>
      </c>
      <c r="F25" s="75" t="inlineStr">
        <is>
          <t>CABO DE SANTO AGOSTINHO</t>
        </is>
      </c>
      <c r="G25" s="119" t="n">
        <v>45474</v>
      </c>
      <c r="H25" s="119">
        <f>G25-180</f>
        <v/>
      </c>
      <c r="I25" s="60">
        <f>SUM(K25:AD25)</f>
        <v/>
      </c>
      <c r="J25" s="60">
        <f>SUM(AE25:AI25)</f>
        <v/>
      </c>
      <c r="K25" s="60" t="n">
        <v>1</v>
      </c>
      <c r="L25" s="60" t="n"/>
      <c r="M25" s="60" t="n"/>
      <c r="N25" s="60" t="n"/>
      <c r="O25" s="60" t="n"/>
      <c r="P25" s="60" t="n">
        <v>1</v>
      </c>
      <c r="Q25" s="60" t="n"/>
      <c r="R25" s="60" t="n"/>
      <c r="S25" s="60" t="n"/>
      <c r="T25" s="60" t="n"/>
      <c r="U25" s="60" t="n"/>
      <c r="V25" s="60" t="n"/>
      <c r="W25" s="60" t="n"/>
      <c r="X25" s="60" t="n"/>
      <c r="Y25" s="60" t="n"/>
      <c r="Z25" s="60" t="n">
        <v>1</v>
      </c>
      <c r="AA25" s="60" t="n"/>
      <c r="AB25" s="60" t="n"/>
      <c r="AC25" s="60" t="n"/>
      <c r="AD25" s="60" t="n"/>
      <c r="AE25" s="60" t="n"/>
      <c r="AF25" s="60" t="n"/>
      <c r="AG25" s="60" t="n"/>
      <c r="AH25" s="60" t="n"/>
      <c r="AI25" s="60" t="n"/>
      <c r="AJ25" s="120">
        <f>IF(K25&gt;0,K25*(82.29+8.15),0)+IF(L25&gt;0,L25*(8.15+339.97),0)+IF(M25&gt;0,M25*151.63,0)+IF(N25&gt;0,N25*197.82,0)+IF(O25&gt;0,O25*244.09,0)+IF(P25&gt;0,P25*315.35,0)+IF(Q25&gt;0,Q25*1067.3,0)+IF(S25&gt;0,S25*567.47,0)+IF(T25&gt;0,T25*151.63,0)+IF(U25&gt;0,U25*197.84,0)+IF(V25&gt;0,V25*470.51,0)+IF(W25&gt;0,W25*701.69,0)+IF(Y25&gt;0,Y25*151.63,0)+IF(Z25&gt;0,Z25*197.84)+IF(AA25&gt;0,AA25*308.4,0)+IF(AB25&gt;0,AB25*496.16,0)</f>
        <v/>
      </c>
    </row>
    <row r="26">
      <c r="A26" s="59">
        <f>IF(G26&lt;$A$1,"VENCIDO","NA VALIDADE")</f>
        <v/>
      </c>
      <c r="B26" s="60" t="inlineStr">
        <is>
          <t>AGÊNCIA</t>
        </is>
      </c>
      <c r="C26" s="61" t="inlineStr">
        <is>
          <t>AGÊNCIA SANTA CRUZ DO CAPIBARIBE</t>
        </is>
      </c>
      <c r="D26" s="82" t="inlineStr">
        <is>
          <t>SAO LOURENCO DA MATA</t>
        </is>
      </c>
      <c r="E26" s="75" t="inlineStr">
        <is>
          <t>PE</t>
        </is>
      </c>
      <c r="F26" s="75" t="inlineStr">
        <is>
          <t>CABO DE SANTO AGOSTINHO</t>
        </is>
      </c>
      <c r="G26" s="119" t="n">
        <v>45352</v>
      </c>
      <c r="H26" s="119" t="n">
        <v>45352</v>
      </c>
      <c r="I26" s="60">
        <f>SUM(K26:AD26)</f>
        <v/>
      </c>
      <c r="J26" s="60">
        <f>SUM(AE26:AI26)</f>
        <v/>
      </c>
      <c r="K26" s="60" t="n">
        <v>1</v>
      </c>
      <c r="L26" s="60" t="n"/>
      <c r="M26" s="60" t="n"/>
      <c r="N26" s="60" t="n"/>
      <c r="O26" s="60" t="n"/>
      <c r="P26" s="60" t="n">
        <v>1</v>
      </c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/>
      <c r="Z26" s="60" t="n">
        <v>1</v>
      </c>
      <c r="AA26" s="60" t="n"/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120">
        <f>IF(K26&gt;0,K26*(82.29+8.15),0)+IF(L26&gt;0,L26*(8.15+339.97),0)+IF(M26&gt;0,M26*151.63,0)+IF(N26&gt;0,N26*197.82,0)+IF(O26&gt;0,O26*244.09,0)+IF(P26&gt;0,P26*315.35,0)+IF(Q26&gt;0,Q26*1067.3,0)+IF(S26&gt;0,S26*567.47,0)+IF(T26&gt;0,T26*151.63,0)+IF(U26&gt;0,U26*197.84,0)+IF(V26&gt;0,V26*470.51,0)+IF(W26&gt;0,W26*701.69,0)+IF(Y26&gt;0,Y26*151.63,0)+IF(Z26&gt;0,Z26*197.84)+IF(AA26&gt;0,AA26*308.4,0)+IF(AB26&gt;0,AB26*496.16,0)</f>
        <v/>
      </c>
    </row>
    <row r="27">
      <c r="A27" s="59">
        <f>IF(G27&lt;$A$1,"VENCIDO","NA VALIDADE")</f>
        <v/>
      </c>
      <c r="B27" s="60" t="inlineStr">
        <is>
          <t>UTD</t>
        </is>
      </c>
      <c r="C27" s="61" t="inlineStr">
        <is>
          <t>UTD SÃO LOURENÇO DA MATA</t>
        </is>
      </c>
      <c r="D27" s="82" t="inlineStr">
        <is>
          <t>SAO LOURENCO DA MATA</t>
        </is>
      </c>
      <c r="E27" s="75" t="inlineStr">
        <is>
          <t>PE</t>
        </is>
      </c>
      <c r="F27" s="75" t="inlineStr">
        <is>
          <t>CABO DE SANTO AGOSTINHO</t>
        </is>
      </c>
      <c r="G27" s="119" t="n">
        <v>45505</v>
      </c>
      <c r="H27" s="119">
        <f>G27-180</f>
        <v/>
      </c>
      <c r="I27" s="60">
        <f>SUM(K27:AD27)</f>
        <v/>
      </c>
      <c r="J27" s="60">
        <f>SUM(AE27:AI27)</f>
        <v/>
      </c>
      <c r="K27" s="60" t="n">
        <v>1</v>
      </c>
      <c r="L27" s="60" t="n"/>
      <c r="M27" s="60" t="n"/>
      <c r="N27" s="60" t="n">
        <v>1</v>
      </c>
      <c r="O27" s="60" t="n"/>
      <c r="P27" s="60" t="n"/>
      <c r="Q27" s="60" t="n"/>
      <c r="R27" s="60" t="n"/>
      <c r="S27" s="60" t="n"/>
      <c r="T27" s="60" t="n"/>
      <c r="U27" s="60" t="n"/>
      <c r="V27" s="60" t="n"/>
      <c r="W27" s="60" t="n"/>
      <c r="X27" s="60" t="n"/>
      <c r="Y27" s="60" t="n"/>
      <c r="Z27" s="60" t="n">
        <v>1</v>
      </c>
      <c r="AA27" s="60" t="n"/>
      <c r="AB27" s="60" t="n"/>
      <c r="AC27" s="60" t="n"/>
      <c r="AD27" s="60" t="n"/>
      <c r="AE27" s="60" t="n"/>
      <c r="AF27" s="60" t="n"/>
      <c r="AG27" s="60" t="n"/>
      <c r="AH27" s="60" t="n"/>
      <c r="AI27" s="60" t="n"/>
      <c r="AJ27" s="120">
        <f>IF(K27&gt;0,K27*(82.29+8.15),0)+IF(L27&gt;0,L27*(8.15+339.97),0)+IF(M27&gt;0,M27*151.63,0)+IF(N27&gt;0,N27*197.82,0)+IF(O27&gt;0,O27*244.09,0)+IF(P27&gt;0,P27*315.35,0)+IF(Q27&gt;0,Q27*1067.3,0)+IF(S27&gt;0,S27*567.47,0)+IF(T27&gt;0,T27*151.63,0)+IF(U27&gt;0,U27*197.84,0)+IF(V27&gt;0,V27*470.51,0)+IF(W27&gt;0,W27*701.69,0)+IF(Y27&gt;0,Y27*151.63,0)+IF(Z27&gt;0,Z27*197.84)+IF(AA27&gt;0,AA27*308.4,0)+IF(AB27&gt;0,AB27*496.16,0)</f>
        <v/>
      </c>
    </row>
    <row r="28">
      <c r="A28" s="59">
        <f>IF(G28&lt;$A$1,"VENCIDO","NA VALIDADE")</f>
        <v/>
      </c>
      <c r="B28" s="60" t="inlineStr">
        <is>
          <t>AGÊNCIA</t>
        </is>
      </c>
      <c r="C28" s="61" t="inlineStr">
        <is>
          <t>AGÊNCIA SERRA TALHADA</t>
        </is>
      </c>
      <c r="D28" s="82" t="inlineStr">
        <is>
          <t>SERRA TALHADA</t>
        </is>
      </c>
      <c r="E28" s="75" t="inlineStr">
        <is>
          <t>PE</t>
        </is>
      </c>
      <c r="F28" s="75" t="inlineStr">
        <is>
          <t>CABO DE SANTO AGOSTINHO</t>
        </is>
      </c>
      <c r="G28" s="119" t="n">
        <v>45536</v>
      </c>
      <c r="H28" s="119">
        <f>G28-180</f>
        <v/>
      </c>
      <c r="I28" s="60">
        <f>SUM(K28:AD28)</f>
        <v/>
      </c>
      <c r="J28" s="60">
        <f>SUM(AE28:AI28)</f>
        <v/>
      </c>
      <c r="K28" s="60" t="n">
        <v>1</v>
      </c>
      <c r="L28" s="60" t="n"/>
      <c r="M28" s="60" t="n"/>
      <c r="N28" s="60" t="n"/>
      <c r="O28" s="60" t="n"/>
      <c r="P28" s="60" t="n"/>
      <c r="Q28" s="60" t="n"/>
      <c r="R28" s="60" t="n"/>
      <c r="S28" s="60" t="n"/>
      <c r="T28" s="60" t="n"/>
      <c r="U28" s="60" t="n"/>
      <c r="V28" s="60" t="n"/>
      <c r="W28" s="60" t="n"/>
      <c r="X28" s="60" t="n"/>
      <c r="Y28" s="60" t="n"/>
      <c r="Z28" s="60" t="n">
        <v>1</v>
      </c>
      <c r="AA28" s="60" t="n"/>
      <c r="AB28" s="60" t="n"/>
      <c r="AC28" s="60" t="n"/>
      <c r="AD28" s="60" t="n"/>
      <c r="AE28" s="60" t="n"/>
      <c r="AF28" s="60" t="n"/>
      <c r="AG28" s="60" t="n"/>
      <c r="AH28" s="60" t="n"/>
      <c r="AI28" s="60" t="n"/>
      <c r="AJ28" s="120">
        <f>IF(K28&gt;0,K28*(82.29+8.15),0)+IF(L28&gt;0,L28*(8.15+339.97),0)+IF(M28&gt;0,M28*151.63,0)+IF(N28&gt;0,N28*197.82,0)+IF(O28&gt;0,O28*244.09,0)+IF(P28&gt;0,P28*315.35,0)+IF(Q28&gt;0,Q28*1067.3,0)+IF(S28&gt;0,S28*567.47,0)+IF(T28&gt;0,T28*151.63,0)+IF(U28&gt;0,U28*197.84,0)+IF(V28&gt;0,V28*470.51,0)+IF(W28&gt;0,W28*701.69,0)+IF(Y28&gt;0,Y28*151.63,0)+IF(Z28&gt;0,Z28*197.84)+IF(AA28&gt;0,AA28*308.4,0)+IF(AB28&gt;0,AB28*496.16,0)</f>
        <v/>
      </c>
    </row>
    <row r="29">
      <c r="A29" s="59">
        <f>IF(G29&lt;$A$1,"VENCIDO","NA VALIDADE")</f>
        <v/>
      </c>
      <c r="B29" s="60" t="inlineStr">
        <is>
          <t>AGÊNCIA</t>
        </is>
      </c>
      <c r="C29" s="61" t="inlineStr">
        <is>
          <t>AGÊNCIA VARADOURO</t>
        </is>
      </c>
      <c r="D29" s="82" t="inlineStr">
        <is>
          <t>OLINDA</t>
        </is>
      </c>
      <c r="E29" s="75" t="inlineStr">
        <is>
          <t>PE</t>
        </is>
      </c>
      <c r="F29" s="75" t="inlineStr">
        <is>
          <t>CABO DE SANTO AGOSTINHO</t>
        </is>
      </c>
      <c r="G29" s="119" t="n">
        <v>45323</v>
      </c>
      <c r="H29" s="119" t="n">
        <v>45323</v>
      </c>
      <c r="I29" s="60">
        <f>SUM(K29:AD29)</f>
        <v/>
      </c>
      <c r="J29" s="60">
        <f>SUM(AE29:AI29)</f>
        <v/>
      </c>
      <c r="K29" s="60" t="n"/>
      <c r="L29" s="60" t="n"/>
      <c r="M29" s="60" t="n">
        <v>1</v>
      </c>
      <c r="N29" s="60" t="n"/>
      <c r="O29" s="60" t="n">
        <v>1</v>
      </c>
      <c r="P29" s="60" t="n"/>
      <c r="Q29" s="60" t="n"/>
      <c r="R29" s="60" t="n"/>
      <c r="S29" s="60" t="n"/>
      <c r="T29" s="60" t="n"/>
      <c r="U29" s="60" t="n"/>
      <c r="V29" s="60" t="n"/>
      <c r="W29" s="60" t="n"/>
      <c r="X29" s="60" t="n"/>
      <c r="Y29" s="60" t="n"/>
      <c r="Z29" s="60" t="n">
        <v>1</v>
      </c>
      <c r="AA29" s="60" t="n"/>
      <c r="AB29" s="60" t="n"/>
      <c r="AC29" s="60" t="n"/>
      <c r="AD29" s="60" t="n"/>
      <c r="AE29" s="60" t="n"/>
      <c r="AF29" s="60" t="n"/>
      <c r="AG29" s="60" t="n"/>
      <c r="AH29" s="60" t="n"/>
      <c r="AI29" s="60" t="n"/>
      <c r="AJ29" s="120">
        <f>IF(K29&gt;0,K29*(82.29+8.15),0)+IF(L29&gt;0,L29*(8.15+339.97),0)+IF(M29&gt;0,M29*151.63,0)+IF(N29&gt;0,N29*197.82,0)+IF(O29&gt;0,O29*244.09,0)+IF(P29&gt;0,P29*315.35,0)+IF(Q29&gt;0,Q29*1067.3,0)+IF(S29&gt;0,S29*567.47,0)+IF(T29&gt;0,T29*151.63,0)+IF(U29&gt;0,U29*197.84,0)+IF(V29&gt;0,V29*470.51,0)+IF(W29&gt;0,W29*701.69,0)+IF(Y29&gt;0,Y29*151.63,0)+IF(Z29&gt;0,Z29*197.84)+IF(AA29&gt;0,AA29*308.4,0)+IF(AB29&gt;0,AB29*496.16,0)</f>
        <v/>
      </c>
    </row>
    <row r="30">
      <c r="A30" s="59">
        <f>IF(G30&lt;$A$1,"VENCIDO","NA VALIDADE")</f>
        <v/>
      </c>
      <c r="B30" s="60" t="inlineStr">
        <is>
          <t>AGÊNCIA</t>
        </is>
      </c>
      <c r="C30" s="61" t="inlineStr">
        <is>
          <t>AGÊNCIA VITÓRIA  SNATO ANTÃO</t>
        </is>
      </c>
      <c r="D30" s="82" t="inlineStr">
        <is>
          <t>VITORIA DE SANTO ANTAO</t>
        </is>
      </c>
      <c r="E30" s="75" t="inlineStr">
        <is>
          <t>PE</t>
        </is>
      </c>
      <c r="F30" s="75" t="inlineStr">
        <is>
          <t>CABO DE SANTO AGOSTINHO</t>
        </is>
      </c>
      <c r="G30" s="119" t="n">
        <v>45444</v>
      </c>
      <c r="H30" s="119" t="n">
        <v>45444</v>
      </c>
      <c r="I30" s="60">
        <f>SUM(K30:AD30)</f>
        <v/>
      </c>
      <c r="J30" s="60">
        <f>SUM(AE30:AI30)</f>
        <v/>
      </c>
      <c r="K30" s="60" t="n">
        <v>1</v>
      </c>
      <c r="L30" s="60" t="n"/>
      <c r="M30" s="60" t="n"/>
      <c r="N30" s="60" t="n">
        <v>2</v>
      </c>
      <c r="O30" s="60" t="n"/>
      <c r="P30" s="60" t="n"/>
      <c r="Q30" s="60" t="n"/>
      <c r="R30" s="60" t="n"/>
      <c r="S30" s="60" t="n"/>
      <c r="T30" s="60" t="n"/>
      <c r="U30" s="60" t="n"/>
      <c r="V30" s="60" t="n"/>
      <c r="W30" s="60" t="n"/>
      <c r="X30" s="60" t="n"/>
      <c r="Y30" s="60" t="n"/>
      <c r="Z30" s="60" t="n">
        <v>1</v>
      </c>
      <c r="AA30" s="60" t="n"/>
      <c r="AB30" s="60" t="n"/>
      <c r="AC30" s="60" t="n"/>
      <c r="AD30" s="60" t="n"/>
      <c r="AE30" s="60" t="n"/>
      <c r="AF30" s="60" t="n"/>
      <c r="AG30" s="60" t="n"/>
      <c r="AH30" s="60" t="n"/>
      <c r="AI30" s="60" t="n"/>
      <c r="AJ30" s="120">
        <f>IF(K30&gt;0,K30*(82.29+8.15),0)+IF(L30&gt;0,L30*(8.15+339.97),0)+IF(M30&gt;0,M30*151.63,0)+IF(N30&gt;0,N30*197.82,0)+IF(O30&gt;0,O30*244.09,0)+IF(P30&gt;0,P30*315.35,0)+IF(Q30&gt;0,Q30*1067.3,0)+IF(S30&gt;0,S30*567.47,0)+IF(T30&gt;0,T30*151.63,0)+IF(U30&gt;0,U30*197.84,0)+IF(V30&gt;0,V30*470.51,0)+IF(W30&gt;0,W30*701.69,0)+IF(Y30&gt;0,Y30*151.63,0)+IF(Z30&gt;0,Z30*197.84)+IF(AA30&gt;0,AA30*308.4,0)+IF(AB30&gt;0,AB30*496.16,0)</f>
        <v/>
      </c>
    </row>
    <row r="31">
      <c r="A31" s="59">
        <f>IF(G31&lt;$A$1,"VENCIDO","NA VALIDADE")</f>
        <v/>
      </c>
      <c r="B31" s="60" t="inlineStr">
        <is>
          <t>SUBESTAÇÃO</t>
        </is>
      </c>
      <c r="C31" s="61" t="inlineStr">
        <is>
          <t>SE AGRESTINA</t>
        </is>
      </c>
      <c r="D31" s="82" t="inlineStr">
        <is>
          <t>AGRESTINA</t>
        </is>
      </c>
      <c r="E31" s="75" t="inlineStr">
        <is>
          <t>PE</t>
        </is>
      </c>
      <c r="F31" s="75" t="inlineStr">
        <is>
          <t>CABO DE SANTO AGOSTINHO</t>
        </is>
      </c>
      <c r="G31" s="119" t="n">
        <v>45566</v>
      </c>
      <c r="H31" s="119">
        <f>G31-180</f>
        <v/>
      </c>
      <c r="I31" s="60">
        <f>SUM(K31:AD31)</f>
        <v/>
      </c>
      <c r="J31" s="60">
        <f>SUM(AE31:AI31)</f>
        <v/>
      </c>
      <c r="K31" s="60" t="n"/>
      <c r="L31" s="60" t="n"/>
      <c r="M31" s="60" t="n"/>
      <c r="N31" s="60" t="n"/>
      <c r="O31" s="60" t="n"/>
      <c r="P31" s="60" t="n">
        <v>1</v>
      </c>
      <c r="Q31" s="60" t="n"/>
      <c r="R31" s="60" t="n"/>
      <c r="S31" s="60" t="n"/>
      <c r="T31" s="60" t="n"/>
      <c r="U31" s="60" t="n"/>
      <c r="V31" s="60" t="n"/>
      <c r="W31" s="60" t="n"/>
      <c r="X31" s="60" t="n"/>
      <c r="Y31" s="60" t="n"/>
      <c r="Z31" s="60" t="n">
        <v>1</v>
      </c>
      <c r="AA31" s="60" t="n"/>
      <c r="AB31" s="60" t="n"/>
      <c r="AC31" s="60" t="n"/>
      <c r="AD31" s="60" t="n"/>
      <c r="AE31" s="60" t="n"/>
      <c r="AF31" s="60" t="n"/>
      <c r="AG31" s="60" t="n"/>
      <c r="AH31" s="60" t="n"/>
      <c r="AI31" s="60" t="n"/>
      <c r="AJ31" s="120">
        <f>IF(K31&gt;0,K31*(82.29+8.15),0)+IF(L31&gt;0,L31*(8.15+339.97),0)+IF(M31&gt;0,M31*151.63,0)+IF(N31&gt;0,N31*197.82,0)+IF(O31&gt;0,O31*244.09,0)+IF(P31&gt;0,P31*315.35,0)+IF(Q31&gt;0,Q31*1067.3,0)+IF(S31&gt;0,S31*567.47,0)+IF(T31&gt;0,T31*151.63,0)+IF(U31&gt;0,U31*197.84,0)+IF(V31&gt;0,V31*470.51,0)+IF(W31&gt;0,W31*701.69,0)+IF(Y31&gt;0,Y31*151.63,0)+IF(Z31&gt;0,Z31*197.84)+IF(AA31&gt;0,AA31*308.4,0)+IF(AB31&gt;0,AB31*496.16,0)</f>
        <v/>
      </c>
    </row>
    <row r="32">
      <c r="A32" s="59">
        <f>IF(G32&lt;$A$1,"VENCIDO","NA VALIDADE")</f>
        <v/>
      </c>
      <c r="B32" s="60" t="inlineStr">
        <is>
          <t>AGÊNCIA</t>
        </is>
      </c>
      <c r="C32" s="61" t="inlineStr">
        <is>
          <t xml:space="preserve"> AGÊNCIA  ARCOVERDE</t>
        </is>
      </c>
      <c r="D32" s="82" t="inlineStr">
        <is>
          <t>ARCOVERDE</t>
        </is>
      </c>
      <c r="E32" s="75" t="inlineStr">
        <is>
          <t>PE</t>
        </is>
      </c>
      <c r="F32" s="75" t="inlineStr">
        <is>
          <t>CABO DE SANTO AGOSTINHO</t>
        </is>
      </c>
      <c r="G32" s="119" t="n">
        <v>45323</v>
      </c>
      <c r="H32" s="119" t="n">
        <v>45323</v>
      </c>
      <c r="I32" s="60">
        <f>SUM(K32:AD32)</f>
        <v/>
      </c>
      <c r="J32" s="60">
        <f>SUM(AE32:AI32)</f>
        <v/>
      </c>
      <c r="K32" s="60" t="n">
        <v>1</v>
      </c>
      <c r="L32" s="60" t="n"/>
      <c r="M32" s="60" t="n"/>
      <c r="N32" s="60" t="n">
        <v>1</v>
      </c>
      <c r="O32" s="60" t="n">
        <v>1</v>
      </c>
      <c r="P32" s="60" t="n"/>
      <c r="Q32" s="60" t="n"/>
      <c r="R32" s="60" t="n"/>
      <c r="S32" s="60" t="n"/>
      <c r="T32" s="60" t="n"/>
      <c r="U32" s="60" t="n"/>
      <c r="V32" s="60" t="n"/>
      <c r="W32" s="60" t="n"/>
      <c r="X32" s="60" t="n"/>
      <c r="Y32" s="60" t="n"/>
      <c r="Z32" s="60" t="n">
        <v>1</v>
      </c>
      <c r="AA32" s="60" t="n"/>
      <c r="AB32" s="60" t="n"/>
      <c r="AC32" s="60" t="n"/>
      <c r="AD32" s="60" t="n"/>
      <c r="AE32" s="60" t="n"/>
      <c r="AF32" s="60" t="n"/>
      <c r="AG32" s="60" t="n"/>
      <c r="AH32" s="60" t="n"/>
      <c r="AI32" s="60" t="n"/>
      <c r="AJ32" s="120">
        <f>IF(K32&gt;0,K32*(82.29+8.15),0)+IF(L32&gt;0,L32*(8.15+339.97),0)+IF(M32&gt;0,M32*151.63,0)+IF(N32&gt;0,N32*197.82,0)+IF(O32&gt;0,O32*244.09,0)+IF(P32&gt;0,P32*315.35,0)+IF(Q32&gt;0,Q32*1067.3,0)+IF(S32&gt;0,S32*567.47,0)+IF(T32&gt;0,T32*151.63,0)+IF(U32&gt;0,U32*197.84,0)+IF(V32&gt;0,V32*470.51,0)+IF(W32&gt;0,W32*701.69,0)+IF(Y32&gt;0,Y32*151.63,0)+IF(Z32&gt;0,Z32*197.84)+IF(AA32&gt;0,AA32*308.4,0)+IF(AB32&gt;0,AB32*496.16,0)</f>
        <v/>
      </c>
    </row>
    <row r="33">
      <c r="A33" s="59">
        <f>IF(G33&lt;$A$1,"VENCIDO","NA VALIDADE")</f>
        <v/>
      </c>
      <c r="B33" s="60" t="inlineStr">
        <is>
          <t>SUBESTAÇÃO</t>
        </is>
      </c>
      <c r="C33" s="61" t="inlineStr">
        <is>
          <t>BARREIROS</t>
        </is>
      </c>
      <c r="D33" s="82" t="inlineStr">
        <is>
          <t>IPOJUCA</t>
        </is>
      </c>
      <c r="E33" s="75" t="inlineStr">
        <is>
          <t>PE</t>
        </is>
      </c>
      <c r="F33" s="75" t="inlineStr">
        <is>
          <t>CABO DE SANTO AGOSTINHO</t>
        </is>
      </c>
      <c r="G33" s="119" t="n">
        <v>45474</v>
      </c>
      <c r="H33" s="119" t="n">
        <v>45474</v>
      </c>
      <c r="I33" s="60">
        <f>SUM(K33:AD33)</f>
        <v/>
      </c>
      <c r="J33" s="60">
        <f>SUM(AE33:AI33)</f>
        <v/>
      </c>
      <c r="K33" s="60" t="n"/>
      <c r="L33" s="60" t="n"/>
      <c r="M33" s="60" t="n"/>
      <c r="N33" s="60" t="n"/>
      <c r="O33" s="60" t="n">
        <v>2</v>
      </c>
      <c r="P33" s="60" t="n"/>
      <c r="Q33" s="60" t="n"/>
      <c r="R33" s="60" t="n"/>
      <c r="S33" s="60" t="n"/>
      <c r="T33" s="60" t="n"/>
      <c r="U33" s="60" t="n"/>
      <c r="V33" s="60" t="n"/>
      <c r="W33" s="60" t="n"/>
      <c r="X33" s="60" t="n"/>
      <c r="Y33" s="60" t="n"/>
      <c r="Z33" s="60" t="n">
        <v>1</v>
      </c>
      <c r="AA33" s="60" t="n"/>
      <c r="AB33" s="60" t="n"/>
      <c r="AC33" s="60" t="n"/>
      <c r="AD33" s="60" t="n"/>
      <c r="AE33" s="60" t="n"/>
      <c r="AF33" s="60" t="n"/>
      <c r="AG33" s="60" t="n"/>
      <c r="AH33" s="60" t="n"/>
      <c r="AI33" s="60" t="n"/>
      <c r="AJ33" s="120">
        <f>IF(K33&gt;0,K33*(82.29+8.15),0)+IF(L33&gt;0,L33*(8.15+339.97),0)+IF(M33&gt;0,M33*151.63,0)+IF(N33&gt;0,N33*197.82,0)+IF(O33&gt;0,O33*244.09,0)+IF(P33&gt;0,P33*315.35,0)+IF(Q33&gt;0,Q33*1067.3,0)+IF(S33&gt;0,S33*567.47,0)+IF(T33&gt;0,T33*151.63,0)+IF(U33&gt;0,U33*197.84,0)+IF(V33&gt;0,V33*470.51,0)+IF(W33&gt;0,W33*701.69,0)+IF(Y33&gt;0,Y33*151.63,0)+IF(Z33&gt;0,Z33*197.84)+IF(AA33&gt;0,AA33*308.4,0)+IF(AB33&gt;0,AB33*496.16,0)</f>
        <v/>
      </c>
    </row>
    <row r="34">
      <c r="A34" s="59">
        <f>IF(G34&lt;$A$1,"VENCIDO","NA VALIDADE")</f>
        <v/>
      </c>
      <c r="B34" s="60" t="inlineStr">
        <is>
          <t>BASE.OP</t>
        </is>
      </c>
      <c r="C34" s="61" t="inlineStr">
        <is>
          <t>BASE AGUAS BELA</t>
        </is>
      </c>
      <c r="D34" s="82" t="inlineStr">
        <is>
          <t>AGUAS BELAS</t>
        </is>
      </c>
      <c r="E34" s="75" t="inlineStr">
        <is>
          <t>PE</t>
        </is>
      </c>
      <c r="F34" s="75" t="inlineStr">
        <is>
          <t>CABO DE SANTO AGOSTINHO</t>
        </is>
      </c>
      <c r="G34" s="119" t="n">
        <v>45383</v>
      </c>
      <c r="H34" s="119" t="n">
        <v>45383</v>
      </c>
      <c r="I34" s="60">
        <f>SUM(K34:AD34)</f>
        <v/>
      </c>
      <c r="J34" s="60">
        <f>SUM(AE34:AI34)</f>
        <v/>
      </c>
      <c r="K34" s="60" t="n"/>
      <c r="L34" s="60" t="n"/>
      <c r="M34" s="60" t="n"/>
      <c r="N34" s="60" t="n"/>
      <c r="O34" s="60" t="n"/>
      <c r="P34" s="60" t="n">
        <v>2</v>
      </c>
      <c r="Q34" s="60" t="n"/>
      <c r="R34" s="60" t="n"/>
      <c r="S34" s="60" t="n"/>
      <c r="T34" s="60" t="n"/>
      <c r="U34" s="60" t="n"/>
      <c r="V34" s="60" t="n"/>
      <c r="W34" s="60" t="n"/>
      <c r="X34" s="60" t="n"/>
      <c r="Y34" s="60" t="n"/>
      <c r="Z34" s="60" t="n">
        <v>1</v>
      </c>
      <c r="AA34" s="60" t="n"/>
      <c r="AB34" s="60" t="n"/>
      <c r="AC34" s="60" t="n"/>
      <c r="AD34" s="60" t="n"/>
      <c r="AE34" s="60" t="n"/>
      <c r="AF34" s="60" t="n"/>
      <c r="AG34" s="60" t="n"/>
      <c r="AH34" s="60" t="n"/>
      <c r="AI34" s="60" t="n"/>
      <c r="AJ34" s="120">
        <f>IF(K34&gt;0,K34*(82.29+8.15),0)+IF(L34&gt;0,L34*(8.15+339.97),0)+IF(M34&gt;0,M34*151.63,0)+IF(N34&gt;0,N34*197.82,0)+IF(O34&gt;0,O34*244.09,0)+IF(P34&gt;0,P34*315.35,0)+IF(Q34&gt;0,Q34*1067.3,0)+IF(S34&gt;0,S34*567.47,0)+IF(T34&gt;0,T34*151.63,0)+IF(U34&gt;0,U34*197.84,0)+IF(V34&gt;0,V34*470.51,0)+IF(W34&gt;0,W34*701.69,0)+IF(Y34&gt;0,Y34*151.63,0)+IF(Z34&gt;0,Z34*197.84)+IF(AA34&gt;0,AA34*308.4,0)+IF(AB34&gt;0,AB34*496.16,0)</f>
        <v/>
      </c>
    </row>
    <row r="35">
      <c r="A35" s="59">
        <f>IF(G35&lt;$A$1,"VENCIDO","NA VALIDADE")</f>
        <v/>
      </c>
      <c r="B35" s="60" t="inlineStr">
        <is>
          <t>BASE.OP</t>
        </is>
      </c>
      <c r="C35" s="61" t="inlineStr">
        <is>
          <t>BASE ESCADA</t>
        </is>
      </c>
      <c r="D35" s="82" t="inlineStr">
        <is>
          <t>ESCADA</t>
        </is>
      </c>
      <c r="E35" s="75" t="inlineStr">
        <is>
          <t>PE</t>
        </is>
      </c>
      <c r="F35" s="75" t="inlineStr">
        <is>
          <t>CABO DE SANTO AGOSTINHO</t>
        </is>
      </c>
      <c r="G35" s="119" t="n">
        <v>45323</v>
      </c>
      <c r="H35" s="119" t="n">
        <v>45323</v>
      </c>
      <c r="I35" s="60">
        <f>SUM(K35:AD35)</f>
        <v/>
      </c>
      <c r="J35" s="60">
        <f>SUM(AE35:AI35)</f>
        <v/>
      </c>
      <c r="K35" s="60" t="n"/>
      <c r="L35" s="60" t="n"/>
      <c r="M35" s="60" t="n">
        <v>4</v>
      </c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  <c r="X35" s="60" t="n"/>
      <c r="Y35" s="60" t="n"/>
      <c r="Z35" s="60" t="n"/>
      <c r="AA35" s="60" t="n"/>
      <c r="AB35" s="60" t="n"/>
      <c r="AC35" s="60" t="n"/>
      <c r="AD35" s="60" t="n"/>
      <c r="AE35" s="60" t="n"/>
      <c r="AF35" s="60" t="n"/>
      <c r="AG35" s="60" t="n"/>
      <c r="AH35" s="60" t="n"/>
      <c r="AI35" s="60" t="n"/>
      <c r="AJ35" s="120">
        <f>IF(K35&gt;0,K35*(82.29+8.15),0)+IF(L35&gt;0,L35*(8.15+339.97),0)+IF(M35&gt;0,M35*151.63,0)+IF(N35&gt;0,N35*197.82,0)+IF(O35&gt;0,O35*244.09,0)+IF(P35&gt;0,P35*315.35,0)+IF(Q35&gt;0,Q35*1067.3,0)+IF(S35&gt;0,S35*567.47,0)+IF(T35&gt;0,T35*151.63,0)+IF(U35&gt;0,U35*197.84,0)+IF(V35&gt;0,V35*470.51,0)+IF(W35&gt;0,W35*701.69,0)+IF(Y35&gt;0,Y35*151.63,0)+IF(Z35&gt;0,Z35*197.84)+IF(AA35&gt;0,AA35*308.4,0)+IF(AB35&gt;0,AB35*496.16,0)</f>
        <v/>
      </c>
    </row>
    <row r="36">
      <c r="A36" s="59">
        <f>IF(G36&lt;$A$1,"VENCIDO","NA VALIDADE")</f>
        <v/>
      </c>
      <c r="B36" s="60" t="inlineStr">
        <is>
          <t>BASE.OP</t>
        </is>
      </c>
      <c r="C36" s="61" t="inlineStr">
        <is>
          <t>BASE IGARASSU</t>
        </is>
      </c>
      <c r="D36" s="82" t="inlineStr">
        <is>
          <t>IGARASSU</t>
        </is>
      </c>
      <c r="E36" s="75" t="inlineStr">
        <is>
          <t>PE</t>
        </is>
      </c>
      <c r="F36" s="75" t="inlineStr">
        <is>
          <t>CABO DE SANTO AGOSTINHO</t>
        </is>
      </c>
      <c r="G36" s="119" t="n">
        <v>45413</v>
      </c>
      <c r="H36" s="119">
        <f>G36-180</f>
        <v/>
      </c>
      <c r="I36" s="60">
        <f>SUM(K36:AD36)</f>
        <v/>
      </c>
      <c r="J36" s="60">
        <f>SUM(AE36:AI36)</f>
        <v/>
      </c>
      <c r="K36" s="60" t="n"/>
      <c r="L36" s="60" t="n"/>
      <c r="M36" s="60" t="n">
        <v>2</v>
      </c>
      <c r="N36" s="60" t="n"/>
      <c r="O36" s="60" t="n"/>
      <c r="P36" s="60" t="n"/>
      <c r="Q36" s="60" t="n"/>
      <c r="R36" s="60" t="n"/>
      <c r="S36" s="60" t="n"/>
      <c r="T36" s="60" t="n"/>
      <c r="U36" s="60" t="n"/>
      <c r="V36" s="60" t="n"/>
      <c r="W36" s="60" t="n"/>
      <c r="X36" s="60" t="n"/>
      <c r="Y36" s="60" t="n"/>
      <c r="Z36" s="60" t="n"/>
      <c r="AA36" s="60" t="n"/>
      <c r="AB36" s="60" t="n"/>
      <c r="AC36" s="60" t="n"/>
      <c r="AD36" s="60" t="n"/>
      <c r="AE36" s="60" t="n"/>
      <c r="AF36" s="60" t="n"/>
      <c r="AG36" s="60" t="n"/>
      <c r="AH36" s="60" t="n"/>
      <c r="AI36" s="60" t="n"/>
      <c r="AJ36" s="120">
        <f>IF(K36&gt;0,K36*(82.29+8.15),0)+IF(L36&gt;0,L36*(8.15+339.97),0)+IF(M36&gt;0,M36*151.63,0)+IF(N36&gt;0,N36*197.82,0)+IF(O36&gt;0,O36*244.09,0)+IF(P36&gt;0,P36*315.35,0)+IF(Q36&gt;0,Q36*1067.3,0)+IF(S36&gt;0,S36*567.47,0)+IF(T36&gt;0,T36*151.63,0)+IF(U36&gt;0,U36*197.84,0)+IF(V36&gt;0,V36*470.51,0)+IF(W36&gt;0,W36*701.69,0)+IF(Y36&gt;0,Y36*151.63,0)+IF(Z36&gt;0,Z36*197.84)+IF(AA36&gt;0,AA36*308.4,0)+IF(AB36&gt;0,AB36*496.16,0)</f>
        <v/>
      </c>
    </row>
    <row r="37">
      <c r="A37" s="59">
        <f>IF(G37&lt;$A$1,"VENCIDO","NA VALIDADE")</f>
        <v/>
      </c>
      <c r="B37" s="60" t="inlineStr">
        <is>
          <t>BASE.OP</t>
        </is>
      </c>
      <c r="C37" s="61" t="inlineStr">
        <is>
          <t>BASE JABOATÃO</t>
        </is>
      </c>
      <c r="D37" s="82" t="inlineStr">
        <is>
          <t>JABOATÃO DOS GUARARAPES</t>
        </is>
      </c>
      <c r="E37" s="75" t="inlineStr">
        <is>
          <t>PE</t>
        </is>
      </c>
      <c r="F37" s="75" t="inlineStr">
        <is>
          <t>CABO DE SANTO AGOSTINHO</t>
        </is>
      </c>
      <c r="G37" s="119" t="n">
        <v>45505</v>
      </c>
      <c r="H37" s="119">
        <f>G37-180</f>
        <v/>
      </c>
      <c r="I37" s="60">
        <f>SUM(K37:AD37)</f>
        <v/>
      </c>
      <c r="J37" s="60">
        <f>SUM(AE37:AI37)</f>
        <v/>
      </c>
      <c r="K37" s="60" t="n">
        <v>1</v>
      </c>
      <c r="L37" s="60" t="n"/>
      <c r="M37" s="60" t="n">
        <v>3</v>
      </c>
      <c r="N37" s="60" t="n"/>
      <c r="O37" s="60" t="n"/>
      <c r="P37" s="60" t="n">
        <v>1</v>
      </c>
      <c r="Q37" s="60" t="n"/>
      <c r="R37" s="60" t="n"/>
      <c r="S37" s="60" t="n"/>
      <c r="T37" s="60" t="n"/>
      <c r="U37" s="60" t="n"/>
      <c r="V37" s="60" t="n"/>
      <c r="W37" s="60" t="n"/>
      <c r="X37" s="60" t="n"/>
      <c r="Y37" s="60" t="n"/>
      <c r="Z37" s="60" t="n"/>
      <c r="AA37" s="60" t="n"/>
      <c r="AB37" s="60" t="n"/>
      <c r="AC37" s="60" t="n"/>
      <c r="AD37" s="60" t="n"/>
      <c r="AE37" s="60" t="n"/>
      <c r="AF37" s="60" t="n"/>
      <c r="AG37" s="60" t="n"/>
      <c r="AH37" s="60" t="n"/>
      <c r="AI37" s="60" t="n"/>
      <c r="AJ37" s="120">
        <f>IF(K37&gt;0,K37*(82.29+8.15),0)+IF(L37&gt;0,L37*(8.15+339.97),0)+IF(M37&gt;0,M37*151.63,0)+IF(N37&gt;0,N37*197.82,0)+IF(O37&gt;0,O37*244.09,0)+IF(P37&gt;0,P37*315.35,0)+IF(Q37&gt;0,Q37*1067.3,0)+IF(S37&gt;0,S37*567.47,0)+IF(T37&gt;0,T37*151.63,0)+IF(U37&gt;0,U37*197.84,0)+IF(V37&gt;0,V37*470.51,0)+IF(W37&gt;0,W37*701.69,0)+IF(Y37&gt;0,Y37*151.63,0)+IF(Z37&gt;0,Z37*197.84)+IF(AA37&gt;0,AA37*308.4,0)+IF(AB37&gt;0,AB37*496.16,0)</f>
        <v/>
      </c>
    </row>
    <row r="38">
      <c r="A38" s="59">
        <f>IF(G38&lt;$A$1,"VENCIDO","NA VALIDADE")</f>
        <v/>
      </c>
      <c r="B38" s="60" t="inlineStr">
        <is>
          <t>BASE.OP</t>
        </is>
      </c>
      <c r="C38" s="61" t="inlineStr">
        <is>
          <t xml:space="preserve">BASE LIMOEIRO </t>
        </is>
      </c>
      <c r="D38" s="82" t="inlineStr">
        <is>
          <t>LIMOEIRO</t>
        </is>
      </c>
      <c r="E38" s="75" t="inlineStr">
        <is>
          <t>PE</t>
        </is>
      </c>
      <c r="F38" s="75" t="inlineStr">
        <is>
          <t>CABO DE SANTO AGOSTINHO</t>
        </is>
      </c>
      <c r="G38" s="119" t="n">
        <v>45200</v>
      </c>
      <c r="H38" s="119">
        <f>G38-180</f>
        <v/>
      </c>
      <c r="I38" s="60">
        <f>SUM(K38:AD38)</f>
        <v/>
      </c>
      <c r="J38" s="60">
        <f>SUM(AE38:AI38)</f>
        <v/>
      </c>
      <c r="K38" s="60" t="n"/>
      <c r="L38" s="60" t="n"/>
      <c r="M38" s="60" t="n"/>
      <c r="N38" s="60" t="n">
        <v>1</v>
      </c>
      <c r="O38" s="60" t="n"/>
      <c r="P38" s="60" t="n"/>
      <c r="Q38" s="60" t="n"/>
      <c r="R38" s="60" t="n"/>
      <c r="S38" s="60" t="n"/>
      <c r="T38" s="60" t="n"/>
      <c r="U38" s="60" t="n"/>
      <c r="V38" s="60" t="n"/>
      <c r="W38" s="60" t="n"/>
      <c r="X38" s="60" t="n"/>
      <c r="Y38" s="60" t="n"/>
      <c r="Z38" s="60" t="n">
        <v>1</v>
      </c>
      <c r="AA38" s="60" t="n"/>
      <c r="AB38" s="60" t="n"/>
      <c r="AC38" s="60" t="n"/>
      <c r="AD38" s="60" t="n"/>
      <c r="AE38" s="60" t="n"/>
      <c r="AF38" s="60" t="n"/>
      <c r="AG38" s="60" t="n"/>
      <c r="AH38" s="60" t="n"/>
      <c r="AI38" s="60" t="n"/>
      <c r="AJ38" s="120">
        <f>IF(K38&gt;0,K38*(82.29+8.15),0)+IF(L38&gt;0,L38*(8.15+339.97),0)+IF(M38&gt;0,M38*151.63,0)+IF(N38&gt;0,N38*197.82,0)+IF(O38&gt;0,O38*244.09,0)+IF(P38&gt;0,P38*315.35,0)+IF(Q38&gt;0,Q38*1067.3,0)+IF(S38&gt;0,S38*567.47,0)+IF(T38&gt;0,T38*151.63,0)+IF(U38&gt;0,U38*197.84,0)+IF(V38&gt;0,V38*470.51,0)+IF(W38&gt;0,W38*701.69,0)+IF(Y38&gt;0,Y38*151.63,0)+IF(Z38&gt;0,Z38*197.84)+IF(AA38&gt;0,AA38*308.4,0)+IF(AB38&gt;0,AB38*496.16,0)</f>
        <v/>
      </c>
    </row>
    <row r="39">
      <c r="A39" s="59">
        <f>IF(G39&lt;$A$1,"VENCIDO","NA VALIDADE")</f>
        <v/>
      </c>
      <c r="B39" s="60" t="inlineStr">
        <is>
          <t>BASE.OP</t>
        </is>
      </c>
      <c r="C39" s="61" t="inlineStr">
        <is>
          <t>BASE OP AFOGADOS DA INGAZEIRA I</t>
        </is>
      </c>
      <c r="D39" s="82" t="inlineStr">
        <is>
          <t>AFOGADOS DA INGAZEIRA</t>
        </is>
      </c>
      <c r="E39" s="75" t="inlineStr">
        <is>
          <t>PE</t>
        </is>
      </c>
      <c r="F39" s="75" t="inlineStr">
        <is>
          <t>CABO DE SANTO AGOSTINHO</t>
        </is>
      </c>
      <c r="G39" s="119" t="n">
        <v>45505</v>
      </c>
      <c r="H39" s="119">
        <f>G39-180</f>
        <v/>
      </c>
      <c r="I39" s="60">
        <f>SUM(K39:AD39)</f>
        <v/>
      </c>
      <c r="J39" s="60">
        <f>SUM(AE39:AI39)</f>
        <v/>
      </c>
      <c r="K39" s="60" t="n">
        <v>1</v>
      </c>
      <c r="L39" s="60" t="n"/>
      <c r="M39" s="60" t="n"/>
      <c r="N39" s="60" t="n">
        <v>1</v>
      </c>
      <c r="O39" s="60" t="n"/>
      <c r="P39" s="60" t="n"/>
      <c r="Q39" s="60" t="n"/>
      <c r="R39" s="60" t="n"/>
      <c r="S39" s="60" t="n"/>
      <c r="T39" s="60" t="n"/>
      <c r="U39" s="60" t="n"/>
      <c r="V39" s="60" t="n"/>
      <c r="W39" s="60" t="n"/>
      <c r="X39" s="60" t="n"/>
      <c r="Y39" s="60" t="n"/>
      <c r="Z39" s="60" t="n">
        <v>1</v>
      </c>
      <c r="AA39" s="60" t="n"/>
      <c r="AB39" s="60" t="n"/>
      <c r="AC39" s="60" t="n"/>
      <c r="AD39" s="60" t="n"/>
      <c r="AE39" s="60" t="n"/>
      <c r="AF39" s="60" t="n"/>
      <c r="AG39" s="60" t="n"/>
      <c r="AH39" s="60" t="n"/>
      <c r="AI39" s="60" t="n"/>
      <c r="AJ39" s="120">
        <f>IF(K39&gt;0,K39*(82.29+8.15),0)+IF(L39&gt;0,L39*(8.15+339.97),0)+IF(M39&gt;0,M39*151.63,0)+IF(N39&gt;0,N39*197.82,0)+IF(O39&gt;0,O39*244.09,0)+IF(P39&gt;0,P39*315.35,0)+IF(Q39&gt;0,Q39*1067.3,0)+IF(S39&gt;0,S39*567.47,0)+IF(T39&gt;0,T39*151.63,0)+IF(U39&gt;0,U39*197.84,0)+IF(V39&gt;0,V39*470.51,0)+IF(W39&gt;0,W39*701.69,0)+IF(Y39&gt;0,Y39*151.63,0)+IF(Z39&gt;0,Z39*197.84)+IF(AA39&gt;0,AA39*308.4,0)+IF(AB39&gt;0,AB39*496.16,0)</f>
        <v/>
      </c>
    </row>
    <row r="40">
      <c r="A40" s="59">
        <f>IF(G40&lt;$A$1,"VENCIDO","NA VALIDADE")</f>
        <v/>
      </c>
      <c r="B40" s="60" t="inlineStr">
        <is>
          <t>UTD</t>
        </is>
      </c>
      <c r="C40" s="61" t="inlineStr">
        <is>
          <t>UTD AFOGADOS DA INGAZEIRA II</t>
        </is>
      </c>
      <c r="D40" s="82" t="inlineStr">
        <is>
          <t>AFOGADOS DA INGAZEIRA</t>
        </is>
      </c>
      <c r="E40" s="75" t="inlineStr">
        <is>
          <t>PE</t>
        </is>
      </c>
      <c r="F40" s="75" t="inlineStr">
        <is>
          <t>CABO DE SANTO AGOSTINHO</t>
        </is>
      </c>
      <c r="G40" s="119" t="n">
        <v>45505</v>
      </c>
      <c r="H40" s="119">
        <f>G40-180</f>
        <v/>
      </c>
      <c r="I40" s="60">
        <f>SUM(K40:AD40)</f>
        <v/>
      </c>
      <c r="J40" s="60">
        <f>SUM(AE40:AI40)</f>
        <v/>
      </c>
      <c r="K40" s="60" t="n">
        <v>3</v>
      </c>
      <c r="L40" s="60" t="n"/>
      <c r="M40" s="60" t="n"/>
      <c r="N40" s="60" t="n"/>
      <c r="O40" s="60" t="n"/>
      <c r="P40" s="60" t="n"/>
      <c r="Q40" s="60" t="n"/>
      <c r="R40" s="60" t="n"/>
      <c r="S40" s="60" t="n"/>
      <c r="T40" s="60" t="n"/>
      <c r="U40" s="60" t="n"/>
      <c r="V40" s="60" t="n"/>
      <c r="W40" s="60" t="n"/>
      <c r="X40" s="60" t="n"/>
      <c r="Y40" s="60" t="n"/>
      <c r="Z40" s="60" t="n">
        <v>3</v>
      </c>
      <c r="AA40" s="60" t="n"/>
      <c r="AB40" s="60" t="n"/>
      <c r="AC40" s="60" t="n"/>
      <c r="AD40" s="60" t="n"/>
      <c r="AE40" s="60" t="n"/>
      <c r="AF40" s="60" t="n"/>
      <c r="AG40" s="60" t="n"/>
      <c r="AH40" s="60" t="n"/>
      <c r="AI40" s="60" t="n"/>
      <c r="AJ40" s="120">
        <f>IF(K40&gt;0,K40*(82.29+8.15),0)+IF(L40&gt;0,L40*(8.15+339.97),0)+IF(M40&gt;0,M40*151.63,0)+IF(N40&gt;0,N40*197.82,0)+IF(O40&gt;0,O40*244.09,0)+IF(P40&gt;0,P40*315.35,0)+IF(Q40&gt;0,Q40*1067.3,0)+IF(S40&gt;0,S40*567.47,0)+IF(T40&gt;0,T40*151.63,0)+IF(U40&gt;0,U40*197.84,0)+IF(V40&gt;0,V40*470.51,0)+IF(W40&gt;0,W40*701.69,0)+IF(Y40&gt;0,Y40*151.63,0)+IF(Z40&gt;0,Z40*197.84)+IF(AA40&gt;0,AA40*308.4,0)+IF(AB40&gt;0,AB40*496.16,0)</f>
        <v/>
      </c>
    </row>
    <row r="41">
      <c r="A41" s="59">
        <f>IF(G41&lt;$A$1,"VENCIDO","NA VALIDADE")</f>
        <v/>
      </c>
      <c r="B41" s="60" t="inlineStr">
        <is>
          <t>BASE.OP</t>
        </is>
      </c>
      <c r="C41" s="61" t="inlineStr">
        <is>
          <t>BASE OPERACIONAL AFRÂNIO</t>
        </is>
      </c>
      <c r="D41" s="82" t="inlineStr">
        <is>
          <t>AFRANIO</t>
        </is>
      </c>
      <c r="E41" s="75" t="inlineStr">
        <is>
          <t>PE</t>
        </is>
      </c>
      <c r="F41" s="75" t="inlineStr">
        <is>
          <t>CABO DE SANTO AGOSTINHO</t>
        </is>
      </c>
      <c r="G41" s="119" t="n">
        <v>45413</v>
      </c>
      <c r="H41" s="119" t="n">
        <v>45413</v>
      </c>
      <c r="I41" s="60">
        <f>SUM(K41:AD41)</f>
        <v/>
      </c>
      <c r="J41" s="60">
        <f>SUM(AE41:AI41)</f>
        <v/>
      </c>
      <c r="K41" s="60" t="n">
        <v>1</v>
      </c>
      <c r="L41" s="60" t="n"/>
      <c r="M41" s="60" t="n"/>
      <c r="N41" s="60" t="n">
        <v>1</v>
      </c>
      <c r="O41" s="60" t="n"/>
      <c r="P41" s="60" t="n"/>
      <c r="Q41" s="60" t="n"/>
      <c r="R41" s="60" t="n"/>
      <c r="S41" s="60" t="n"/>
      <c r="T41" s="60" t="n"/>
      <c r="U41" s="60" t="n"/>
      <c r="V41" s="60" t="n"/>
      <c r="W41" s="60" t="n"/>
      <c r="X41" s="60" t="n"/>
      <c r="Y41" s="60" t="n"/>
      <c r="Z41" s="60" t="n">
        <v>1</v>
      </c>
      <c r="AA41" s="60" t="n"/>
      <c r="AB41" s="60" t="n"/>
      <c r="AC41" s="60" t="n"/>
      <c r="AD41" s="60" t="n"/>
      <c r="AE41" s="60" t="n"/>
      <c r="AF41" s="60" t="n"/>
      <c r="AG41" s="60" t="n"/>
      <c r="AH41" s="60" t="n"/>
      <c r="AI41" s="60" t="n"/>
      <c r="AJ41" s="120">
        <f>IF(K41&gt;0,K41*(82.29+8.15),0)+IF(L41&gt;0,L41*(8.15+339.97),0)+IF(M41&gt;0,M41*151.63,0)+IF(N41&gt;0,N41*197.82,0)+IF(O41&gt;0,O41*244.09,0)+IF(P41&gt;0,P41*315.35,0)+IF(Q41&gt;0,Q41*1067.3,0)+IF(S41&gt;0,S41*567.47,0)+IF(T41&gt;0,T41*151.63,0)+IF(U41&gt;0,U41*197.84,0)+IF(V41&gt;0,V41*470.51,0)+IF(W41&gt;0,W41*701.69,0)+IF(Y41&gt;0,Y41*151.63,0)+IF(Z41&gt;0,Z41*197.84)+IF(AA41&gt;0,AA41*308.4,0)+IF(AB41&gt;0,AB41*496.16,0)</f>
        <v/>
      </c>
    </row>
    <row r="42">
      <c r="A42" s="59">
        <f>IF(G42&lt;$A$1,"VENCIDO","NA VALIDADE")</f>
        <v/>
      </c>
      <c r="B42" s="60" t="inlineStr">
        <is>
          <t>UTD</t>
        </is>
      </c>
      <c r="C42" s="61" t="inlineStr">
        <is>
          <t>UTD ARARIPINA</t>
        </is>
      </c>
      <c r="D42" s="82" t="inlineStr">
        <is>
          <t>ARARIPINA</t>
        </is>
      </c>
      <c r="E42" s="75" t="inlineStr">
        <is>
          <t>PE</t>
        </is>
      </c>
      <c r="F42" s="75" t="inlineStr">
        <is>
          <t>CABO DE SANTO AGOSTINHO</t>
        </is>
      </c>
      <c r="G42" s="119" t="n">
        <v>45536</v>
      </c>
      <c r="H42" s="119">
        <f>G42-180</f>
        <v/>
      </c>
      <c r="I42" s="60">
        <f>SUM(K42:AD42)</f>
        <v/>
      </c>
      <c r="J42" s="60">
        <f>SUM(AE42:AI42)</f>
        <v/>
      </c>
      <c r="K42" s="60" t="n">
        <v>2</v>
      </c>
      <c r="L42" s="60" t="n"/>
      <c r="M42" s="60" t="n"/>
      <c r="N42" s="60" t="n">
        <v>1</v>
      </c>
      <c r="O42" s="60" t="n"/>
      <c r="P42" s="60" t="n"/>
      <c r="Q42" s="60" t="n"/>
      <c r="R42" s="60" t="n"/>
      <c r="S42" s="60" t="n"/>
      <c r="T42" s="60" t="n"/>
      <c r="U42" s="60" t="n"/>
      <c r="V42" s="60" t="n"/>
      <c r="W42" s="60" t="n"/>
      <c r="X42" s="60" t="n"/>
      <c r="Y42" s="60" t="n"/>
      <c r="Z42" s="60" t="n">
        <v>1</v>
      </c>
      <c r="AA42" s="60" t="n"/>
      <c r="AB42" s="60" t="n"/>
      <c r="AC42" s="60" t="n"/>
      <c r="AD42" s="60" t="n"/>
      <c r="AE42" s="60" t="n"/>
      <c r="AF42" s="60" t="n"/>
      <c r="AG42" s="60" t="n"/>
      <c r="AH42" s="60" t="n"/>
      <c r="AI42" s="60" t="n"/>
      <c r="AJ42" s="120">
        <f>IF(K42&gt;0,K42*(82.29+8.15),0)+IF(L42&gt;0,L42*(8.15+339.97),0)+IF(M42&gt;0,M42*151.63,0)+IF(N42&gt;0,N42*197.82,0)+IF(O42&gt;0,O42*244.09,0)+IF(P42&gt;0,P42*315.35,0)+IF(Q42&gt;0,Q42*1067.3,0)+IF(S42&gt;0,S42*567.47,0)+IF(T42&gt;0,T42*151.63,0)+IF(U42&gt;0,U42*197.84,0)+IF(V42&gt;0,V42*470.51,0)+IF(W42&gt;0,W42*701.69,0)+IF(Y42&gt;0,Y42*151.63,0)+IF(Z42&gt;0,Z42*197.84)+IF(AA42&gt;0,AA42*308.4,0)+IF(AB42&gt;0,AB42*496.16,0)</f>
        <v/>
      </c>
    </row>
    <row r="43">
      <c r="A43" s="59">
        <f>IF(G43&lt;$A$1,"VENCIDO","NA VALIDADE")</f>
        <v/>
      </c>
      <c r="B43" s="60" t="inlineStr">
        <is>
          <t>BASE.OP</t>
        </is>
      </c>
      <c r="C43" s="61" t="inlineStr">
        <is>
          <t>BASE OPERACIONAL BELO JARDIM/ CARUARU</t>
        </is>
      </c>
      <c r="D43" s="82" t="inlineStr">
        <is>
          <t>CARUARU</t>
        </is>
      </c>
      <c r="E43" s="75" t="inlineStr">
        <is>
          <t>PE</t>
        </is>
      </c>
      <c r="F43" s="75" t="inlineStr">
        <is>
          <t>CABO DE SANTO AGOSTINHO</t>
        </is>
      </c>
      <c r="G43" s="119" t="n">
        <v>45323</v>
      </c>
      <c r="H43" s="119" t="n">
        <v>45323</v>
      </c>
      <c r="I43" s="60">
        <f>SUM(K43:AD43)</f>
        <v/>
      </c>
      <c r="J43" s="60">
        <f>SUM(AE43:AI43)</f>
        <v/>
      </c>
      <c r="K43" s="60" t="n">
        <v>1</v>
      </c>
      <c r="L43" s="60" t="n"/>
      <c r="M43" s="60" t="n"/>
      <c r="N43" s="60" t="n">
        <v>1</v>
      </c>
      <c r="O43" s="60" t="n">
        <v>2</v>
      </c>
      <c r="P43" s="60" t="n"/>
      <c r="Q43" s="60" t="n"/>
      <c r="R43" s="60" t="n"/>
      <c r="S43" s="60" t="n"/>
      <c r="T43" s="60" t="n"/>
      <c r="U43" s="60" t="n"/>
      <c r="V43" s="60" t="n"/>
      <c r="W43" s="60" t="n"/>
      <c r="X43" s="60" t="n"/>
      <c r="Y43" s="60" t="n"/>
      <c r="Z43" s="60" t="n">
        <v>1</v>
      </c>
      <c r="AA43" s="60" t="n"/>
      <c r="AB43" s="60" t="n"/>
      <c r="AC43" s="60" t="n"/>
      <c r="AD43" s="60" t="n"/>
      <c r="AE43" s="60" t="n"/>
      <c r="AF43" s="60" t="n"/>
      <c r="AG43" s="60" t="n"/>
      <c r="AH43" s="60" t="n"/>
      <c r="AI43" s="60" t="n"/>
      <c r="AJ43" s="120">
        <f>IF(K43&gt;0,K43*(82.29+8.15),0)+IF(L43&gt;0,L43*(8.15+339.97),0)+IF(M43&gt;0,M43*151.63,0)+IF(N43&gt;0,N43*197.82,0)+IF(O43&gt;0,O43*244.09,0)+IF(P43&gt;0,P43*315.35,0)+IF(Q43&gt;0,Q43*1067.3,0)+IF(S43&gt;0,S43*567.47,0)+IF(T43&gt;0,T43*151.63,0)+IF(U43&gt;0,U43*197.84,0)+IF(V43&gt;0,V43*470.51,0)+IF(W43&gt;0,W43*701.69,0)+IF(Y43&gt;0,Y43*151.63,0)+IF(Z43&gt;0,Z43*197.84)+IF(AA43&gt;0,AA43*308.4,0)+IF(AB43&gt;0,AB43*496.16,0)</f>
        <v/>
      </c>
    </row>
    <row r="44">
      <c r="A44" s="59">
        <f>IF(G44&lt;$A$1,"VENCIDO","NA VALIDADE")</f>
        <v/>
      </c>
      <c r="B44" s="60" t="inlineStr">
        <is>
          <t>BASE.OP</t>
        </is>
      </c>
      <c r="C44" s="61" t="inlineStr">
        <is>
          <t>BASE OPERACIONAL BEZERROS</t>
        </is>
      </c>
      <c r="D44" s="82" t="inlineStr">
        <is>
          <t>BEZERROS</t>
        </is>
      </c>
      <c r="E44" s="75" t="inlineStr">
        <is>
          <t>PE</t>
        </is>
      </c>
      <c r="F44" s="75" t="inlineStr">
        <is>
          <t>CABO DE SANTO AGOSTINHO</t>
        </is>
      </c>
      <c r="G44" s="119" t="n">
        <v>45505</v>
      </c>
      <c r="H44" s="119">
        <f>G44-180</f>
        <v/>
      </c>
      <c r="I44" s="60">
        <f>SUM(K44:AD44)</f>
        <v/>
      </c>
      <c r="J44" s="60">
        <f>SUM(AE44:AI44)</f>
        <v/>
      </c>
      <c r="K44" s="60" t="n">
        <v>1</v>
      </c>
      <c r="L44" s="60" t="n"/>
      <c r="M44" s="60" t="n"/>
      <c r="N44" s="60" t="n"/>
      <c r="O44" s="60" t="n">
        <v>3</v>
      </c>
      <c r="P44" s="60" t="n"/>
      <c r="Q44" s="60" t="n"/>
      <c r="R44" s="60" t="n"/>
      <c r="S44" s="60" t="n"/>
      <c r="T44" s="60" t="n"/>
      <c r="U44" s="60" t="n"/>
      <c r="V44" s="60" t="n"/>
      <c r="W44" s="60" t="n"/>
      <c r="X44" s="60" t="n"/>
      <c r="Y44" s="60" t="n"/>
      <c r="Z44" s="60" t="n">
        <v>1</v>
      </c>
      <c r="AA44" s="60" t="n"/>
      <c r="AB44" s="60" t="n"/>
      <c r="AC44" s="60" t="n"/>
      <c r="AD44" s="60" t="n"/>
      <c r="AE44" s="60" t="n"/>
      <c r="AF44" s="60" t="n"/>
      <c r="AG44" s="60" t="n"/>
      <c r="AH44" s="60" t="n"/>
      <c r="AI44" s="60" t="n"/>
      <c r="AJ44" s="120">
        <f>IF(K44&gt;0,K44*(82.29+8.15),0)+IF(L44&gt;0,L44*(8.15+339.97),0)+IF(M44&gt;0,M44*151.63,0)+IF(N44&gt;0,N44*197.82,0)+IF(O44&gt;0,O44*244.09,0)+IF(P44&gt;0,P44*315.35,0)+IF(Q44&gt;0,Q44*1067.3,0)+IF(S44&gt;0,S44*567.47,0)+IF(T44&gt;0,T44*151.63,0)+IF(U44&gt;0,U44*197.84,0)+IF(V44&gt;0,V44*470.51,0)+IF(W44&gt;0,W44*701.69,0)+IF(Y44&gt;0,Y44*151.63,0)+IF(Z44&gt;0,Z44*197.84)+IF(AA44&gt;0,AA44*308.4,0)+IF(AB44&gt;0,AB44*496.16,0)</f>
        <v/>
      </c>
    </row>
    <row r="45">
      <c r="A45" s="59">
        <f>IF(G45&lt;$A$1,"VENCIDO","NA VALIDADE")</f>
        <v/>
      </c>
      <c r="B45" s="60" t="inlineStr">
        <is>
          <t>BASE.OP</t>
        </is>
      </c>
      <c r="C45" s="61" t="inlineStr">
        <is>
          <t>BASE CRUZ DE REBOUÇAS</t>
        </is>
      </c>
      <c r="D45" s="82" t="inlineStr">
        <is>
          <t>ABREU E LIMA</t>
        </is>
      </c>
      <c r="E45" s="75" t="inlineStr">
        <is>
          <t>PE</t>
        </is>
      </c>
      <c r="F45" s="75" t="inlineStr">
        <is>
          <t>CABO DE SANTO AGOSTINHO</t>
        </is>
      </c>
      <c r="G45" s="119" t="n">
        <v>45505</v>
      </c>
      <c r="H45" s="119">
        <f>G45-180</f>
        <v/>
      </c>
      <c r="I45" s="60">
        <f>SUM(K45:AD45)</f>
        <v/>
      </c>
      <c r="J45" s="60">
        <f>SUM(AE45:AI45)</f>
        <v/>
      </c>
      <c r="K45" s="60" t="n">
        <v>1</v>
      </c>
      <c r="L45" s="60" t="n"/>
      <c r="M45" s="60" t="n"/>
      <c r="N45" s="60" t="n"/>
      <c r="O45" s="60" t="n"/>
      <c r="P45" s="60" t="n">
        <v>1</v>
      </c>
      <c r="Q45" s="60" t="n"/>
      <c r="R45" s="60" t="n"/>
      <c r="S45" s="60" t="n"/>
      <c r="T45" s="60" t="n"/>
      <c r="U45" s="60" t="n"/>
      <c r="V45" s="60" t="n"/>
      <c r="W45" s="60" t="n"/>
      <c r="X45" s="60" t="n"/>
      <c r="Y45" s="60" t="n"/>
      <c r="Z45" s="60" t="n">
        <v>1</v>
      </c>
      <c r="AA45" s="60" t="n"/>
      <c r="AB45" s="60" t="n"/>
      <c r="AC45" s="60" t="n"/>
      <c r="AD45" s="60" t="n"/>
      <c r="AE45" s="60" t="n"/>
      <c r="AF45" s="60" t="n"/>
      <c r="AG45" s="60" t="n"/>
      <c r="AH45" s="60" t="n"/>
      <c r="AI45" s="60" t="n"/>
      <c r="AJ45" s="120">
        <f>IF(K45&gt;0,K45*(82.29+8.15),0)+IF(L45&gt;0,L45*(8.15+339.97),0)+IF(M45&gt;0,M45*151.63,0)+IF(N45&gt;0,N45*197.82,0)+IF(O45&gt;0,O45*244.09,0)+IF(P45&gt;0,P45*315.35,0)+IF(Q45&gt;0,Q45*1067.3,0)+IF(S45&gt;0,S45*567.47,0)+IF(T45&gt;0,T45*151.63,0)+IF(U45&gt;0,U45*197.84,0)+IF(V45&gt;0,V45*470.51,0)+IF(W45&gt;0,W45*701.69,0)+IF(Y45&gt;0,Y45*151.63,0)+IF(Z45&gt;0,Z45*197.84)+IF(AA45&gt;0,AA45*308.4,0)+IF(AB45&gt;0,AB45*496.16,0)</f>
        <v/>
      </c>
    </row>
    <row r="46">
      <c r="A46" s="59">
        <f>IF(G46&lt;$A$1,"VENCIDO","NA VALIDADE")</f>
        <v/>
      </c>
      <c r="B46" s="60" t="inlineStr">
        <is>
          <t>SUBESTAÇÃO</t>
        </is>
      </c>
      <c r="C46" s="61" t="inlineStr">
        <is>
          <t>SE CRUZ DE REBOUÇAS</t>
        </is>
      </c>
      <c r="D46" s="82" t="inlineStr">
        <is>
          <t>ABREU E LIMA</t>
        </is>
      </c>
      <c r="E46" s="75" t="inlineStr">
        <is>
          <t>PE</t>
        </is>
      </c>
      <c r="F46" s="75" t="inlineStr">
        <is>
          <t>CABO DE SANTO AGOSTINHO</t>
        </is>
      </c>
      <c r="G46" s="119" t="n">
        <v>45474</v>
      </c>
      <c r="H46" s="119">
        <f>G46-180</f>
        <v/>
      </c>
      <c r="I46" s="60">
        <f>SUM(K46:AD46)</f>
        <v/>
      </c>
      <c r="J46" s="60">
        <f>SUM(AE46:AI46)</f>
        <v/>
      </c>
      <c r="K46" s="60" t="n"/>
      <c r="L46" s="60" t="n"/>
      <c r="M46" s="60" t="n"/>
      <c r="N46" s="60" t="n"/>
      <c r="O46" s="60" t="n"/>
      <c r="P46" s="60" t="n"/>
      <c r="Q46" s="60" t="n"/>
      <c r="R46" s="60" t="n"/>
      <c r="S46" s="60" t="n">
        <v>1</v>
      </c>
      <c r="T46" s="60" t="n"/>
      <c r="U46" s="60" t="n"/>
      <c r="V46" s="60" t="n"/>
      <c r="W46" s="60" t="n"/>
      <c r="X46" s="60" t="n"/>
      <c r="Y46" s="60" t="n"/>
      <c r="Z46" s="60" t="n">
        <v>1</v>
      </c>
      <c r="AA46" s="60" t="n"/>
      <c r="AB46" s="60" t="n"/>
      <c r="AC46" s="60" t="n"/>
      <c r="AD46" s="60" t="n"/>
      <c r="AE46" s="60" t="n"/>
      <c r="AF46" s="60" t="n"/>
      <c r="AG46" s="60" t="n"/>
      <c r="AH46" s="60" t="n"/>
      <c r="AI46" s="60" t="n"/>
      <c r="AJ46" s="120">
        <f>IF(K46&gt;0,K46*(82.29+8.15),0)+IF(L46&gt;0,L46*(8.15+339.97),0)+IF(M46&gt;0,M46*151.63,0)+IF(N46&gt;0,N46*197.82,0)+IF(O46&gt;0,O46*244.09,0)+IF(P46&gt;0,P46*315.35,0)+IF(Q46&gt;0,Q46*1067.3,0)+IF(S46&gt;0,S46*567.47,0)+IF(T46&gt;0,T46*151.63,0)+IF(U46&gt;0,U46*197.84,0)+IF(V46&gt;0,V46*470.51,0)+IF(W46&gt;0,W46*701.69,0)+IF(Y46&gt;0,Y46*151.63,0)+IF(Z46&gt;0,Z46*197.84)+IF(AA46&gt;0,AA46*308.4,0)+IF(AB46&gt;0,AB46*496.16,0)</f>
        <v/>
      </c>
    </row>
    <row r="47">
      <c r="A47" s="59">
        <f>IF(G47&lt;$A$1,"VENCIDO","NA VALIDADE")</f>
        <v/>
      </c>
      <c r="B47" s="60" t="inlineStr">
        <is>
          <t>BASE.OP</t>
        </is>
      </c>
      <c r="C47" s="61" t="inlineStr">
        <is>
          <t>BASE OPERACIONAL CUSTÓDIA</t>
        </is>
      </c>
      <c r="D47" s="82" t="inlineStr">
        <is>
          <t>CUSTÓDIA</t>
        </is>
      </c>
      <c r="E47" s="75" t="inlineStr">
        <is>
          <t>PE</t>
        </is>
      </c>
      <c r="F47" s="75" t="inlineStr">
        <is>
          <t>CABO DE SANTO AGOSTINHO</t>
        </is>
      </c>
      <c r="G47" s="119" t="n">
        <v>45383</v>
      </c>
      <c r="H47" s="119" t="n">
        <v>45383</v>
      </c>
      <c r="I47" s="60">
        <f>SUM(K47:AD47)</f>
        <v/>
      </c>
      <c r="J47" s="60">
        <f>SUM(AE47:AI47)</f>
        <v/>
      </c>
      <c r="K47" s="60" t="n">
        <v>1</v>
      </c>
      <c r="L47" s="60" t="n"/>
      <c r="M47" s="60" t="n"/>
      <c r="N47" s="60" t="n"/>
      <c r="O47" s="60" t="n">
        <v>1</v>
      </c>
      <c r="P47" s="60" t="n"/>
      <c r="Q47" s="60" t="n"/>
      <c r="R47" s="60" t="n"/>
      <c r="S47" s="60" t="n"/>
      <c r="T47" s="60" t="n"/>
      <c r="U47" s="60" t="n"/>
      <c r="V47" s="60" t="n"/>
      <c r="W47" s="60" t="n"/>
      <c r="X47" s="60" t="n"/>
      <c r="Y47" s="60" t="n"/>
      <c r="Z47" s="60" t="n">
        <v>1</v>
      </c>
      <c r="AA47" s="60" t="n"/>
      <c r="AB47" s="60" t="n"/>
      <c r="AC47" s="60" t="n"/>
      <c r="AD47" s="60" t="n"/>
      <c r="AE47" s="60" t="n"/>
      <c r="AF47" s="60" t="n"/>
      <c r="AG47" s="60" t="n"/>
      <c r="AH47" s="60" t="n"/>
      <c r="AI47" s="60" t="n"/>
      <c r="AJ47" s="120">
        <f>IF(K47&gt;0,K47*(82.29+8.15),0)+IF(L47&gt;0,L47*(8.15+339.97),0)+IF(M47&gt;0,M47*151.63,0)+IF(N47&gt;0,N47*197.82,0)+IF(O47&gt;0,O47*244.09,0)+IF(P47&gt;0,P47*315.35,0)+IF(Q47&gt;0,Q47*1067.3,0)+IF(S47&gt;0,S47*567.47,0)+IF(T47&gt;0,T47*151.63,0)+IF(U47&gt;0,U47*197.84,0)+IF(V47&gt;0,V47*470.51,0)+IF(W47&gt;0,W47*701.69,0)+IF(Y47&gt;0,Y47*151.63,0)+IF(Z47&gt;0,Z47*197.84)+IF(AA47&gt;0,AA47*308.4,0)+IF(AB47&gt;0,AB47*496.16,0)</f>
        <v/>
      </c>
    </row>
    <row r="48">
      <c r="A48" s="59">
        <f>IF(G48&lt;$A$1,"VENCIDO","NA VALIDADE")</f>
        <v/>
      </c>
      <c r="B48" s="60" t="inlineStr">
        <is>
          <t>BASE.OP</t>
        </is>
      </c>
      <c r="C48" s="61" t="inlineStr">
        <is>
          <t>BASE OPERACIONAL IBIMIRIM</t>
        </is>
      </c>
      <c r="D48" s="82" t="inlineStr">
        <is>
          <t>IBIMIRIM</t>
        </is>
      </c>
      <c r="E48" s="75" t="inlineStr">
        <is>
          <t>PE</t>
        </is>
      </c>
      <c r="F48" s="75" t="inlineStr">
        <is>
          <t>CABO DE SANTO AGOSTINHO</t>
        </is>
      </c>
      <c r="G48" s="119" t="n">
        <v>45323</v>
      </c>
      <c r="H48" s="119">
        <f>G48-180</f>
        <v/>
      </c>
      <c r="I48" s="60">
        <f>SUM(K48:AD48)</f>
        <v/>
      </c>
      <c r="J48" s="60">
        <f>SUM(AE48:AI48)</f>
        <v/>
      </c>
      <c r="K48" s="60" t="n">
        <v>1</v>
      </c>
      <c r="L48" s="60" t="n"/>
      <c r="M48" s="60" t="n">
        <v>1</v>
      </c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  <c r="X48" s="60" t="n"/>
      <c r="Y48" s="60" t="n"/>
      <c r="Z48" s="60" t="n"/>
      <c r="AA48" s="60" t="n"/>
      <c r="AB48" s="60" t="n"/>
      <c r="AC48" s="60" t="n"/>
      <c r="AD48" s="60" t="n"/>
      <c r="AE48" s="60" t="n"/>
      <c r="AF48" s="60" t="n"/>
      <c r="AG48" s="60" t="n"/>
      <c r="AH48" s="60" t="n"/>
      <c r="AI48" s="60" t="n"/>
      <c r="AJ48" s="120">
        <f>IF(K48&gt;0,K48*(82.29+8.15),0)+IF(L48&gt;0,L48*(8.15+339.97),0)+IF(M48&gt;0,M48*151.63,0)+IF(N48&gt;0,N48*197.82,0)+IF(O48&gt;0,O48*244.09,0)+IF(P48&gt;0,P48*315.35,0)+IF(Q48&gt;0,Q48*1067.3,0)+IF(S48&gt;0,S48*567.47,0)+IF(T48&gt;0,T48*151.63,0)+IF(U48&gt;0,U48*197.84,0)+IF(V48&gt;0,V48*470.51,0)+IF(W48&gt;0,W48*701.69,0)+IF(Y48&gt;0,Y48*151.63,0)+IF(Z48&gt;0,Z48*197.84)+IF(AA48&gt;0,AA48*308.4,0)+IF(AB48&gt;0,AB48*496.16,0)</f>
        <v/>
      </c>
    </row>
    <row r="49">
      <c r="A49" s="59">
        <f>IF(G49&lt;$A$1,"VENCIDO","NA VALIDADE")</f>
        <v/>
      </c>
      <c r="B49" s="60" t="inlineStr">
        <is>
          <t>BASE.OP</t>
        </is>
      </c>
      <c r="C49" s="61" t="inlineStr">
        <is>
          <t>BASE OPERACIONAL LAJEDO</t>
        </is>
      </c>
      <c r="D49" s="82" t="inlineStr">
        <is>
          <t>LAJEDO</t>
        </is>
      </c>
      <c r="E49" s="75" t="inlineStr">
        <is>
          <t>PE</t>
        </is>
      </c>
      <c r="F49" s="75" t="inlineStr">
        <is>
          <t>CABO DE SANTO AGOSTINHO</t>
        </is>
      </c>
      <c r="G49" s="119" t="n">
        <v>45536</v>
      </c>
      <c r="H49" s="119">
        <f>G49-180</f>
        <v/>
      </c>
      <c r="I49" s="60">
        <f>SUM(K49:AD49)</f>
        <v/>
      </c>
      <c r="J49" s="60">
        <f>SUM(AE49:AI49)</f>
        <v/>
      </c>
      <c r="K49" s="60" t="n">
        <v>1</v>
      </c>
      <c r="L49" s="60" t="n"/>
      <c r="M49" s="60" t="n"/>
      <c r="N49" s="60" t="n"/>
      <c r="O49" s="60" t="n"/>
      <c r="P49" s="60" t="n">
        <v>1</v>
      </c>
      <c r="Q49" s="60" t="n"/>
      <c r="R49" s="60" t="n"/>
      <c r="S49" s="60" t="n"/>
      <c r="T49" s="60" t="n"/>
      <c r="U49" s="60" t="n"/>
      <c r="V49" s="60" t="n"/>
      <c r="W49" s="60" t="n"/>
      <c r="X49" s="60" t="n"/>
      <c r="Y49" s="60" t="n"/>
      <c r="Z49" s="60" t="n">
        <v>1</v>
      </c>
      <c r="AA49" s="60" t="n"/>
      <c r="AB49" s="60" t="n"/>
      <c r="AC49" s="60" t="n"/>
      <c r="AD49" s="60" t="n"/>
      <c r="AE49" s="60" t="n"/>
      <c r="AF49" s="60" t="n"/>
      <c r="AG49" s="60" t="n"/>
      <c r="AH49" s="60" t="n"/>
      <c r="AI49" s="60" t="n"/>
      <c r="AJ49" s="120">
        <f>IF(K49&gt;0,K49*(82.29+8.15),0)+IF(L49&gt;0,L49*(8.15+339.97),0)+IF(M49&gt;0,M49*151.63,0)+IF(N49&gt;0,N49*197.82,0)+IF(O49&gt;0,O49*244.09,0)+IF(P49&gt;0,P49*315.35,0)+IF(Q49&gt;0,Q49*1067.3,0)+IF(S49&gt;0,S49*567.47,0)+IF(T49&gt;0,T49*151.63,0)+IF(U49&gt;0,U49*197.84,0)+IF(V49&gt;0,V49*470.51,0)+IF(W49&gt;0,W49*701.69,0)+IF(Y49&gt;0,Y49*151.63,0)+IF(Z49&gt;0,Z49*197.84)+IF(AA49&gt;0,AA49*308.4,0)+IF(AB49&gt;0,AB49*496.16,0)</f>
        <v/>
      </c>
    </row>
    <row r="50">
      <c r="A50" s="59">
        <f>IF(G50&lt;$A$1,"VENCIDO","NA VALIDADE")</f>
        <v/>
      </c>
      <c r="B50" s="60" t="inlineStr">
        <is>
          <t>BASE.OP</t>
        </is>
      </c>
      <c r="C50" s="61" t="inlineStr">
        <is>
          <t>BASE OPERACIONAL PESQUEIRA</t>
        </is>
      </c>
      <c r="D50" s="82" t="inlineStr">
        <is>
          <t>PESQUEIRA</t>
        </is>
      </c>
      <c r="E50" s="75" t="inlineStr">
        <is>
          <t>PE</t>
        </is>
      </c>
      <c r="F50" s="75" t="inlineStr">
        <is>
          <t>CABO DE SANTO AGOSTINHO</t>
        </is>
      </c>
      <c r="G50" s="119" t="n">
        <v>45383</v>
      </c>
      <c r="H50" s="119" t="n">
        <v>45383</v>
      </c>
      <c r="I50" s="60">
        <f>SUM(K50:AD50)</f>
        <v/>
      </c>
      <c r="J50" s="60">
        <f>SUM(AE50:AI50)</f>
        <v/>
      </c>
      <c r="K50" s="60" t="n">
        <v>2</v>
      </c>
      <c r="L50" s="60" t="n"/>
      <c r="M50" s="60" t="n"/>
      <c r="N50" s="60" t="n"/>
      <c r="O50" s="60" t="n">
        <v>1</v>
      </c>
      <c r="P50" s="60" t="n">
        <v>1</v>
      </c>
      <c r="Q50" s="60" t="n"/>
      <c r="R50" s="60" t="n"/>
      <c r="S50" s="60" t="n"/>
      <c r="T50" s="60" t="n"/>
      <c r="U50" s="60" t="n"/>
      <c r="V50" s="60" t="n"/>
      <c r="W50" s="60" t="n"/>
      <c r="X50" s="60" t="n"/>
      <c r="Y50" s="60" t="n"/>
      <c r="Z50" s="60" t="n">
        <v>1</v>
      </c>
      <c r="AA50" s="60" t="n"/>
      <c r="AB50" s="60" t="n"/>
      <c r="AC50" s="60" t="n"/>
      <c r="AD50" s="60" t="n"/>
      <c r="AE50" s="60" t="n"/>
      <c r="AF50" s="60" t="n"/>
      <c r="AG50" s="60" t="n"/>
      <c r="AH50" s="60" t="n"/>
      <c r="AI50" s="60" t="n"/>
      <c r="AJ50" s="120">
        <f>IF(K50&gt;0,K50*(82.29+8.15),0)+IF(L50&gt;0,L50*(8.15+339.97),0)+IF(M50&gt;0,M50*151.63,0)+IF(N50&gt;0,N50*197.82,0)+IF(O50&gt;0,O50*244.09,0)+IF(P50&gt;0,P50*315.35,0)+IF(Q50&gt;0,Q50*1067.3,0)+IF(S50&gt;0,S50*567.47,0)+IF(T50&gt;0,T50*151.63,0)+IF(U50&gt;0,U50*197.84,0)+IF(V50&gt;0,V50*470.51,0)+IF(W50&gt;0,W50*701.69,0)+IF(Y50&gt;0,Y50*151.63,0)+IF(Z50&gt;0,Z50*197.84)+IF(AA50&gt;0,AA50*308.4,0)+IF(AB50&gt;0,AB50*496.16,0)</f>
        <v/>
      </c>
    </row>
    <row r="51">
      <c r="A51" s="59">
        <f>IF(G51&lt;$A$1,"VENCIDO","NA VALIDADE")</f>
        <v/>
      </c>
      <c r="B51" s="60" t="inlineStr">
        <is>
          <t>BASE.OP</t>
        </is>
      </c>
      <c r="C51" s="61" t="inlineStr">
        <is>
          <t>BASE OPERACIONAL RIO FORMOÇO</t>
        </is>
      </c>
      <c r="D51" s="82" t="inlineStr">
        <is>
          <t>RIO FORMOÇO</t>
        </is>
      </c>
      <c r="E51" s="75" t="inlineStr">
        <is>
          <t>PE</t>
        </is>
      </c>
      <c r="F51" s="75" t="inlineStr">
        <is>
          <t>CABO DE SANTO AGOSTINHO</t>
        </is>
      </c>
      <c r="G51" s="119" t="n">
        <v>45323</v>
      </c>
      <c r="H51" s="119" t="n">
        <v>45323</v>
      </c>
      <c r="I51" s="60">
        <f>SUM(K51:AD51)</f>
        <v/>
      </c>
      <c r="J51" s="60">
        <f>SUM(AE51:AI51)</f>
        <v/>
      </c>
      <c r="K51" s="60" t="n"/>
      <c r="L51" s="60" t="n"/>
      <c r="M51" s="60" t="n"/>
      <c r="N51" s="60" t="n">
        <v>1</v>
      </c>
      <c r="O51" s="60" t="n"/>
      <c r="P51" s="60" t="n">
        <v>1</v>
      </c>
      <c r="Q51" s="60" t="n"/>
      <c r="R51" s="60" t="n"/>
      <c r="S51" s="60" t="n"/>
      <c r="T51" s="60" t="n"/>
      <c r="U51" s="60" t="n"/>
      <c r="V51" s="60" t="n"/>
      <c r="W51" s="60" t="n"/>
      <c r="X51" s="60" t="n"/>
      <c r="Y51" s="60" t="n"/>
      <c r="Z51" s="60" t="n">
        <v>3</v>
      </c>
      <c r="AA51" s="60" t="n"/>
      <c r="AB51" s="60" t="n"/>
      <c r="AC51" s="60" t="n"/>
      <c r="AD51" s="60" t="n"/>
      <c r="AE51" s="60" t="n"/>
      <c r="AF51" s="60" t="n"/>
      <c r="AG51" s="60" t="n"/>
      <c r="AH51" s="60" t="n"/>
      <c r="AI51" s="60" t="n"/>
      <c r="AJ51" s="120">
        <f>IF(K51&gt;0,K51*(82.29+8.15),0)+IF(L51&gt;0,L51*(8.15+339.97),0)+IF(M51&gt;0,M51*151.63,0)+IF(N51&gt;0,N51*197.82,0)+IF(O51&gt;0,O51*244.09,0)+IF(P51&gt;0,P51*315.35,0)+IF(Q51&gt;0,Q51*1067.3,0)+IF(S51&gt;0,S51*567.47,0)+IF(T51&gt;0,T51*151.63,0)+IF(U51&gt;0,U51*197.84,0)+IF(V51&gt;0,V51*470.51,0)+IF(W51&gt;0,W51*701.69,0)+IF(Y51&gt;0,Y51*151.63,0)+IF(Z51&gt;0,Z51*197.84)+IF(AA51&gt;0,AA51*308.4,0)+IF(AB51&gt;0,AB51*496.16,0)</f>
        <v/>
      </c>
    </row>
    <row r="52">
      <c r="A52" s="59">
        <f>IF(G52&lt;$A$1,"VENCIDO","NA VALIDADE")</f>
        <v/>
      </c>
      <c r="B52" s="60" t="inlineStr">
        <is>
          <t>SUBESTAÇÃO</t>
        </is>
      </c>
      <c r="C52" s="61" t="inlineStr">
        <is>
          <t>SE SÃO JOSÉ DO EGITO</t>
        </is>
      </c>
      <c r="D52" s="82" t="inlineStr">
        <is>
          <t>SAO JOSE DO EGITO</t>
        </is>
      </c>
      <c r="E52" s="75" t="inlineStr">
        <is>
          <t>PE</t>
        </is>
      </c>
      <c r="F52" s="75" t="inlineStr">
        <is>
          <t>CABO DE SANTO AGOSTINHO</t>
        </is>
      </c>
      <c r="G52" s="119" t="n">
        <v>45566</v>
      </c>
      <c r="H52" s="119">
        <f>G52-180</f>
        <v/>
      </c>
      <c r="I52" s="60">
        <f>SUM(K52:AD52)</f>
        <v/>
      </c>
      <c r="J52" s="60">
        <f>SUM(AE52:AI52)</f>
        <v/>
      </c>
      <c r="K52" s="60" t="n"/>
      <c r="L52" s="60" t="n"/>
      <c r="M52" s="60" t="n"/>
      <c r="N52" s="60" t="n"/>
      <c r="O52" s="60" t="n">
        <v>1</v>
      </c>
      <c r="P52" s="60" t="n">
        <v>1</v>
      </c>
      <c r="Q52" s="60" t="n"/>
      <c r="R52" s="60" t="n"/>
      <c r="S52" s="60" t="n"/>
      <c r="T52" s="60" t="n"/>
      <c r="U52" s="60" t="n"/>
      <c r="V52" s="60" t="n"/>
      <c r="W52" s="60" t="n"/>
      <c r="X52" s="60" t="n"/>
      <c r="Y52" s="60" t="n"/>
      <c r="Z52" s="60" t="n">
        <v>1</v>
      </c>
      <c r="AA52" s="60" t="n"/>
      <c r="AB52" s="60" t="n"/>
      <c r="AC52" s="60" t="n"/>
      <c r="AD52" s="60" t="n"/>
      <c r="AE52" s="60" t="n"/>
      <c r="AF52" s="60" t="n"/>
      <c r="AG52" s="60" t="n"/>
      <c r="AH52" s="60" t="n"/>
      <c r="AI52" s="60" t="n"/>
      <c r="AJ52" s="120">
        <f>IF(K52&gt;0,K52*(82.29+8.15),0)+IF(L52&gt;0,L52*(8.15+339.97),0)+IF(M52&gt;0,M52*151.63,0)+IF(N52&gt;0,N52*197.82,0)+IF(O52&gt;0,O52*244.09,0)+IF(P52&gt;0,P52*315.35,0)+IF(Q52&gt;0,Q52*1067.3,0)+IF(S52&gt;0,S52*567.47,0)+IF(T52&gt;0,T52*151.63,0)+IF(U52&gt;0,U52*197.84,0)+IF(V52&gt;0,V52*470.51,0)+IF(W52&gt;0,W52*701.69,0)+IF(Y52&gt;0,Y52*151.63,0)+IF(Z52&gt;0,Z52*197.84)+IF(AA52&gt;0,AA52*308.4,0)+IF(AB52&gt;0,AB52*496.16,0)</f>
        <v/>
      </c>
    </row>
    <row r="53">
      <c r="A53" s="59">
        <f>IF(G53&lt;$A$1,"VENCIDO","NA VALIDADE")</f>
        <v/>
      </c>
      <c r="B53" s="60" t="inlineStr">
        <is>
          <t>BASE.OP</t>
        </is>
      </c>
      <c r="C53" s="61" t="inlineStr">
        <is>
          <t>BASE OPERACIONAL SÃO JOSÉ DO EGITO</t>
        </is>
      </c>
      <c r="D53" s="82" t="inlineStr">
        <is>
          <t>SAO JOSE DO EGITO</t>
        </is>
      </c>
      <c r="E53" s="75" t="inlineStr">
        <is>
          <t>PE</t>
        </is>
      </c>
      <c r="F53" s="75" t="inlineStr">
        <is>
          <t>CABO DE SANTO AGOSTINHO</t>
        </is>
      </c>
      <c r="G53" s="119" t="n">
        <v>45566</v>
      </c>
      <c r="H53" s="119">
        <f>G53-180</f>
        <v/>
      </c>
      <c r="I53" s="60">
        <f>SUM(K53:AD53)</f>
        <v/>
      </c>
      <c r="J53" s="60">
        <f>SUM(AE53:AI53)</f>
        <v/>
      </c>
      <c r="K53" s="60" t="n">
        <v>1</v>
      </c>
      <c r="L53" s="60" t="n"/>
      <c r="M53" s="60" t="n"/>
      <c r="N53" s="60" t="n"/>
      <c r="O53" s="60" t="n">
        <v>1</v>
      </c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>
        <v>1</v>
      </c>
      <c r="AA53" s="60" t="n"/>
      <c r="AB53" s="60" t="n"/>
      <c r="AC53" s="60" t="n"/>
      <c r="AD53" s="60" t="n"/>
      <c r="AE53" s="60" t="n"/>
      <c r="AF53" s="60" t="n"/>
      <c r="AG53" s="60" t="n"/>
      <c r="AH53" s="60" t="n"/>
      <c r="AI53" s="60" t="n"/>
      <c r="AJ53" s="120">
        <f>IF(K53&gt;0,K53*(82.29+8.15),0)+IF(L53&gt;0,L53*(8.15+339.97),0)+IF(M53&gt;0,M53*151.63,0)+IF(N53&gt;0,N53*197.82,0)+IF(O53&gt;0,O53*244.09,0)+IF(P53&gt;0,P53*315.35,0)+IF(Q53&gt;0,Q53*1067.3,0)+IF(S53&gt;0,S53*567.47,0)+IF(T53&gt;0,T53*151.63,0)+IF(U53&gt;0,U53*197.84,0)+IF(V53&gt;0,V53*470.51,0)+IF(W53&gt;0,W53*701.69,0)+IF(Y53&gt;0,Y53*151.63,0)+IF(Z53&gt;0,Z53*197.84)+IF(AA53&gt;0,AA53*308.4,0)+IF(AB53&gt;0,AB53*496.16,0)</f>
        <v/>
      </c>
    </row>
    <row r="54">
      <c r="A54" s="59">
        <f>IF(G54&lt;$A$1,"VENCIDO","NA VALIDADE")</f>
        <v/>
      </c>
      <c r="B54" s="60" t="inlineStr">
        <is>
          <t>UTD</t>
        </is>
      </c>
      <c r="C54" s="61" t="inlineStr">
        <is>
          <t>UTD E BASE TIMBAUBA</t>
        </is>
      </c>
      <c r="D54" s="82" t="inlineStr">
        <is>
          <t>TIMBAUBA</t>
        </is>
      </c>
      <c r="E54" s="75" t="inlineStr">
        <is>
          <t>PE</t>
        </is>
      </c>
      <c r="F54" s="75" t="inlineStr">
        <is>
          <t>CABO DE SANTO AGOSTINHO</t>
        </is>
      </c>
      <c r="G54" s="119" t="n">
        <v>45536</v>
      </c>
      <c r="H54" s="119">
        <f>G54-180</f>
        <v/>
      </c>
      <c r="I54" s="60">
        <f>SUM(K54:AD54)</f>
        <v/>
      </c>
      <c r="J54" s="60">
        <f>SUM(AE54:AI54)</f>
        <v/>
      </c>
      <c r="K54" s="60" t="n">
        <v>1</v>
      </c>
      <c r="L54" s="60" t="n"/>
      <c r="M54" s="60" t="n"/>
      <c r="N54" s="60" t="n"/>
      <c r="O54" s="60" t="n"/>
      <c r="P54" s="60" t="n">
        <v>1</v>
      </c>
      <c r="Q54" s="60" t="n"/>
      <c r="R54" s="60" t="n"/>
      <c r="S54" s="60" t="n"/>
      <c r="T54" s="60" t="n"/>
      <c r="U54" s="60" t="n"/>
      <c r="V54" s="60" t="n"/>
      <c r="W54" s="60" t="n"/>
      <c r="X54" s="60" t="n"/>
      <c r="Y54" s="60" t="n"/>
      <c r="Z54" s="60" t="n">
        <v>1</v>
      </c>
      <c r="AA54" s="60" t="n"/>
      <c r="AB54" s="60" t="n"/>
      <c r="AC54" s="60" t="n"/>
      <c r="AD54" s="60" t="n"/>
      <c r="AE54" s="60" t="n"/>
      <c r="AF54" s="60" t="n"/>
      <c r="AG54" s="60" t="n"/>
      <c r="AH54" s="60" t="n"/>
      <c r="AI54" s="60" t="n"/>
      <c r="AJ54" s="120">
        <f>IF(K54&gt;0,K54*(82.29+8.15),0)+IF(L54&gt;0,L54*(8.15+339.97),0)+IF(M54&gt;0,M54*151.63,0)+IF(N54&gt;0,N54*197.82,0)+IF(O54&gt;0,O54*244.09,0)+IF(P54&gt;0,P54*315.35,0)+IF(Q54&gt;0,Q54*1067.3,0)+IF(S54&gt;0,S54*567.47,0)+IF(T54&gt;0,T54*151.63,0)+IF(U54&gt;0,U54*197.84,0)+IF(V54&gt;0,V54*470.51,0)+IF(W54&gt;0,W54*701.69,0)+IF(Y54&gt;0,Y54*151.63,0)+IF(Z54&gt;0,Z54*197.84)+IF(AA54&gt;0,AA54*308.4,0)+IF(AB54&gt;0,AB54*496.16,0)</f>
        <v/>
      </c>
    </row>
    <row r="55">
      <c r="A55" s="59">
        <f>IF(G55&lt;$A$1,"VENCIDO","NA VALIDADE")</f>
        <v/>
      </c>
      <c r="B55" s="60" t="inlineStr">
        <is>
          <t>SUBESTAÇÃO</t>
        </is>
      </c>
      <c r="C55" s="61" t="inlineStr">
        <is>
          <t>SE BEBERIBE</t>
        </is>
      </c>
      <c r="D55" s="82" t="inlineStr">
        <is>
          <t>RECIFE</t>
        </is>
      </c>
      <c r="E55" s="75" t="inlineStr">
        <is>
          <t>PE</t>
        </is>
      </c>
      <c r="F55" s="75" t="inlineStr">
        <is>
          <t>CABO DE SANTO AGOSTINHO</t>
        </is>
      </c>
      <c r="G55" s="119" t="n">
        <v>45505</v>
      </c>
      <c r="H55" s="119">
        <f>G55-180</f>
        <v/>
      </c>
      <c r="I55" s="60">
        <f>SUM(K55:AD55)</f>
        <v/>
      </c>
      <c r="J55" s="60">
        <f>SUM(AE55:AI55)</f>
        <v/>
      </c>
      <c r="K55" s="60" t="n"/>
      <c r="L55" s="60" t="n"/>
      <c r="M55" s="60" t="n"/>
      <c r="N55" s="60" t="n"/>
      <c r="O55" s="60" t="n"/>
      <c r="P55" s="60" t="n">
        <v>3</v>
      </c>
      <c r="Q55" s="60" t="n"/>
      <c r="R55" s="60" t="n"/>
      <c r="S55" s="60" t="n"/>
      <c r="T55" s="60" t="n"/>
      <c r="U55" s="60" t="n"/>
      <c r="V55" s="60" t="n"/>
      <c r="W55" s="60" t="n"/>
      <c r="X55" s="60" t="n"/>
      <c r="Y55" s="60" t="n"/>
      <c r="Z55" s="60" t="n">
        <v>1</v>
      </c>
      <c r="AA55" s="60" t="n"/>
      <c r="AB55" s="60" t="n"/>
      <c r="AC55" s="60" t="n"/>
      <c r="AD55" s="60" t="n"/>
      <c r="AE55" s="60" t="n"/>
      <c r="AF55" s="60" t="n"/>
      <c r="AG55" s="60" t="n"/>
      <c r="AH55" s="60" t="n"/>
      <c r="AI55" s="60" t="n"/>
      <c r="AJ55" s="120">
        <f>IF(K55&gt;0,K55*(82.29+8.15),0)+IF(L55&gt;0,L55*(8.15+339.97),0)+IF(M55&gt;0,M55*151.63,0)+IF(N55&gt;0,N55*197.82,0)+IF(O55&gt;0,O55*244.09,0)+IF(P55&gt;0,P55*315.35,0)+IF(Q55&gt;0,Q55*1067.3,0)+IF(S55&gt;0,S55*567.47,0)+IF(T55&gt;0,T55*151.63,0)+IF(U55&gt;0,U55*197.84,0)+IF(V55&gt;0,V55*470.51,0)+IF(W55&gt;0,W55*701.69,0)+IF(Y55&gt;0,Y55*151.63,0)+IF(Z55&gt;0,Z55*197.84)+IF(AA55&gt;0,AA55*308.4,0)+IF(AB55&gt;0,AB55*496.16,0)</f>
        <v/>
      </c>
    </row>
    <row r="56">
      <c r="A56" s="59">
        <f>IF(G56&lt;$A$1,"VENCIDO","NA VALIDADE")</f>
        <v/>
      </c>
      <c r="B56" s="60" t="inlineStr">
        <is>
          <t>SUBESTAÇÃO</t>
        </is>
      </c>
      <c r="C56" s="61" t="inlineStr">
        <is>
          <t>SE BELÉM DE SÃO FRANCISCO</t>
        </is>
      </c>
      <c r="D56" s="83" t="inlineStr">
        <is>
          <t>BELÉM DE SÃO FRANCISCO</t>
        </is>
      </c>
      <c r="E56" s="75" t="inlineStr">
        <is>
          <t>PE</t>
        </is>
      </c>
      <c r="F56" s="75" t="inlineStr">
        <is>
          <t>CABO DE SANTO AGOSTINHO</t>
        </is>
      </c>
      <c r="G56" s="119" t="n">
        <v>45323</v>
      </c>
      <c r="H56" s="119" t="n">
        <v>45444</v>
      </c>
      <c r="I56" s="60">
        <f>SUM(K56:AD56)</f>
        <v/>
      </c>
      <c r="J56" s="60">
        <f>SUM(AE56:AI56)</f>
        <v/>
      </c>
      <c r="K56" s="60" t="n"/>
      <c r="L56" s="60" t="n"/>
      <c r="M56" s="60" t="n"/>
      <c r="N56" s="60" t="n"/>
      <c r="O56" s="60" t="n"/>
      <c r="P56" s="60" t="n">
        <v>2</v>
      </c>
      <c r="Q56" s="60" t="n"/>
      <c r="R56" s="60" t="n"/>
      <c r="S56" s="60" t="n"/>
      <c r="T56" s="60" t="n"/>
      <c r="U56" s="60" t="n"/>
      <c r="V56" s="60" t="n"/>
      <c r="W56" s="60" t="n"/>
      <c r="X56" s="60" t="n"/>
      <c r="Y56" s="60" t="n"/>
      <c r="Z56" s="60" t="n">
        <v>1</v>
      </c>
      <c r="AA56" s="60" t="n"/>
      <c r="AB56" s="60" t="n"/>
      <c r="AC56" s="60" t="n"/>
      <c r="AD56" s="60" t="n"/>
      <c r="AE56" s="60" t="n"/>
      <c r="AF56" s="60" t="n"/>
      <c r="AG56" s="60" t="n"/>
      <c r="AH56" s="60" t="n"/>
      <c r="AI56" s="60" t="n"/>
      <c r="AJ56" s="120">
        <f>IF(K56&gt;0,K56*(82.29+8.15),0)+IF(L56&gt;0,L56*(8.15+339.97),0)+IF(M56&gt;0,M56*151.63,0)+IF(N56&gt;0,N56*197.82,0)+IF(O56&gt;0,O56*244.09,0)+IF(P56&gt;0,P56*315.35,0)+IF(Q56&gt;0,Q56*1067.3,0)+IF(S56&gt;0,S56*567.47,0)+IF(T56&gt;0,T56*151.63,0)+IF(U56&gt;0,U56*197.84,0)+IF(V56&gt;0,V56*470.51,0)+IF(W56&gt;0,W56*701.69,0)+IF(Y56&gt;0,Y56*151.63,0)+IF(Z56&gt;0,Z56*197.84)+IF(AA56&gt;0,AA56*308.4,0)+IF(AB56&gt;0,AB56*496.16,0)</f>
        <v/>
      </c>
    </row>
    <row r="57">
      <c r="A57" s="59">
        <f>IF(G57&lt;$A$1,"VENCIDO","NA VALIDADE")</f>
        <v/>
      </c>
      <c r="B57" s="60" t="inlineStr">
        <is>
          <t>SUBESTAÇÃO</t>
        </is>
      </c>
      <c r="C57" s="61" t="inlineStr">
        <is>
          <t>SE BOA VISTA</t>
        </is>
      </c>
      <c r="D57" s="82" t="inlineStr">
        <is>
          <t>RECIFE</t>
        </is>
      </c>
      <c r="E57" s="75" t="inlineStr">
        <is>
          <t>PE</t>
        </is>
      </c>
      <c r="F57" s="75" t="inlineStr">
        <is>
          <t>CABO DE SANTO AGOSTINHO</t>
        </is>
      </c>
      <c r="G57" s="119" t="n">
        <v>45505</v>
      </c>
      <c r="H57" s="119">
        <f>G57-180</f>
        <v/>
      </c>
      <c r="I57" s="60">
        <f>SUM(K57:AD57)</f>
        <v/>
      </c>
      <c r="J57" s="60">
        <f>SUM(AE57:AI57)</f>
        <v/>
      </c>
      <c r="K57" s="60" t="n"/>
      <c r="L57" s="60" t="n"/>
      <c r="M57" s="60" t="n"/>
      <c r="N57" s="60" t="n"/>
      <c r="O57" s="60" t="n"/>
      <c r="P57" s="60" t="n">
        <v>2</v>
      </c>
      <c r="Q57" s="60" t="n"/>
      <c r="R57" s="60" t="n"/>
      <c r="S57" s="60" t="n"/>
      <c r="T57" s="60" t="n"/>
      <c r="U57" s="60" t="n"/>
      <c r="V57" s="60" t="n"/>
      <c r="W57" s="60" t="n"/>
      <c r="X57" s="60" t="n"/>
      <c r="Y57" s="60" t="n"/>
      <c r="Z57" s="60" t="n">
        <v>1</v>
      </c>
      <c r="AA57" s="60" t="n"/>
      <c r="AB57" s="60" t="n"/>
      <c r="AC57" s="60" t="n"/>
      <c r="AD57" s="60" t="n"/>
      <c r="AE57" s="60" t="n"/>
      <c r="AF57" s="60" t="n"/>
      <c r="AG57" s="60" t="n"/>
      <c r="AH57" s="60" t="n"/>
      <c r="AI57" s="60" t="n"/>
      <c r="AJ57" s="120">
        <f>IF(K57&gt;0,K57*(82.29+8.15),0)+IF(L57&gt;0,L57*(8.15+339.97),0)+IF(M57&gt;0,M57*151.63,0)+IF(N57&gt;0,N57*197.82,0)+IF(O57&gt;0,O57*244.09,0)+IF(P57&gt;0,P57*315.35,0)+IF(Q57&gt;0,Q57*1067.3,0)+IF(S57&gt;0,S57*567.47,0)+IF(T57&gt;0,T57*151.63,0)+IF(U57&gt;0,U57*197.84,0)+IF(V57&gt;0,V57*470.51,0)+IF(W57&gt;0,W57*701.69,0)+IF(Y57&gt;0,Y57*151.63,0)+IF(Z57&gt;0,Z57*197.84)+IF(AA57&gt;0,AA57*308.4,0)+IF(AB57&gt;0,AB57*496.16,0)</f>
        <v/>
      </c>
    </row>
    <row r="58">
      <c r="A58" s="59">
        <f>IF(G58&lt;$A$1,"VENCIDO","NA VALIDADE")</f>
        <v/>
      </c>
      <c r="B58" s="60" t="inlineStr">
        <is>
          <t>BASE.OP</t>
        </is>
      </c>
      <c r="C58" s="61" t="inlineStr">
        <is>
          <t>BASE OP . BOM JARDIM</t>
        </is>
      </c>
      <c r="D58" s="82" t="inlineStr">
        <is>
          <t>BOM JARDIM</t>
        </is>
      </c>
      <c r="E58" s="75" t="inlineStr">
        <is>
          <t>PE</t>
        </is>
      </c>
      <c r="F58" s="75" t="inlineStr">
        <is>
          <t>CABO DE SANTO AGOSTINHO</t>
        </is>
      </c>
      <c r="G58" s="119" t="n">
        <v>45536</v>
      </c>
      <c r="H58" s="119">
        <f>G58-180</f>
        <v/>
      </c>
      <c r="I58" s="60">
        <f>SUM(K58:AD58)</f>
        <v/>
      </c>
      <c r="J58" s="60">
        <f>SUM(AE58:AI58)</f>
        <v/>
      </c>
      <c r="K58" s="60" t="n">
        <v>1</v>
      </c>
      <c r="L58" s="60" t="n"/>
      <c r="M58" s="60" t="n"/>
      <c r="N58" s="60" t="n"/>
      <c r="O58" s="60" t="n">
        <v>1</v>
      </c>
      <c r="P58" s="60" t="n"/>
      <c r="Q58" s="60" t="n"/>
      <c r="R58" s="60" t="n"/>
      <c r="S58" s="60" t="n"/>
      <c r="T58" s="60" t="n"/>
      <c r="U58" s="60" t="n"/>
      <c r="V58" s="60" t="n"/>
      <c r="W58" s="60" t="n"/>
      <c r="X58" s="60" t="n"/>
      <c r="Y58" s="60" t="n"/>
      <c r="Z58" s="60" t="n"/>
      <c r="AA58" s="60" t="n"/>
      <c r="AB58" s="60" t="n"/>
      <c r="AC58" s="60" t="n"/>
      <c r="AD58" s="60" t="n"/>
      <c r="AE58" s="60" t="n"/>
      <c r="AF58" s="60" t="n"/>
      <c r="AG58" s="60" t="n"/>
      <c r="AH58" s="60" t="n"/>
      <c r="AI58" s="60" t="n"/>
      <c r="AJ58" s="120">
        <f>IF(K58&gt;0,K58*(82.29+8.15),0)+IF(L58&gt;0,L58*(8.15+339.97),0)+IF(M58&gt;0,M58*151.63,0)+IF(N58&gt;0,N58*197.82,0)+IF(O58&gt;0,O58*244.09,0)+IF(P58&gt;0,P58*315.35,0)+IF(Q58&gt;0,Q58*1067.3,0)+IF(S58&gt;0,S58*567.47,0)+IF(T58&gt;0,T58*151.63,0)+IF(U58&gt;0,U58*197.84,0)+IF(V58&gt;0,V58*470.51,0)+IF(W58&gt;0,W58*701.69,0)+IF(Y58&gt;0,Y58*151.63,0)+IF(Z58&gt;0,Z58*197.84)+IF(AA58&gt;0,AA58*308.4,0)+IF(AB58&gt;0,AB58*496.16,0)</f>
        <v/>
      </c>
    </row>
    <row r="59">
      <c r="A59" s="59">
        <f>IF(G59&lt;$A$1,"VENCIDO","NA VALIDADE")</f>
        <v/>
      </c>
      <c r="B59" s="60" t="inlineStr">
        <is>
          <t>SUBESTAÇÃO</t>
        </is>
      </c>
      <c r="C59" s="61" t="inlineStr">
        <is>
          <t>SE BOTAFOGO</t>
        </is>
      </c>
      <c r="D59" s="82" t="inlineStr">
        <is>
          <t>IGARASSU</t>
        </is>
      </c>
      <c r="E59" s="75" t="inlineStr">
        <is>
          <t>PE</t>
        </is>
      </c>
      <c r="F59" s="75" t="inlineStr">
        <is>
          <t>CABO DE SANTO AGOSTINHO</t>
        </is>
      </c>
      <c r="G59" s="119" t="n">
        <v>45566</v>
      </c>
      <c r="H59" s="119">
        <f>G59-180</f>
        <v/>
      </c>
      <c r="I59" s="60">
        <f>SUM(K59:AD59)</f>
        <v/>
      </c>
      <c r="J59" s="60">
        <f>SUM(AE59:AI59)</f>
        <v/>
      </c>
      <c r="K59" s="60" t="n"/>
      <c r="L59" s="60" t="n"/>
      <c r="M59" s="60" t="n"/>
      <c r="N59" s="60" t="n"/>
      <c r="O59" s="60" t="n"/>
      <c r="P59" s="60" t="n">
        <v>2</v>
      </c>
      <c r="Q59" s="60" t="n"/>
      <c r="R59" s="60" t="n"/>
      <c r="S59" s="60" t="n"/>
      <c r="T59" s="60" t="n"/>
      <c r="U59" s="60" t="n"/>
      <c r="V59" s="60" t="n"/>
      <c r="W59" s="60" t="n"/>
      <c r="X59" s="60" t="n"/>
      <c r="Y59" s="60" t="n"/>
      <c r="Z59" s="60" t="n">
        <v>1</v>
      </c>
      <c r="AA59" s="60" t="n"/>
      <c r="AB59" s="60" t="n"/>
      <c r="AC59" s="60" t="n"/>
      <c r="AD59" s="60" t="n"/>
      <c r="AE59" s="60" t="n"/>
      <c r="AF59" s="60" t="n"/>
      <c r="AG59" s="60" t="n"/>
      <c r="AH59" s="60" t="n"/>
      <c r="AI59" s="60" t="n"/>
      <c r="AJ59" s="120">
        <f>IF(K59&gt;0,K59*(82.29+8.15),0)+IF(L59&gt;0,L59*(8.15+339.97),0)+IF(M59&gt;0,M59*151.63,0)+IF(N59&gt;0,N59*197.82,0)+IF(O59&gt;0,O59*244.09,0)+IF(P59&gt;0,P59*315.35,0)+IF(Q59&gt;0,Q59*1067.3,0)+IF(S59&gt;0,S59*567.47,0)+IF(T59&gt;0,T59*151.63,0)+IF(U59&gt;0,U59*197.84,0)+IF(V59&gt;0,V59*470.51,0)+IF(W59&gt;0,W59*701.69,0)+IF(Y59&gt;0,Y59*151.63,0)+IF(Z59&gt;0,Z59*197.84)+IF(AA59&gt;0,AA59*308.4,0)+IF(AB59&gt;0,AB59*496.16,0)</f>
        <v/>
      </c>
    </row>
    <row r="60">
      <c r="A60" s="59">
        <f>IF(G60&lt;$A$1,"VENCIDO","NA VALIDADE")</f>
        <v/>
      </c>
      <c r="B60" s="60" t="inlineStr">
        <is>
          <t>SUBESTAÇÃO</t>
        </is>
      </c>
      <c r="C60" s="61" t="inlineStr">
        <is>
          <t>SE BRIGIDA</t>
        </is>
      </c>
      <c r="D60" s="82" t="inlineStr">
        <is>
          <t>OROCO</t>
        </is>
      </c>
      <c r="E60" s="75" t="inlineStr">
        <is>
          <t>PE</t>
        </is>
      </c>
      <c r="F60" s="75" t="inlineStr">
        <is>
          <t>CABO DE SANTO AGOSTINHO</t>
        </is>
      </c>
      <c r="G60" s="119" t="n">
        <v>45566</v>
      </c>
      <c r="H60" s="119">
        <f>G60-180</f>
        <v/>
      </c>
      <c r="I60" s="60">
        <f>SUM(K60:AD60)</f>
        <v/>
      </c>
      <c r="J60" s="60">
        <f>SUM(AE60:AI60)</f>
        <v/>
      </c>
      <c r="K60" s="60" t="n"/>
      <c r="L60" s="60" t="n"/>
      <c r="M60" s="60" t="n"/>
      <c r="N60" s="60" t="n"/>
      <c r="O60" s="60" t="n"/>
      <c r="P60" s="60" t="n">
        <v>2</v>
      </c>
      <c r="Q60" s="60" t="n"/>
      <c r="R60" s="60" t="n"/>
      <c r="S60" s="60" t="n"/>
      <c r="T60" s="60" t="n"/>
      <c r="U60" s="60" t="n"/>
      <c r="V60" s="60" t="n"/>
      <c r="W60" s="60" t="n"/>
      <c r="X60" s="60" t="n"/>
      <c r="Y60" s="60" t="n"/>
      <c r="Z60" s="60" t="n">
        <v>1</v>
      </c>
      <c r="AA60" s="60" t="n"/>
      <c r="AB60" s="60" t="n"/>
      <c r="AC60" s="60" t="n"/>
      <c r="AD60" s="60" t="n"/>
      <c r="AE60" s="60" t="n"/>
      <c r="AF60" s="60" t="n"/>
      <c r="AG60" s="60" t="n"/>
      <c r="AH60" s="60" t="n"/>
      <c r="AI60" s="60" t="n"/>
      <c r="AJ60" s="120">
        <f>IF(K60&gt;0,K60*(82.29+8.15),0)+IF(L60&gt;0,L60*(8.15+339.97),0)+IF(M60&gt;0,M60*151.63,0)+IF(N60&gt;0,N60*197.82,0)+IF(O60&gt;0,O60*244.09,0)+IF(P60&gt;0,P60*315.35,0)+IF(Q60&gt;0,Q60*1067.3,0)+IF(S60&gt;0,S60*567.47,0)+IF(T60&gt;0,T60*151.63,0)+IF(U60&gt;0,U60*197.84,0)+IF(V60&gt;0,V60*470.51,0)+IF(W60&gt;0,W60*701.69,0)+IF(Y60&gt;0,Y60*151.63,0)+IF(Z60&gt;0,Z60*197.84)+IF(AA60&gt;0,AA60*308.4,0)+IF(AB60&gt;0,AB60*496.16,0)</f>
        <v/>
      </c>
    </row>
    <row r="61">
      <c r="A61" s="59">
        <f>IF(G61&lt;$A$1,"VENCIDO","NA VALIDADE")</f>
        <v/>
      </c>
      <c r="B61" s="60" t="inlineStr">
        <is>
          <t>SUBESTAÇÃO</t>
        </is>
      </c>
      <c r="C61" s="61" t="inlineStr">
        <is>
          <t xml:space="preserve">SE CABO </t>
        </is>
      </c>
      <c r="D61" s="82" t="inlineStr">
        <is>
          <t>CABO DE SANTO AGOSTINHO</t>
        </is>
      </c>
      <c r="E61" s="75" t="inlineStr">
        <is>
          <t>PE</t>
        </is>
      </c>
      <c r="F61" s="75" t="inlineStr">
        <is>
          <t>CABO DE SANTO AGOSTINHO</t>
        </is>
      </c>
      <c r="G61" s="119" t="n">
        <v>45323</v>
      </c>
      <c r="H61" s="119" t="n">
        <v>45323</v>
      </c>
      <c r="I61" s="60">
        <f>SUM(K61:AD61)</f>
        <v/>
      </c>
      <c r="J61" s="60">
        <f>SUM(AE61:AI61)</f>
        <v/>
      </c>
      <c r="K61" s="60" t="n"/>
      <c r="L61" s="60" t="n"/>
      <c r="M61" s="60" t="n"/>
      <c r="N61" s="60" t="n"/>
      <c r="O61" s="60" t="n">
        <v>5</v>
      </c>
      <c r="P61" s="60" t="n"/>
      <c r="Q61" s="60" t="n"/>
      <c r="R61" s="60" t="n"/>
      <c r="S61" s="60" t="n"/>
      <c r="T61" s="60" t="n"/>
      <c r="U61" s="60" t="n"/>
      <c r="V61" s="60" t="n"/>
      <c r="W61" s="60" t="n"/>
      <c r="X61" s="60" t="n"/>
      <c r="Y61" s="60" t="n"/>
      <c r="Z61" s="60" t="n">
        <v>1</v>
      </c>
      <c r="AA61" s="60" t="n"/>
      <c r="AB61" s="60" t="n"/>
      <c r="AC61" s="60" t="n"/>
      <c r="AD61" s="60" t="n"/>
      <c r="AE61" s="60" t="n"/>
      <c r="AF61" s="60" t="n"/>
      <c r="AG61" s="60" t="n"/>
      <c r="AH61" s="60" t="n"/>
      <c r="AI61" s="60" t="n"/>
      <c r="AJ61" s="120">
        <f>IF(K61&gt;0,K61*(82.29+8.15),0)+IF(L61&gt;0,L61*(8.15+339.97),0)+IF(M61&gt;0,M61*151.63,0)+IF(N61&gt;0,N61*197.82,0)+IF(O61&gt;0,O61*244.09,0)+IF(P61&gt;0,P61*315.35,0)+IF(Q61&gt;0,Q61*1067.3,0)+IF(S61&gt;0,S61*567.47,0)+IF(T61&gt;0,T61*151.63,0)+IF(U61&gt;0,U61*197.84,0)+IF(V61&gt;0,V61*470.51,0)+IF(W61&gt;0,W61*701.69,0)+IF(Y61&gt;0,Y61*151.63,0)+IF(Z61&gt;0,Z61*197.84)+IF(AA61&gt;0,AA61*308.4,0)+IF(AB61&gt;0,AB61*496.16,0)</f>
        <v/>
      </c>
    </row>
    <row r="62">
      <c r="A62" s="59">
        <f>IF(G62&lt;$A$1,"VENCIDO","NA VALIDADE")</f>
        <v/>
      </c>
      <c r="B62" s="60" t="inlineStr">
        <is>
          <t>SUBESTAÇÃO</t>
        </is>
      </c>
      <c r="C62" s="61" t="inlineStr">
        <is>
          <t>SE CABROBÓ</t>
        </is>
      </c>
      <c r="D62" s="82" t="inlineStr">
        <is>
          <t>CABROBÓ</t>
        </is>
      </c>
      <c r="E62" s="75" t="inlineStr">
        <is>
          <t>PE</t>
        </is>
      </c>
      <c r="F62" s="75" t="inlineStr">
        <is>
          <t>CABO DE SANTO AGOSTINHO</t>
        </is>
      </c>
      <c r="G62" s="119" t="n">
        <v>45352</v>
      </c>
      <c r="H62" s="119" t="n">
        <v>45352</v>
      </c>
      <c r="I62" s="60">
        <f>SUM(K62:AD62)</f>
        <v/>
      </c>
      <c r="J62" s="60">
        <f>SUM(AE62:AI62)</f>
        <v/>
      </c>
      <c r="K62" s="60" t="n"/>
      <c r="L62" s="60" t="n"/>
      <c r="M62" s="60" t="n"/>
      <c r="N62" s="60" t="n"/>
      <c r="O62" s="60" t="n"/>
      <c r="P62" s="60" t="n"/>
      <c r="Q62" s="60" t="n"/>
      <c r="R62" s="60" t="n"/>
      <c r="S62" s="60" t="n">
        <v>1</v>
      </c>
      <c r="T62" s="60" t="n"/>
      <c r="U62" s="60" t="n"/>
      <c r="V62" s="60" t="n"/>
      <c r="W62" s="60" t="n"/>
      <c r="X62" s="60" t="n"/>
      <c r="Y62" s="60" t="n"/>
      <c r="Z62" s="60" t="n">
        <v>1</v>
      </c>
      <c r="AA62" s="60" t="n"/>
      <c r="AB62" s="60" t="n"/>
      <c r="AC62" s="60" t="n"/>
      <c r="AD62" s="60" t="n"/>
      <c r="AE62" s="60" t="n"/>
      <c r="AF62" s="60" t="n"/>
      <c r="AG62" s="60" t="n"/>
      <c r="AH62" s="60" t="n"/>
      <c r="AI62" s="60" t="n"/>
      <c r="AJ62" s="120">
        <f>IF(K62&gt;0,K62*(82.29+8.15),0)+IF(L62&gt;0,L62*(8.15+339.97),0)+IF(M62&gt;0,M62*151.63,0)+IF(N62&gt;0,N62*197.82,0)+IF(O62&gt;0,O62*244.09,0)+IF(P62&gt;0,P62*315.35,0)+IF(Q62&gt;0,Q62*1067.3,0)+IF(S62&gt;0,S62*567.47,0)+IF(T62&gt;0,T62*151.63,0)+IF(U62&gt;0,U62*197.84,0)+IF(V62&gt;0,V62*470.51,0)+IF(W62&gt;0,W62*701.69,0)+IF(Y62&gt;0,Y62*151.63,0)+IF(Z62&gt;0,Z62*197.84)+IF(AA62&gt;0,AA62*308.4,0)+IF(AB62&gt;0,AB62*496.16,0)</f>
        <v/>
      </c>
    </row>
    <row r="63">
      <c r="A63" s="59">
        <f>IF(G63&lt;$A$1,"VENCIDO","NA VALIDADE")</f>
        <v/>
      </c>
      <c r="B63" s="60" t="inlineStr">
        <is>
          <t>SUBESTAÇÃO</t>
        </is>
      </c>
      <c r="C63" s="61" t="inlineStr">
        <is>
          <t>CAMPINHOS</t>
        </is>
      </c>
      <c r="D63" s="82" t="inlineStr">
        <is>
          <t>PETROLANDIA</t>
        </is>
      </c>
      <c r="E63" s="75" t="inlineStr">
        <is>
          <t>PE</t>
        </is>
      </c>
      <c r="F63" s="75" t="inlineStr">
        <is>
          <t>CABO DE SANTO AGOSTINHO</t>
        </is>
      </c>
      <c r="G63" s="119" t="n">
        <v>45566</v>
      </c>
      <c r="H63" s="119" t="n">
        <v>45200</v>
      </c>
      <c r="I63" s="60">
        <f>SUM(K63:AD63)</f>
        <v/>
      </c>
      <c r="J63" s="60">
        <f>SUM(AE63:AI63)</f>
        <v/>
      </c>
      <c r="K63" s="60" t="n"/>
      <c r="L63" s="60" t="n"/>
      <c r="M63" s="60" t="n"/>
      <c r="N63" s="60" t="n"/>
      <c r="O63" s="60" t="n"/>
      <c r="P63" s="60" t="n">
        <v>2</v>
      </c>
      <c r="Q63" s="60" t="n"/>
      <c r="R63" s="60" t="n"/>
      <c r="S63" s="60" t="n"/>
      <c r="T63" s="60" t="n"/>
      <c r="U63" s="60" t="n"/>
      <c r="V63" s="60" t="n"/>
      <c r="W63" s="60" t="n"/>
      <c r="X63" s="60" t="n"/>
      <c r="Y63" s="60" t="n"/>
      <c r="Z63" s="60" t="n">
        <v>1</v>
      </c>
      <c r="AA63" s="60" t="n"/>
      <c r="AB63" s="60" t="n"/>
      <c r="AC63" s="60" t="n"/>
      <c r="AD63" s="60" t="n"/>
      <c r="AE63" s="60" t="n"/>
      <c r="AF63" s="60" t="n"/>
      <c r="AG63" s="60" t="n"/>
      <c r="AH63" s="60" t="n"/>
      <c r="AI63" s="60" t="n"/>
      <c r="AJ63" s="120">
        <f>IF(K63&gt;0,K63*(82.29+8.15),0)+IF(L63&gt;0,L63*(8.15+339.97),0)+IF(M63&gt;0,M63*151.63,0)+IF(N63&gt;0,N63*197.82,0)+IF(O63&gt;0,O63*244.09,0)+IF(P63&gt;0,P63*315.35,0)+IF(Q63&gt;0,Q63*1067.3,0)+IF(S63&gt;0,S63*567.47,0)+IF(T63&gt;0,T63*151.63,0)+IF(U63&gt;0,U63*197.84,0)+IF(V63&gt;0,V63*470.51,0)+IF(W63&gt;0,W63*701.69,0)+IF(Y63&gt;0,Y63*151.63,0)+IF(Z63&gt;0,Z63*197.84)+IF(AA63&gt;0,AA63*308.4,0)+IF(AB63&gt;0,AB63*496.16,0)</f>
        <v/>
      </c>
    </row>
    <row r="64">
      <c r="A64" s="59">
        <f>IF(G64&lt;$A$1,"VENCIDO","NA VALIDADE")</f>
        <v/>
      </c>
      <c r="B64" s="60" t="inlineStr">
        <is>
          <t>SUBESTAÇÃO</t>
        </is>
      </c>
      <c r="C64" s="61" t="inlineStr">
        <is>
          <t>SE SEC CAMPINHOS</t>
        </is>
      </c>
      <c r="D64" s="82" t="inlineStr">
        <is>
          <t>PETROLANDIA</t>
        </is>
      </c>
      <c r="E64" s="75" t="inlineStr">
        <is>
          <t>PE</t>
        </is>
      </c>
      <c r="F64" s="75" t="inlineStr">
        <is>
          <t>CABO DE SANTO AGOSTINHO</t>
        </is>
      </c>
      <c r="G64" s="119" t="n">
        <v>45566</v>
      </c>
      <c r="H64" s="119">
        <f>G64-180</f>
        <v/>
      </c>
      <c r="I64" s="60">
        <f>SUM(K64:AD64)</f>
        <v/>
      </c>
      <c r="J64" s="60">
        <f>SUM(AE64:AI64)</f>
        <v/>
      </c>
      <c r="K64" s="60" t="n"/>
      <c r="L64" s="60" t="n"/>
      <c r="M64" s="60" t="n"/>
      <c r="N64" s="60" t="n"/>
      <c r="O64" s="60" t="n"/>
      <c r="P64" s="60" t="n">
        <v>2</v>
      </c>
      <c r="Q64" s="60" t="n"/>
      <c r="R64" s="60" t="n"/>
      <c r="S64" s="60" t="n"/>
      <c r="T64" s="60" t="n"/>
      <c r="U64" s="60" t="n"/>
      <c r="V64" s="60" t="n"/>
      <c r="W64" s="60" t="n"/>
      <c r="X64" s="60" t="n"/>
      <c r="Y64" s="60" t="n"/>
      <c r="Z64" s="60" t="n">
        <v>1</v>
      </c>
      <c r="AA64" s="60" t="n"/>
      <c r="AB64" s="60" t="n"/>
      <c r="AC64" s="60" t="n"/>
      <c r="AD64" s="60" t="n"/>
      <c r="AE64" s="60" t="n"/>
      <c r="AF64" s="60" t="n"/>
      <c r="AG64" s="60" t="n"/>
      <c r="AH64" s="60" t="n"/>
      <c r="AI64" s="60" t="n"/>
      <c r="AJ64" s="120">
        <f>IF(K64&gt;0,K64*(82.29+8.15),0)+IF(L64&gt;0,L64*(8.15+339.97),0)+IF(M64&gt;0,M64*151.63,0)+IF(N64&gt;0,N64*197.82,0)+IF(O64&gt;0,O64*244.09,0)+IF(P64&gt;0,P64*315.35,0)+IF(Q64&gt;0,Q64*1067.3,0)+IF(S64&gt;0,S64*567.47,0)+IF(T64&gt;0,T64*151.63,0)+IF(U64&gt;0,U64*197.84,0)+IF(V64&gt;0,V64*470.51,0)+IF(W64&gt;0,W64*701.69,0)+IF(Y64&gt;0,Y64*151.63,0)+IF(Z64&gt;0,Z64*197.84)+IF(AA64&gt;0,AA64*308.4,0)+IF(AB64&gt;0,AB64*496.16,0)</f>
        <v/>
      </c>
    </row>
    <row r="65">
      <c r="A65" s="59">
        <f>IF(G65&lt;$A$1,"VENCIDO","NA VALIDADE")</f>
        <v/>
      </c>
      <c r="B65" s="60" t="inlineStr">
        <is>
          <t>SUBESTAÇÃO</t>
        </is>
      </c>
      <c r="C65" s="61" t="inlineStr">
        <is>
          <t>SE CARAÍBAS II</t>
        </is>
      </c>
      <c r="D65" s="82" t="inlineStr">
        <is>
          <t>SANTA MARIA DA BOA VISTA</t>
        </is>
      </c>
      <c r="E65" s="75" t="inlineStr">
        <is>
          <t>PE</t>
        </is>
      </c>
      <c r="F65" s="75" t="inlineStr">
        <is>
          <t>CABO DE SANTO AGOSTINHO</t>
        </is>
      </c>
      <c r="G65" s="119" t="n">
        <v>45566</v>
      </c>
      <c r="H65" s="119">
        <f>G65-180</f>
        <v/>
      </c>
      <c r="I65" s="60">
        <f>SUM(K65:AD65)</f>
        <v/>
      </c>
      <c r="J65" s="60">
        <f>SUM(AE65:AI65)</f>
        <v/>
      </c>
      <c r="K65" s="60" t="n"/>
      <c r="L65" s="60" t="n"/>
      <c r="M65" s="60" t="n"/>
      <c r="N65" s="60" t="n"/>
      <c r="O65" s="60" t="n"/>
      <c r="P65" s="60" t="n">
        <v>2</v>
      </c>
      <c r="Q65" s="60" t="n"/>
      <c r="R65" s="60" t="n"/>
      <c r="S65" s="60" t="n"/>
      <c r="T65" s="60" t="n"/>
      <c r="U65" s="60" t="n"/>
      <c r="V65" s="60" t="n"/>
      <c r="W65" s="60" t="n"/>
      <c r="X65" s="60" t="n"/>
      <c r="Y65" s="60" t="n"/>
      <c r="Z65" s="60" t="n">
        <v>1</v>
      </c>
      <c r="AA65" s="60" t="n"/>
      <c r="AB65" s="60" t="n"/>
      <c r="AC65" s="60" t="n"/>
      <c r="AD65" s="60" t="n"/>
      <c r="AE65" s="60" t="n"/>
      <c r="AF65" s="60" t="n"/>
      <c r="AG65" s="60" t="n"/>
      <c r="AH65" s="60" t="n"/>
      <c r="AI65" s="60" t="n"/>
      <c r="AJ65" s="120">
        <f>IF(K65&gt;0,K65*(82.29+8.15),0)+IF(L65&gt;0,L65*(8.15+339.97),0)+IF(M65&gt;0,M65*151.63,0)+IF(N65&gt;0,N65*197.82,0)+IF(O65&gt;0,O65*244.09,0)+IF(P65&gt;0,P65*315.35,0)+IF(Q65&gt;0,Q65*1067.3,0)+IF(S65&gt;0,S65*567.47,0)+IF(T65&gt;0,T65*151.63,0)+IF(U65&gt;0,U65*197.84,0)+IF(V65&gt;0,V65*470.51,0)+IF(W65&gt;0,W65*701.69,0)+IF(Y65&gt;0,Y65*151.63,0)+IF(Z65&gt;0,Z65*197.84)+IF(AA65&gt;0,AA65*308.4,0)+IF(AB65&gt;0,AB65*496.16,0)</f>
        <v/>
      </c>
    </row>
    <row r="66">
      <c r="A66" s="59">
        <f>IF(G66&lt;$A$1,"VENCIDO","NA VALIDADE")</f>
        <v/>
      </c>
      <c r="B66" s="60" t="inlineStr">
        <is>
          <t>SUBESTAÇÃO</t>
        </is>
      </c>
      <c r="C66" s="61" t="inlineStr">
        <is>
          <t>SE CARNAIBA</t>
        </is>
      </c>
      <c r="D66" s="82" t="inlineStr">
        <is>
          <t>CARNAIBA</t>
        </is>
      </c>
      <c r="E66" s="75" t="inlineStr">
        <is>
          <t>PE</t>
        </is>
      </c>
      <c r="F66" s="75" t="inlineStr">
        <is>
          <t>CABO DE SANTO AGOSTINHO</t>
        </is>
      </c>
      <c r="G66" s="119" t="n">
        <v>45383</v>
      </c>
      <c r="H66" s="119" t="n">
        <v>45383</v>
      </c>
      <c r="I66" s="60">
        <f>SUM(K66:AD66)</f>
        <v/>
      </c>
      <c r="J66" s="60">
        <f>SUM(AE66:AI66)</f>
        <v/>
      </c>
      <c r="K66" s="60" t="n"/>
      <c r="L66" s="60" t="n"/>
      <c r="M66" s="60" t="n"/>
      <c r="N66" s="60" t="n"/>
      <c r="O66" s="60" t="n"/>
      <c r="P66" s="60" t="n">
        <v>1</v>
      </c>
      <c r="Q66" s="60" t="n"/>
      <c r="R66" s="60" t="n"/>
      <c r="S66" s="60" t="n">
        <v>1</v>
      </c>
      <c r="T66" s="60" t="n"/>
      <c r="U66" s="60" t="n"/>
      <c r="V66" s="60" t="n"/>
      <c r="W66" s="60" t="n"/>
      <c r="X66" s="60" t="n"/>
      <c r="Y66" s="60" t="n"/>
      <c r="Z66" s="60" t="n">
        <v>1</v>
      </c>
      <c r="AA66" s="60" t="n"/>
      <c r="AB66" s="60" t="n"/>
      <c r="AC66" s="60" t="n"/>
      <c r="AD66" s="60" t="n"/>
      <c r="AE66" s="60" t="n"/>
      <c r="AF66" s="60" t="n"/>
      <c r="AG66" s="60" t="n"/>
      <c r="AH66" s="60" t="n"/>
      <c r="AI66" s="60" t="n"/>
      <c r="AJ66" s="120">
        <f>IF(K66&gt;0,K66*(82.29+8.15),0)+IF(L66&gt;0,L66*(8.15+339.97),0)+IF(M66&gt;0,M66*151.63,0)+IF(N66&gt;0,N66*197.82,0)+IF(O66&gt;0,O66*244.09,0)+IF(P66&gt;0,P66*315.35,0)+IF(Q66&gt;0,Q66*1067.3,0)+IF(S66&gt;0,S66*567.47,0)+IF(T66&gt;0,T66*151.63,0)+IF(U66&gt;0,U66*197.84,0)+IF(V66&gt;0,V66*470.51,0)+IF(W66&gt;0,W66*701.69,0)+IF(Y66&gt;0,Y66*151.63,0)+IF(Z66&gt;0,Z66*197.84)+IF(AA66&gt;0,AA66*308.4,0)+IF(AB66&gt;0,AB66*496.16,0)</f>
        <v/>
      </c>
    </row>
    <row r="67">
      <c r="A67" s="59">
        <f>IF(G67&lt;$A$1,"VENCIDO","NA VALIDADE")</f>
        <v/>
      </c>
      <c r="B67" s="60" t="inlineStr">
        <is>
          <t>SUBESTAÇÃO</t>
        </is>
      </c>
      <c r="C67" s="61" t="inlineStr">
        <is>
          <t>SE CARPINA</t>
        </is>
      </c>
      <c r="D67" s="82" t="inlineStr">
        <is>
          <t>CARPINA</t>
        </is>
      </c>
      <c r="E67" s="75" t="inlineStr">
        <is>
          <t>PE</t>
        </is>
      </c>
      <c r="F67" s="75" t="inlineStr">
        <is>
          <t>CABO DE SANTO AGOSTINHO</t>
        </is>
      </c>
      <c r="G67" s="119" t="n">
        <v>45323</v>
      </c>
      <c r="H67" s="119" t="n">
        <v>45323</v>
      </c>
      <c r="I67" s="60">
        <f>SUM(K67:AD67)</f>
        <v/>
      </c>
      <c r="J67" s="60">
        <f>SUM(AE67:AI67)</f>
        <v/>
      </c>
      <c r="K67" s="60" t="n">
        <v>2</v>
      </c>
      <c r="L67" s="60" t="n"/>
      <c r="M67" s="60" t="n"/>
      <c r="N67" s="60" t="n">
        <v>3</v>
      </c>
      <c r="O67" s="60" t="n"/>
      <c r="P67" s="60" t="n"/>
      <c r="Q67" s="60" t="n"/>
      <c r="R67" s="60" t="n"/>
      <c r="S67" s="60" t="n"/>
      <c r="T67" s="60" t="n"/>
      <c r="U67" s="60" t="n"/>
      <c r="V67" s="60" t="n"/>
      <c r="W67" s="60" t="n"/>
      <c r="X67" s="60" t="n"/>
      <c r="Y67" s="60" t="n"/>
      <c r="Z67" s="60" t="n">
        <v>2</v>
      </c>
      <c r="AA67" s="60" t="n"/>
      <c r="AB67" s="60" t="n"/>
      <c r="AC67" s="60" t="n"/>
      <c r="AD67" s="60" t="n"/>
      <c r="AE67" s="60" t="n"/>
      <c r="AF67" s="60" t="n"/>
      <c r="AG67" s="60" t="n"/>
      <c r="AH67" s="60" t="n"/>
      <c r="AI67" s="60" t="n"/>
      <c r="AJ67" s="120">
        <f>IF(K67&gt;0,K67*(82.29+8.15),0)+IF(L67&gt;0,L67*(8.15+339.97),0)+IF(M67&gt;0,M67*151.63,0)+IF(N67&gt;0,N67*197.82,0)+IF(O67&gt;0,O67*244.09,0)+IF(P67&gt;0,P67*315.35,0)+IF(Q67&gt;0,Q67*1067.3,0)+IF(S67&gt;0,S67*567.47,0)+IF(T67&gt;0,T67*151.63,0)+IF(U67&gt;0,U67*197.84,0)+IF(V67&gt;0,V67*470.51,0)+IF(W67&gt;0,W67*701.69,0)+IF(Y67&gt;0,Y67*151.63,0)+IF(Z67&gt;0,Z67*197.84)+IF(AA67&gt;0,AA67*308.4,0)+IF(AB67&gt;0,AB67*496.16,0)</f>
        <v/>
      </c>
    </row>
    <row r="68">
      <c r="A68" s="59">
        <f>IF(G68&lt;$A$1,"VENCIDO","NA VALIDADE")</f>
        <v/>
      </c>
      <c r="B68" s="60" t="inlineStr">
        <is>
          <t>SUBESTAÇÃO</t>
        </is>
      </c>
      <c r="C68" s="61" t="inlineStr">
        <is>
          <t>CATENDE</t>
        </is>
      </c>
      <c r="D68" s="82" t="inlineStr">
        <is>
          <t>CATENDE</t>
        </is>
      </c>
      <c r="E68" s="75" t="inlineStr">
        <is>
          <t>PE</t>
        </is>
      </c>
      <c r="F68" s="75" t="inlineStr">
        <is>
          <t>CABO DE SANTO AGOSTINHO</t>
        </is>
      </c>
      <c r="G68" s="119" t="n">
        <v>45505</v>
      </c>
      <c r="H68" s="119">
        <f>G68-180</f>
        <v/>
      </c>
      <c r="I68" s="60">
        <f>SUM(K68:AD68)</f>
        <v/>
      </c>
      <c r="J68" s="60">
        <f>SUM(AE68:AI68)</f>
        <v/>
      </c>
      <c r="K68" s="60" t="n"/>
      <c r="L68" s="60" t="n"/>
      <c r="M68" s="60" t="n"/>
      <c r="N68" s="60" t="n"/>
      <c r="O68" s="60" t="n">
        <v>2</v>
      </c>
      <c r="P68" s="60" t="n"/>
      <c r="Q68" s="60" t="n"/>
      <c r="R68" s="60" t="n"/>
      <c r="S68" s="60" t="n"/>
      <c r="T68" s="60" t="n"/>
      <c r="U68" s="60" t="n"/>
      <c r="V68" s="60" t="n"/>
      <c r="W68" s="60" t="n"/>
      <c r="X68" s="60" t="n"/>
      <c r="Y68" s="60" t="n"/>
      <c r="Z68" s="60" t="n">
        <v>1</v>
      </c>
      <c r="AA68" s="60" t="n"/>
      <c r="AB68" s="60" t="n"/>
      <c r="AC68" s="60" t="n"/>
      <c r="AD68" s="60" t="n"/>
      <c r="AE68" s="60" t="n"/>
      <c r="AF68" s="60" t="n"/>
      <c r="AG68" s="60" t="n"/>
      <c r="AH68" s="60" t="n"/>
      <c r="AI68" s="60" t="n"/>
      <c r="AJ68" s="120">
        <f>IF(K68&gt;0,K68*(82.29+8.15),0)+IF(L68&gt;0,L68*(8.15+339.97),0)+IF(M68&gt;0,M68*151.63,0)+IF(N68&gt;0,N68*197.82,0)+IF(O68&gt;0,O68*244.09,0)+IF(P68&gt;0,P68*315.35,0)+IF(Q68&gt;0,Q68*1067.3,0)+IF(S68&gt;0,S68*567.47,0)+IF(T68&gt;0,T68*151.63,0)+IF(U68&gt;0,U68*197.84,0)+IF(V68&gt;0,V68*470.51,0)+IF(W68&gt;0,W68*701.69,0)+IF(Y68&gt;0,Y68*151.63,0)+IF(Z68&gt;0,Z68*197.84)+IF(AA68&gt;0,AA68*308.4,0)+IF(AB68&gt;0,AB68*496.16,0)</f>
        <v/>
      </c>
    </row>
    <row r="69">
      <c r="A69" s="59">
        <f>IF(G69&lt;$A$1,"VENCIDO","NA VALIDADE")</f>
        <v/>
      </c>
      <c r="B69" s="60" t="inlineStr">
        <is>
          <t>SUBESTAÇÃO</t>
        </is>
      </c>
      <c r="C69" s="61" t="inlineStr">
        <is>
          <t>SE SANTA CRUZ DO CAPIBARIBE</t>
        </is>
      </c>
      <c r="D69" s="82" t="inlineStr">
        <is>
          <t>SANTA CRUZ CAPIBARIBE</t>
        </is>
      </c>
      <c r="E69" s="75" t="inlineStr">
        <is>
          <t>PE</t>
        </is>
      </c>
      <c r="F69" s="75" t="inlineStr">
        <is>
          <t>CABO DE SANTO AGOSTINHO</t>
        </is>
      </c>
      <c r="G69" s="119" t="n">
        <v>45474</v>
      </c>
      <c r="H69" s="119">
        <f>G69-180</f>
        <v/>
      </c>
      <c r="I69" s="60">
        <f>SUM(K69:AD69)</f>
        <v/>
      </c>
      <c r="J69" s="60">
        <f>SUM(AE69:AI69)</f>
        <v/>
      </c>
      <c r="K69" s="60" t="n"/>
      <c r="L69" s="60" t="n"/>
      <c r="M69" s="60" t="n"/>
      <c r="N69" s="60" t="n"/>
      <c r="O69" s="60" t="n"/>
      <c r="P69" s="60" t="n">
        <v>2</v>
      </c>
      <c r="Q69" s="60" t="n"/>
      <c r="R69" s="60" t="n"/>
      <c r="S69" s="60" t="n"/>
      <c r="T69" s="60" t="n"/>
      <c r="U69" s="60" t="n"/>
      <c r="V69" s="60" t="n"/>
      <c r="W69" s="60" t="n"/>
      <c r="X69" s="60" t="n"/>
      <c r="Y69" s="60" t="n"/>
      <c r="Z69" s="60" t="n">
        <v>1</v>
      </c>
      <c r="AA69" s="60" t="n"/>
      <c r="AB69" s="60" t="n"/>
      <c r="AC69" s="60" t="n"/>
      <c r="AD69" s="60" t="n"/>
      <c r="AE69" s="60" t="n"/>
      <c r="AF69" s="60" t="n"/>
      <c r="AG69" s="60" t="n"/>
      <c r="AH69" s="60" t="n"/>
      <c r="AI69" s="60" t="n"/>
      <c r="AJ69" s="120">
        <f>IF(K69&gt;0,K69*(82.29+8.15),0)+IF(L69&gt;0,L69*(8.15+339.97),0)+IF(M69&gt;0,M69*151.63,0)+IF(N69&gt;0,N69*197.82,0)+IF(O69&gt;0,O69*244.09,0)+IF(P69&gt;0,P69*315.35,0)+IF(Q69&gt;0,Q69*1067.3,0)+IF(S69&gt;0,S69*567.47,0)+IF(T69&gt;0,T69*151.63,0)+IF(U69&gt;0,U69*197.84,0)+IF(V69&gt;0,V69*470.51,0)+IF(W69&gt;0,W69*701.69,0)+IF(Y69&gt;0,Y69*151.63,0)+IF(Z69&gt;0,Z69*197.84)+IF(AA69&gt;0,AA69*308.4,0)+IF(AB69&gt;0,AB69*496.16,0)</f>
        <v/>
      </c>
    </row>
    <row r="70">
      <c r="A70" s="59">
        <f>IF(G70&lt;$A$1,"VENCIDO","NA VALIDADE")</f>
        <v/>
      </c>
      <c r="B70" s="60" t="inlineStr">
        <is>
          <t>SUBESTAÇÃO</t>
        </is>
      </c>
      <c r="C70" s="61" t="inlineStr">
        <is>
          <t>SE CUSTÓDIA</t>
        </is>
      </c>
      <c r="D70" s="83" t="inlineStr">
        <is>
          <t>CUSTÓDIA</t>
        </is>
      </c>
      <c r="E70" s="75" t="inlineStr">
        <is>
          <t>PE</t>
        </is>
      </c>
      <c r="F70" s="75" t="inlineStr">
        <is>
          <t>CABO DE SANTO AGOSTINHO</t>
        </is>
      </c>
      <c r="G70" s="119" t="n">
        <v>45383</v>
      </c>
      <c r="H70" s="119" t="n">
        <v>45383</v>
      </c>
      <c r="I70" s="60">
        <f>SUM(K70:AD70)</f>
        <v/>
      </c>
      <c r="J70" s="60">
        <f>SUM(AE70:AI70)</f>
        <v/>
      </c>
      <c r="K70" s="60" t="n"/>
      <c r="L70" s="60" t="n"/>
      <c r="M70" s="60" t="n"/>
      <c r="N70" s="60" t="n"/>
      <c r="O70" s="60" t="n"/>
      <c r="P70" s="60" t="n">
        <v>2</v>
      </c>
      <c r="Q70" s="60" t="n"/>
      <c r="R70" s="60" t="n"/>
      <c r="S70" s="60" t="n"/>
      <c r="T70" s="60" t="n"/>
      <c r="U70" s="60" t="n"/>
      <c r="V70" s="60" t="n"/>
      <c r="W70" s="60" t="n"/>
      <c r="X70" s="60" t="n"/>
      <c r="Y70" s="60" t="n"/>
      <c r="Z70" s="60" t="n">
        <v>1</v>
      </c>
      <c r="AA70" s="60" t="n"/>
      <c r="AB70" s="60" t="n"/>
      <c r="AC70" s="60" t="n"/>
      <c r="AD70" s="60" t="n"/>
      <c r="AE70" s="60" t="n"/>
      <c r="AF70" s="60" t="n"/>
      <c r="AG70" s="60" t="n"/>
      <c r="AH70" s="60" t="n"/>
      <c r="AI70" s="60" t="n"/>
      <c r="AJ70" s="120">
        <f>IF(K70&gt;0,K70*(82.29+8.15),0)+IF(L70&gt;0,L70*(8.15+339.97),0)+IF(M70&gt;0,M70*151.63,0)+IF(N70&gt;0,N70*197.82,0)+IF(O70&gt;0,O70*244.09,0)+IF(P70&gt;0,P70*315.35,0)+IF(Q70&gt;0,Q70*1067.3,0)+IF(S70&gt;0,S70*567.47,0)+IF(T70&gt;0,T70*151.63,0)+IF(U70&gt;0,U70*197.84,0)+IF(V70&gt;0,V70*470.51,0)+IF(W70&gt;0,W70*701.69,0)+IF(Y70&gt;0,Y70*151.63,0)+IF(Z70&gt;0,Z70*197.84)+IF(AA70&gt;0,AA70*308.4,0)+IF(AB70&gt;0,AB70*496.16,0)</f>
        <v/>
      </c>
    </row>
    <row r="71">
      <c r="A71" s="59">
        <f>IF(G71&lt;$A$1,"VENCIDO","NA VALIDADE")</f>
        <v/>
      </c>
      <c r="B71" s="60" t="inlineStr">
        <is>
          <t>SUBESTAÇÃO</t>
        </is>
      </c>
      <c r="C71" s="61" t="inlineStr">
        <is>
          <t>SE ENSEADAS</t>
        </is>
      </c>
      <c r="D71" s="82" t="inlineStr">
        <is>
          <t>CABO DE SANTO AGOSTINHO</t>
        </is>
      </c>
      <c r="E71" s="75" t="inlineStr">
        <is>
          <t>PE</t>
        </is>
      </c>
      <c r="F71" s="75" t="inlineStr">
        <is>
          <t>CABO DE SANTO AGOSTINHO</t>
        </is>
      </c>
      <c r="G71" s="119" t="n">
        <v>45444</v>
      </c>
      <c r="H71" s="119" t="n">
        <v>45444</v>
      </c>
      <c r="I71" s="60">
        <f>SUM(K71:AD71)</f>
        <v/>
      </c>
      <c r="J71" s="60">
        <f>SUM(AE71:AI71)</f>
        <v/>
      </c>
      <c r="K71" s="60" t="n">
        <v>0</v>
      </c>
      <c r="L71" s="60" t="n"/>
      <c r="M71" s="60" t="n"/>
      <c r="N71" s="60" t="n"/>
      <c r="O71" s="60" t="n"/>
      <c r="P71" s="60" t="n">
        <v>4</v>
      </c>
      <c r="Q71" s="60" t="n"/>
      <c r="R71" s="60" t="n"/>
      <c r="S71" s="60" t="n">
        <v>1</v>
      </c>
      <c r="T71" s="60" t="n"/>
      <c r="U71" s="60" t="n"/>
      <c r="V71" s="60" t="n"/>
      <c r="W71" s="60" t="n"/>
      <c r="X71" s="60" t="n"/>
      <c r="Y71" s="60" t="n"/>
      <c r="Z71" s="60" t="n">
        <v>1</v>
      </c>
      <c r="AA71" s="60" t="n"/>
      <c r="AB71" s="60" t="n"/>
      <c r="AC71" s="60" t="n"/>
      <c r="AD71" s="60" t="n"/>
      <c r="AE71" s="60" t="n"/>
      <c r="AF71" s="60" t="n"/>
      <c r="AG71" s="60" t="n"/>
      <c r="AH71" s="60" t="n"/>
      <c r="AI71" s="60" t="n"/>
      <c r="AJ71" s="120">
        <f>IF(K71&gt;0,K71*(82.29+8.15),0)+IF(L71&gt;0,L71*(8.15+339.97),0)+IF(M71&gt;0,M71*151.63,0)+IF(N71&gt;0,N71*197.82,0)+IF(O71&gt;0,O71*244.09,0)+IF(P71&gt;0,P71*315.35,0)+IF(Q71&gt;0,Q71*1067.3,0)+IF(S71&gt;0,S71*567.47,0)+IF(T71&gt;0,T71*151.63,0)+IF(U71&gt;0,U71*197.84,0)+IF(V71&gt;0,V71*470.51,0)+IF(W71&gt;0,W71*701.69,0)+IF(Y71&gt;0,Y71*151.63,0)+IF(Z71&gt;0,Z71*197.84)+IF(AA71&gt;0,AA71*308.4,0)+IF(AB71&gt;0,AB71*496.16,0)</f>
        <v/>
      </c>
    </row>
    <row r="72">
      <c r="A72" s="59">
        <f>IF(G72&lt;$A$1,"VENCIDO","NA VALIDADE")</f>
        <v/>
      </c>
      <c r="B72" s="60" t="inlineStr">
        <is>
          <t>SUBESTAÇÃO</t>
        </is>
      </c>
      <c r="C72" s="61" t="inlineStr">
        <is>
          <t>SE FLORESTA</t>
        </is>
      </c>
      <c r="D72" s="82" t="inlineStr">
        <is>
          <t>FLORESTA</t>
        </is>
      </c>
      <c r="E72" s="75" t="inlineStr">
        <is>
          <t>PE</t>
        </is>
      </c>
      <c r="F72" s="75" t="inlineStr">
        <is>
          <t>CABO DE SANTO AGOSTINHO</t>
        </is>
      </c>
      <c r="G72" s="119" t="n">
        <v>45444</v>
      </c>
      <c r="H72" s="119" t="n">
        <v>45444</v>
      </c>
      <c r="I72" s="60">
        <f>SUM(K72:AD72)</f>
        <v/>
      </c>
      <c r="J72" s="60">
        <f>SUM(AE72:AI72)</f>
        <v/>
      </c>
      <c r="K72" s="60" t="n"/>
      <c r="L72" s="60" t="n"/>
      <c r="M72" s="60" t="n"/>
      <c r="N72" s="60" t="n"/>
      <c r="O72" s="60" t="n"/>
      <c r="P72" s="60" t="n">
        <v>2</v>
      </c>
      <c r="Q72" s="60" t="n"/>
      <c r="R72" s="60" t="n"/>
      <c r="S72" s="60" t="n"/>
      <c r="T72" s="60" t="n"/>
      <c r="U72" s="60" t="n"/>
      <c r="V72" s="60" t="n"/>
      <c r="W72" s="60" t="n"/>
      <c r="X72" s="60" t="n"/>
      <c r="Y72" s="60" t="n"/>
      <c r="Z72" s="60" t="n">
        <v>1</v>
      </c>
      <c r="AA72" s="60" t="n"/>
      <c r="AB72" s="60" t="n"/>
      <c r="AC72" s="60" t="n"/>
      <c r="AD72" s="60" t="n"/>
      <c r="AE72" s="60" t="n"/>
      <c r="AF72" s="60" t="n"/>
      <c r="AG72" s="60" t="n"/>
      <c r="AH72" s="60" t="n"/>
      <c r="AI72" s="60" t="n"/>
      <c r="AJ72" s="120">
        <f>IF(K72&gt;0,K72*(82.29+8.15),0)+IF(L72&gt;0,L72*(8.15+339.97),0)+IF(M72&gt;0,M72*151.63,0)+IF(N72&gt;0,N72*197.82,0)+IF(O72&gt;0,O72*244.09,0)+IF(P72&gt;0,P72*315.35,0)+IF(Q72&gt;0,Q72*1067.3,0)+IF(S72&gt;0,S72*567.47,0)+IF(T72&gt;0,T72*151.63,0)+IF(U72&gt;0,U72*197.84,0)+IF(V72&gt;0,V72*470.51,0)+IF(W72&gt;0,W72*701.69,0)+IF(Y72&gt;0,Y72*151.63,0)+IF(Z72&gt;0,Z72*197.84)+IF(AA72&gt;0,AA72*308.4,0)+IF(AB72&gt;0,AB72*496.16,0)</f>
        <v/>
      </c>
    </row>
    <row r="73">
      <c r="A73" s="59">
        <f>IF(G73&lt;$A$1,"VENCIDO","NA VALIDADE")</f>
        <v/>
      </c>
      <c r="B73" s="60" t="inlineStr">
        <is>
          <t>SUBESTAÇÃO</t>
        </is>
      </c>
      <c r="C73" s="61" t="inlineStr">
        <is>
          <t>SE GLORIA DO GOITÁ</t>
        </is>
      </c>
      <c r="D73" s="82" t="inlineStr">
        <is>
          <t>GLORIA DO GOITÁ</t>
        </is>
      </c>
      <c r="E73" s="75" t="inlineStr">
        <is>
          <t>PE</t>
        </is>
      </c>
      <c r="F73" s="75" t="inlineStr">
        <is>
          <t>CABO DE SANTO AGOSTINHO</t>
        </is>
      </c>
      <c r="G73" s="119" t="n">
        <v>45474</v>
      </c>
      <c r="H73" s="119" t="n">
        <v>45474</v>
      </c>
      <c r="I73" s="60">
        <f>SUM(K73:AD73)</f>
        <v/>
      </c>
      <c r="J73" s="60">
        <f>SUM(AE73:AI73)</f>
        <v/>
      </c>
      <c r="K73" s="60" t="n"/>
      <c r="L73" s="60" t="n"/>
      <c r="M73" s="60" t="n"/>
      <c r="N73" s="60" t="n"/>
      <c r="O73" s="60" t="n"/>
      <c r="P73" s="60" t="n">
        <v>2</v>
      </c>
      <c r="Q73" s="60" t="n"/>
      <c r="R73" s="60" t="n"/>
      <c r="S73" s="60" t="n"/>
      <c r="T73" s="60" t="n"/>
      <c r="U73" s="60" t="n"/>
      <c r="V73" s="60" t="n"/>
      <c r="W73" s="60" t="n"/>
      <c r="X73" s="60" t="n"/>
      <c r="Y73" s="60" t="n"/>
      <c r="Z73" s="60" t="n">
        <v>1</v>
      </c>
      <c r="AA73" s="60" t="n"/>
      <c r="AB73" s="60" t="n"/>
      <c r="AC73" s="60" t="n"/>
      <c r="AD73" s="60" t="n"/>
      <c r="AE73" s="60" t="n"/>
      <c r="AF73" s="60" t="n"/>
      <c r="AG73" s="60" t="n"/>
      <c r="AH73" s="60" t="n"/>
      <c r="AI73" s="60" t="n"/>
      <c r="AJ73" s="120">
        <f>IF(K73&gt;0,K73*(82.29+8.15),0)+IF(L73&gt;0,L73*(8.15+339.97),0)+IF(M73&gt;0,M73*151.63,0)+IF(N73&gt;0,N73*197.82,0)+IF(O73&gt;0,O73*244.09,0)+IF(P73&gt;0,P73*315.35,0)+IF(Q73&gt;0,Q73*1067.3,0)+IF(S73&gt;0,S73*567.47,0)+IF(T73&gt;0,T73*151.63,0)+IF(U73&gt;0,U73*197.84,0)+IF(V73&gt;0,V73*470.51,0)+IF(W73&gt;0,W73*701.69,0)+IF(Y73&gt;0,Y73*151.63,0)+IF(Z73&gt;0,Z73*197.84)+IF(AA73&gt;0,AA73*308.4,0)+IF(AB73&gt;0,AB73*496.16,0)</f>
        <v/>
      </c>
    </row>
    <row r="74">
      <c r="A74" s="59">
        <f>IF(G74&lt;$A$1,"VENCIDO","NA VALIDADE")</f>
        <v/>
      </c>
      <c r="B74" s="60" t="inlineStr">
        <is>
          <t>SUBESTAÇÃO</t>
        </is>
      </c>
      <c r="C74" s="61" t="inlineStr">
        <is>
          <t>SE GOIANA</t>
        </is>
      </c>
      <c r="D74" s="82" t="inlineStr">
        <is>
          <t>GOIANA</t>
        </is>
      </c>
      <c r="E74" s="75" t="inlineStr">
        <is>
          <t>PE</t>
        </is>
      </c>
      <c r="F74" s="75" t="inlineStr">
        <is>
          <t>CABO DE SANTO AGOSTINHO</t>
        </is>
      </c>
      <c r="G74" s="119" t="n">
        <v>45505</v>
      </c>
      <c r="H74" s="119">
        <f>G74-180</f>
        <v/>
      </c>
      <c r="I74" s="60">
        <f>SUM(K74:AD74)</f>
        <v/>
      </c>
      <c r="J74" s="60">
        <f>SUM(AE74:AI74)</f>
        <v/>
      </c>
      <c r="K74" s="60" t="n"/>
      <c r="L74" s="60" t="n"/>
      <c r="M74" s="60" t="n"/>
      <c r="N74" s="60" t="n"/>
      <c r="O74" s="60" t="n"/>
      <c r="P74" s="60" t="n">
        <v>1</v>
      </c>
      <c r="Q74" s="60" t="n"/>
      <c r="R74" s="60" t="n"/>
      <c r="S74" s="60" t="n"/>
      <c r="T74" s="60" t="n"/>
      <c r="U74" s="60" t="n"/>
      <c r="V74" s="60" t="n"/>
      <c r="W74" s="60" t="n"/>
      <c r="X74" s="60" t="n"/>
      <c r="Y74" s="60" t="n"/>
      <c r="Z74" s="60" t="n">
        <v>1</v>
      </c>
      <c r="AA74" s="60" t="n"/>
      <c r="AB74" s="60" t="n"/>
      <c r="AC74" s="60" t="n"/>
      <c r="AD74" s="60" t="n"/>
      <c r="AE74" s="60" t="n"/>
      <c r="AF74" s="60" t="n"/>
      <c r="AG74" s="60" t="n"/>
      <c r="AH74" s="60" t="n"/>
      <c r="AI74" s="60" t="n"/>
      <c r="AJ74" s="120">
        <f>IF(K74&gt;0,K74*(82.29+8.15),0)+IF(L74&gt;0,L74*(8.15+339.97),0)+IF(M74&gt;0,M74*151.63,0)+IF(N74&gt;0,N74*197.82,0)+IF(O74&gt;0,O74*244.09,0)+IF(P74&gt;0,P74*315.35,0)+IF(Q74&gt;0,Q74*1067.3,0)+IF(S74&gt;0,S74*567.47,0)+IF(T74&gt;0,T74*151.63,0)+IF(U74&gt;0,U74*197.84,0)+IF(V74&gt;0,V74*470.51,0)+IF(W74&gt;0,W74*701.69,0)+IF(Y74&gt;0,Y74*151.63,0)+IF(Z74&gt;0,Z74*197.84)+IF(AA74&gt;0,AA74*308.4,0)+IF(AB74&gt;0,AB74*496.16,0)</f>
        <v/>
      </c>
    </row>
    <row r="75">
      <c r="A75" s="59">
        <f>IF(G75&lt;$A$1,"VENCIDO","NA VALIDADE")</f>
        <v/>
      </c>
      <c r="B75" s="60" t="inlineStr">
        <is>
          <t>SUBESTAÇÃO</t>
        </is>
      </c>
      <c r="C75" s="61" t="inlineStr">
        <is>
          <t>SE GOIANA II</t>
        </is>
      </c>
      <c r="D75" s="82" t="inlineStr">
        <is>
          <t>GOIANA</t>
        </is>
      </c>
      <c r="E75" s="75" t="inlineStr">
        <is>
          <t>PE</t>
        </is>
      </c>
      <c r="F75" s="75" t="inlineStr">
        <is>
          <t>CABO DE SANTO AGOSTINHO</t>
        </is>
      </c>
      <c r="G75" s="119" t="n">
        <v>45352</v>
      </c>
      <c r="H75" s="119" t="n">
        <v>45352</v>
      </c>
      <c r="I75" s="60">
        <f>SUM(K75:AD75)</f>
        <v/>
      </c>
      <c r="J75" s="60">
        <f>SUM(AE75:AI75)</f>
        <v/>
      </c>
      <c r="K75" s="60" t="n"/>
      <c r="L75" s="60" t="n"/>
      <c r="M75" s="60" t="n"/>
      <c r="N75" s="60" t="n"/>
      <c r="O75" s="60" t="n"/>
      <c r="P75" s="60" t="n"/>
      <c r="Q75" s="60" t="n"/>
      <c r="R75" s="60" t="n"/>
      <c r="S75" s="60" t="n">
        <v>1</v>
      </c>
      <c r="T75" s="60" t="n"/>
      <c r="U75" s="60" t="n"/>
      <c r="V75" s="60" t="n"/>
      <c r="W75" s="60" t="n"/>
      <c r="X75" s="60" t="n"/>
      <c r="Y75" s="60" t="n"/>
      <c r="Z75" s="60" t="n">
        <v>1</v>
      </c>
      <c r="AA75" s="60" t="n"/>
      <c r="AB75" s="60" t="n"/>
      <c r="AC75" s="60" t="n"/>
      <c r="AD75" s="60" t="n"/>
      <c r="AE75" s="60" t="n"/>
      <c r="AF75" s="60" t="n"/>
      <c r="AG75" s="60" t="n"/>
      <c r="AH75" s="60" t="n"/>
      <c r="AI75" s="60" t="n"/>
      <c r="AJ75" s="120">
        <f>IF(K75&gt;0,K75*(82.29+8.15),0)+IF(L75&gt;0,L75*(8.15+339.97),0)+IF(M75&gt;0,M75*151.63,0)+IF(N75&gt;0,N75*197.82,0)+IF(O75&gt;0,O75*244.09,0)+IF(P75&gt;0,P75*315.35,0)+IF(Q75&gt;0,Q75*1067.3,0)+IF(S75&gt;0,S75*567.47,0)+IF(T75&gt;0,T75*151.63,0)+IF(U75&gt;0,U75*197.84,0)+IF(V75&gt;0,V75*470.51,0)+IF(W75&gt;0,W75*701.69,0)+IF(Y75&gt;0,Y75*151.63,0)+IF(Z75&gt;0,Z75*197.84)+IF(AA75&gt;0,AA75*308.4,0)+IF(AB75&gt;0,AB75*496.16,0)</f>
        <v/>
      </c>
    </row>
    <row r="76">
      <c r="A76" s="59">
        <f>IF(G76&lt;$A$1,"VENCIDO","NA VALIDADE")</f>
        <v/>
      </c>
      <c r="B76" s="60" t="inlineStr">
        <is>
          <t>SUBESTAÇÃO</t>
        </is>
      </c>
      <c r="C76" s="61" t="inlineStr">
        <is>
          <t>SE INAJÁ</t>
        </is>
      </c>
      <c r="D76" s="82" t="inlineStr">
        <is>
          <t>INAJÁ</t>
        </is>
      </c>
      <c r="E76" s="75" t="inlineStr">
        <is>
          <t>PE</t>
        </is>
      </c>
      <c r="F76" s="75" t="inlineStr">
        <is>
          <t>CABO DE SANTO AGOSTINHO</t>
        </is>
      </c>
      <c r="G76" s="119" t="n">
        <v>45413</v>
      </c>
      <c r="H76" s="119" t="n">
        <v>45413</v>
      </c>
      <c r="I76" s="60">
        <f>SUM(K76:AD76)</f>
        <v/>
      </c>
      <c r="J76" s="60">
        <f>SUM(AE76:AI76)</f>
        <v/>
      </c>
      <c r="K76" s="60" t="n"/>
      <c r="L76" s="60" t="n"/>
      <c r="M76" s="60" t="n"/>
      <c r="N76" s="60" t="n"/>
      <c r="O76" s="60" t="n"/>
      <c r="P76" s="60" t="n">
        <v>1</v>
      </c>
      <c r="Q76" s="60" t="n"/>
      <c r="R76" s="60" t="n"/>
      <c r="S76" s="60" t="n">
        <v>2</v>
      </c>
      <c r="T76" s="60" t="n"/>
      <c r="U76" s="60" t="n"/>
      <c r="V76" s="60" t="n"/>
      <c r="W76" s="60" t="n"/>
      <c r="X76" s="60" t="n"/>
      <c r="Y76" s="60" t="n"/>
      <c r="Z76" s="60" t="n">
        <v>1</v>
      </c>
      <c r="AA76" s="60" t="n"/>
      <c r="AB76" s="60" t="n"/>
      <c r="AC76" s="60" t="n"/>
      <c r="AD76" s="60" t="n"/>
      <c r="AE76" s="60" t="n"/>
      <c r="AF76" s="60" t="n"/>
      <c r="AG76" s="60" t="n"/>
      <c r="AH76" s="60" t="n"/>
      <c r="AI76" s="60" t="n"/>
      <c r="AJ76" s="120">
        <f>IF(K76&gt;0,K76*(82.29+8.15),0)+IF(L76&gt;0,L76*(8.15+339.97),0)+IF(M76&gt;0,M76*151.63,0)+IF(N76&gt;0,N76*197.82,0)+IF(O76&gt;0,O76*244.09,0)+IF(P76&gt;0,P76*315.35,0)+IF(Q76&gt;0,Q76*1067.3,0)+IF(S76&gt;0,S76*567.47,0)+IF(T76&gt;0,T76*151.63,0)+IF(U76&gt;0,U76*197.84,0)+IF(V76&gt;0,V76*470.51,0)+IF(W76&gt;0,W76*701.69,0)+IF(Y76&gt;0,Y76*151.63,0)+IF(Z76&gt;0,Z76*197.84)+IF(AA76&gt;0,AA76*308.4,0)+IF(AB76&gt;0,AB76*496.16,0)</f>
        <v/>
      </c>
    </row>
    <row r="77">
      <c r="A77" s="59">
        <f>IF(G77&lt;$A$1,"VENCIDO","NA VALIDADE")</f>
        <v/>
      </c>
      <c r="B77" s="60" t="inlineStr">
        <is>
          <t>SUBESTAÇÃO</t>
        </is>
      </c>
      <c r="C77" s="61" t="inlineStr">
        <is>
          <t>SE IPOJUCA</t>
        </is>
      </c>
      <c r="D77" s="82" t="inlineStr">
        <is>
          <t>IPOJUCA</t>
        </is>
      </c>
      <c r="E77" s="75" t="inlineStr">
        <is>
          <t>PE</t>
        </is>
      </c>
      <c r="F77" s="75" t="inlineStr">
        <is>
          <t>CABO DE SANTO AGOSTINHO</t>
        </is>
      </c>
      <c r="G77" s="119" t="n">
        <v>45413</v>
      </c>
      <c r="H77" s="119" t="n">
        <v>45413</v>
      </c>
      <c r="I77" s="60">
        <f>SUM(K77:AD77)</f>
        <v/>
      </c>
      <c r="J77" s="60">
        <f>SUM(AE77:AI77)</f>
        <v/>
      </c>
      <c r="K77" s="60" t="n"/>
      <c r="L77" s="60" t="n"/>
      <c r="M77" s="60" t="n"/>
      <c r="N77" s="60" t="n"/>
      <c r="O77" s="60" t="n"/>
      <c r="P77" s="60" t="n">
        <v>2</v>
      </c>
      <c r="Q77" s="60" t="n"/>
      <c r="R77" s="60" t="n"/>
      <c r="S77" s="60" t="n"/>
      <c r="T77" s="60" t="n"/>
      <c r="U77" s="60" t="n"/>
      <c r="V77" s="60" t="n"/>
      <c r="W77" s="60" t="n"/>
      <c r="X77" s="60" t="n"/>
      <c r="Y77" s="60" t="n"/>
      <c r="Z77" s="60" t="n">
        <v>1</v>
      </c>
      <c r="AA77" s="60" t="n"/>
      <c r="AB77" s="60" t="n"/>
      <c r="AC77" s="60" t="n"/>
      <c r="AD77" s="60" t="n"/>
      <c r="AE77" s="60" t="n"/>
      <c r="AF77" s="60" t="n"/>
      <c r="AG77" s="60" t="n"/>
      <c r="AH77" s="60" t="n"/>
      <c r="AI77" s="60" t="n"/>
      <c r="AJ77" s="120">
        <f>IF(K77&gt;0,K77*(82.29+8.15),0)+IF(L77&gt;0,L77*(8.15+339.97),0)+IF(M77&gt;0,M77*151.63,0)+IF(N77&gt;0,N77*197.82,0)+IF(O77&gt;0,O77*244.09,0)+IF(P77&gt;0,P77*315.35,0)+IF(Q77&gt;0,Q77*1067.3,0)+IF(S77&gt;0,S77*567.47,0)+IF(T77&gt;0,T77*151.63,0)+IF(U77&gt;0,U77*197.84,0)+IF(V77&gt;0,V77*470.51,0)+IF(W77&gt;0,W77*701.69,0)+IF(Y77&gt;0,Y77*151.63,0)+IF(Z77&gt;0,Z77*197.84)+IF(AA77&gt;0,AA77*308.4,0)+IF(AB77&gt;0,AB77*496.16,0)</f>
        <v/>
      </c>
    </row>
    <row r="78">
      <c r="A78" s="59">
        <f>IF(G78&lt;$A$1,"VENCIDO","NA VALIDADE")</f>
        <v/>
      </c>
      <c r="B78" s="60" t="inlineStr">
        <is>
          <t>SUBESTAÇÃO</t>
        </is>
      </c>
      <c r="C78" s="61" t="inlineStr">
        <is>
          <t>SE ITAMARACÁ</t>
        </is>
      </c>
      <c r="D78" s="83" t="inlineStr">
        <is>
          <t>ITAMARACÁ</t>
        </is>
      </c>
      <c r="E78" s="75" t="inlineStr">
        <is>
          <t>PE</t>
        </is>
      </c>
      <c r="F78" s="75" t="inlineStr">
        <is>
          <t>CABO DE SANTO AGOSTINHO</t>
        </is>
      </c>
      <c r="G78" s="119" t="n">
        <v>45474</v>
      </c>
      <c r="H78" s="119">
        <f>G78-180</f>
        <v/>
      </c>
      <c r="I78" s="60">
        <f>SUM(K78:AD78)</f>
        <v/>
      </c>
      <c r="J78" s="60">
        <f>SUM(AE78:AI78)</f>
        <v/>
      </c>
      <c r="K78" s="60" t="n"/>
      <c r="L78" s="60" t="n"/>
      <c r="M78" s="60" t="n"/>
      <c r="N78" s="60" t="n"/>
      <c r="O78" s="60" t="n">
        <v>1</v>
      </c>
      <c r="P78" s="60" t="n"/>
      <c r="Q78" s="60" t="n"/>
      <c r="R78" s="60" t="n"/>
      <c r="S78" s="60" t="n"/>
      <c r="T78" s="60" t="n"/>
      <c r="U78" s="60" t="n"/>
      <c r="V78" s="60" t="n"/>
      <c r="W78" s="60" t="n"/>
      <c r="X78" s="60" t="n"/>
      <c r="Y78" s="60" t="n"/>
      <c r="Z78" s="60" t="n">
        <v>1</v>
      </c>
      <c r="AA78" s="60" t="n">
        <v>1</v>
      </c>
      <c r="AB78" s="60" t="n"/>
      <c r="AC78" s="60" t="n"/>
      <c r="AD78" s="60" t="n"/>
      <c r="AE78" s="60" t="n"/>
      <c r="AF78" s="60" t="n"/>
      <c r="AG78" s="60" t="n"/>
      <c r="AH78" s="60" t="n"/>
      <c r="AI78" s="60" t="n"/>
      <c r="AJ78" s="120">
        <f>IF(K78&gt;0,K78*(82.29+8.15),0)+IF(L78&gt;0,L78*(8.15+339.97),0)+IF(M78&gt;0,M78*151.63,0)+IF(N78&gt;0,N78*197.82,0)+IF(O78&gt;0,O78*244.09,0)+IF(P78&gt;0,P78*315.35,0)+IF(Q78&gt;0,Q78*1067.3,0)+IF(S78&gt;0,S78*567.47,0)+IF(T78&gt;0,T78*151.63,0)+IF(U78&gt;0,U78*197.84,0)+IF(V78&gt;0,V78*470.51,0)+IF(W78&gt;0,W78*701.69,0)+IF(Y78&gt;0,Y78*151.63,0)+IF(Z78&gt;0,Z78*197.84)+IF(AA78&gt;0,AA78*308.4,0)+IF(AB78&gt;0,AB78*496.16,0)</f>
        <v/>
      </c>
    </row>
    <row r="79">
      <c r="A79" s="59">
        <f>IF(G79&lt;$A$1,"VENCIDO","NA VALIDADE")</f>
        <v/>
      </c>
      <c r="B79" s="60" t="inlineStr">
        <is>
          <t>SUBESTAÇÃO</t>
        </is>
      </c>
      <c r="C79" s="61" t="inlineStr">
        <is>
          <t>SE JOSÉ MARIANO</t>
        </is>
      </c>
      <c r="D79" s="82" t="inlineStr">
        <is>
          <t>RIBEIRÃO</t>
        </is>
      </c>
      <c r="E79" s="75" t="inlineStr">
        <is>
          <t>PE</t>
        </is>
      </c>
      <c r="F79" s="75" t="inlineStr">
        <is>
          <t>CABO DE SANTO AGOSTINHO</t>
        </is>
      </c>
      <c r="G79" s="119" t="n">
        <v>45505</v>
      </c>
      <c r="H79" s="119">
        <f>G79-180</f>
        <v/>
      </c>
      <c r="I79" s="60">
        <f>SUM(K79:AD79)</f>
        <v/>
      </c>
      <c r="J79" s="60">
        <f>SUM(AE79:AI79)</f>
        <v/>
      </c>
      <c r="K79" s="60" t="n"/>
      <c r="L79" s="60" t="n"/>
      <c r="M79" s="60" t="n"/>
      <c r="N79" s="60" t="n"/>
      <c r="O79" s="60" t="n">
        <v>2</v>
      </c>
      <c r="P79" s="60" t="n"/>
      <c r="Q79" s="60" t="n"/>
      <c r="R79" s="60" t="n"/>
      <c r="S79" s="60" t="n"/>
      <c r="T79" s="60" t="n"/>
      <c r="U79" s="60" t="n"/>
      <c r="V79" s="60" t="n"/>
      <c r="W79" s="60" t="n"/>
      <c r="X79" s="60" t="n"/>
      <c r="Y79" s="60" t="n"/>
      <c r="Z79" s="60" t="n">
        <v>1</v>
      </c>
      <c r="AA79" s="60" t="n"/>
      <c r="AB79" s="60" t="n"/>
      <c r="AC79" s="60" t="n"/>
      <c r="AD79" s="60" t="n"/>
      <c r="AE79" s="60" t="n"/>
      <c r="AF79" s="60" t="n"/>
      <c r="AG79" s="60" t="n"/>
      <c r="AH79" s="60" t="n"/>
      <c r="AI79" s="60" t="n"/>
      <c r="AJ79" s="120">
        <f>IF(K79&gt;0,K79*(82.29+8.15),0)+IF(L79&gt;0,L79*(8.15+339.97),0)+IF(M79&gt;0,M79*151.63,0)+IF(N79&gt;0,N79*197.82,0)+IF(O79&gt;0,O79*244.09,0)+IF(P79&gt;0,P79*315.35,0)+IF(Q79&gt;0,Q79*1067.3,0)+IF(S79&gt;0,S79*567.47,0)+IF(T79&gt;0,T79*151.63,0)+IF(U79&gt;0,U79*197.84,0)+IF(V79&gt;0,V79*470.51,0)+IF(W79&gt;0,W79*701.69,0)+IF(Y79&gt;0,Y79*151.63,0)+IF(Z79&gt;0,Z79*197.84)+IF(AA79&gt;0,AA79*308.4,0)+IF(AB79&gt;0,AB79*496.16,0)</f>
        <v/>
      </c>
    </row>
    <row r="80">
      <c r="A80" s="59">
        <f>IF(G80&lt;$A$1,"VENCIDO","NA VALIDADE")</f>
        <v/>
      </c>
      <c r="B80" s="60" t="inlineStr">
        <is>
          <t>SUBESTAÇÃO</t>
        </is>
      </c>
      <c r="C80" s="61" t="inlineStr">
        <is>
          <t>SE LAJEDO</t>
        </is>
      </c>
      <c r="D80" s="83" t="inlineStr">
        <is>
          <t>LAJEDO</t>
        </is>
      </c>
      <c r="E80" s="75" t="inlineStr">
        <is>
          <t>PE</t>
        </is>
      </c>
      <c r="F80" s="75" t="inlineStr">
        <is>
          <t>CABO DE SANTO AGOSTINHO</t>
        </is>
      </c>
      <c r="G80" s="119" t="n">
        <v>45536</v>
      </c>
      <c r="H80" s="119">
        <f>G80-180</f>
        <v/>
      </c>
      <c r="I80" s="60">
        <f>SUM(K80:AD80)</f>
        <v/>
      </c>
      <c r="J80" s="60">
        <f>SUM(AE80:AI80)</f>
        <v/>
      </c>
      <c r="K80" s="60" t="n"/>
      <c r="L80" s="60" t="n"/>
      <c r="M80" s="60" t="n"/>
      <c r="N80" s="60" t="n"/>
      <c r="O80" s="60" t="n">
        <v>1</v>
      </c>
      <c r="P80" s="60" t="n">
        <v>1</v>
      </c>
      <c r="Q80" s="60" t="n"/>
      <c r="R80" s="60" t="n"/>
      <c r="S80" s="60" t="n"/>
      <c r="T80" s="60" t="n"/>
      <c r="U80" s="60" t="n"/>
      <c r="V80" s="60" t="n"/>
      <c r="W80" s="60" t="n"/>
      <c r="X80" s="60" t="n"/>
      <c r="Y80" s="60" t="n"/>
      <c r="Z80" s="60" t="n">
        <v>1</v>
      </c>
      <c r="AA80" s="60" t="n"/>
      <c r="AB80" s="60" t="n"/>
      <c r="AC80" s="60" t="n"/>
      <c r="AD80" s="60" t="n"/>
      <c r="AE80" s="60" t="n"/>
      <c r="AF80" s="60" t="n"/>
      <c r="AG80" s="60" t="n"/>
      <c r="AH80" s="60" t="n"/>
      <c r="AI80" s="60" t="n"/>
      <c r="AJ80" s="120">
        <f>IF(K80&gt;0,K80*(82.29+8.15),0)+IF(L80&gt;0,L80*(8.15+339.97),0)+IF(M80&gt;0,M80*151.63,0)+IF(N80&gt;0,N80*197.82,0)+IF(O80&gt;0,O80*244.09,0)+IF(P80&gt;0,P80*315.35,0)+IF(Q80&gt;0,Q80*1067.3,0)+IF(S80&gt;0,S80*567.47,0)+IF(T80&gt;0,T80*151.63,0)+IF(U80&gt;0,U80*197.84,0)+IF(V80&gt;0,V80*470.51,0)+IF(W80&gt;0,W80*701.69,0)+IF(Y80&gt;0,Y80*151.63,0)+IF(Z80&gt;0,Z80*197.84)+IF(AA80&gt;0,AA80*308.4,0)+IF(AB80&gt;0,AB80*496.16,0)</f>
        <v/>
      </c>
    </row>
    <row r="81">
      <c r="A81" s="59">
        <f>IF(G81&lt;$A$1,"VENCIDO","NA VALIDADE")</f>
        <v/>
      </c>
      <c r="B81" s="60" t="inlineStr">
        <is>
          <t>SUBESTAÇÃO</t>
        </is>
      </c>
      <c r="C81" s="61" t="inlineStr">
        <is>
          <t>SE UR-10</t>
        </is>
      </c>
      <c r="D81" s="83" t="inlineStr">
        <is>
          <t>RECIFE</t>
        </is>
      </c>
      <c r="E81" s="75" t="inlineStr">
        <is>
          <t>PE</t>
        </is>
      </c>
      <c r="F81" s="75" t="inlineStr">
        <is>
          <t>CABO DE SANTO AGOSTINHO</t>
        </is>
      </c>
      <c r="G81" s="119" t="n">
        <v>45505</v>
      </c>
      <c r="H81" s="119">
        <f>G81-180</f>
        <v/>
      </c>
      <c r="I81" s="60">
        <f>SUM(K81:AD81)</f>
        <v/>
      </c>
      <c r="J81" s="60">
        <f>SUM(AE81:AI81)</f>
        <v/>
      </c>
      <c r="K81" s="60" t="n"/>
      <c r="L81" s="60" t="n"/>
      <c r="M81" s="60" t="n"/>
      <c r="N81" s="60" t="n"/>
      <c r="O81" s="60" t="n"/>
      <c r="P81" s="60" t="n"/>
      <c r="Q81" s="60" t="n"/>
      <c r="R81" s="60" t="n"/>
      <c r="S81" s="60" t="n">
        <v>2</v>
      </c>
      <c r="T81" s="60" t="n"/>
      <c r="U81" s="60" t="n"/>
      <c r="V81" s="60" t="n"/>
      <c r="W81" s="60" t="n"/>
      <c r="X81" s="60" t="n"/>
      <c r="Y81" s="60" t="n"/>
      <c r="Z81" s="60" t="n">
        <v>3</v>
      </c>
      <c r="AA81" s="60" t="n"/>
      <c r="AB81" s="60" t="n"/>
      <c r="AC81" s="60" t="n"/>
      <c r="AD81" s="60" t="n"/>
      <c r="AE81" s="60" t="n"/>
      <c r="AF81" s="60" t="n"/>
      <c r="AG81" s="60" t="n"/>
      <c r="AH81" s="60" t="n"/>
      <c r="AI81" s="60" t="n"/>
      <c r="AJ81" s="120">
        <f>IF(K81&gt;0,K81*(82.29+8.15),0)+IF(L81&gt;0,L81*(8.15+339.97),0)+IF(M81&gt;0,M81*151.63,0)+IF(N81&gt;0,N81*197.82,0)+IF(O81&gt;0,O81*244.09,0)+IF(P81&gt;0,P81*315.35,0)+IF(Q81&gt;0,Q81*1067.3,0)+IF(S81&gt;0,S81*567.47,0)+IF(T81&gt;0,T81*151.63,0)+IF(U81&gt;0,U81*197.84,0)+IF(V81&gt;0,V81*470.51,0)+IF(W81&gt;0,W81*701.69,0)+IF(Y81&gt;0,Y81*151.63,0)+IF(Z81&gt;0,Z81*197.84)+IF(AA81&gt;0,AA81*308.4,0)+IF(AB81&gt;0,AB81*496.16,0)</f>
        <v/>
      </c>
    </row>
    <row r="82">
      <c r="A82" s="59">
        <f>IF(G82&lt;$A$1,"VENCIDO","NA VALIDADE")</f>
        <v/>
      </c>
      <c r="B82" s="60" t="inlineStr">
        <is>
          <t>SUBESTAÇÃO</t>
        </is>
      </c>
      <c r="C82" s="61" t="inlineStr">
        <is>
          <t>SE LIMOEIRO</t>
        </is>
      </c>
      <c r="D82" s="82" t="inlineStr">
        <is>
          <t>LIMOEIRO</t>
        </is>
      </c>
      <c r="E82" s="75" t="inlineStr">
        <is>
          <t>PE</t>
        </is>
      </c>
      <c r="F82" s="75" t="inlineStr">
        <is>
          <t>CABO DE SANTO AGOSTINHO</t>
        </is>
      </c>
      <c r="G82" s="119" t="n">
        <v>45566</v>
      </c>
      <c r="H82" s="119">
        <f>G82-180</f>
        <v/>
      </c>
      <c r="I82" s="60">
        <f>SUM(K82:AD82)</f>
        <v/>
      </c>
      <c r="J82" s="60">
        <f>SUM(AE82:AI82)</f>
        <v/>
      </c>
      <c r="K82" s="60" t="n"/>
      <c r="L82" s="60" t="n"/>
      <c r="M82" s="60" t="n"/>
      <c r="N82" s="60" t="n"/>
      <c r="O82" s="60" t="n"/>
      <c r="P82" s="60" t="n">
        <v>1</v>
      </c>
      <c r="Q82" s="60" t="n"/>
      <c r="R82" s="60" t="n"/>
      <c r="S82" s="60" t="n">
        <v>1</v>
      </c>
      <c r="T82" s="60" t="n"/>
      <c r="U82" s="60" t="n"/>
      <c r="V82" s="60" t="n"/>
      <c r="W82" s="60" t="n"/>
      <c r="X82" s="60" t="n"/>
      <c r="Y82" s="60" t="n"/>
      <c r="Z82" s="60" t="n">
        <v>1</v>
      </c>
      <c r="AA82" s="60" t="n"/>
      <c r="AB82" s="60" t="n"/>
      <c r="AC82" s="60" t="n"/>
      <c r="AD82" s="60" t="n"/>
      <c r="AE82" s="60" t="n"/>
      <c r="AF82" s="60" t="n"/>
      <c r="AG82" s="60" t="n"/>
      <c r="AH82" s="60" t="n"/>
      <c r="AI82" s="60" t="n"/>
      <c r="AJ82" s="120">
        <f>IF(K82&gt;0,K82*(82.29+8.15),0)+IF(L82&gt;0,L82*(8.15+339.97),0)+IF(M82&gt;0,M82*151.63,0)+IF(N82&gt;0,N82*197.82,0)+IF(O82&gt;0,O82*244.09,0)+IF(P82&gt;0,P82*315.35,0)+IF(Q82&gt;0,Q82*1067.3,0)+IF(S82&gt;0,S82*567.47,0)+IF(T82&gt;0,T82*151.63,0)+IF(U82&gt;0,U82*197.84,0)+IF(V82&gt;0,V82*470.51,0)+IF(W82&gt;0,W82*701.69,0)+IF(Y82&gt;0,Y82*151.63,0)+IF(Z82&gt;0,Z82*197.84)+IF(AA82&gt;0,AA82*308.4,0)+IF(AB82&gt;0,AB82*496.16,0)</f>
        <v/>
      </c>
    </row>
    <row r="83">
      <c r="A83" s="59">
        <f>IF(G83&lt;$A$1,"VENCIDO","NA VALIDADE")</f>
        <v/>
      </c>
      <c r="B83" s="60" t="inlineStr">
        <is>
          <t>SUBESTAÇÃO</t>
        </is>
      </c>
      <c r="C83" s="61" t="inlineStr">
        <is>
          <t>MACAPARANA</t>
        </is>
      </c>
      <c r="D83" s="82" t="inlineStr">
        <is>
          <t>MACAPARANA</t>
        </is>
      </c>
      <c r="E83" s="75" t="inlineStr">
        <is>
          <t>PE</t>
        </is>
      </c>
      <c r="F83" s="75" t="inlineStr">
        <is>
          <t>CABO DE SANTO AGOSTINHO</t>
        </is>
      </c>
      <c r="G83" s="119" t="n">
        <v>45566</v>
      </c>
      <c r="H83" s="119">
        <f>G83-180</f>
        <v/>
      </c>
      <c r="I83" s="60">
        <f>SUM(K83:AD83)</f>
        <v/>
      </c>
      <c r="J83" s="60">
        <f>SUM(AE83:AI83)</f>
        <v/>
      </c>
      <c r="K83" s="60" t="n"/>
      <c r="L83" s="60" t="n"/>
      <c r="M83" s="60" t="n"/>
      <c r="N83" s="60" t="n">
        <v>1</v>
      </c>
      <c r="O83" s="60" t="n"/>
      <c r="P83" s="60" t="n">
        <v>1</v>
      </c>
      <c r="Q83" s="60" t="n"/>
      <c r="R83" s="60" t="n"/>
      <c r="S83" s="60" t="n"/>
      <c r="T83" s="60" t="n"/>
      <c r="U83" s="60" t="n"/>
      <c r="V83" s="60" t="n"/>
      <c r="W83" s="60" t="n"/>
      <c r="X83" s="60" t="n"/>
      <c r="Y83" s="60" t="n"/>
      <c r="Z83" s="60" t="n">
        <v>1</v>
      </c>
      <c r="AA83" s="60" t="n"/>
      <c r="AB83" s="60" t="n"/>
      <c r="AC83" s="60" t="n"/>
      <c r="AD83" s="60" t="n"/>
      <c r="AE83" s="60" t="n"/>
      <c r="AF83" s="60" t="n"/>
      <c r="AG83" s="60" t="n"/>
      <c r="AH83" s="60" t="n"/>
      <c r="AI83" s="60" t="n"/>
      <c r="AJ83" s="120">
        <f>IF(K83&gt;0,K83*(82.29+8.15),0)+IF(L83&gt;0,L83*(8.15+339.97),0)+IF(M83&gt;0,M83*151.63,0)+IF(N83&gt;0,N83*197.82,0)+IF(O83&gt;0,O83*244.09,0)+IF(P83&gt;0,P83*315.35,0)+IF(Q83&gt;0,Q83*1067.3,0)+IF(S83&gt;0,S83*567.47,0)+IF(T83&gt;0,T83*151.63,0)+IF(U83&gt;0,U83*197.84,0)+IF(V83&gt;0,V83*470.51,0)+IF(W83&gt;0,W83*701.69,0)+IF(Y83&gt;0,Y83*151.63,0)+IF(Z83&gt;0,Z83*197.84)+IF(AA83&gt;0,AA83*308.4,0)+IF(AB83&gt;0,AB83*496.16,0)</f>
        <v/>
      </c>
    </row>
    <row r="84">
      <c r="A84" s="59">
        <f>IF(G84&lt;$A$1,"VENCIDO","NA VALIDADE")</f>
        <v/>
      </c>
      <c r="B84" s="60" t="inlineStr">
        <is>
          <t>SUBESTAÇÃO</t>
        </is>
      </c>
      <c r="C84" s="61" t="inlineStr">
        <is>
          <t>SE MONJOPE</t>
        </is>
      </c>
      <c r="D84" s="82" t="inlineStr">
        <is>
          <t>IGARASSU</t>
        </is>
      </c>
      <c r="E84" s="75" t="inlineStr">
        <is>
          <t>PE</t>
        </is>
      </c>
      <c r="F84" s="75" t="inlineStr">
        <is>
          <t>CABO DE SANTO AGOSTINHO</t>
        </is>
      </c>
      <c r="G84" s="119" t="n">
        <v>45505</v>
      </c>
      <c r="H84" s="119">
        <f>G84-180</f>
        <v/>
      </c>
      <c r="I84" s="60">
        <f>SUM(K84:AD84)</f>
        <v/>
      </c>
      <c r="J84" s="60">
        <f>SUM(AE84:AI84)</f>
        <v/>
      </c>
      <c r="K84" s="60" t="n"/>
      <c r="L84" s="60" t="n"/>
      <c r="M84" s="60" t="n"/>
      <c r="N84" s="60" t="n"/>
      <c r="O84" s="60" t="n"/>
      <c r="P84" s="60" t="n">
        <v>2</v>
      </c>
      <c r="Q84" s="60" t="n"/>
      <c r="R84" s="60" t="n"/>
      <c r="S84" s="60" t="n"/>
      <c r="T84" s="60" t="n"/>
      <c r="U84" s="60" t="n"/>
      <c r="V84" s="60" t="n"/>
      <c r="W84" s="60" t="n"/>
      <c r="X84" s="60" t="n"/>
      <c r="Y84" s="60" t="n"/>
      <c r="Z84" s="60" t="n">
        <v>2</v>
      </c>
      <c r="AA84" s="60" t="n"/>
      <c r="AB84" s="60" t="n"/>
      <c r="AC84" s="60" t="n"/>
      <c r="AD84" s="60" t="n"/>
      <c r="AE84" s="60" t="n"/>
      <c r="AF84" s="60" t="n"/>
      <c r="AG84" s="60" t="n"/>
      <c r="AH84" s="60" t="n"/>
      <c r="AI84" s="60" t="n"/>
      <c r="AJ84" s="120">
        <f>IF(K84&gt;0,K84*(82.29+8.15),0)+IF(L84&gt;0,L84*(8.15+339.97),0)+IF(M84&gt;0,M84*151.63,0)+IF(N84&gt;0,N84*197.82,0)+IF(O84&gt;0,O84*244.09,0)+IF(P84&gt;0,P84*315.35,0)+IF(Q84&gt;0,Q84*1067.3,0)+IF(S84&gt;0,S84*567.47,0)+IF(T84&gt;0,T84*151.63,0)+IF(U84&gt;0,U84*197.84,0)+IF(V84&gt;0,V84*470.51,0)+IF(W84&gt;0,W84*701.69,0)+IF(Y84&gt;0,Y84*151.63,0)+IF(Z84&gt;0,Z84*197.84)+IF(AA84&gt;0,AA84*308.4,0)+IF(AB84&gt;0,AB84*496.16,0)</f>
        <v/>
      </c>
    </row>
    <row r="85">
      <c r="A85" s="59">
        <f>IF(G85&lt;$A$1,"VENCIDO","NA VALIDADE")</f>
        <v/>
      </c>
      <c r="B85" s="60" t="inlineStr">
        <is>
          <t>SUBESTAÇÃO</t>
        </is>
      </c>
      <c r="C85" s="61" t="inlineStr">
        <is>
          <t>SE MONTE SANTO</t>
        </is>
      </c>
      <c r="D85" s="82" t="inlineStr">
        <is>
          <t>CABROBÓ</t>
        </is>
      </c>
      <c r="E85" s="75" t="inlineStr">
        <is>
          <t>PE</t>
        </is>
      </c>
      <c r="F85" s="75" t="inlineStr">
        <is>
          <t>CABO DE SANTO AGOSTINHO</t>
        </is>
      </c>
      <c r="G85" s="119" t="n">
        <v>45566</v>
      </c>
      <c r="H85" s="119">
        <f>G85-180</f>
        <v/>
      </c>
      <c r="I85" s="60">
        <f>SUM(K85:AD85)</f>
        <v/>
      </c>
      <c r="J85" s="60">
        <f>SUM(AE85:AI85)</f>
        <v/>
      </c>
      <c r="K85" s="60" t="n"/>
      <c r="L85" s="60" t="n"/>
      <c r="M85" s="60" t="n"/>
      <c r="N85" s="60" t="n"/>
      <c r="O85" s="60" t="n"/>
      <c r="P85" s="60" t="n">
        <v>1</v>
      </c>
      <c r="Q85" s="60" t="n"/>
      <c r="R85" s="60" t="n"/>
      <c r="S85" s="60" t="n"/>
      <c r="T85" s="60" t="n"/>
      <c r="U85" s="60" t="n"/>
      <c r="V85" s="60" t="n"/>
      <c r="W85" s="60" t="n"/>
      <c r="X85" s="60" t="n"/>
      <c r="Y85" s="60" t="n"/>
      <c r="Z85" s="60" t="n">
        <v>1</v>
      </c>
      <c r="AA85" s="60" t="n"/>
      <c r="AB85" s="60" t="n"/>
      <c r="AC85" s="60" t="n"/>
      <c r="AD85" s="60" t="n"/>
      <c r="AE85" s="60" t="n"/>
      <c r="AF85" s="60" t="n"/>
      <c r="AG85" s="60" t="n"/>
      <c r="AH85" s="60" t="n"/>
      <c r="AI85" s="60" t="n"/>
      <c r="AJ85" s="120">
        <f>IF(K85&gt;0,K85*(82.29+8.15),0)+IF(L85&gt;0,L85*(8.15+339.97),0)+IF(M85&gt;0,M85*151.63,0)+IF(N85&gt;0,N85*197.82,0)+IF(O85&gt;0,O85*244.09,0)+IF(P85&gt;0,P85*315.35,0)+IF(Q85&gt;0,Q85*1067.3,0)+IF(S85&gt;0,S85*567.47,0)+IF(T85&gt;0,T85*151.63,0)+IF(U85&gt;0,U85*197.84,0)+IF(V85&gt;0,V85*470.51,0)+IF(W85&gt;0,W85*701.69,0)+IF(Y85&gt;0,Y85*151.63,0)+IF(Z85&gt;0,Z85*197.84)+IF(AA85&gt;0,AA85*308.4,0)+IF(AB85&gt;0,AB85*496.16,0)</f>
        <v/>
      </c>
    </row>
    <row r="86">
      <c r="A86" s="59">
        <f>IF(G86&lt;$A$1,"VENCIDO","NA VALIDADE")</f>
        <v/>
      </c>
      <c r="B86" s="60" t="inlineStr">
        <is>
          <t>SUBESTAÇÃO</t>
        </is>
      </c>
      <c r="C86" s="61" t="inlineStr">
        <is>
          <t>SE NAZARÉ</t>
        </is>
      </c>
      <c r="D86" s="82" t="inlineStr">
        <is>
          <t>NAZARÉ DA MATA</t>
        </is>
      </c>
      <c r="E86" s="75" t="inlineStr">
        <is>
          <t>PE</t>
        </is>
      </c>
      <c r="F86" s="75" t="inlineStr">
        <is>
          <t>CABO DE SANTO AGOSTINHO</t>
        </is>
      </c>
      <c r="G86" s="119" t="n">
        <v>45536</v>
      </c>
      <c r="H86" s="119">
        <f>G86-180</f>
        <v/>
      </c>
      <c r="I86" s="60">
        <f>SUM(K86:AD86)</f>
        <v/>
      </c>
      <c r="J86" s="60">
        <f>SUM(AE86:AI86)</f>
        <v/>
      </c>
      <c r="K86" s="60" t="n"/>
      <c r="L86" s="60" t="n"/>
      <c r="M86" s="60" t="n"/>
      <c r="N86" s="60" t="n"/>
      <c r="O86" s="60" t="n"/>
      <c r="P86" s="60" t="n">
        <v>2</v>
      </c>
      <c r="Q86" s="60" t="n"/>
      <c r="R86" s="60" t="n"/>
      <c r="S86" s="60" t="n"/>
      <c r="T86" s="60" t="n"/>
      <c r="U86" s="60" t="n"/>
      <c r="V86" s="60" t="n"/>
      <c r="W86" s="60" t="n"/>
      <c r="X86" s="60" t="n"/>
      <c r="Y86" s="60" t="n"/>
      <c r="Z86" s="60" t="n">
        <v>1</v>
      </c>
      <c r="AA86" s="60" t="n"/>
      <c r="AB86" s="60" t="n"/>
      <c r="AC86" s="60" t="n"/>
      <c r="AD86" s="60" t="n"/>
      <c r="AE86" s="60" t="n"/>
      <c r="AF86" s="60" t="n"/>
      <c r="AG86" s="60" t="n"/>
      <c r="AH86" s="60" t="n"/>
      <c r="AI86" s="60" t="n"/>
      <c r="AJ86" s="120">
        <f>IF(K86&gt;0,K86*(82.29+8.15),0)+IF(L86&gt;0,L86*(8.15+339.97),0)+IF(M86&gt;0,M86*151.63,0)+IF(N86&gt;0,N86*197.82,0)+IF(O86&gt;0,O86*244.09,0)+IF(P86&gt;0,P86*315.35,0)+IF(Q86&gt;0,Q86*1067.3,0)+IF(S86&gt;0,S86*567.47,0)+IF(T86&gt;0,T86*151.63,0)+IF(U86&gt;0,U86*197.84,0)+IF(V86&gt;0,V86*470.51,0)+IF(W86&gt;0,W86*701.69,0)+IF(Y86&gt;0,Y86*151.63,0)+IF(Z86&gt;0,Z86*197.84)+IF(AA86&gt;0,AA86*308.4,0)+IF(AB86&gt;0,AB86*496.16,0)</f>
        <v/>
      </c>
    </row>
    <row r="87">
      <c r="A87" s="59">
        <f>IF(G87&lt;$A$1,"VENCIDO","NA VALIDADE")</f>
        <v/>
      </c>
      <c r="B87" s="60" t="inlineStr">
        <is>
          <t>SUBESTAÇÃO</t>
        </is>
      </c>
      <c r="C87" s="61" t="inlineStr">
        <is>
          <t>SE PALMARES</t>
        </is>
      </c>
      <c r="D87" s="82" t="inlineStr">
        <is>
          <t>PALMARES</t>
        </is>
      </c>
      <c r="E87" s="75" t="inlineStr">
        <is>
          <t>PE</t>
        </is>
      </c>
      <c r="F87" s="75" t="inlineStr">
        <is>
          <t>CABO DE SANTO AGOSTINHO</t>
        </is>
      </c>
      <c r="G87" s="119" t="n">
        <v>45474</v>
      </c>
      <c r="H87" s="119" t="n">
        <v>45474</v>
      </c>
      <c r="I87" s="60">
        <f>SUM(K87:AD87)</f>
        <v/>
      </c>
      <c r="J87" s="60">
        <f>SUM(AE87:AI87)</f>
        <v/>
      </c>
      <c r="K87" s="60" t="n"/>
      <c r="L87" s="60" t="n"/>
      <c r="M87" s="60" t="n"/>
      <c r="N87" s="60" t="n"/>
      <c r="O87" s="60" t="n"/>
      <c r="P87" s="60" t="n"/>
      <c r="Q87" s="60" t="n"/>
      <c r="R87" s="60" t="n"/>
      <c r="S87" s="60" t="n"/>
      <c r="T87" s="60" t="n"/>
      <c r="U87" s="60" t="n"/>
      <c r="V87" s="60" t="n"/>
      <c r="W87" s="60" t="n"/>
      <c r="X87" s="60" t="n"/>
      <c r="Y87" s="60" t="n"/>
      <c r="Z87" s="60" t="n">
        <v>1</v>
      </c>
      <c r="AA87" s="60" t="n"/>
      <c r="AB87" s="60" t="n"/>
      <c r="AC87" s="60" t="n"/>
      <c r="AD87" s="60" t="n"/>
      <c r="AE87" s="60" t="n"/>
      <c r="AF87" s="60" t="n"/>
      <c r="AG87" s="60" t="n"/>
      <c r="AH87" s="60" t="n"/>
      <c r="AI87" s="60" t="n"/>
      <c r="AJ87" s="120">
        <f>IF(K87&gt;0,K87*(82.29+8.15),0)+IF(L87&gt;0,L87*(8.15+339.97),0)+IF(M87&gt;0,M87*151.63,0)+IF(N87&gt;0,N87*197.82,0)+IF(O87&gt;0,O87*244.09,0)+IF(P87&gt;0,P87*315.35,0)+IF(Q87&gt;0,Q87*1067.3,0)+IF(S87&gt;0,S87*567.47,0)+IF(T87&gt;0,T87*151.63,0)+IF(U87&gt;0,U87*197.84,0)+IF(V87&gt;0,V87*470.51,0)+IF(W87&gt;0,W87*701.69,0)+IF(Y87&gt;0,Y87*151.63,0)+IF(Z87&gt;0,Z87*197.84)+IF(AA87&gt;0,AA87*308.4,0)+IF(AB87&gt;0,AB87*496.16,0)</f>
        <v/>
      </c>
    </row>
    <row r="88">
      <c r="A88" s="59">
        <f>IF(G88&lt;$A$1,"VENCIDO","NA VALIDADE")</f>
        <v/>
      </c>
      <c r="B88" s="60" t="inlineStr">
        <is>
          <t>SUBESTAÇÃO</t>
        </is>
      </c>
      <c r="C88" s="61" t="inlineStr">
        <is>
          <t>PARATIBE II</t>
        </is>
      </c>
      <c r="D88" s="82" t="inlineStr">
        <is>
          <t>PAULISTA</t>
        </is>
      </c>
      <c r="E88" s="75" t="inlineStr">
        <is>
          <t>PE</t>
        </is>
      </c>
      <c r="F88" s="75" t="inlineStr">
        <is>
          <t>CABO DE SANTO AGOSTINHO</t>
        </is>
      </c>
      <c r="G88" s="119" t="n">
        <v>45566</v>
      </c>
      <c r="H88" s="119">
        <f>G88-180</f>
        <v/>
      </c>
      <c r="I88" s="60">
        <f>SUM(K88:AD88)</f>
        <v/>
      </c>
      <c r="J88" s="60">
        <f>SUM(AE88:AI88)</f>
        <v/>
      </c>
      <c r="K88" s="60" t="n"/>
      <c r="L88" s="60" t="n"/>
      <c r="M88" s="60" t="n"/>
      <c r="N88" s="60" t="n"/>
      <c r="O88" s="60" t="n"/>
      <c r="P88" s="60" t="n">
        <v>2</v>
      </c>
      <c r="Q88" s="60" t="n"/>
      <c r="R88" s="60" t="n"/>
      <c r="S88" s="60" t="n"/>
      <c r="T88" s="60" t="n"/>
      <c r="U88" s="60" t="n"/>
      <c r="V88" s="60" t="n"/>
      <c r="W88" s="60" t="n"/>
      <c r="X88" s="60" t="n"/>
      <c r="Y88" s="60" t="n"/>
      <c r="Z88" s="60" t="n"/>
      <c r="AA88" s="60" t="n"/>
      <c r="AB88" s="60" t="n"/>
      <c r="AC88" s="60" t="n"/>
      <c r="AD88" s="60" t="n"/>
      <c r="AE88" s="60" t="n"/>
      <c r="AF88" s="60" t="n"/>
      <c r="AG88" s="60" t="n"/>
      <c r="AH88" s="60" t="n"/>
      <c r="AI88" s="60" t="n"/>
      <c r="AJ88" s="120">
        <f>IF(K88&gt;0,K88*(82.29+8.15),0)+IF(L88&gt;0,L88*(8.15+339.97),0)+IF(M88&gt;0,M88*151.63,0)+IF(N88&gt;0,N88*197.82,0)+IF(O88&gt;0,O88*244.09,0)+IF(P88&gt;0,P88*315.35,0)+IF(Q88&gt;0,Q88*1067.3,0)+IF(S88&gt;0,S88*567.47,0)+IF(T88&gt;0,T88*151.63,0)+IF(U88&gt;0,U88*197.84,0)+IF(V88&gt;0,V88*470.51,0)+IF(W88&gt;0,W88*701.69,0)+IF(Y88&gt;0,Y88*151.63,0)+IF(Z88&gt;0,Z88*197.84)+IF(AA88&gt;0,AA88*308.4,0)+IF(AB88&gt;0,AB88*496.16,0)</f>
        <v/>
      </c>
    </row>
    <row r="89">
      <c r="A89" s="59">
        <f>IF(G89&lt;$A$1,"VENCIDO","NA VALIDADE")</f>
        <v/>
      </c>
      <c r="B89" s="60" t="inlineStr">
        <is>
          <t>SUBESTAÇÃO</t>
        </is>
      </c>
      <c r="C89" s="61" t="inlineStr">
        <is>
          <t>SE PASSIRA</t>
        </is>
      </c>
      <c r="D89" s="82" t="inlineStr">
        <is>
          <t>PASSIRA</t>
        </is>
      </c>
      <c r="E89" s="75" t="inlineStr">
        <is>
          <t>PE</t>
        </is>
      </c>
      <c r="F89" s="75" t="inlineStr">
        <is>
          <t>CABO DE SANTO AGOSTINHO</t>
        </is>
      </c>
      <c r="G89" s="119" t="n">
        <v>45566</v>
      </c>
      <c r="H89" s="119">
        <f>G89-180</f>
        <v/>
      </c>
      <c r="I89" s="60">
        <f>SUM(K89:AD89)</f>
        <v/>
      </c>
      <c r="J89" s="60">
        <f>SUM(AE89:AI89)</f>
        <v/>
      </c>
      <c r="K89" s="60" t="n"/>
      <c r="L89" s="60" t="n"/>
      <c r="M89" s="60" t="n"/>
      <c r="N89" s="60" t="n"/>
      <c r="O89" s="60" t="n"/>
      <c r="P89" s="60" t="n">
        <v>2</v>
      </c>
      <c r="Q89" s="60" t="n"/>
      <c r="R89" s="60" t="n"/>
      <c r="S89" s="60" t="n"/>
      <c r="T89" s="60" t="n"/>
      <c r="U89" s="60" t="n"/>
      <c r="V89" s="60" t="n"/>
      <c r="W89" s="60" t="n"/>
      <c r="X89" s="60" t="n"/>
      <c r="Y89" s="60" t="n"/>
      <c r="Z89" s="60" t="n">
        <v>1</v>
      </c>
      <c r="AA89" s="60" t="n"/>
      <c r="AB89" s="60" t="n"/>
      <c r="AC89" s="60" t="n"/>
      <c r="AD89" s="60" t="n"/>
      <c r="AE89" s="60" t="n"/>
      <c r="AF89" s="60" t="n"/>
      <c r="AG89" s="60" t="n"/>
      <c r="AH89" s="60" t="n"/>
      <c r="AI89" s="60" t="n"/>
      <c r="AJ89" s="120">
        <f>IF(K89&gt;0,K89*(82.29+8.15),0)+IF(L89&gt;0,L89*(8.15+339.97),0)+IF(M89&gt;0,M89*151.63,0)+IF(N89&gt;0,N89*197.82,0)+IF(O89&gt;0,O89*244.09,0)+IF(P89&gt;0,P89*315.35,0)+IF(Q89&gt;0,Q89*1067.3,0)+IF(S89&gt;0,S89*567.47,0)+IF(T89&gt;0,T89*151.63,0)+IF(U89&gt;0,U89*197.84,0)+IF(V89&gt;0,V89*470.51,0)+IF(W89&gt;0,W89*701.69,0)+IF(Y89&gt;0,Y89*151.63,0)+IF(Z89&gt;0,Z89*197.84)+IF(AA89&gt;0,AA89*308.4,0)+IF(AB89&gt;0,AB89*496.16,0)</f>
        <v/>
      </c>
    </row>
    <row r="90">
      <c r="A90" s="59">
        <f>IF(G90&lt;$A$1,"VENCIDO","NA VALIDADE")</f>
        <v/>
      </c>
      <c r="B90" s="60" t="inlineStr">
        <is>
          <t>SUBESTAÇÃO</t>
        </is>
      </c>
      <c r="C90" s="61" t="inlineStr">
        <is>
          <t>SE PAU AMARELO</t>
        </is>
      </c>
      <c r="D90" s="82" t="inlineStr">
        <is>
          <t>PAULISTA</t>
        </is>
      </c>
      <c r="E90" s="75" t="inlineStr">
        <is>
          <t>PE</t>
        </is>
      </c>
      <c r="F90" s="75" t="inlineStr">
        <is>
          <t>CABO DE SANTO AGOSTINHO</t>
        </is>
      </c>
      <c r="G90" s="119" t="n">
        <v>45292</v>
      </c>
      <c r="H90" s="119">
        <f>G90-180</f>
        <v/>
      </c>
      <c r="I90" s="60">
        <f>SUM(K90:AD90)</f>
        <v/>
      </c>
      <c r="J90" s="60">
        <f>SUM(AE90:AI90)</f>
        <v/>
      </c>
      <c r="K90" s="60" t="n"/>
      <c r="L90" s="60" t="n"/>
      <c r="M90" s="60" t="n">
        <v>1</v>
      </c>
      <c r="N90" s="60" t="n"/>
      <c r="O90" s="60" t="n"/>
      <c r="P90" s="60" t="n">
        <v>2</v>
      </c>
      <c r="Q90" s="60" t="n"/>
      <c r="R90" s="60" t="n"/>
      <c r="S90" s="60" t="n"/>
      <c r="T90" s="60" t="n"/>
      <c r="U90" s="60" t="n"/>
      <c r="V90" s="60" t="n"/>
      <c r="W90" s="60" t="n"/>
      <c r="X90" s="60" t="n"/>
      <c r="Y90" s="60" t="n"/>
      <c r="Z90" s="60" t="n"/>
      <c r="AA90" s="60" t="n"/>
      <c r="AB90" s="60" t="n"/>
      <c r="AC90" s="60" t="n"/>
      <c r="AD90" s="60" t="n"/>
      <c r="AE90" s="60" t="n"/>
      <c r="AF90" s="60" t="n"/>
      <c r="AG90" s="60" t="n"/>
      <c r="AH90" s="60" t="n"/>
      <c r="AI90" s="60" t="n"/>
      <c r="AJ90" s="120">
        <f>IF(K90&gt;0,K90*(82.29+8.15),0)+IF(L90&gt;0,L90*(8.15+339.97),0)+IF(M90&gt;0,M90*151.63,0)+IF(N90&gt;0,N90*197.82,0)+IF(O90&gt;0,O90*244.09,0)+IF(P90&gt;0,P90*315.35,0)+IF(Q90&gt;0,Q90*1067.3,0)+IF(S90&gt;0,S90*567.47,0)+IF(T90&gt;0,T90*151.63,0)+IF(U90&gt;0,U90*197.84,0)+IF(V90&gt;0,V90*470.51,0)+IF(W90&gt;0,W90*701.69,0)+IF(Y90&gt;0,Y90*151.63,0)+IF(Z90&gt;0,Z90*197.84)+IF(AA90&gt;0,AA90*308.4,0)+IF(AB90&gt;0,AB90*496.16,0)</f>
        <v/>
      </c>
    </row>
    <row r="91">
      <c r="A91" s="59">
        <f>IF(G91&lt;$A$1,"VENCIDO","NA VALIDADE")</f>
        <v/>
      </c>
      <c r="B91" s="60" t="inlineStr">
        <is>
          <t>SUBESTAÇÃO</t>
        </is>
      </c>
      <c r="C91" s="61" t="inlineStr">
        <is>
          <t>SE PAUDALHO</t>
        </is>
      </c>
      <c r="D91" s="82" t="inlineStr">
        <is>
          <t>PAUDALHO</t>
        </is>
      </c>
      <c r="E91" s="75" t="inlineStr">
        <is>
          <t>PE</t>
        </is>
      </c>
      <c r="F91" s="75" t="inlineStr">
        <is>
          <t>CABO DE SANTO AGOSTINHO</t>
        </is>
      </c>
      <c r="G91" s="119" t="n">
        <v>45566</v>
      </c>
      <c r="H91" s="119">
        <f>G91-180</f>
        <v/>
      </c>
      <c r="I91" s="60">
        <f>SUM(K91:AD91)</f>
        <v/>
      </c>
      <c r="J91" s="60">
        <f>SUM(AE91:AI91)</f>
        <v/>
      </c>
      <c r="K91" s="60" t="n"/>
      <c r="L91" s="60" t="n"/>
      <c r="M91" s="60" t="n"/>
      <c r="N91" s="60" t="n"/>
      <c r="O91" s="60" t="n"/>
      <c r="P91" s="60" t="n">
        <v>2</v>
      </c>
      <c r="Q91" s="60" t="n"/>
      <c r="R91" s="60" t="n"/>
      <c r="S91" s="60" t="n"/>
      <c r="T91" s="60" t="n"/>
      <c r="U91" s="60" t="n"/>
      <c r="V91" s="60" t="n"/>
      <c r="W91" s="60" t="n"/>
      <c r="X91" s="60" t="n"/>
      <c r="Y91" s="60" t="n"/>
      <c r="Z91" s="60" t="n">
        <v>1</v>
      </c>
      <c r="AA91" s="60" t="n"/>
      <c r="AB91" s="60" t="n"/>
      <c r="AC91" s="60" t="n"/>
      <c r="AD91" s="60" t="n"/>
      <c r="AE91" s="60" t="n"/>
      <c r="AF91" s="60" t="n"/>
      <c r="AG91" s="60" t="n"/>
      <c r="AH91" s="60" t="n"/>
      <c r="AI91" s="60" t="n"/>
      <c r="AJ91" s="120">
        <f>IF(K91&gt;0,K91*(82.29+8.15),0)+IF(L91&gt;0,L91*(8.15+339.97),0)+IF(M91&gt;0,M91*151.63,0)+IF(N91&gt;0,N91*197.82,0)+IF(O91&gt;0,O91*244.09,0)+IF(P91&gt;0,P91*315.35,0)+IF(Q91&gt;0,Q91*1067.3,0)+IF(S91&gt;0,S91*567.47,0)+IF(T91&gt;0,T91*151.63,0)+IF(U91&gt;0,U91*197.84,0)+IF(V91&gt;0,V91*470.51,0)+IF(W91&gt;0,W91*701.69,0)+IF(Y91&gt;0,Y91*151.63,0)+IF(Z91&gt;0,Z91*197.84)+IF(AA91&gt;0,AA91*308.4,0)+IF(AB91&gt;0,AB91*496.16,0)</f>
        <v/>
      </c>
    </row>
    <row r="92">
      <c r="A92" s="59">
        <f>IF(G92&lt;$A$1,"VENCIDO","NA VALIDADE")</f>
        <v/>
      </c>
      <c r="B92" s="60" t="inlineStr">
        <is>
          <t>SUBESTAÇÃO</t>
        </is>
      </c>
      <c r="C92" s="61" t="inlineStr">
        <is>
          <t>PESQUEIRA</t>
        </is>
      </c>
      <c r="D92" s="83" t="inlineStr">
        <is>
          <t>PESQUEIRA</t>
        </is>
      </c>
      <c r="E92" s="75" t="inlineStr">
        <is>
          <t>PE</t>
        </is>
      </c>
      <c r="F92" s="75" t="inlineStr">
        <is>
          <t>CABO DE SANTO AGOSTINHO</t>
        </is>
      </c>
      <c r="G92" s="119" t="n">
        <v>45383</v>
      </c>
      <c r="H92" s="119" t="n">
        <v>45383</v>
      </c>
      <c r="I92" s="60">
        <f>SUM(K92:AD92)</f>
        <v/>
      </c>
      <c r="J92" s="60">
        <f>SUM(AE92:AI92)</f>
        <v/>
      </c>
      <c r="K92" s="60" t="n"/>
      <c r="L92" s="60" t="n"/>
      <c r="M92" s="60" t="n"/>
      <c r="N92" s="60" t="n"/>
      <c r="O92" s="60" t="n"/>
      <c r="P92" s="60" t="n">
        <v>2</v>
      </c>
      <c r="Q92" s="60" t="n"/>
      <c r="R92" s="60" t="n"/>
      <c r="S92" s="60" t="n"/>
      <c r="T92" s="60" t="n"/>
      <c r="U92" s="60" t="n"/>
      <c r="V92" s="60" t="n"/>
      <c r="W92" s="60" t="n"/>
      <c r="X92" s="60" t="n"/>
      <c r="Y92" s="60" t="n"/>
      <c r="Z92" s="60" t="n">
        <v>3</v>
      </c>
      <c r="AA92" s="60" t="n"/>
      <c r="AB92" s="60" t="n"/>
      <c r="AC92" s="60" t="n"/>
      <c r="AD92" s="60" t="n"/>
      <c r="AE92" s="60" t="n"/>
      <c r="AF92" s="60" t="n"/>
      <c r="AG92" s="60" t="n"/>
      <c r="AH92" s="60" t="n"/>
      <c r="AI92" s="60" t="n"/>
      <c r="AJ92" s="120">
        <f>IF(K92&gt;0,K92*(82.29+8.15),0)+IF(L92&gt;0,L92*(8.15+339.97),0)+IF(M92&gt;0,M92*151.63,0)+IF(N92&gt;0,N92*197.82,0)+IF(O92&gt;0,O92*244.09,0)+IF(P92&gt;0,P92*315.35,0)+IF(Q92&gt;0,Q92*1067.3,0)+IF(S92&gt;0,S92*567.47,0)+IF(T92&gt;0,T92*151.63,0)+IF(U92&gt;0,U92*197.84,0)+IF(V92&gt;0,V92*470.51,0)+IF(W92&gt;0,W92*701.69,0)+IF(Y92&gt;0,Y92*151.63,0)+IF(Z92&gt;0,Z92*197.84)+IF(AA92&gt;0,AA92*308.4,0)+IF(AB92&gt;0,AB92*496.16,0)</f>
        <v/>
      </c>
    </row>
    <row r="93">
      <c r="A93" s="59">
        <f>IF(G93&lt;$A$1,"VENCIDO","NA VALIDADE")</f>
        <v/>
      </c>
      <c r="B93" s="60" t="inlineStr">
        <is>
          <t>SUBESTAÇÃO</t>
        </is>
      </c>
      <c r="C93" s="61" t="inlineStr">
        <is>
          <t>PETROLANDIA</t>
        </is>
      </c>
      <c r="D93" s="82" t="inlineStr">
        <is>
          <t>PETROLÂNDIA</t>
        </is>
      </c>
      <c r="E93" s="75" t="inlineStr">
        <is>
          <t>PE</t>
        </is>
      </c>
      <c r="F93" s="75" t="inlineStr">
        <is>
          <t>CABO DE SANTO AGOSTINHO</t>
        </is>
      </c>
      <c r="G93" s="119" t="n">
        <v>45413</v>
      </c>
      <c r="H93" s="119" t="n">
        <v>45413</v>
      </c>
      <c r="I93" s="60">
        <f>SUM(K93:AD93)</f>
        <v/>
      </c>
      <c r="J93" s="60">
        <f>SUM(AE93:AI93)</f>
        <v/>
      </c>
      <c r="K93" s="60" t="n"/>
      <c r="L93" s="60" t="n"/>
      <c r="M93" s="60" t="n"/>
      <c r="N93" s="60" t="n"/>
      <c r="O93" s="60" t="n"/>
      <c r="P93" s="60" t="n">
        <v>2</v>
      </c>
      <c r="Q93" s="60" t="n"/>
      <c r="R93" s="60" t="n"/>
      <c r="S93" s="60" t="n"/>
      <c r="T93" s="60" t="n"/>
      <c r="U93" s="60" t="n"/>
      <c r="V93" s="60" t="n"/>
      <c r="W93" s="60" t="n"/>
      <c r="X93" s="60" t="n"/>
      <c r="Y93" s="60" t="n"/>
      <c r="Z93" s="60" t="n">
        <v>1</v>
      </c>
      <c r="AA93" s="60" t="n"/>
      <c r="AB93" s="60" t="n"/>
      <c r="AC93" s="60" t="n"/>
      <c r="AD93" s="60" t="n"/>
      <c r="AE93" s="60" t="n"/>
      <c r="AF93" s="60" t="n"/>
      <c r="AG93" s="60" t="n"/>
      <c r="AH93" s="60" t="n"/>
      <c r="AI93" s="60" t="n"/>
      <c r="AJ93" s="120">
        <f>IF(K93&gt;0,K93*(82.29+8.15),0)+IF(L93&gt;0,L93*(8.15+339.97),0)+IF(M93&gt;0,M93*151.63,0)+IF(N93&gt;0,N93*197.82,0)+IF(O93&gt;0,O93*244.09,0)+IF(P93&gt;0,P93*315.35,0)+IF(Q93&gt;0,Q93*1067.3,0)+IF(S93&gt;0,S93*567.47,0)+IF(T93&gt;0,T93*151.63,0)+IF(U93&gt;0,U93*197.84,0)+IF(V93&gt;0,V93*470.51,0)+IF(W93&gt;0,W93*701.69,0)+IF(Y93&gt;0,Y93*151.63,0)+IF(Z93&gt;0,Z93*197.84)+IF(AA93&gt;0,AA93*308.4,0)+IF(AB93&gt;0,AB93*496.16,0)</f>
        <v/>
      </c>
    </row>
    <row r="94">
      <c r="A94" s="59">
        <f>IF(G94&lt;$A$1,"VENCIDO","NA VALIDADE")</f>
        <v/>
      </c>
      <c r="B94" s="60" t="inlineStr">
        <is>
          <t>SUBESTAÇÃO</t>
        </is>
      </c>
      <c r="C94" s="61" t="inlineStr">
        <is>
          <t>SE PIRAPAMA I</t>
        </is>
      </c>
      <c r="D94" s="82" t="inlineStr">
        <is>
          <t>CABO DE SANTO AGOSTINHO</t>
        </is>
      </c>
      <c r="E94" s="75" t="inlineStr">
        <is>
          <t>PE</t>
        </is>
      </c>
      <c r="F94" s="75" t="inlineStr">
        <is>
          <t>CABO DE SANTO AGOSTINHO</t>
        </is>
      </c>
      <c r="G94" s="119" t="n">
        <v>45413</v>
      </c>
      <c r="H94" s="119" t="n">
        <v>45413</v>
      </c>
      <c r="I94" s="60">
        <f>SUM(K94:AD94)</f>
        <v/>
      </c>
      <c r="J94" s="60">
        <f>SUM(AE94:AI94)</f>
        <v/>
      </c>
      <c r="K94" s="60" t="n"/>
      <c r="L94" s="60" t="n"/>
      <c r="M94" s="60" t="n"/>
      <c r="N94" s="60" t="n"/>
      <c r="O94" s="60" t="n"/>
      <c r="P94" s="60" t="n">
        <v>1</v>
      </c>
      <c r="Q94" s="60" t="n"/>
      <c r="R94" s="60" t="n"/>
      <c r="S94" s="60" t="n"/>
      <c r="T94" s="60" t="n"/>
      <c r="U94" s="60" t="n"/>
      <c r="V94" s="60" t="n"/>
      <c r="W94" s="60" t="n"/>
      <c r="X94" s="60" t="n"/>
      <c r="Y94" s="60" t="n"/>
      <c r="Z94" s="60" t="n">
        <v>1</v>
      </c>
      <c r="AA94" s="60" t="n"/>
      <c r="AB94" s="60" t="n"/>
      <c r="AC94" s="60" t="n"/>
      <c r="AD94" s="60" t="n"/>
      <c r="AE94" s="60" t="n"/>
      <c r="AF94" s="60" t="n"/>
      <c r="AG94" s="60" t="n"/>
      <c r="AH94" s="60" t="n"/>
      <c r="AI94" s="60" t="n"/>
      <c r="AJ94" s="120">
        <f>IF(K94&gt;0,K94*(82.29+8.15),0)+IF(L94&gt;0,L94*(8.15+339.97),0)+IF(M94&gt;0,M94*151.63,0)+IF(N94&gt;0,N94*197.82,0)+IF(O94&gt;0,O94*244.09,0)+IF(P94&gt;0,P94*315.35,0)+IF(Q94&gt;0,Q94*1067.3,0)+IF(S94&gt;0,S94*567.47,0)+IF(T94&gt;0,T94*151.63,0)+IF(U94&gt;0,U94*197.84,0)+IF(V94&gt;0,V94*470.51,0)+IF(W94&gt;0,W94*701.69,0)+IF(Y94&gt;0,Y94*151.63,0)+IF(Z94&gt;0,Z94*197.84)+IF(AA94&gt;0,AA94*308.4,0)+IF(AB94&gt;0,AB94*496.16,0)</f>
        <v/>
      </c>
    </row>
    <row r="95">
      <c r="A95" s="59">
        <f>IF(G95&lt;$A$1,"VENCIDO","NA VALIDADE")</f>
        <v/>
      </c>
      <c r="B95" s="60" t="inlineStr">
        <is>
          <t>SUBESTAÇÃO</t>
        </is>
      </c>
      <c r="C95" s="61" t="inlineStr">
        <is>
          <t>SE PORTO DE GALINHAS</t>
        </is>
      </c>
      <c r="D95" s="82" t="inlineStr">
        <is>
          <t>PORTO DE GALINHA</t>
        </is>
      </c>
      <c r="E95" s="75" t="inlineStr">
        <is>
          <t>PE</t>
        </is>
      </c>
      <c r="F95" s="75" t="inlineStr">
        <is>
          <t>CABO DE SANTO AGOSTINHO</t>
        </is>
      </c>
      <c r="G95" s="119" t="n">
        <v>45383</v>
      </c>
      <c r="H95" s="119" t="n">
        <v>45383</v>
      </c>
      <c r="I95" s="60">
        <f>SUM(K95:AD95)</f>
        <v/>
      </c>
      <c r="J95" s="60">
        <f>SUM(AE95:AI95)</f>
        <v/>
      </c>
      <c r="K95" s="60" t="n"/>
      <c r="L95" s="60" t="n"/>
      <c r="M95" s="60" t="n"/>
      <c r="N95" s="60" t="n"/>
      <c r="O95" s="60" t="n"/>
      <c r="P95" s="60" t="n">
        <v>1</v>
      </c>
      <c r="Q95" s="60" t="n"/>
      <c r="R95" s="60" t="n"/>
      <c r="S95" s="60" t="n">
        <v>1</v>
      </c>
      <c r="T95" s="60" t="n"/>
      <c r="U95" s="60" t="n"/>
      <c r="V95" s="60" t="n"/>
      <c r="W95" s="60" t="n"/>
      <c r="X95" s="60" t="n"/>
      <c r="Y95" s="60" t="n"/>
      <c r="Z95" s="60" t="n">
        <v>1</v>
      </c>
      <c r="AA95" s="60" t="n"/>
      <c r="AB95" s="60" t="n"/>
      <c r="AC95" s="60" t="n"/>
      <c r="AD95" s="60" t="n"/>
      <c r="AE95" s="60" t="n"/>
      <c r="AF95" s="60" t="n"/>
      <c r="AG95" s="60" t="n"/>
      <c r="AH95" s="60" t="n"/>
      <c r="AI95" s="60" t="n"/>
      <c r="AJ95" s="120">
        <f>IF(K95&gt;0,K95*(82.29+8.15),0)+IF(L95&gt;0,L95*(8.15+339.97),0)+IF(M95&gt;0,M95*151.63,0)+IF(N95&gt;0,N95*197.82,0)+IF(O95&gt;0,O95*244.09,0)+IF(P95&gt;0,P95*315.35,0)+IF(Q95&gt;0,Q95*1067.3,0)+IF(S95&gt;0,S95*567.47,0)+IF(T95&gt;0,T95*151.63,0)+IF(U95&gt;0,U95*197.84,0)+IF(V95&gt;0,V95*470.51,0)+IF(W95&gt;0,W95*701.69,0)+IF(Y95&gt;0,Y95*151.63,0)+IF(Z95&gt;0,Z95*197.84)+IF(AA95&gt;0,AA95*308.4,0)+IF(AB95&gt;0,AB95*496.16,0)</f>
        <v/>
      </c>
    </row>
    <row r="96">
      <c r="A96" s="59">
        <f>IF(G96&lt;$A$1,"VENCIDO","NA VALIDADE")</f>
        <v/>
      </c>
      <c r="B96" s="60" t="inlineStr">
        <is>
          <t>SUBESTAÇÃO</t>
        </is>
      </c>
      <c r="C96" s="61" t="inlineStr">
        <is>
          <t>SE RIO FORMOSO</t>
        </is>
      </c>
      <c r="D96" s="82" t="inlineStr">
        <is>
          <t>RIO FORMOÇO</t>
        </is>
      </c>
      <c r="E96" s="75" t="inlineStr">
        <is>
          <t>PE</t>
        </is>
      </c>
      <c r="F96" s="75" t="inlineStr">
        <is>
          <t>CABO DE SANTO AGOSTINHO</t>
        </is>
      </c>
      <c r="G96" s="119" t="n">
        <v>45323</v>
      </c>
      <c r="H96" s="119" t="n">
        <v>45323</v>
      </c>
      <c r="I96" s="60">
        <f>SUM(K96:AD96)</f>
        <v/>
      </c>
      <c r="J96" s="60">
        <f>SUM(AE96:AI96)</f>
        <v/>
      </c>
      <c r="K96" s="60" t="n"/>
      <c r="L96" s="60" t="n"/>
      <c r="M96" s="60" t="n"/>
      <c r="N96" s="60" t="n"/>
      <c r="O96" s="60" t="n"/>
      <c r="P96" s="60" t="n">
        <v>2</v>
      </c>
      <c r="Q96" s="60" t="n"/>
      <c r="R96" s="60" t="n"/>
      <c r="S96" s="60" t="n"/>
      <c r="T96" s="60" t="n"/>
      <c r="U96" s="60" t="n"/>
      <c r="V96" s="60" t="n"/>
      <c r="W96" s="60" t="n"/>
      <c r="X96" s="60" t="n"/>
      <c r="Y96" s="60" t="n">
        <v>1</v>
      </c>
      <c r="Z96" s="60" t="n"/>
      <c r="AA96" s="60" t="n"/>
      <c r="AB96" s="60" t="n"/>
      <c r="AC96" s="60" t="n"/>
      <c r="AD96" s="60" t="n"/>
      <c r="AE96" s="60" t="n"/>
      <c r="AF96" s="60" t="n"/>
      <c r="AG96" s="60" t="n"/>
      <c r="AH96" s="60" t="n"/>
      <c r="AI96" s="60" t="n"/>
      <c r="AJ96" s="120">
        <f>IF(K96&gt;0,K96*(82.29+8.15),0)+IF(L96&gt;0,L96*(8.15+339.97),0)+IF(M96&gt;0,M96*151.63,0)+IF(N96&gt;0,N96*197.82,0)+IF(O96&gt;0,O96*244.09,0)+IF(P96&gt;0,P96*315.35,0)+IF(Q96&gt;0,Q96*1067.3,0)+IF(S96&gt;0,S96*567.47,0)+IF(T96&gt;0,T96*151.63,0)+IF(U96&gt;0,U96*197.84,0)+IF(V96&gt;0,V96*470.51,0)+IF(W96&gt;0,W96*701.69,0)+IF(Y96&gt;0,Y96*151.63,0)+IF(Z96&gt;0,Z96*197.84)+IF(AA96&gt;0,AA96*308.4,0)+IF(AB96&gt;0,AB96*496.16,0)</f>
        <v/>
      </c>
    </row>
    <row r="97">
      <c r="A97" s="59">
        <f>IF(G97&lt;$A$1,"VENCIDO","NA VALIDADE")</f>
        <v/>
      </c>
      <c r="B97" s="60" t="inlineStr">
        <is>
          <t>SUBESTAÇÃO</t>
        </is>
      </c>
      <c r="C97" s="61" t="inlineStr">
        <is>
          <t>SE RIO JORDÃO</t>
        </is>
      </c>
      <c r="D97" s="82" t="inlineStr">
        <is>
          <t>JABOATAO DOS GUARARAPES</t>
        </is>
      </c>
      <c r="E97" s="75" t="inlineStr">
        <is>
          <t>PE</t>
        </is>
      </c>
      <c r="F97" s="75" t="inlineStr">
        <is>
          <t>CABO DE SANTO AGOSTINHO</t>
        </is>
      </c>
      <c r="G97" s="119" t="n">
        <v>45566</v>
      </c>
      <c r="H97" s="119">
        <f>G97-180</f>
        <v/>
      </c>
      <c r="I97" s="60">
        <f>SUM(K97:AD97)</f>
        <v/>
      </c>
      <c r="J97" s="60">
        <f>SUM(AE97:AI97)</f>
        <v/>
      </c>
      <c r="K97" s="60" t="n"/>
      <c r="L97" s="60" t="n"/>
      <c r="M97" s="60" t="n"/>
      <c r="N97" s="60" t="n"/>
      <c r="O97" s="60" t="n"/>
      <c r="P97" s="60" t="n"/>
      <c r="Q97" s="60" t="n"/>
      <c r="R97" s="60" t="n"/>
      <c r="S97" s="60" t="n">
        <v>1</v>
      </c>
      <c r="T97" s="60" t="n"/>
      <c r="U97" s="60" t="n"/>
      <c r="V97" s="60" t="n"/>
      <c r="W97" s="60" t="n"/>
      <c r="X97" s="60" t="n"/>
      <c r="Y97" s="60" t="n"/>
      <c r="Z97" s="60" t="n">
        <v>1</v>
      </c>
      <c r="AA97" s="60" t="n"/>
      <c r="AB97" s="60" t="n"/>
      <c r="AC97" s="60" t="n"/>
      <c r="AD97" s="60" t="n"/>
      <c r="AE97" s="60" t="n"/>
      <c r="AF97" s="60" t="n"/>
      <c r="AG97" s="60" t="n"/>
      <c r="AH97" s="60" t="n"/>
      <c r="AI97" s="60" t="n"/>
      <c r="AJ97" s="120">
        <f>IF(K97&gt;0,K97*(82.29+8.15),0)+IF(L97&gt;0,L97*(8.15+339.97),0)+IF(M97&gt;0,M97*151.63,0)+IF(N97&gt;0,N97*197.82,0)+IF(O97&gt;0,O97*244.09,0)+IF(P97&gt;0,P97*315.35,0)+IF(Q97&gt;0,Q97*1067.3,0)+IF(S97&gt;0,S97*567.47,0)+IF(T97&gt;0,T97*151.63,0)+IF(U97&gt;0,U97*197.84,0)+IF(V97&gt;0,V97*470.51,0)+IF(W97&gt;0,W97*701.69,0)+IF(Y97&gt;0,Y97*151.63,0)+IF(Z97&gt;0,Z97*197.84)+IF(AA97&gt;0,AA97*308.4,0)+IF(AB97&gt;0,AB97*496.16,0)</f>
        <v/>
      </c>
    </row>
    <row r="98">
      <c r="A98" s="59">
        <f>IF(G98&lt;$A$1,"VENCIDO","NA VALIDADE")</f>
        <v/>
      </c>
      <c r="B98" s="60" t="inlineStr">
        <is>
          <t>SUBESTAÇÃO</t>
        </is>
      </c>
      <c r="C98" s="61" t="inlineStr">
        <is>
          <t>SE SALGUEIRO</t>
        </is>
      </c>
      <c r="D98" s="82" t="inlineStr">
        <is>
          <t>SALGUEIRO</t>
        </is>
      </c>
      <c r="E98" s="75" t="inlineStr">
        <is>
          <t>PE</t>
        </is>
      </c>
      <c r="F98" s="75" t="inlineStr">
        <is>
          <t>CABO DE SANTO AGOSTINHO</t>
        </is>
      </c>
      <c r="G98" s="119" t="n">
        <v>45474</v>
      </c>
      <c r="H98" s="119">
        <f>G98-180</f>
        <v/>
      </c>
      <c r="I98" s="60">
        <f>SUM(K98:AD98)</f>
        <v/>
      </c>
      <c r="J98" s="60">
        <f>SUM(AE98:AI98)</f>
        <v/>
      </c>
      <c r="K98" s="60" t="n"/>
      <c r="L98" s="60" t="n"/>
      <c r="M98" s="60" t="n"/>
      <c r="N98" s="60" t="n"/>
      <c r="O98" s="60" t="n"/>
      <c r="P98" s="60" t="n">
        <v>2</v>
      </c>
      <c r="Q98" s="60" t="n"/>
      <c r="R98" s="60" t="n"/>
      <c r="S98" s="60" t="n"/>
      <c r="T98" s="60" t="n"/>
      <c r="U98" s="60" t="n"/>
      <c r="V98" s="60" t="n"/>
      <c r="W98" s="60" t="n"/>
      <c r="X98" s="60" t="n"/>
      <c r="Y98" s="60" t="n"/>
      <c r="Z98" s="60" t="n">
        <v>1</v>
      </c>
      <c r="AA98" s="60" t="n"/>
      <c r="AB98" s="60" t="n"/>
      <c r="AC98" s="60" t="n"/>
      <c r="AD98" s="60" t="n"/>
      <c r="AE98" s="60" t="n"/>
      <c r="AF98" s="60" t="n"/>
      <c r="AG98" s="60" t="n"/>
      <c r="AH98" s="60" t="n"/>
      <c r="AI98" s="60" t="n"/>
      <c r="AJ98" s="120">
        <f>IF(K98&gt;0,K98*(82.29+8.15),0)+IF(L98&gt;0,L98*(8.15+339.97),0)+IF(M98&gt;0,M98*151.63,0)+IF(N98&gt;0,N98*197.82,0)+IF(O98&gt;0,O98*244.09,0)+IF(P98&gt;0,P98*315.35,0)+IF(Q98&gt;0,Q98*1067.3,0)+IF(S98&gt;0,S98*567.47,0)+IF(T98&gt;0,T98*151.63,0)+IF(U98&gt;0,U98*197.84,0)+IF(V98&gt;0,V98*470.51,0)+IF(W98&gt;0,W98*701.69,0)+IF(Y98&gt;0,Y98*151.63,0)+IF(Z98&gt;0,Z98*197.84)+IF(AA98&gt;0,AA98*308.4,0)+IF(AB98&gt;0,AB98*496.16,0)</f>
        <v/>
      </c>
    </row>
    <row r="99">
      <c r="A99" s="59">
        <f>IF(G99&lt;$A$1,"VENCIDO","NA VALIDADE")</f>
        <v/>
      </c>
      <c r="B99" s="60" t="inlineStr">
        <is>
          <t>SUBESTAÇÃO</t>
        </is>
      </c>
      <c r="C99" s="61" t="inlineStr">
        <is>
          <t>SE SANTA MARIA DA BOA VISTA</t>
        </is>
      </c>
      <c r="D99" s="82" t="inlineStr">
        <is>
          <t>SANTA MARIA DA BOA VISTA</t>
        </is>
      </c>
      <c r="E99" s="75" t="inlineStr">
        <is>
          <t>PE</t>
        </is>
      </c>
      <c r="F99" s="75" t="inlineStr">
        <is>
          <t>CABO DE SANTO AGOSTINHO</t>
        </is>
      </c>
      <c r="G99" s="119" t="n">
        <v>45323</v>
      </c>
      <c r="H99" s="119" t="n">
        <v>45323</v>
      </c>
      <c r="I99" s="60">
        <f>SUM(K99:AD99)</f>
        <v/>
      </c>
      <c r="J99" s="60">
        <f>SUM(AE99:AI99)</f>
        <v/>
      </c>
      <c r="K99" s="60" t="n"/>
      <c r="L99" s="60" t="n"/>
      <c r="M99" s="60" t="n"/>
      <c r="N99" s="60" t="n"/>
      <c r="O99" s="60" t="n">
        <v>2</v>
      </c>
      <c r="P99" s="60" t="n"/>
      <c r="Q99" s="60" t="n"/>
      <c r="R99" s="60" t="n"/>
      <c r="S99" s="60" t="n"/>
      <c r="T99" s="60" t="n"/>
      <c r="U99" s="60" t="n"/>
      <c r="V99" s="60" t="n"/>
      <c r="W99" s="60" t="n"/>
      <c r="X99" s="60" t="n"/>
      <c r="Y99" s="60" t="n"/>
      <c r="Z99" s="60" t="n">
        <v>1</v>
      </c>
      <c r="AA99" s="60" t="n"/>
      <c r="AB99" s="60" t="n"/>
      <c r="AC99" s="60" t="n"/>
      <c r="AD99" s="60" t="n"/>
      <c r="AE99" s="60" t="n"/>
      <c r="AF99" s="60" t="n"/>
      <c r="AG99" s="60" t="n"/>
      <c r="AH99" s="60" t="n"/>
      <c r="AI99" s="60" t="n"/>
      <c r="AJ99" s="120">
        <f>IF(K99&gt;0,K99*(82.29+8.15),0)+IF(L99&gt;0,L99*(8.15+339.97),0)+IF(M99&gt;0,M99*151.63,0)+IF(N99&gt;0,N99*197.82,0)+IF(O99&gt;0,O99*244.09,0)+IF(P99&gt;0,P99*315.35,0)+IF(Q99&gt;0,Q99*1067.3,0)+IF(S99&gt;0,S99*567.47,0)+IF(T99&gt;0,T99*151.63,0)+IF(U99&gt;0,U99*197.84,0)+IF(V99&gt;0,V99*470.51,0)+IF(W99&gt;0,W99*701.69,0)+IF(Y99&gt;0,Y99*151.63,0)+IF(Z99&gt;0,Z99*197.84)+IF(AA99&gt;0,AA99*308.4,0)+IF(AB99&gt;0,AB99*496.16,0)</f>
        <v/>
      </c>
    </row>
    <row r="100">
      <c r="A100" s="59">
        <f>IF(G100&lt;$A$1,"VENCIDO","NA VALIDADE")</f>
        <v/>
      </c>
      <c r="B100" s="60" t="inlineStr">
        <is>
          <t>SUBESTAÇÃO</t>
        </is>
      </c>
      <c r="C100" s="61" t="inlineStr">
        <is>
          <t>SE SÃO BENEDITO</t>
        </is>
      </c>
      <c r="D100" s="82" t="inlineStr">
        <is>
          <t>OLINDA</t>
        </is>
      </c>
      <c r="E100" s="75" t="inlineStr">
        <is>
          <t>PE</t>
        </is>
      </c>
      <c r="F100" s="75" t="inlineStr">
        <is>
          <t>CABO DE SANTO AGOSTINHO</t>
        </is>
      </c>
      <c r="G100" s="119" t="n">
        <v>45323</v>
      </c>
      <c r="H100" s="119" t="n">
        <v>45323</v>
      </c>
      <c r="I100" s="60">
        <f>SUM(K100:AD100)</f>
        <v/>
      </c>
      <c r="J100" s="60">
        <f>SUM(AE100:AI100)</f>
        <v/>
      </c>
      <c r="K100" s="60" t="n"/>
      <c r="L100" s="60" t="n"/>
      <c r="M100" s="60" t="n"/>
      <c r="N100" s="60" t="n"/>
      <c r="O100" s="60" t="n">
        <v>1</v>
      </c>
      <c r="P100" s="60" t="n"/>
      <c r="Q100" s="60" t="n"/>
      <c r="R100" s="60" t="n"/>
      <c r="S100" s="60" t="n">
        <v>1</v>
      </c>
      <c r="T100" s="60" t="n"/>
      <c r="U100" s="60" t="n"/>
      <c r="V100" s="60" t="n"/>
      <c r="W100" s="60" t="n"/>
      <c r="X100" s="60" t="n"/>
      <c r="Y100" s="60" t="n"/>
      <c r="Z100" s="60" t="n">
        <v>1</v>
      </c>
      <c r="AA100" s="60" t="n"/>
      <c r="AB100" s="60" t="n"/>
      <c r="AC100" s="60" t="n"/>
      <c r="AD100" s="60" t="n"/>
      <c r="AE100" s="60" t="n"/>
      <c r="AF100" s="60" t="n"/>
      <c r="AG100" s="60" t="n"/>
      <c r="AH100" s="60" t="n"/>
      <c r="AI100" s="60" t="n"/>
      <c r="AJ100" s="120">
        <f>IF(K100&gt;0,K100*(82.29+8.15),0)+IF(L100&gt;0,L100*(8.15+339.97),0)+IF(M100&gt;0,M100*151.63,0)+IF(N100&gt;0,N100*197.82,0)+IF(O100&gt;0,O100*244.09,0)+IF(P100&gt;0,P100*315.35,0)+IF(Q100&gt;0,Q100*1067.3,0)+IF(S100&gt;0,S100*567.47,0)+IF(T100&gt;0,T100*151.63,0)+IF(U100&gt;0,U100*197.84,0)+IF(V100&gt;0,V100*470.51,0)+IF(W100&gt;0,W100*701.69,0)+IF(Y100&gt;0,Y100*151.63,0)+IF(Z100&gt;0,Z100*197.84)+IF(AA100&gt;0,AA100*308.4,0)+IF(AB100&gt;0,AB100*496.16,0)</f>
        <v/>
      </c>
    </row>
    <row r="101">
      <c r="A101" s="59">
        <f>IF(G101&lt;$A$1,"VENCIDO","NA VALIDADE")</f>
        <v/>
      </c>
      <c r="B101" s="60" t="inlineStr">
        <is>
          <t>SUBESTAÇÃO</t>
        </is>
      </c>
      <c r="C101" s="61" t="inlineStr">
        <is>
          <t>SE SÃO CAETANO</t>
        </is>
      </c>
      <c r="D101" s="82" t="inlineStr">
        <is>
          <t>SÃO CAITANO</t>
        </is>
      </c>
      <c r="E101" s="75" t="inlineStr">
        <is>
          <t>PE</t>
        </is>
      </c>
      <c r="F101" s="75" t="inlineStr">
        <is>
          <t>CABO DE SANTO AGOSTINHO</t>
        </is>
      </c>
      <c r="G101" s="119" t="n">
        <v>45566</v>
      </c>
      <c r="H101" s="119">
        <f>G101-180</f>
        <v/>
      </c>
      <c r="I101" s="60">
        <f>SUM(K101:AD101)</f>
        <v/>
      </c>
      <c r="J101" s="60">
        <f>SUM(AE101:AI101)</f>
        <v/>
      </c>
      <c r="K101" s="60" t="n"/>
      <c r="L101" s="60" t="n"/>
      <c r="M101" s="60" t="n"/>
      <c r="N101" s="60" t="n"/>
      <c r="O101" s="60" t="n"/>
      <c r="P101" s="60" t="n"/>
      <c r="Q101" s="60" t="n"/>
      <c r="R101" s="60" t="n"/>
      <c r="S101" s="60" t="n">
        <v>1</v>
      </c>
      <c r="T101" s="60" t="n"/>
      <c r="U101" s="60" t="n"/>
      <c r="V101" s="60" t="n"/>
      <c r="W101" s="60" t="n"/>
      <c r="X101" s="60" t="n"/>
      <c r="Y101" s="60" t="n"/>
      <c r="Z101" s="60" t="n">
        <v>1</v>
      </c>
      <c r="AA101" s="60" t="n"/>
      <c r="AB101" s="60" t="n"/>
      <c r="AC101" s="60" t="n"/>
      <c r="AD101" s="60" t="n"/>
      <c r="AE101" s="60" t="n"/>
      <c r="AF101" s="60" t="n"/>
      <c r="AG101" s="60" t="n"/>
      <c r="AH101" s="60" t="n"/>
      <c r="AI101" s="60" t="n"/>
      <c r="AJ101" s="120">
        <f>IF(K101&gt;0,K101*(82.29+8.15),0)+IF(L101&gt;0,L101*(8.15+339.97),0)+IF(M101&gt;0,M101*151.63,0)+IF(N101&gt;0,N101*197.82,0)+IF(O101&gt;0,O101*244.09,0)+IF(P101&gt;0,P101*315.35,0)+IF(Q101&gt;0,Q101*1067.3,0)+IF(S101&gt;0,S101*567.47,0)+IF(T101&gt;0,T101*151.63,0)+IF(U101&gt;0,U101*197.84,0)+IF(V101&gt;0,V101*470.51,0)+IF(W101&gt;0,W101*701.69,0)+IF(Y101&gt;0,Y101*151.63,0)+IF(Z101&gt;0,Z101*197.84)+IF(AA101&gt;0,AA101*308.4,0)+IF(AB101&gt;0,AB101*496.16,0)</f>
        <v/>
      </c>
    </row>
    <row r="102">
      <c r="A102" s="59">
        <f>IF(G102&lt;$A$1,"VENCIDO","NA VALIDADE")</f>
        <v/>
      </c>
      <c r="B102" s="60" t="inlineStr">
        <is>
          <t>SUBESTAÇÃO</t>
        </is>
      </c>
      <c r="C102" s="61" t="inlineStr">
        <is>
          <t>SÃO JOSÉ DO BELMONTE</t>
        </is>
      </c>
      <c r="D102" s="83" t="inlineStr">
        <is>
          <t>SÃO JOSÉ DO BELMONTE</t>
        </is>
      </c>
      <c r="E102" s="75" t="inlineStr">
        <is>
          <t>PE</t>
        </is>
      </c>
      <c r="F102" s="75" t="inlineStr">
        <is>
          <t>CABO DE SANTO AGOSTINHO</t>
        </is>
      </c>
      <c r="G102" s="119" t="n">
        <v>45566</v>
      </c>
      <c r="H102" s="119">
        <f>G102-180</f>
        <v/>
      </c>
      <c r="I102" s="60">
        <f>SUM(K102:AD102)</f>
        <v/>
      </c>
      <c r="J102" s="60">
        <f>SUM(AE102:AI102)</f>
        <v/>
      </c>
      <c r="K102" s="60" t="n"/>
      <c r="L102" s="60" t="n"/>
      <c r="M102" s="60" t="n"/>
      <c r="N102" s="60" t="n"/>
      <c r="O102" s="60" t="n"/>
      <c r="P102" s="60" t="n"/>
      <c r="Q102" s="60" t="n"/>
      <c r="R102" s="60" t="n"/>
      <c r="S102" s="60" t="n">
        <v>1</v>
      </c>
      <c r="T102" s="60" t="n"/>
      <c r="U102" s="60" t="n"/>
      <c r="V102" s="60" t="n"/>
      <c r="W102" s="60" t="n"/>
      <c r="X102" s="60" t="n"/>
      <c r="Y102" s="60" t="n"/>
      <c r="Z102" s="60" t="n">
        <v>1</v>
      </c>
      <c r="AA102" s="60" t="n"/>
      <c r="AB102" s="60" t="n"/>
      <c r="AC102" s="60" t="n"/>
      <c r="AD102" s="60" t="n"/>
      <c r="AE102" s="60" t="n"/>
      <c r="AF102" s="60" t="n"/>
      <c r="AG102" s="60" t="n"/>
      <c r="AH102" s="60" t="n"/>
      <c r="AI102" s="60" t="n"/>
      <c r="AJ102" s="120">
        <f>IF(K102&gt;0,K102*(82.29+8.15),0)+IF(L102&gt;0,L102*(8.15+339.97),0)+IF(M102&gt;0,M102*151.63,0)+IF(N102&gt;0,N102*197.82,0)+IF(O102&gt;0,O102*244.09,0)+IF(P102&gt;0,P102*315.35,0)+IF(Q102&gt;0,Q102*1067.3,0)+IF(S102&gt;0,S102*567.47,0)+IF(T102&gt;0,T102*151.63,0)+IF(U102&gt;0,U102*197.84,0)+IF(V102&gt;0,V102*470.51,0)+IF(W102&gt;0,W102*701.69,0)+IF(Y102&gt;0,Y102*151.63,0)+IF(Z102&gt;0,Z102*197.84)+IF(AA102&gt;0,AA102*308.4,0)+IF(AB102&gt;0,AB102*496.16,0)</f>
        <v/>
      </c>
    </row>
    <row r="103">
      <c r="A103" s="59">
        <f>IF(G103&lt;$A$1,"VENCIDO","NA VALIDADE")</f>
        <v/>
      </c>
      <c r="B103" s="60" t="inlineStr">
        <is>
          <t>SUBESTAÇÃO</t>
        </is>
      </c>
      <c r="C103" s="61" t="inlineStr">
        <is>
          <t>SE STA CRUZ CAPIBARIBE</t>
        </is>
      </c>
      <c r="D103" s="82" t="inlineStr">
        <is>
          <t>SANTA CRUZ CAPIBARIBE</t>
        </is>
      </c>
      <c r="E103" s="75" t="inlineStr">
        <is>
          <t>PE</t>
        </is>
      </c>
      <c r="F103" s="75" t="inlineStr">
        <is>
          <t>CABO DE SANTO AGOSTINHO</t>
        </is>
      </c>
      <c r="G103" s="119" t="n">
        <v>45444</v>
      </c>
      <c r="H103" s="119" t="n">
        <v>45444</v>
      </c>
      <c r="I103" s="60">
        <f>SUM(K103:AD103)</f>
        <v/>
      </c>
      <c r="J103" s="60">
        <f>SUM(AE103:AI103)</f>
        <v/>
      </c>
      <c r="K103" s="60" t="n"/>
      <c r="L103" s="60" t="n"/>
      <c r="M103" s="60" t="n"/>
      <c r="N103" s="60" t="n"/>
      <c r="O103" s="60" t="n"/>
      <c r="P103" s="60" t="n">
        <v>2</v>
      </c>
      <c r="Q103" s="60" t="n"/>
      <c r="R103" s="60" t="n"/>
      <c r="S103" s="60" t="n"/>
      <c r="T103" s="60" t="n"/>
      <c r="U103" s="60" t="n"/>
      <c r="V103" s="60" t="n"/>
      <c r="W103" s="60" t="n"/>
      <c r="X103" s="60" t="n"/>
      <c r="Y103" s="60" t="n"/>
      <c r="Z103" s="60" t="n">
        <v>1</v>
      </c>
      <c r="AA103" s="60" t="n"/>
      <c r="AB103" s="60" t="n"/>
      <c r="AC103" s="60" t="n"/>
      <c r="AD103" s="60" t="n"/>
      <c r="AE103" s="60" t="n"/>
      <c r="AF103" s="60" t="n"/>
      <c r="AG103" s="60" t="n"/>
      <c r="AH103" s="60" t="n"/>
      <c r="AI103" s="60" t="n"/>
      <c r="AJ103" s="120">
        <f>IF(K103&gt;0,K103*(82.29+8.15),0)+IF(L103&gt;0,L103*(8.15+339.97),0)+IF(M103&gt;0,M103*151.63,0)+IF(N103&gt;0,N103*197.82,0)+IF(O103&gt;0,O103*244.09,0)+IF(P103&gt;0,P103*315.35,0)+IF(Q103&gt;0,Q103*1067.3,0)+IF(S103&gt;0,S103*567.47,0)+IF(T103&gt;0,T103*151.63,0)+IF(U103&gt;0,U103*197.84,0)+IF(V103&gt;0,V103*470.51,0)+IF(W103&gt;0,W103*701.69,0)+IF(Y103&gt;0,Y103*151.63,0)+IF(Z103&gt;0,Z103*197.84)+IF(AA103&gt;0,AA103*308.4,0)+IF(AB103&gt;0,AB103*496.16,0)</f>
        <v/>
      </c>
    </row>
    <row r="104">
      <c r="A104" s="59">
        <f>IF(G104&lt;$A$1,"VENCIDO","NA VALIDADE")</f>
        <v/>
      </c>
      <c r="B104" s="60" t="inlineStr">
        <is>
          <t>SUBESTAÇÃO</t>
        </is>
      </c>
      <c r="C104" s="61" t="inlineStr">
        <is>
          <t>SEC PARATIBE I</t>
        </is>
      </c>
      <c r="D104" s="82" t="inlineStr">
        <is>
          <t>PAULISTA</t>
        </is>
      </c>
      <c r="E104" s="75" t="inlineStr">
        <is>
          <t>PE</t>
        </is>
      </c>
      <c r="F104" s="75" t="inlineStr">
        <is>
          <t>CABO DE SANTO AGOSTINHO</t>
        </is>
      </c>
      <c r="G104" s="119" t="n">
        <v>45383</v>
      </c>
      <c r="H104" s="119" t="n">
        <v>45383</v>
      </c>
      <c r="I104" s="60">
        <f>SUM(K104:AD104)</f>
        <v/>
      </c>
      <c r="J104" s="60">
        <f>SUM(AE104:AI104)</f>
        <v/>
      </c>
      <c r="K104" s="60" t="n"/>
      <c r="L104" s="60" t="n"/>
      <c r="M104" s="60" t="n"/>
      <c r="N104" s="60" t="n"/>
      <c r="O104" s="60" t="n"/>
      <c r="P104" s="60" t="n">
        <v>2</v>
      </c>
      <c r="Q104" s="60" t="n"/>
      <c r="R104" s="60" t="n"/>
      <c r="S104" s="60" t="n">
        <v>1</v>
      </c>
      <c r="T104" s="60" t="n"/>
      <c r="U104" s="60" t="n"/>
      <c r="V104" s="60" t="n"/>
      <c r="W104" s="60" t="n"/>
      <c r="X104" s="60" t="n"/>
      <c r="Y104" s="60" t="n"/>
      <c r="Z104" s="60" t="n">
        <v>1</v>
      </c>
      <c r="AA104" s="60" t="n"/>
      <c r="AB104" s="60" t="n"/>
      <c r="AC104" s="60" t="n"/>
      <c r="AD104" s="60" t="n"/>
      <c r="AE104" s="60" t="n"/>
      <c r="AF104" s="60" t="n"/>
      <c r="AG104" s="60" t="n"/>
      <c r="AH104" s="60" t="n"/>
      <c r="AI104" s="60" t="n"/>
      <c r="AJ104" s="120">
        <f>IF(K104&gt;0,K104*(82.29+8.15),0)+IF(L104&gt;0,L104*(8.15+339.97),0)+IF(M104&gt;0,M104*151.63,0)+IF(N104&gt;0,N104*197.82,0)+IF(O104&gt;0,O104*244.09,0)+IF(P104&gt;0,P104*315.35,0)+IF(Q104&gt;0,Q104*1067.3,0)+IF(S104&gt;0,S104*567.47,0)+IF(T104&gt;0,T104*151.63,0)+IF(U104&gt;0,U104*197.84,0)+IF(V104&gt;0,V104*470.51,0)+IF(W104&gt;0,W104*701.69,0)+IF(Y104&gt;0,Y104*151.63,0)+IF(Z104&gt;0,Z104*197.84)+IF(AA104&gt;0,AA104*308.4,0)+IF(AB104&gt;0,AB104*496.16,0)</f>
        <v/>
      </c>
    </row>
    <row r="105">
      <c r="A105" s="59">
        <f>IF(G105&lt;$A$1,"VENCIDO","NA VALIDADE")</f>
        <v/>
      </c>
      <c r="B105" s="60" t="inlineStr">
        <is>
          <t>SUBESTAÇÃO</t>
        </is>
      </c>
      <c r="C105" s="61" t="inlineStr">
        <is>
          <t>SEC SANTO AMARO</t>
        </is>
      </c>
      <c r="D105" s="82" t="inlineStr">
        <is>
          <t>RECIFE</t>
        </is>
      </c>
      <c r="E105" s="75" t="inlineStr">
        <is>
          <t>PE</t>
        </is>
      </c>
      <c r="F105" s="75" t="inlineStr">
        <is>
          <t>CABO DE SANTO AGOSTINHO</t>
        </is>
      </c>
      <c r="G105" s="119" t="n">
        <v>45505</v>
      </c>
      <c r="H105" s="119">
        <f>G105-180</f>
        <v/>
      </c>
      <c r="I105" s="60">
        <f>SUM(K105:AD105)</f>
        <v/>
      </c>
      <c r="J105" s="60">
        <f>SUM(AE105:AI105)</f>
        <v/>
      </c>
      <c r="K105" s="60" t="n"/>
      <c r="L105" s="60" t="n"/>
      <c r="M105" s="60" t="n"/>
      <c r="N105" s="60" t="n"/>
      <c r="O105" s="60" t="n"/>
      <c r="P105" s="60" t="n">
        <v>2</v>
      </c>
      <c r="Q105" s="60" t="n"/>
      <c r="R105" s="60" t="n"/>
      <c r="S105" s="60" t="n"/>
      <c r="T105" s="60" t="n"/>
      <c r="U105" s="60" t="n"/>
      <c r="V105" s="60" t="n"/>
      <c r="W105" s="60" t="n"/>
      <c r="X105" s="60" t="n"/>
      <c r="Y105" s="60" t="n"/>
      <c r="Z105" s="60" t="n">
        <v>1</v>
      </c>
      <c r="AA105" s="60" t="n"/>
      <c r="AB105" s="60" t="n"/>
      <c r="AC105" s="60" t="n"/>
      <c r="AD105" s="60" t="n"/>
      <c r="AE105" s="60" t="n"/>
      <c r="AF105" s="60" t="n"/>
      <c r="AG105" s="60" t="n"/>
      <c r="AH105" s="60" t="n"/>
      <c r="AI105" s="60" t="n"/>
      <c r="AJ105" s="120">
        <f>IF(K105&gt;0,K105*(82.29+8.15),0)+IF(L105&gt;0,L105*(8.15+339.97),0)+IF(M105&gt;0,M105*151.63,0)+IF(N105&gt;0,N105*197.82,0)+IF(O105&gt;0,O105*244.09,0)+IF(P105&gt;0,P105*315.35,0)+IF(Q105&gt;0,Q105*1067.3,0)+IF(S105&gt;0,S105*567.47,0)+IF(T105&gt;0,T105*151.63,0)+IF(U105&gt;0,U105*197.84,0)+IF(V105&gt;0,V105*470.51,0)+IF(W105&gt;0,W105*701.69,0)+IF(Y105&gt;0,Y105*151.63,0)+IF(Z105&gt;0,Z105*197.84)+IF(AA105&gt;0,AA105*308.4,0)+IF(AB105&gt;0,AB105*496.16,0)</f>
        <v/>
      </c>
    </row>
    <row r="106">
      <c r="A106" s="59">
        <f>IF(G106&lt;$A$1,"VENCIDO","NA VALIDADE")</f>
        <v/>
      </c>
      <c r="B106" s="60" t="inlineStr">
        <is>
          <t>SEDE</t>
        </is>
      </c>
      <c r="C106" s="61" t="inlineStr">
        <is>
          <t>SEDE CELPE</t>
        </is>
      </c>
      <c r="D106" s="82" t="inlineStr">
        <is>
          <t>RECIFE</t>
        </is>
      </c>
      <c r="E106" s="75" t="inlineStr">
        <is>
          <t>PE</t>
        </is>
      </c>
      <c r="F106" s="75" t="inlineStr">
        <is>
          <t>CABO DE SANTO AGOSTINHO</t>
        </is>
      </c>
      <c r="G106" s="119" t="n">
        <v>45444</v>
      </c>
      <c r="H106" s="119">
        <f>G106-180</f>
        <v/>
      </c>
      <c r="I106" s="60">
        <f>SUM(K106:AD106)</f>
        <v/>
      </c>
      <c r="J106" s="60">
        <f>SUM(AE106:AI106)</f>
        <v/>
      </c>
      <c r="K106" s="60" t="n">
        <v>8</v>
      </c>
      <c r="L106" s="60" t="n"/>
      <c r="M106" s="60" t="n">
        <v>37</v>
      </c>
      <c r="N106" s="60" t="n">
        <v>55</v>
      </c>
      <c r="O106" s="60" t="n">
        <v>10</v>
      </c>
      <c r="P106" s="60" t="n">
        <v>4</v>
      </c>
      <c r="Q106" s="60" t="n"/>
      <c r="R106" s="60" t="n"/>
      <c r="S106" s="60" t="n"/>
      <c r="T106" s="60" t="n"/>
      <c r="U106" s="60" t="n"/>
      <c r="V106" s="60" t="n"/>
      <c r="W106" s="60" t="n"/>
      <c r="X106" s="60" t="n"/>
      <c r="Y106" s="60" t="n"/>
      <c r="Z106" s="60" t="n">
        <v>57</v>
      </c>
      <c r="AA106" s="60" t="n"/>
      <c r="AB106" s="60" t="n"/>
      <c r="AC106" s="60" t="n"/>
      <c r="AD106" s="60" t="n"/>
      <c r="AE106" s="60" t="n">
        <v>112</v>
      </c>
      <c r="AF106" s="60" t="n"/>
      <c r="AG106" s="60" t="n"/>
      <c r="AH106" s="60" t="n"/>
      <c r="AI106" s="60" t="n"/>
      <c r="AJ106" s="120">
        <f>IF(K106&gt;0,K106*(82.29+8.15),0)+IF(L106&gt;0,L106*(8.15+339.97),0)+IF(M106&gt;0,M106*151.63,0)+IF(N106&gt;0,N106*197.82,0)+IF(O106&gt;0,O106*244.09,0)+IF(P106&gt;0,P106*315.35,0)+IF(Q106&gt;0,Q106*1067.3,0)+IF(S106&gt;0,S106*567.47,0)+IF(T106&gt;0,T106*151.63,0)+IF(U106&gt;0,U106*197.84,0)+IF(V106&gt;0,V106*470.51,0)+IF(W106&gt;0,W106*701.69,0)+IF(Y106&gt;0,Y106*151.63,0)+IF(Z106&gt;0,Z106*197.84)+IF(AA106&gt;0,AA106*308.4,0)+IF(AB106&gt;0,AB106*496.16,0)</f>
        <v/>
      </c>
    </row>
    <row r="107">
      <c r="A107" s="59">
        <f>IF(G107&lt;$A$1,"VENCIDO","NA VALIDADE")</f>
        <v/>
      </c>
      <c r="B107" s="60" t="inlineStr">
        <is>
          <t>SUBESTAÇÃO</t>
        </is>
      </c>
      <c r="C107" s="61" t="inlineStr">
        <is>
          <t>SERRITA</t>
        </is>
      </c>
      <c r="D107" s="82" t="inlineStr">
        <is>
          <t>SERRITA</t>
        </is>
      </c>
      <c r="E107" s="75" t="inlineStr">
        <is>
          <t>PE</t>
        </is>
      </c>
      <c r="F107" s="75" t="inlineStr">
        <is>
          <t>CABO DE SANTO AGOSTINHO</t>
        </is>
      </c>
      <c r="G107" s="119" t="n">
        <v>45444</v>
      </c>
      <c r="H107" s="119" t="n">
        <v>45444</v>
      </c>
      <c r="I107" s="60">
        <f>SUM(K107:AD107)</f>
        <v/>
      </c>
      <c r="J107" s="60">
        <f>SUM(AE107:AI107)</f>
        <v/>
      </c>
      <c r="K107" s="60" t="n"/>
      <c r="L107" s="60" t="n"/>
      <c r="M107" s="60" t="n"/>
      <c r="N107" s="60" t="n"/>
      <c r="O107" s="60" t="n"/>
      <c r="P107" s="60" t="n"/>
      <c r="Q107" s="60" t="n"/>
      <c r="R107" s="60" t="n"/>
      <c r="S107" s="60" t="n">
        <v>1</v>
      </c>
      <c r="T107" s="60" t="n"/>
      <c r="U107" s="60" t="n"/>
      <c r="V107" s="60" t="n"/>
      <c r="W107" s="60" t="n"/>
      <c r="X107" s="60" t="n"/>
      <c r="Y107" s="60" t="n"/>
      <c r="Z107" s="60" t="n">
        <v>1</v>
      </c>
      <c r="AA107" s="60" t="n"/>
      <c r="AB107" s="60" t="n"/>
      <c r="AC107" s="60" t="n"/>
      <c r="AD107" s="60" t="n"/>
      <c r="AE107" s="60" t="n"/>
      <c r="AF107" s="60" t="n"/>
      <c r="AG107" s="60" t="n"/>
      <c r="AH107" s="60" t="n"/>
      <c r="AI107" s="60" t="n"/>
      <c r="AJ107" s="120">
        <f>IF(K107&gt;0,K107*(82.29+8.15),0)+IF(L107&gt;0,L107*(8.15+339.97),0)+IF(M107&gt;0,M107*151.63,0)+IF(N107&gt;0,N107*197.82,0)+IF(O107&gt;0,O107*244.09,0)+IF(P107&gt;0,P107*315.35,0)+IF(Q107&gt;0,Q107*1067.3,0)+IF(S107&gt;0,S107*567.47,0)+IF(T107&gt;0,T107*151.63,0)+IF(U107&gt;0,U107*197.84,0)+IF(V107&gt;0,V107*470.51,0)+IF(W107&gt;0,W107*701.69,0)+IF(Y107&gt;0,Y107*151.63,0)+IF(Z107&gt;0,Z107*197.84)+IF(AA107&gt;0,AA107*308.4,0)+IF(AB107&gt;0,AB107*496.16,0)</f>
        <v/>
      </c>
    </row>
    <row r="108">
      <c r="A108" s="59">
        <f>IF(G108&lt;$A$1,"VENCIDO","NA VALIDADE")</f>
        <v/>
      </c>
      <c r="B108" s="60" t="inlineStr">
        <is>
          <t>SUBESTAÇÃO</t>
        </is>
      </c>
      <c r="C108" s="61" t="inlineStr">
        <is>
          <t>SUBESTAÇÃO ÁGUAS BELAS</t>
        </is>
      </c>
      <c r="D108" s="82" t="inlineStr">
        <is>
          <t>AGUAS BELAS</t>
        </is>
      </c>
      <c r="E108" s="75" t="inlineStr">
        <is>
          <t>PE</t>
        </is>
      </c>
      <c r="F108" s="75" t="inlineStr">
        <is>
          <t>CABO DE SANTO AGOSTINHO</t>
        </is>
      </c>
      <c r="G108" s="119" t="n">
        <v>45413</v>
      </c>
      <c r="H108" s="119" t="n">
        <v>45413</v>
      </c>
      <c r="I108" s="60">
        <f>SUM(K108:AD108)</f>
        <v/>
      </c>
      <c r="J108" s="60">
        <f>SUM(AE108:AI108)</f>
        <v/>
      </c>
      <c r="K108" s="60" t="n"/>
      <c r="L108" s="60" t="n"/>
      <c r="M108" s="60" t="n"/>
      <c r="N108" s="60" t="n"/>
      <c r="O108" s="60" t="n"/>
      <c r="P108" s="60" t="n">
        <v>2</v>
      </c>
      <c r="Q108" s="60" t="n"/>
      <c r="R108" s="60" t="n"/>
      <c r="S108" s="60" t="n"/>
      <c r="T108" s="60" t="n"/>
      <c r="U108" s="60" t="n"/>
      <c r="V108" s="60" t="n"/>
      <c r="W108" s="60" t="n"/>
      <c r="X108" s="60" t="n"/>
      <c r="Y108" s="60" t="n"/>
      <c r="Z108" s="60" t="n">
        <v>1</v>
      </c>
      <c r="AA108" s="60" t="n"/>
      <c r="AB108" s="60" t="n"/>
      <c r="AC108" s="60" t="n"/>
      <c r="AD108" s="60" t="n"/>
      <c r="AE108" s="60" t="n"/>
      <c r="AF108" s="60" t="n"/>
      <c r="AG108" s="60" t="n"/>
      <c r="AH108" s="60" t="n"/>
      <c r="AI108" s="60" t="n"/>
      <c r="AJ108" s="120">
        <f>IF(K108&gt;0,K108*(82.29+8.15),0)+IF(L108&gt;0,L108*(8.15+339.97),0)+IF(M108&gt;0,M108*151.63,0)+IF(N108&gt;0,N108*197.82,0)+IF(O108&gt;0,O108*244.09,0)+IF(P108&gt;0,P108*315.35,0)+IF(Q108&gt;0,Q108*1067.3,0)+IF(S108&gt;0,S108*567.47,0)+IF(T108&gt;0,T108*151.63,0)+IF(U108&gt;0,U108*197.84,0)+IF(V108&gt;0,V108*470.51,0)+IF(W108&gt;0,W108*701.69,0)+IF(Y108&gt;0,Y108*151.63,0)+IF(Z108&gt;0,Z108*197.84)+IF(AA108&gt;0,AA108*308.4,0)+IF(AB108&gt;0,AB108*496.16,0)</f>
        <v/>
      </c>
    </row>
    <row r="109">
      <c r="A109" s="59">
        <f>IF(G109&lt;$A$1,"VENCIDO","NA VALIDADE")</f>
        <v/>
      </c>
      <c r="B109" s="60" t="inlineStr">
        <is>
          <t>SUBESTAÇÃO</t>
        </is>
      </c>
      <c r="C109" s="61" t="inlineStr">
        <is>
          <t>SE  ARARIPINA</t>
        </is>
      </c>
      <c r="D109" s="82" t="inlineStr">
        <is>
          <t>ARARIPINA</t>
        </is>
      </c>
      <c r="E109" s="75" t="inlineStr">
        <is>
          <t>PE</t>
        </is>
      </c>
      <c r="F109" s="75" t="inlineStr">
        <is>
          <t>CABO DE SANTO AGOSTINHO</t>
        </is>
      </c>
      <c r="G109" s="119" t="n">
        <v>45536</v>
      </c>
      <c r="H109" s="119">
        <f>G109-180</f>
        <v/>
      </c>
      <c r="I109" s="60">
        <f>SUM(K109:AD109)</f>
        <v/>
      </c>
      <c r="J109" s="60">
        <f>SUM(AE109:AI109)</f>
        <v/>
      </c>
      <c r="K109" s="60" t="n"/>
      <c r="L109" s="60" t="n"/>
      <c r="M109" s="60" t="n"/>
      <c r="N109" s="60" t="n"/>
      <c r="O109" s="60" t="n"/>
      <c r="P109" s="60" t="n"/>
      <c r="Q109" s="60" t="n"/>
      <c r="R109" s="60" t="n"/>
      <c r="S109" s="60" t="n">
        <v>1</v>
      </c>
      <c r="T109" s="60" t="n"/>
      <c r="U109" s="60" t="n"/>
      <c r="V109" s="60" t="n"/>
      <c r="W109" s="60" t="n"/>
      <c r="X109" s="60" t="n"/>
      <c r="Y109" s="60" t="n"/>
      <c r="Z109" s="60" t="n">
        <v>1</v>
      </c>
      <c r="AA109" s="60" t="n"/>
      <c r="AB109" s="60" t="n"/>
      <c r="AC109" s="60" t="n"/>
      <c r="AD109" s="60" t="n"/>
      <c r="AE109" s="60" t="n"/>
      <c r="AF109" s="60" t="n"/>
      <c r="AG109" s="60" t="n"/>
      <c r="AH109" s="60" t="n"/>
      <c r="AI109" s="60" t="n"/>
      <c r="AJ109" s="120">
        <f>IF(K109&gt;0,K109*(82.29+8.15),0)+IF(L109&gt;0,L109*(8.15+339.97),0)+IF(M109&gt;0,M109*151.63,0)+IF(N109&gt;0,N109*197.82,0)+IF(O109&gt;0,O109*244.09,0)+IF(P109&gt;0,P109*315.35,0)+IF(Q109&gt;0,Q109*1067.3,0)+IF(S109&gt;0,S109*567.47,0)+IF(T109&gt;0,T109*151.63,0)+IF(U109&gt;0,U109*197.84,0)+IF(V109&gt;0,V109*470.51,0)+IF(W109&gt;0,W109*701.69,0)+IF(Y109&gt;0,Y109*151.63,0)+IF(Z109&gt;0,Z109*197.84)+IF(AA109&gt;0,AA109*308.4,0)+IF(AB109&gt;0,AB109*496.16,0)</f>
        <v/>
      </c>
    </row>
    <row r="110">
      <c r="A110" s="59">
        <f>IF(G110&lt;$A$1,"VENCIDO","NA VALIDADE")</f>
        <v/>
      </c>
      <c r="B110" s="60" t="inlineStr">
        <is>
          <t>SUBESTAÇÃO</t>
        </is>
      </c>
      <c r="C110" s="61" t="inlineStr">
        <is>
          <t>SE ARCOVERDE</t>
        </is>
      </c>
      <c r="D110" s="82" t="inlineStr">
        <is>
          <t>ARCOVERDE</t>
        </is>
      </c>
      <c r="E110" s="75" t="inlineStr">
        <is>
          <t>PE</t>
        </is>
      </c>
      <c r="F110" s="75" t="inlineStr">
        <is>
          <t>CABO DE SANTO AGOSTINHO</t>
        </is>
      </c>
      <c r="G110" s="119" t="n">
        <v>45323</v>
      </c>
      <c r="H110" s="119" t="n">
        <v>45323</v>
      </c>
      <c r="I110" s="60">
        <f>SUM(K110:AD110)</f>
        <v/>
      </c>
      <c r="J110" s="60">
        <f>SUM(AE110:AI110)</f>
        <v/>
      </c>
      <c r="K110" s="60" t="n"/>
      <c r="L110" s="60" t="n"/>
      <c r="M110" s="60" t="n"/>
      <c r="N110" s="60" t="n"/>
      <c r="O110" s="60" t="n"/>
      <c r="P110" s="60" t="n">
        <v>1</v>
      </c>
      <c r="Q110" s="60" t="n"/>
      <c r="R110" s="60" t="n"/>
      <c r="S110" s="60" t="n"/>
      <c r="T110" s="60" t="n"/>
      <c r="U110" s="60" t="n"/>
      <c r="V110" s="60" t="n"/>
      <c r="W110" s="60" t="n"/>
      <c r="X110" s="60" t="n"/>
      <c r="Y110" s="60" t="n"/>
      <c r="Z110" s="60" t="n">
        <v>1</v>
      </c>
      <c r="AA110" s="60" t="n"/>
      <c r="AB110" s="60" t="n"/>
      <c r="AC110" s="60" t="n"/>
      <c r="AD110" s="60" t="n"/>
      <c r="AE110" s="60" t="n"/>
      <c r="AF110" s="60" t="n"/>
      <c r="AG110" s="60" t="n"/>
      <c r="AH110" s="60" t="n"/>
      <c r="AI110" s="60" t="n"/>
      <c r="AJ110" s="120">
        <f>IF(K110&gt;0,K110*(82.29+8.15),0)+IF(L110&gt;0,L110*(8.15+339.97),0)+IF(M110&gt;0,M110*151.63,0)+IF(N110&gt;0,N110*197.82,0)+IF(O110&gt;0,O110*244.09,0)+IF(P110&gt;0,P110*315.35,0)+IF(Q110&gt;0,Q110*1067.3,0)+IF(S110&gt;0,S110*567.47,0)+IF(T110&gt;0,T110*151.63,0)+IF(U110&gt;0,U110*197.84,0)+IF(V110&gt;0,V110*470.51,0)+IF(W110&gt;0,W110*701.69,0)+IF(Y110&gt;0,Y110*151.63,0)+IF(Z110&gt;0,Z110*197.84)+IF(AA110&gt;0,AA110*308.4,0)+IF(AB110&gt;0,AB110*496.16,0)</f>
        <v/>
      </c>
    </row>
    <row r="111">
      <c r="A111" s="59">
        <f>IF(G111&lt;$A$1,"VENCIDO","NA VALIDADE")</f>
        <v/>
      </c>
      <c r="B111" s="60" t="inlineStr">
        <is>
          <t>SUBESTAÇÃO</t>
        </is>
      </c>
      <c r="C111" s="61" t="inlineStr">
        <is>
          <t xml:space="preserve">SE ARENA </t>
        </is>
      </c>
      <c r="D111" s="82" t="inlineStr">
        <is>
          <t>SAO LOURENCO DA MATA</t>
        </is>
      </c>
      <c r="E111" s="75" t="inlineStr">
        <is>
          <t>PE</t>
        </is>
      </c>
      <c r="F111" s="75" t="inlineStr">
        <is>
          <t>CABO DE SANTO AGOSTINHO</t>
        </is>
      </c>
      <c r="G111" s="119" t="n">
        <v>45597</v>
      </c>
      <c r="H111" s="119">
        <f>G111-180</f>
        <v/>
      </c>
      <c r="I111" s="60">
        <f>SUM(K111:AD111)</f>
        <v/>
      </c>
      <c r="J111" s="60">
        <f>SUM(AE111:AI111)</f>
        <v/>
      </c>
      <c r="K111" s="60" t="n"/>
      <c r="L111" s="60" t="n"/>
      <c r="M111" s="60" t="n"/>
      <c r="N111" s="60" t="n"/>
      <c r="O111" s="60" t="n"/>
      <c r="P111" s="60" t="n"/>
      <c r="Q111" s="60" t="n"/>
      <c r="R111" s="60" t="n"/>
      <c r="S111" s="60" t="n">
        <v>1</v>
      </c>
      <c r="T111" s="60" t="n"/>
      <c r="U111" s="60" t="n"/>
      <c r="V111" s="60" t="n"/>
      <c r="W111" s="60" t="n"/>
      <c r="X111" s="60" t="n"/>
      <c r="Y111" s="60" t="n"/>
      <c r="Z111" s="60" t="n">
        <v>1</v>
      </c>
      <c r="AA111" s="60" t="n"/>
      <c r="AB111" s="60" t="n"/>
      <c r="AC111" s="60" t="n"/>
      <c r="AD111" s="60" t="n"/>
      <c r="AE111" s="60" t="n"/>
      <c r="AF111" s="60" t="n"/>
      <c r="AG111" s="60" t="n"/>
      <c r="AH111" s="60" t="n"/>
      <c r="AI111" s="60" t="n"/>
      <c r="AJ111" s="120">
        <f>IF(K111&gt;0,K111*(82.29+8.15),0)+IF(L111&gt;0,L111*(8.15+339.97),0)+IF(M111&gt;0,M111*151.63,0)+IF(N111&gt;0,N111*197.82,0)+IF(O111&gt;0,O111*244.09,0)+IF(P111&gt;0,P111*315.35,0)+IF(Q111&gt;0,Q111*1067.3,0)+IF(S111&gt;0,S111*567.47,0)+IF(T111&gt;0,T111*151.63,0)+IF(U111&gt;0,U111*197.84,0)+IF(V111&gt;0,V111*470.51,0)+IF(W111&gt;0,W111*701.69,0)+IF(Y111&gt;0,Y111*151.63,0)+IF(Z111&gt;0,Z111*197.84)+IF(AA111&gt;0,AA111*308.4,0)+IF(AB111&gt;0,AB111*496.16,0)</f>
        <v/>
      </c>
    </row>
    <row r="112">
      <c r="A112" s="59">
        <f>IF(G112&lt;$A$1,"VENCIDO","NA VALIDADE")</f>
        <v/>
      </c>
      <c r="B112" s="60" t="inlineStr">
        <is>
          <t>SUBESTAÇÃO</t>
        </is>
      </c>
      <c r="C112" s="61" t="inlineStr">
        <is>
          <t>SE BEBEDOURO</t>
        </is>
      </c>
      <c r="D112" s="82" t="inlineStr">
        <is>
          <t>LAGOA GRANDE</t>
        </is>
      </c>
      <c r="E112" s="75" t="inlineStr">
        <is>
          <t>PE</t>
        </is>
      </c>
      <c r="F112" s="75" t="inlineStr">
        <is>
          <t>CABO DE SANTO AGOSTINHO</t>
        </is>
      </c>
      <c r="G112" s="119" t="n">
        <v>45536</v>
      </c>
      <c r="H112" s="119">
        <f>G112-180</f>
        <v/>
      </c>
      <c r="I112" s="60" t="n">
        <v>3</v>
      </c>
      <c r="J112" s="60">
        <f>SUM(AE112:AI112)</f>
        <v/>
      </c>
      <c r="K112" s="60" t="n"/>
      <c r="L112" s="60" t="n"/>
      <c r="M112" s="60" t="n"/>
      <c r="N112" s="60" t="n"/>
      <c r="O112" s="60" t="n">
        <v>1</v>
      </c>
      <c r="P112" s="60" t="n">
        <v>1</v>
      </c>
      <c r="Q112" s="60" t="n"/>
      <c r="R112" s="60" t="n"/>
      <c r="S112" s="60" t="n"/>
      <c r="T112" s="60" t="n"/>
      <c r="U112" s="60" t="n"/>
      <c r="V112" s="60" t="n"/>
      <c r="W112" s="60" t="n"/>
      <c r="X112" s="60" t="n"/>
      <c r="Y112" s="60" t="n"/>
      <c r="Z112" s="60" t="n">
        <v>1</v>
      </c>
      <c r="AA112" s="60" t="n"/>
      <c r="AB112" s="60" t="n"/>
      <c r="AC112" s="60" t="n"/>
      <c r="AD112" s="60" t="n"/>
      <c r="AE112" s="60" t="n"/>
      <c r="AF112" s="60" t="n"/>
      <c r="AG112" s="60" t="n"/>
      <c r="AH112" s="60" t="n"/>
      <c r="AI112" s="60" t="n"/>
      <c r="AJ112" s="120">
        <f>IF(K112&gt;0,K112*(82.29+8.15),0)+IF(L112&gt;0,L112*(8.15+339.97),0)+IF(M112&gt;0,M112*151.63,0)+IF(N112&gt;0,N112*197.82,0)+IF(O112&gt;0,O112*244.09,0)+IF(P112&gt;0,P112*315.35,0)+IF(Q112&gt;0,Q112*1067.3,0)+IF(S112&gt;0,S112*567.47,0)+IF(T112&gt;0,T112*151.63,0)+IF(U112&gt;0,U112*197.84,0)+IF(V112&gt;0,V112*470.51,0)+IF(W112&gt;0,W112*701.69,0)+IF(Y112&gt;0,Y112*151.63,0)+IF(Z112&gt;0,Z112*197.84)+IF(AA112&gt;0,AA112*308.4,0)+IF(AB112&gt;0,AB112*496.16,0)</f>
        <v/>
      </c>
    </row>
    <row r="113">
      <c r="A113" s="59">
        <f>IF(G113&lt;$A$1,"VENCIDO","NA VALIDADE")</f>
        <v/>
      </c>
      <c r="B113" s="60" t="inlineStr">
        <is>
          <t>SUBESTAÇÃO</t>
        </is>
      </c>
      <c r="C113" s="61" t="inlineStr">
        <is>
          <t>SE BEZERROS</t>
        </is>
      </c>
      <c r="D113" s="82" t="inlineStr">
        <is>
          <t>BEZERROS</t>
        </is>
      </c>
      <c r="E113" s="75" t="inlineStr">
        <is>
          <t>PE</t>
        </is>
      </c>
      <c r="F113" s="75" t="inlineStr">
        <is>
          <t>CABO DE SANTO AGOSTINHO</t>
        </is>
      </c>
      <c r="G113" s="119" t="n">
        <v>45505</v>
      </c>
      <c r="H113" s="119">
        <f>G113-180</f>
        <v/>
      </c>
      <c r="I113" s="60">
        <f>SUM(K113:AD113)</f>
        <v/>
      </c>
      <c r="J113" s="60">
        <f>SUM(AE113:AI113)</f>
        <v/>
      </c>
      <c r="K113" s="60" t="n"/>
      <c r="L113" s="60" t="n"/>
      <c r="M113" s="60" t="n"/>
      <c r="N113" s="60" t="n"/>
      <c r="O113" s="60" t="n"/>
      <c r="P113" s="60" t="n">
        <v>2</v>
      </c>
      <c r="Q113" s="60" t="n"/>
      <c r="R113" s="60" t="n"/>
      <c r="S113" s="60" t="n"/>
      <c r="T113" s="60" t="n"/>
      <c r="U113" s="60" t="n"/>
      <c r="V113" s="60" t="n"/>
      <c r="W113" s="60" t="n"/>
      <c r="X113" s="60" t="n"/>
      <c r="Y113" s="60" t="n"/>
      <c r="Z113" s="60" t="n">
        <v>1</v>
      </c>
      <c r="AA113" s="60" t="n"/>
      <c r="AB113" s="60" t="n"/>
      <c r="AC113" s="60" t="n"/>
      <c r="AD113" s="60" t="n"/>
      <c r="AE113" s="60" t="n"/>
      <c r="AF113" s="60" t="n"/>
      <c r="AG113" s="60" t="n"/>
      <c r="AH113" s="60" t="n"/>
      <c r="AI113" s="60" t="n"/>
      <c r="AJ113" s="120">
        <f>IF(K113&gt;0,K113*(82.29+8.15),0)+IF(L113&gt;0,L113*(8.15+339.97),0)+IF(M113&gt;0,M113*151.63,0)+IF(N113&gt;0,N113*197.82,0)+IF(O113&gt;0,O113*244.09,0)+IF(P113&gt;0,P113*315.35,0)+IF(Q113&gt;0,Q113*1067.3,0)+IF(S113&gt;0,S113*567.47,0)+IF(T113&gt;0,T113*151.63,0)+IF(U113&gt;0,U113*197.84,0)+IF(V113&gt;0,V113*470.51,0)+IF(W113&gt;0,W113*701.69,0)+IF(Y113&gt;0,Y113*151.63,0)+IF(Z113&gt;0,Z113*197.84)+IF(AA113&gt;0,AA113*308.4,0)+IF(AB113&gt;0,AB113*496.16,0)</f>
        <v/>
      </c>
    </row>
    <row r="114">
      <c r="A114" s="59">
        <f>IF(G114&lt;$A$1,"VENCIDO","NA VALIDADE")</f>
        <v/>
      </c>
      <c r="B114" s="60" t="inlineStr">
        <is>
          <t>SUBESTAÇÃO</t>
        </is>
      </c>
      <c r="C114" s="61" t="inlineStr">
        <is>
          <t>SE BOA VIAGEM</t>
        </is>
      </c>
      <c r="D114" s="82" t="inlineStr">
        <is>
          <t>RECIFE</t>
        </is>
      </c>
      <c r="E114" s="75" t="inlineStr">
        <is>
          <t>PE</t>
        </is>
      </c>
      <c r="F114" s="75" t="inlineStr">
        <is>
          <t>CABO DE SANTO AGOSTINHO</t>
        </is>
      </c>
      <c r="G114" s="119" t="n">
        <v>45383</v>
      </c>
      <c r="H114" s="119" t="n">
        <v>45383</v>
      </c>
      <c r="I114" s="60">
        <f>SUM(K114:AD114)</f>
        <v/>
      </c>
      <c r="J114" s="60">
        <f>SUM(AE114:AI114)</f>
        <v/>
      </c>
      <c r="K114" s="60" t="n"/>
      <c r="L114" s="60" t="n"/>
      <c r="M114" s="60" t="n"/>
      <c r="N114" s="60" t="n"/>
      <c r="O114" s="60" t="n">
        <v>1</v>
      </c>
      <c r="P114" s="60" t="n">
        <v>1</v>
      </c>
      <c r="Q114" s="60" t="n"/>
      <c r="R114" s="60" t="n"/>
      <c r="S114" s="60" t="n"/>
      <c r="T114" s="60" t="n"/>
      <c r="U114" s="60" t="n"/>
      <c r="V114" s="60" t="n"/>
      <c r="W114" s="60" t="n"/>
      <c r="X114" s="60" t="n"/>
      <c r="Y114" s="60" t="n"/>
      <c r="Z114" s="60" t="n">
        <v>1</v>
      </c>
      <c r="AA114" s="60" t="n"/>
      <c r="AB114" s="60" t="n"/>
      <c r="AC114" s="60" t="n"/>
      <c r="AD114" s="60" t="n"/>
      <c r="AE114" s="60" t="n"/>
      <c r="AF114" s="60" t="n"/>
      <c r="AG114" s="60" t="n"/>
      <c r="AH114" s="60" t="n"/>
      <c r="AI114" s="60" t="n"/>
      <c r="AJ114" s="120">
        <f>IF(K114&gt;0,K114*(82.29+8.15),0)+IF(L114&gt;0,L114*(8.15+339.97),0)+IF(M114&gt;0,M114*151.63,0)+IF(N114&gt;0,N114*197.82,0)+IF(O114&gt;0,O114*244.09,0)+IF(P114&gt;0,P114*315.35,0)+IF(Q114&gt;0,Q114*1067.3,0)+IF(S114&gt;0,S114*567.47,0)+IF(T114&gt;0,T114*151.63,0)+IF(U114&gt;0,U114*197.84,0)+IF(V114&gt;0,V114*470.51,0)+IF(W114&gt;0,W114*701.69,0)+IF(Y114&gt;0,Y114*151.63,0)+IF(Z114&gt;0,Z114*197.84)+IF(AA114&gt;0,AA114*308.4,0)+IF(AB114&gt;0,AB114*496.16,0)</f>
        <v/>
      </c>
    </row>
    <row r="115">
      <c r="A115" s="59">
        <f>IF(G115&lt;$A$1,"VENCIDO","NA VALIDADE")</f>
        <v/>
      </c>
      <c r="B115" s="60" t="inlineStr">
        <is>
          <t>SUBESTAÇÃO</t>
        </is>
      </c>
      <c r="C115" s="61" t="inlineStr">
        <is>
          <t>SE BOM JARDIM</t>
        </is>
      </c>
      <c r="D115" s="82" t="inlineStr">
        <is>
          <t>BOM JARDIM</t>
        </is>
      </c>
      <c r="E115" s="75" t="inlineStr">
        <is>
          <t>PE</t>
        </is>
      </c>
      <c r="F115" s="75" t="inlineStr">
        <is>
          <t>CABO DE SANTO AGOSTINHO</t>
        </is>
      </c>
      <c r="G115" s="119" t="n">
        <v>45566</v>
      </c>
      <c r="H115" s="119">
        <f>G115-180</f>
        <v/>
      </c>
      <c r="I115" s="60">
        <f>SUM(K115:AD115)</f>
        <v/>
      </c>
      <c r="J115" s="60">
        <f>SUM(AE115:AI115)</f>
        <v/>
      </c>
      <c r="K115" s="60" t="n"/>
      <c r="L115" s="60" t="n"/>
      <c r="M115" s="60" t="n"/>
      <c r="N115" s="60" t="n">
        <v>1</v>
      </c>
      <c r="O115" s="60" t="n"/>
      <c r="P115" s="60" t="n"/>
      <c r="Q115" s="60" t="n"/>
      <c r="R115" s="60" t="n"/>
      <c r="S115" s="60" t="n">
        <v>1</v>
      </c>
      <c r="T115" s="60" t="n"/>
      <c r="U115" s="60" t="n"/>
      <c r="V115" s="60" t="n"/>
      <c r="W115" s="60" t="n"/>
      <c r="X115" s="60" t="n"/>
      <c r="Y115" s="60" t="n"/>
      <c r="Z115" s="60" t="n">
        <v>1</v>
      </c>
      <c r="AA115" s="60" t="n"/>
      <c r="AB115" s="60" t="n"/>
      <c r="AC115" s="60" t="n"/>
      <c r="AD115" s="60" t="n"/>
      <c r="AE115" s="60" t="n"/>
      <c r="AF115" s="60" t="n"/>
      <c r="AG115" s="60" t="n"/>
      <c r="AH115" s="60" t="n"/>
      <c r="AI115" s="60" t="n"/>
      <c r="AJ115" s="120">
        <f>IF(K115&gt;0,K115*(82.29+8.15),0)+IF(L115&gt;0,L115*(8.15+339.97),0)+IF(M115&gt;0,M115*151.63,0)+IF(N115&gt;0,N115*197.82,0)+IF(O115&gt;0,O115*244.09,0)+IF(P115&gt;0,P115*315.35,0)+IF(Q115&gt;0,Q115*1067.3,0)+IF(S115&gt;0,S115*567.47,0)+IF(T115&gt;0,T115*151.63,0)+IF(U115&gt;0,U115*197.84,0)+IF(V115&gt;0,V115*470.51,0)+IF(W115&gt;0,W115*701.69,0)+IF(Y115&gt;0,Y115*151.63,0)+IF(Z115&gt;0,Z115*197.84)+IF(AA115&gt;0,AA115*308.4,0)+IF(AB115&gt;0,AB115*496.16,0)</f>
        <v/>
      </c>
    </row>
    <row r="116">
      <c r="A116" s="59">
        <f>IF(G116&lt;$A$1,"VENCIDO","NA VALIDADE")</f>
        <v/>
      </c>
      <c r="B116" s="60" t="inlineStr">
        <is>
          <t>SUBESTAÇÃO</t>
        </is>
      </c>
      <c r="C116" s="61" t="inlineStr">
        <is>
          <t>SE BOM CONSELHO</t>
        </is>
      </c>
      <c r="D116" s="82" t="inlineStr">
        <is>
          <t>BOM CONSELHO</t>
        </is>
      </c>
      <c r="E116" s="75" t="inlineStr">
        <is>
          <t>PE</t>
        </is>
      </c>
      <c r="F116" s="75" t="inlineStr">
        <is>
          <t>CABO DE SANTO AGOSTINHO</t>
        </is>
      </c>
      <c r="G116" s="119" t="n">
        <v>45536</v>
      </c>
      <c r="H116" s="119">
        <f>G116-180</f>
        <v/>
      </c>
      <c r="I116" s="60">
        <f>SUM(K116:AD116)</f>
        <v/>
      </c>
      <c r="J116" s="60">
        <f>SUM(AE116:AI116)</f>
        <v/>
      </c>
      <c r="K116" s="60" t="n"/>
      <c r="L116" s="60" t="n"/>
      <c r="M116" s="60" t="n"/>
      <c r="N116" s="60" t="n"/>
      <c r="O116" s="60" t="n"/>
      <c r="P116" s="60" t="n">
        <v>2</v>
      </c>
      <c r="Q116" s="60" t="n"/>
      <c r="R116" s="60" t="n"/>
      <c r="S116" s="60" t="n"/>
      <c r="T116" s="60" t="n"/>
      <c r="U116" s="60" t="n"/>
      <c r="V116" s="60" t="n"/>
      <c r="W116" s="60" t="n"/>
      <c r="X116" s="60" t="n"/>
      <c r="Y116" s="60" t="n"/>
      <c r="Z116" s="60" t="n">
        <v>1</v>
      </c>
      <c r="AA116" s="60" t="n"/>
      <c r="AB116" s="60" t="n"/>
      <c r="AC116" s="60" t="n"/>
      <c r="AD116" s="60" t="n"/>
      <c r="AE116" s="60" t="n"/>
      <c r="AF116" s="60" t="n"/>
      <c r="AG116" s="60" t="n"/>
      <c r="AH116" s="60" t="n"/>
      <c r="AI116" s="60" t="n"/>
      <c r="AJ116" s="120">
        <f>IF(K116&gt;0,K116*(82.29+8.15),0)+IF(L116&gt;0,L116*(8.15+339.97),0)+IF(M116&gt;0,M116*151.63,0)+IF(N116&gt;0,N116*197.82,0)+IF(O116&gt;0,O116*244.09,0)+IF(P116&gt;0,P116*315.35,0)+IF(Q116&gt;0,Q116*1067.3,0)+IF(S116&gt;0,S116*567.47,0)+IF(T116&gt;0,T116*151.63,0)+IF(U116&gt;0,U116*197.84,0)+IF(V116&gt;0,V116*470.51,0)+IF(W116&gt;0,W116*701.69,0)+IF(Y116&gt;0,Y116*151.63,0)+IF(Z116&gt;0,Z116*197.84)+IF(AA116&gt;0,AA116*308.4,0)+IF(AB116&gt;0,AB116*496.16,0)</f>
        <v/>
      </c>
    </row>
    <row r="117">
      <c r="A117" s="59">
        <f>IF(G117&lt;$A$1,"VENCIDO","NA VALIDADE")</f>
        <v/>
      </c>
      <c r="B117" s="60" t="inlineStr">
        <is>
          <t>SUBESTAÇÃO</t>
        </is>
      </c>
      <c r="C117" s="61" t="inlineStr">
        <is>
          <t>SE BONGI</t>
        </is>
      </c>
      <c r="D117" s="82" t="inlineStr">
        <is>
          <t>RECIFE</t>
        </is>
      </c>
      <c r="E117" s="75" t="inlineStr">
        <is>
          <t>PE</t>
        </is>
      </c>
      <c r="F117" s="75" t="inlineStr">
        <is>
          <t>CABO DE SANTO AGOSTINHO</t>
        </is>
      </c>
      <c r="G117" s="119" t="n">
        <v>45658</v>
      </c>
      <c r="H117" s="119" t="n">
        <v>45474</v>
      </c>
      <c r="I117" s="60">
        <f>SUM(K117:AD117)</f>
        <v/>
      </c>
      <c r="J117" s="60">
        <f>SUM(AE117:AI117)</f>
        <v/>
      </c>
      <c r="K117" s="60" t="n">
        <v>30</v>
      </c>
      <c r="L117" s="60" t="n"/>
      <c r="M117" s="60" t="n">
        <v>6</v>
      </c>
      <c r="N117" s="60" t="n">
        <v>15</v>
      </c>
      <c r="O117" s="60" t="n">
        <v>10</v>
      </c>
      <c r="P117" s="60" t="n">
        <v>4</v>
      </c>
      <c r="Q117" s="60" t="n"/>
      <c r="R117" s="60" t="n"/>
      <c r="S117" s="60" t="n"/>
      <c r="T117" s="60" t="n"/>
      <c r="U117" s="60" t="n"/>
      <c r="V117" s="60" t="n"/>
      <c r="W117" s="60" t="n"/>
      <c r="X117" s="60" t="n"/>
      <c r="Y117" s="60" t="n"/>
      <c r="Z117" s="60" t="n">
        <v>20</v>
      </c>
      <c r="AA117" s="60" t="n"/>
      <c r="AB117" s="60" t="n"/>
      <c r="AC117" s="60" t="n"/>
      <c r="AD117" s="60" t="n"/>
      <c r="AE117" s="60" t="n"/>
      <c r="AF117" s="60" t="n"/>
      <c r="AG117" s="60" t="n"/>
      <c r="AH117" s="60" t="n"/>
      <c r="AI117" s="60" t="n"/>
      <c r="AJ117" s="120">
        <f>IF(K117&gt;0,K117*(82.29+8.15),0)+IF(L117&gt;0,L117*(8.15+339.97),0)+IF(M117&gt;0,M117*151.63,0)+IF(N117&gt;0,N117*197.82,0)+IF(O117&gt;0,O117*244.09,0)+IF(P117&gt;0,P117*315.35,0)+IF(Q117&gt;0,Q117*1067.3,0)+IF(S117&gt;0,S117*567.47,0)+IF(T117&gt;0,T117*151.63,0)+IF(U117&gt;0,U117*197.84,0)+IF(V117&gt;0,V117*470.51,0)+IF(W117&gt;0,W117*701.69,0)+IF(Y117&gt;0,Y117*151.63,0)+IF(Z117&gt;0,Z117*197.84)+IF(AA117&gt;0,AA117*308.4,0)+IF(AB117&gt;0,AB117*496.16,0)</f>
        <v/>
      </c>
    </row>
    <row r="118">
      <c r="A118" s="59">
        <f>IF(G118&lt;$A$1,"VENCIDO","NA VALIDADE")</f>
        <v/>
      </c>
      <c r="B118" s="60" t="inlineStr">
        <is>
          <t>SUBESTAÇÃO</t>
        </is>
      </c>
      <c r="C118" s="61" t="inlineStr">
        <is>
          <t xml:space="preserve">SE BONITO </t>
        </is>
      </c>
      <c r="D118" s="82" t="inlineStr">
        <is>
          <t>BONITO</t>
        </is>
      </c>
      <c r="E118" s="75" t="inlineStr">
        <is>
          <t>PE</t>
        </is>
      </c>
      <c r="F118" s="75" t="inlineStr">
        <is>
          <t>CABO DE SANTO AGOSTINHO</t>
        </is>
      </c>
      <c r="G118" s="119" t="n">
        <v>45536</v>
      </c>
      <c r="H118" s="119">
        <f>G118-180</f>
        <v/>
      </c>
      <c r="I118" s="60">
        <f>SUM(K118:AD118)</f>
        <v/>
      </c>
      <c r="J118" s="60">
        <f>SUM(AE118:AI118)</f>
        <v/>
      </c>
      <c r="K118" s="60" t="n"/>
      <c r="L118" s="60" t="n"/>
      <c r="M118" s="60" t="n"/>
      <c r="N118" s="60" t="n"/>
      <c r="O118" s="60" t="n"/>
      <c r="P118" s="60" t="n">
        <v>2</v>
      </c>
      <c r="Q118" s="60" t="n"/>
      <c r="R118" s="60" t="n"/>
      <c r="S118" s="60" t="n"/>
      <c r="T118" s="60" t="n"/>
      <c r="U118" s="60" t="n"/>
      <c r="V118" s="60" t="n"/>
      <c r="W118" s="60" t="n"/>
      <c r="X118" s="60" t="n"/>
      <c r="Y118" s="60" t="n"/>
      <c r="Z118" s="60" t="n">
        <v>1</v>
      </c>
      <c r="AA118" s="60" t="n"/>
      <c r="AB118" s="60" t="n"/>
      <c r="AC118" s="60" t="n"/>
      <c r="AD118" s="60" t="n"/>
      <c r="AE118" s="60" t="n"/>
      <c r="AF118" s="60" t="n"/>
      <c r="AG118" s="60" t="n"/>
      <c r="AH118" s="60" t="n"/>
      <c r="AI118" s="60" t="n"/>
      <c r="AJ118" s="120">
        <f>IF(K118&gt;0,K118*(82.29+8.15),0)+IF(L118&gt;0,L118*(8.15+339.97),0)+IF(M118&gt;0,M118*151.63,0)+IF(N118&gt;0,N118*197.82,0)+IF(O118&gt;0,O118*244.09,0)+IF(P118&gt;0,P118*315.35,0)+IF(Q118&gt;0,Q118*1067.3,0)+IF(S118&gt;0,S118*567.47,0)+IF(T118&gt;0,T118*151.63,0)+IF(U118&gt;0,U118*197.84,0)+IF(V118&gt;0,V118*470.51,0)+IF(W118&gt;0,W118*701.69,0)+IF(Y118&gt;0,Y118*151.63,0)+IF(Z118&gt;0,Z118*197.84)+IF(AA118&gt;0,AA118*308.4,0)+IF(AB118&gt;0,AB118*496.16,0)</f>
        <v/>
      </c>
    </row>
    <row r="119">
      <c r="A119" s="59">
        <f>IF(G119&lt;$A$1,"VENCIDO","NA VALIDADE")</f>
        <v/>
      </c>
      <c r="B119" s="60" t="inlineStr">
        <is>
          <t>SUBESTAÇÃO</t>
        </is>
      </c>
      <c r="C119" s="61" t="inlineStr">
        <is>
          <t>SE BREJÃO</t>
        </is>
      </c>
      <c r="D119" s="82" t="inlineStr">
        <is>
          <t>BREJAO</t>
        </is>
      </c>
      <c r="E119" s="75" t="inlineStr">
        <is>
          <t>PE</t>
        </is>
      </c>
      <c r="F119" s="75" t="inlineStr">
        <is>
          <t>CABO DE SANTO AGOSTINHO</t>
        </is>
      </c>
      <c r="G119" s="119" t="n">
        <v>45566</v>
      </c>
      <c r="H119" s="119">
        <f>G119-180</f>
        <v/>
      </c>
      <c r="I119" s="60">
        <f>SUM(K119:AD119)</f>
        <v/>
      </c>
      <c r="J119" s="60">
        <f>SUM(AE119:AI119)</f>
        <v/>
      </c>
      <c r="K119" s="60" t="n"/>
      <c r="L119" s="60" t="n"/>
      <c r="M119" s="60" t="n"/>
      <c r="N119" s="60" t="n"/>
      <c r="O119" s="60" t="n"/>
      <c r="P119" s="60" t="n">
        <v>1</v>
      </c>
      <c r="Q119" s="60" t="n"/>
      <c r="R119" s="60" t="n"/>
      <c r="S119" s="60" t="n"/>
      <c r="T119" s="60" t="n"/>
      <c r="U119" s="60" t="n"/>
      <c r="V119" s="60" t="n"/>
      <c r="W119" s="60" t="n"/>
      <c r="X119" s="60" t="n"/>
      <c r="Y119" s="60" t="n"/>
      <c r="Z119" s="60" t="n">
        <v>1</v>
      </c>
      <c r="AA119" s="60" t="n"/>
      <c r="AB119" s="60" t="n"/>
      <c r="AC119" s="60" t="n"/>
      <c r="AD119" s="60" t="n"/>
      <c r="AE119" s="60" t="n"/>
      <c r="AF119" s="60" t="n"/>
      <c r="AG119" s="60" t="n"/>
      <c r="AH119" s="60" t="n"/>
      <c r="AI119" s="60" t="n"/>
      <c r="AJ119" s="120">
        <f>IF(K119&gt;0,K119*(82.29+8.15),0)+IF(L119&gt;0,L119*(8.15+339.97),0)+IF(M119&gt;0,M119*151.63,0)+IF(N119&gt;0,N119*197.82,0)+IF(O119&gt;0,O119*244.09,0)+IF(P119&gt;0,P119*315.35,0)+IF(Q119&gt;0,Q119*1067.3,0)+IF(S119&gt;0,S119*567.47,0)+IF(T119&gt;0,T119*151.63,0)+IF(U119&gt;0,U119*197.84,0)+IF(V119&gt;0,V119*470.51,0)+IF(W119&gt;0,W119*701.69,0)+IF(Y119&gt;0,Y119*151.63,0)+IF(Z119&gt;0,Z119*197.84)+IF(AA119&gt;0,AA119*308.4,0)+IF(AB119&gt;0,AB119*496.16,0)</f>
        <v/>
      </c>
    </row>
    <row r="120">
      <c r="A120" s="59">
        <f>IF(G120&lt;$A$1,"VENCIDO","NA VALIDADE")</f>
        <v/>
      </c>
      <c r="B120" s="60" t="inlineStr">
        <is>
          <t>SUBESTAÇÃO</t>
        </is>
      </c>
      <c r="C120" s="61" t="inlineStr">
        <is>
          <t>SE BUIÍQUE</t>
        </is>
      </c>
      <c r="D120" s="82" t="inlineStr">
        <is>
          <t>BUIQUE</t>
        </is>
      </c>
      <c r="E120" s="75" t="inlineStr">
        <is>
          <t>PE</t>
        </is>
      </c>
      <c r="F120" s="75" t="inlineStr">
        <is>
          <t>CABO DE SANTO AGOSTINHO</t>
        </is>
      </c>
      <c r="G120" s="119" t="n">
        <v>45323</v>
      </c>
      <c r="H120" s="119" t="n">
        <v>45323</v>
      </c>
      <c r="I120" s="60">
        <f>SUM(K120:AD120)</f>
        <v/>
      </c>
      <c r="J120" s="60">
        <f>SUM(AE120:AI120)</f>
        <v/>
      </c>
      <c r="K120" s="60" t="n"/>
      <c r="L120" s="60" t="n"/>
      <c r="M120" s="60" t="n"/>
      <c r="N120" s="60" t="n"/>
      <c r="O120" s="60" t="n">
        <v>1</v>
      </c>
      <c r="P120" s="60" t="n"/>
      <c r="Q120" s="60" t="n"/>
      <c r="R120" s="60" t="n"/>
      <c r="S120" s="60" t="n"/>
      <c r="T120" s="60" t="n"/>
      <c r="U120" s="60" t="n"/>
      <c r="V120" s="60" t="n"/>
      <c r="W120" s="60" t="n"/>
      <c r="X120" s="60" t="n"/>
      <c r="Y120" s="60" t="n">
        <v>1</v>
      </c>
      <c r="Z120" s="60" t="n"/>
      <c r="AA120" s="60" t="n"/>
      <c r="AB120" s="60" t="n"/>
      <c r="AC120" s="60" t="n"/>
      <c r="AD120" s="60" t="n"/>
      <c r="AE120" s="60" t="n"/>
      <c r="AF120" s="60" t="n"/>
      <c r="AG120" s="60" t="n"/>
      <c r="AH120" s="60" t="n"/>
      <c r="AI120" s="60" t="n"/>
      <c r="AJ120" s="120">
        <f>IF(K120&gt;0,K120*(82.29+8.15),0)+IF(L120&gt;0,L120*(8.15+339.97),0)+IF(M120&gt;0,M120*151.63,0)+IF(N120&gt;0,N120*197.82,0)+IF(O120&gt;0,O120*244.09,0)+IF(P120&gt;0,P120*315.35,0)+IF(Q120&gt;0,Q120*1067.3,0)+IF(S120&gt;0,S120*567.47,0)+IF(T120&gt;0,T120*151.63,0)+IF(U120&gt;0,U120*197.84,0)+IF(V120&gt;0,V120*470.51,0)+IF(W120&gt;0,W120*701.69,0)+IF(Y120&gt;0,Y120*151.63,0)+IF(Z120&gt;0,Z120*197.84)+IF(AA120&gt;0,AA120*308.4,0)+IF(AB120&gt;0,AB120*496.16,0)</f>
        <v/>
      </c>
    </row>
    <row r="121">
      <c r="A121" s="59">
        <f>IF(G121&lt;$A$1,"VENCIDO","NA VALIDADE")</f>
        <v/>
      </c>
      <c r="B121" s="60" t="inlineStr">
        <is>
          <t>SUBESTAÇÃO</t>
        </is>
      </c>
      <c r="C121" s="61" t="inlineStr">
        <is>
          <t>SE CAETES</t>
        </is>
      </c>
      <c r="D121" s="82" t="inlineStr">
        <is>
          <t>CAETES</t>
        </is>
      </c>
      <c r="E121" s="75" t="inlineStr">
        <is>
          <t>PE</t>
        </is>
      </c>
      <c r="F121" s="75" t="inlineStr">
        <is>
          <t>CABO DE SANTO AGOSTINHO</t>
        </is>
      </c>
      <c r="G121" s="119" t="n">
        <v>45566</v>
      </c>
      <c r="H121" s="119">
        <f>G121-180</f>
        <v/>
      </c>
      <c r="I121" s="60">
        <f>SUM(K121:AD121)</f>
        <v/>
      </c>
      <c r="J121" s="60">
        <f>SUM(AE121:AI121)</f>
        <v/>
      </c>
      <c r="K121" s="60" t="n"/>
      <c r="L121" s="60" t="n"/>
      <c r="M121" s="60" t="n"/>
      <c r="N121" s="60" t="n"/>
      <c r="O121" s="60" t="n"/>
      <c r="P121" s="60" t="n"/>
      <c r="Q121" s="60" t="n"/>
      <c r="R121" s="60" t="n"/>
      <c r="S121" s="60" t="n">
        <v>1</v>
      </c>
      <c r="T121" s="60" t="n"/>
      <c r="U121" s="60" t="n"/>
      <c r="V121" s="60" t="n"/>
      <c r="W121" s="60" t="n"/>
      <c r="X121" s="60" t="n"/>
      <c r="Y121" s="60" t="n"/>
      <c r="Z121" s="60" t="n">
        <v>1</v>
      </c>
      <c r="AA121" s="60" t="n"/>
      <c r="AB121" s="60" t="n"/>
      <c r="AC121" s="60" t="n"/>
      <c r="AD121" s="60" t="n"/>
      <c r="AE121" s="60" t="n"/>
      <c r="AF121" s="60" t="n"/>
      <c r="AG121" s="60" t="n"/>
      <c r="AH121" s="60" t="n"/>
      <c r="AI121" s="60" t="n"/>
      <c r="AJ121" s="120">
        <f>IF(K121&gt;0,K121*(82.29+8.15),0)+IF(L121&gt;0,L121*(8.15+339.97),0)+IF(M121&gt;0,M121*151.63,0)+IF(N121&gt;0,N121*197.82,0)+IF(O121&gt;0,O121*244.09,0)+IF(P121&gt;0,P121*315.35,0)+IF(Q121&gt;0,Q121*1067.3,0)+IF(S121&gt;0,S121*567.47,0)+IF(T121&gt;0,T121*151.63,0)+IF(U121&gt;0,U121*197.84,0)+IF(V121&gt;0,V121*470.51,0)+IF(W121&gt;0,W121*701.69,0)+IF(Y121&gt;0,Y121*151.63,0)+IF(Z121&gt;0,Z121*197.84)+IF(AA121&gt;0,AA121*308.4,0)+IF(AB121&gt;0,AB121*496.16,0)</f>
        <v/>
      </c>
    </row>
    <row r="122">
      <c r="A122" s="59">
        <f>IF(G122&lt;$A$1,"VENCIDO","NA VALIDADE")</f>
        <v/>
      </c>
      <c r="B122" s="60" t="inlineStr">
        <is>
          <t>SUBESTAÇÃO</t>
        </is>
      </c>
      <c r="C122" s="61" t="inlineStr">
        <is>
          <t>SE CAMARAGIBE</t>
        </is>
      </c>
      <c r="D122" s="82" t="inlineStr">
        <is>
          <t>CAMARAGIBE</t>
        </is>
      </c>
      <c r="E122" s="75" t="inlineStr">
        <is>
          <t>PE</t>
        </is>
      </c>
      <c r="F122" s="75" t="inlineStr">
        <is>
          <t>CABO DE SANTO AGOSTINHO</t>
        </is>
      </c>
      <c r="G122" s="119" t="n">
        <v>45444</v>
      </c>
      <c r="H122" s="119" t="n">
        <v>45444</v>
      </c>
      <c r="I122" s="60">
        <f>SUM(K122:AD122)</f>
        <v/>
      </c>
      <c r="J122" s="60">
        <f>SUM(AE122:AI122)</f>
        <v/>
      </c>
      <c r="K122" s="60" t="n"/>
      <c r="L122" s="60" t="n"/>
      <c r="M122" s="60" t="n"/>
      <c r="N122" s="60" t="n"/>
      <c r="O122" s="60" t="n"/>
      <c r="P122" s="60" t="n">
        <v>2</v>
      </c>
      <c r="Q122" s="60" t="n"/>
      <c r="R122" s="60" t="n"/>
      <c r="S122" s="60" t="n"/>
      <c r="T122" s="60" t="n"/>
      <c r="U122" s="60" t="n"/>
      <c r="V122" s="60" t="n"/>
      <c r="W122" s="60" t="n"/>
      <c r="X122" s="60" t="n"/>
      <c r="Y122" s="60" t="n"/>
      <c r="Z122" s="60" t="n">
        <v>1</v>
      </c>
      <c r="AA122" s="60" t="n"/>
      <c r="AB122" s="60" t="n"/>
      <c r="AC122" s="60" t="n"/>
      <c r="AD122" s="60" t="n"/>
      <c r="AE122" s="60" t="n"/>
      <c r="AF122" s="60" t="n"/>
      <c r="AG122" s="60" t="n"/>
      <c r="AH122" s="60" t="n"/>
      <c r="AI122" s="60" t="n"/>
      <c r="AJ122" s="120">
        <f>IF(K122&gt;0,K122*(82.29+8.15),0)+IF(L122&gt;0,L122*(8.15+339.97),0)+IF(M122&gt;0,M122*151.63,0)+IF(N122&gt;0,N122*197.82,0)+IF(O122&gt;0,O122*244.09,0)+IF(P122&gt;0,P122*315.35,0)+IF(Q122&gt;0,Q122*1067.3,0)+IF(S122&gt;0,S122*567.47,0)+IF(T122&gt;0,T122*151.63,0)+IF(U122&gt;0,U122*197.84,0)+IF(V122&gt;0,V122*470.51,0)+IF(W122&gt;0,W122*701.69,0)+IF(Y122&gt;0,Y122*151.63,0)+IF(Z122&gt;0,Z122*197.84)+IF(AA122&gt;0,AA122*308.4,0)+IF(AB122&gt;0,AB122*496.16,0)</f>
        <v/>
      </c>
    </row>
    <row r="123">
      <c r="A123" s="59">
        <f>IF(G123&lt;$A$1,"VENCIDO","NA VALIDADE")</f>
        <v/>
      </c>
      <c r="B123" s="60" t="inlineStr">
        <is>
          <t>SUBESTAÇÃO</t>
        </is>
      </c>
      <c r="C123" s="61" t="inlineStr">
        <is>
          <t>SE CAMOCIM DE SÃO FELIX</t>
        </is>
      </c>
      <c r="D123" s="82" t="inlineStr">
        <is>
          <t>CAMOCIM DE SAO FELIX</t>
        </is>
      </c>
      <c r="E123" s="75" t="inlineStr">
        <is>
          <t>PE</t>
        </is>
      </c>
      <c r="F123" s="75" t="inlineStr">
        <is>
          <t>CABO DE SANTO AGOSTINHO</t>
        </is>
      </c>
      <c r="G123" s="119" t="n">
        <v>45352</v>
      </c>
      <c r="H123" s="119" t="n">
        <v>45352</v>
      </c>
      <c r="I123" s="60">
        <f>SUM(K123:AD123)</f>
        <v/>
      </c>
      <c r="J123" s="60">
        <f>SUM(AE123:AI123)</f>
        <v/>
      </c>
      <c r="K123" s="60" t="n"/>
      <c r="L123" s="60" t="n"/>
      <c r="M123" s="60" t="n"/>
      <c r="N123" s="60" t="n"/>
      <c r="O123" s="60" t="n"/>
      <c r="P123" s="60" t="n">
        <v>2</v>
      </c>
      <c r="Q123" s="60" t="n"/>
      <c r="R123" s="60" t="n"/>
      <c r="S123" s="60" t="n"/>
      <c r="T123" s="60" t="n"/>
      <c r="U123" s="60" t="n"/>
      <c r="V123" s="60" t="n"/>
      <c r="W123" s="60" t="n"/>
      <c r="X123" s="60" t="n"/>
      <c r="Y123" s="60" t="n">
        <v>1</v>
      </c>
      <c r="Z123" s="60" t="n"/>
      <c r="AA123" s="60" t="n"/>
      <c r="AB123" s="60" t="n"/>
      <c r="AC123" s="60" t="n"/>
      <c r="AD123" s="60" t="n"/>
      <c r="AE123" s="60" t="n"/>
      <c r="AF123" s="60" t="n"/>
      <c r="AG123" s="60" t="n"/>
      <c r="AH123" s="60" t="n"/>
      <c r="AI123" s="60" t="n"/>
      <c r="AJ123" s="120">
        <f>IF(K123&gt;0,K123*(82.29+8.15),0)+IF(L123&gt;0,L123*(8.15+339.97),0)+IF(M123&gt;0,M123*151.63,0)+IF(N123&gt;0,N123*197.82,0)+IF(O123&gt;0,O123*244.09,0)+IF(P123&gt;0,P123*315.35,0)+IF(Q123&gt;0,Q123*1067.3,0)+IF(S123&gt;0,S123*567.47,0)+IF(T123&gt;0,T123*151.63,0)+IF(U123&gt;0,U123*197.84,0)+IF(V123&gt;0,V123*470.51,0)+IF(W123&gt;0,W123*701.69,0)+IF(Y123&gt;0,Y123*151.63,0)+IF(Z123&gt;0,Z123*197.84)+IF(AA123&gt;0,AA123*308.4,0)+IF(AB123&gt;0,AB123*496.16,0)</f>
        <v/>
      </c>
    </row>
    <row r="124">
      <c r="A124" s="59">
        <f>IF(G124&lt;$A$1,"VENCIDO","NA VALIDADE")</f>
        <v/>
      </c>
      <c r="B124" s="60" t="inlineStr">
        <is>
          <t>SUBESTAÇÃO</t>
        </is>
      </c>
      <c r="C124" s="61" t="inlineStr">
        <is>
          <t>SE CAMPOS</t>
        </is>
      </c>
      <c r="D124" s="82" t="inlineStr">
        <is>
          <t>CARUARU</t>
        </is>
      </c>
      <c r="E124" s="75" t="inlineStr">
        <is>
          <t>PE</t>
        </is>
      </c>
      <c r="F124" s="75" t="inlineStr">
        <is>
          <t>CABO DE SANTO AGOSTINHO</t>
        </is>
      </c>
      <c r="G124" s="119" t="n">
        <v>45505</v>
      </c>
      <c r="H124" s="119">
        <f>G124-180</f>
        <v/>
      </c>
      <c r="I124" s="60">
        <f>SUM(K124:AD124)</f>
        <v/>
      </c>
      <c r="J124" s="60">
        <f>SUM(AE124:AI124)</f>
        <v/>
      </c>
      <c r="K124" s="60" t="n"/>
      <c r="L124" s="60" t="n"/>
      <c r="M124" s="60" t="n"/>
      <c r="N124" s="60" t="n"/>
      <c r="O124" s="60" t="n"/>
      <c r="P124" s="60" t="n">
        <v>2</v>
      </c>
      <c r="Q124" s="60" t="n"/>
      <c r="R124" s="60" t="n"/>
      <c r="S124" s="60" t="n"/>
      <c r="T124" s="60" t="n"/>
      <c r="U124" s="60" t="n"/>
      <c r="V124" s="60" t="n"/>
      <c r="W124" s="60" t="n"/>
      <c r="X124" s="60" t="n"/>
      <c r="Y124" s="60" t="n"/>
      <c r="Z124" s="60" t="n">
        <v>1</v>
      </c>
      <c r="AA124" s="60" t="n"/>
      <c r="AB124" s="60" t="n"/>
      <c r="AC124" s="60" t="n"/>
      <c r="AD124" s="60" t="n"/>
      <c r="AE124" s="60" t="n"/>
      <c r="AF124" s="60" t="n"/>
      <c r="AG124" s="60" t="n"/>
      <c r="AH124" s="60" t="n"/>
      <c r="AI124" s="60" t="n"/>
      <c r="AJ124" s="120">
        <f>IF(K124&gt;0,K124*(82.29+8.15),0)+IF(L124&gt;0,L124*(8.15+339.97),0)+IF(M124&gt;0,M124*151.63,0)+IF(N124&gt;0,N124*197.82,0)+IF(O124&gt;0,O124*244.09,0)+IF(P124&gt;0,P124*315.35,0)+IF(Q124&gt;0,Q124*1067.3,0)+IF(S124&gt;0,S124*567.47,0)+IF(T124&gt;0,T124*151.63,0)+IF(U124&gt;0,U124*197.84,0)+IF(V124&gt;0,V124*470.51,0)+IF(W124&gt;0,W124*701.69,0)+IF(Y124&gt;0,Y124*151.63,0)+IF(Z124&gt;0,Z124*197.84)+IF(AA124&gt;0,AA124*308.4,0)+IF(AB124&gt;0,AB124*496.16,0)</f>
        <v/>
      </c>
    </row>
    <row r="125">
      <c r="A125" s="59">
        <f>IF(G125&lt;$A$1,"VENCIDO","NA VALIDADE")</f>
        <v/>
      </c>
      <c r="B125" s="60" t="inlineStr">
        <is>
          <t>SUBESTAÇÃO</t>
        </is>
      </c>
      <c r="C125" s="61" t="inlineStr">
        <is>
          <t>SE SEC CARUARU</t>
        </is>
      </c>
      <c r="D125" s="82" t="inlineStr">
        <is>
          <t>CARUARU</t>
        </is>
      </c>
      <c r="E125" s="75" t="inlineStr">
        <is>
          <t>PE</t>
        </is>
      </c>
      <c r="F125" s="75" t="inlineStr">
        <is>
          <t>CABO DE SANTO AGOSTINHO</t>
        </is>
      </c>
      <c r="G125" s="119" t="n">
        <v>45323</v>
      </c>
      <c r="H125" s="119" t="n">
        <v>45323</v>
      </c>
      <c r="I125" s="60">
        <f>SUM(K125:AD125)</f>
        <v/>
      </c>
      <c r="J125" s="60">
        <f>SUM(AE125:AI125)</f>
        <v/>
      </c>
      <c r="K125" s="60" t="n"/>
      <c r="L125" s="60" t="n"/>
      <c r="M125" s="60" t="n"/>
      <c r="N125" s="60" t="n"/>
      <c r="O125" s="60" t="n">
        <v>1</v>
      </c>
      <c r="P125" s="60" t="n">
        <v>4</v>
      </c>
      <c r="Q125" s="60" t="n"/>
      <c r="R125" s="60" t="n"/>
      <c r="S125" s="60" t="n"/>
      <c r="T125" s="60" t="n"/>
      <c r="U125" s="60" t="n"/>
      <c r="V125" s="60" t="n"/>
      <c r="W125" s="60" t="n"/>
      <c r="X125" s="60" t="n"/>
      <c r="Y125" s="60" t="n"/>
      <c r="Z125" s="60" t="n">
        <v>5</v>
      </c>
      <c r="AA125" s="60" t="n"/>
      <c r="AB125" s="60" t="n"/>
      <c r="AC125" s="60" t="n"/>
      <c r="AD125" s="60" t="n"/>
      <c r="AE125" s="60" t="n"/>
      <c r="AF125" s="60" t="n"/>
      <c r="AG125" s="60" t="n"/>
      <c r="AH125" s="60" t="n"/>
      <c r="AI125" s="60" t="n"/>
      <c r="AJ125" s="120">
        <f>IF(K125&gt;0,K125*(82.29+8.15),0)+IF(L125&gt;0,L125*(8.15+339.97),0)+IF(M125&gt;0,M125*151.63,0)+IF(N125&gt;0,N125*197.82,0)+IF(O125&gt;0,O125*244.09,0)+IF(P125&gt;0,P125*315.35,0)+IF(Q125&gt;0,Q125*1067.3,0)+IF(S125&gt;0,S125*567.47,0)+IF(T125&gt;0,T125*151.63,0)+IF(U125&gt;0,U125*197.84,0)+IF(V125&gt;0,V125*470.51,0)+IF(W125&gt;0,W125*701.69,0)+IF(Y125&gt;0,Y125*151.63,0)+IF(Z125&gt;0,Z125*197.84)+IF(AA125&gt;0,AA125*308.4,0)+IF(AB125&gt;0,AB125*496.16,0)</f>
        <v/>
      </c>
    </row>
    <row r="126">
      <c r="A126" s="59">
        <f>IF(G126&lt;$A$1,"VENCIDO","NA VALIDADE")</f>
        <v/>
      </c>
      <c r="B126" s="60" t="inlineStr">
        <is>
          <t>SUBESTAÇÃO</t>
        </is>
      </c>
      <c r="C126" s="61" t="inlineStr">
        <is>
          <t>SE CAXANGÁ</t>
        </is>
      </c>
      <c r="D126" s="82" t="inlineStr">
        <is>
          <t>RECIFE</t>
        </is>
      </c>
      <c r="E126" s="75" t="inlineStr">
        <is>
          <t>PE</t>
        </is>
      </c>
      <c r="F126" s="75" t="inlineStr">
        <is>
          <t>CABO DE SANTO AGOSTINHO</t>
        </is>
      </c>
      <c r="G126" s="119" t="n">
        <v>45474</v>
      </c>
      <c r="H126" s="119" t="n">
        <v>45474</v>
      </c>
      <c r="I126" s="60">
        <f>SUM(K126:AD126)</f>
        <v/>
      </c>
      <c r="J126" s="60">
        <f>SUM(AE126:AI126)</f>
        <v/>
      </c>
      <c r="K126" s="60" t="n"/>
      <c r="L126" s="60" t="n"/>
      <c r="M126" s="60" t="n"/>
      <c r="N126" s="60" t="n"/>
      <c r="O126" s="60" t="n">
        <v>1</v>
      </c>
      <c r="P126" s="60" t="n">
        <v>1</v>
      </c>
      <c r="Q126" s="60" t="n"/>
      <c r="R126" s="60" t="n"/>
      <c r="S126" s="60" t="n">
        <v>1</v>
      </c>
      <c r="T126" s="60" t="n"/>
      <c r="U126" s="60" t="n"/>
      <c r="V126" s="60" t="n"/>
      <c r="W126" s="60" t="n"/>
      <c r="X126" s="60" t="n"/>
      <c r="Y126" s="60" t="n"/>
      <c r="Z126" s="60" t="n">
        <v>1</v>
      </c>
      <c r="AA126" s="60" t="n"/>
      <c r="AB126" s="60" t="n"/>
      <c r="AC126" s="60" t="n"/>
      <c r="AD126" s="60" t="n"/>
      <c r="AE126" s="60" t="n"/>
      <c r="AF126" s="60" t="n"/>
      <c r="AG126" s="60" t="n"/>
      <c r="AH126" s="60" t="n"/>
      <c r="AI126" s="60" t="n"/>
      <c r="AJ126" s="120">
        <f>IF(K126&gt;0,K126*(82.29+8.15),0)+IF(L126&gt;0,L126*(8.15+339.97),0)+IF(M126&gt;0,M126*151.63,0)+IF(N126&gt;0,N126*197.82,0)+IF(O126&gt;0,O126*244.09,0)+IF(P126&gt;0,P126*315.35,0)+IF(Q126&gt;0,Q126*1067.3,0)+IF(S126&gt;0,S126*567.47,0)+IF(T126&gt;0,T126*151.63,0)+IF(U126&gt;0,U126*197.84,0)+IF(V126&gt;0,V126*470.51,0)+IF(W126&gt;0,W126*701.69,0)+IF(Y126&gt;0,Y126*151.63,0)+IF(Z126&gt;0,Z126*197.84)+IF(AA126&gt;0,AA126*308.4,0)+IF(AB126&gt;0,AB126*496.16,0)</f>
        <v/>
      </c>
    </row>
    <row r="127">
      <c r="A127" s="59">
        <f>IF(G127&lt;$A$1,"VENCIDO","NA VALIDADE")</f>
        <v/>
      </c>
      <c r="B127" s="60" t="inlineStr">
        <is>
          <t>SUBESTAÇÃO</t>
        </is>
      </c>
      <c r="C127" s="61" t="inlineStr">
        <is>
          <t>SE CORRENTES</t>
        </is>
      </c>
      <c r="D127" s="82" t="inlineStr">
        <is>
          <t>CORRENTES</t>
        </is>
      </c>
      <c r="E127" s="75" t="inlineStr">
        <is>
          <t>PE</t>
        </is>
      </c>
      <c r="F127" s="75" t="inlineStr">
        <is>
          <t>CABO DE SANTO AGOSTINHO</t>
        </is>
      </c>
      <c r="G127" s="119" t="n">
        <v>45566</v>
      </c>
      <c r="H127" s="119">
        <f>G127-180</f>
        <v/>
      </c>
      <c r="I127" s="60">
        <f>SUM(K127:AD127)</f>
        <v/>
      </c>
      <c r="J127" s="60">
        <f>SUM(AE127:AI127)</f>
        <v/>
      </c>
      <c r="K127" s="60" t="n"/>
      <c r="L127" s="60" t="n"/>
      <c r="M127" s="60" t="n"/>
      <c r="N127" s="60" t="n"/>
      <c r="O127" s="60" t="n"/>
      <c r="P127" s="60" t="n">
        <v>1</v>
      </c>
      <c r="Q127" s="60" t="n"/>
      <c r="R127" s="60" t="n"/>
      <c r="S127" s="60" t="n"/>
      <c r="T127" s="60" t="n"/>
      <c r="U127" s="60" t="n"/>
      <c r="V127" s="60" t="n"/>
      <c r="W127" s="60" t="n"/>
      <c r="X127" s="60" t="n"/>
      <c r="Y127" s="60" t="n"/>
      <c r="Z127" s="60" t="n">
        <v>1</v>
      </c>
      <c r="AA127" s="60" t="n"/>
      <c r="AB127" s="60" t="n"/>
      <c r="AC127" s="60" t="n"/>
      <c r="AD127" s="60" t="n"/>
      <c r="AE127" s="60" t="n"/>
      <c r="AF127" s="60" t="n"/>
      <c r="AG127" s="60" t="n"/>
      <c r="AH127" s="60" t="n"/>
      <c r="AI127" s="60" t="n"/>
      <c r="AJ127" s="120">
        <f>IF(K127&gt;0,K127*(82.29+8.15),0)+IF(L127&gt;0,L127*(8.15+339.97),0)+IF(M127&gt;0,M127*151.63,0)+IF(N127&gt;0,N127*197.82,0)+IF(O127&gt;0,O127*244.09,0)+IF(P127&gt;0,P127*315.35,0)+IF(Q127&gt;0,Q127*1067.3,0)+IF(S127&gt;0,S127*567.47,0)+IF(T127&gt;0,T127*151.63,0)+IF(U127&gt;0,U127*197.84,0)+IF(V127&gt;0,V127*470.51,0)+IF(W127&gt;0,W127*701.69,0)+IF(Y127&gt;0,Y127*151.63,0)+IF(Z127&gt;0,Z127*197.84)+IF(AA127&gt;0,AA127*308.4,0)+IF(AB127&gt;0,AB127*496.16,0)</f>
        <v/>
      </c>
    </row>
    <row r="128">
      <c r="A128" s="59">
        <f>IF(G128&lt;$A$1,"VENCIDO","NA VALIDADE")</f>
        <v/>
      </c>
      <c r="B128" s="60" t="inlineStr">
        <is>
          <t>SUBESTAÇÃO</t>
        </is>
      </c>
      <c r="C128" s="61" t="inlineStr">
        <is>
          <t>SE CUPIRA</t>
        </is>
      </c>
      <c r="D128" s="82" t="inlineStr">
        <is>
          <t>CUPIRA</t>
        </is>
      </c>
      <c r="E128" s="75" t="inlineStr">
        <is>
          <t>PE</t>
        </is>
      </c>
      <c r="F128" s="75" t="inlineStr">
        <is>
          <t>CABO DE SANTO AGOSTINHO</t>
        </is>
      </c>
      <c r="G128" s="119" t="n">
        <v>45323</v>
      </c>
      <c r="H128" s="119" t="n">
        <v>45323</v>
      </c>
      <c r="I128" s="60">
        <f>SUM(K128:AD128)</f>
        <v/>
      </c>
      <c r="J128" s="60">
        <f>SUM(AE128:AI128)</f>
        <v/>
      </c>
      <c r="K128" s="60" t="n"/>
      <c r="L128" s="60" t="n"/>
      <c r="M128" s="60" t="n"/>
      <c r="N128" s="60" t="n"/>
      <c r="O128" s="60" t="n"/>
      <c r="P128" s="60" t="n"/>
      <c r="Q128" s="60" t="n"/>
      <c r="R128" s="60" t="n"/>
      <c r="S128" s="60" t="n">
        <v>1</v>
      </c>
      <c r="T128" s="60" t="n"/>
      <c r="U128" s="60" t="n"/>
      <c r="V128" s="60" t="n"/>
      <c r="W128" s="60" t="n"/>
      <c r="X128" s="60" t="n"/>
      <c r="Y128" s="60" t="n">
        <v>1</v>
      </c>
      <c r="Z128" s="60" t="n"/>
      <c r="AA128" s="60" t="n"/>
      <c r="AB128" s="60" t="n"/>
      <c r="AC128" s="60" t="n"/>
      <c r="AD128" s="60" t="n"/>
      <c r="AE128" s="60" t="n"/>
      <c r="AF128" s="60" t="n"/>
      <c r="AG128" s="60" t="n"/>
      <c r="AH128" s="60" t="n"/>
      <c r="AI128" s="60" t="n"/>
      <c r="AJ128" s="120">
        <f>IF(K128&gt;0,K128*(82.29+8.15),0)+IF(L128&gt;0,L128*(8.15+339.97),0)+IF(M128&gt;0,M128*151.63,0)+IF(N128&gt;0,N128*197.82,0)+IF(O128&gt;0,O128*244.09,0)+IF(P128&gt;0,P128*315.35,0)+IF(Q128&gt;0,Q128*1067.3,0)+IF(S128&gt;0,S128*567.47,0)+IF(T128&gt;0,T128*151.63,0)+IF(U128&gt;0,U128*197.84,0)+IF(V128&gt;0,V128*470.51,0)+IF(W128&gt;0,W128*701.69,0)+IF(Y128&gt;0,Y128*151.63,0)+IF(Z128&gt;0,Z128*197.84)+IF(AA128&gt;0,AA128*308.4,0)+IF(AB128&gt;0,AB128*496.16,0)</f>
        <v/>
      </c>
    </row>
    <row r="129">
      <c r="A129" s="59">
        <f>IF(G129&lt;$A$1,"VENCIDO","NA VALIDADE")</f>
        <v/>
      </c>
      <c r="B129" s="60" t="inlineStr">
        <is>
          <t>SUBESTAÇÃO</t>
        </is>
      </c>
      <c r="C129" s="61" t="inlineStr">
        <is>
          <t>SE DOM AVELAR</t>
        </is>
      </c>
      <c r="D129" s="82" t="inlineStr">
        <is>
          <t>PETROLINA</t>
        </is>
      </c>
      <c r="E129" s="75" t="inlineStr">
        <is>
          <t>PE</t>
        </is>
      </c>
      <c r="F129" s="75" t="inlineStr">
        <is>
          <t>CABO DE SANTO AGOSTINHO</t>
        </is>
      </c>
      <c r="G129" s="119" t="n">
        <v>45505</v>
      </c>
      <c r="H129" s="119">
        <f>G129-180</f>
        <v/>
      </c>
      <c r="I129" s="60">
        <f>SUM(K129:AD129)</f>
        <v/>
      </c>
      <c r="J129" s="60">
        <f>SUM(AE129:AI129)</f>
        <v/>
      </c>
      <c r="K129" s="60" t="n"/>
      <c r="L129" s="60" t="n"/>
      <c r="M129" s="60" t="n"/>
      <c r="N129" s="60" t="n"/>
      <c r="O129" s="60" t="n"/>
      <c r="P129" s="60" t="n"/>
      <c r="Q129" s="60" t="n"/>
      <c r="R129" s="60" t="n"/>
      <c r="S129" s="60" t="n">
        <v>1</v>
      </c>
      <c r="T129" s="60" t="n"/>
      <c r="U129" s="60" t="n"/>
      <c r="V129" s="60" t="n"/>
      <c r="W129" s="60" t="n"/>
      <c r="X129" s="60" t="n"/>
      <c r="Y129" s="60" t="n"/>
      <c r="Z129" s="60" t="n">
        <v>1</v>
      </c>
      <c r="AA129" s="60" t="n"/>
      <c r="AB129" s="60" t="n"/>
      <c r="AC129" s="60" t="n"/>
      <c r="AD129" s="60" t="n"/>
      <c r="AE129" s="60" t="n"/>
      <c r="AF129" s="60" t="n"/>
      <c r="AG129" s="60" t="n"/>
      <c r="AH129" s="60" t="n"/>
      <c r="AI129" s="60" t="n"/>
      <c r="AJ129" s="120">
        <f>IF(K129&gt;0,K129*(82.29+8.15),0)+IF(L129&gt;0,L129*(8.15+339.97),0)+IF(M129&gt;0,M129*151.63,0)+IF(N129&gt;0,N129*197.82,0)+IF(O129&gt;0,O129*244.09,0)+IF(P129&gt;0,P129*315.35,0)+IF(Q129&gt;0,Q129*1067.3,0)+IF(S129&gt;0,S129*567.47,0)+IF(T129&gt;0,T129*151.63,0)+IF(U129&gt;0,U129*197.84,0)+IF(V129&gt;0,V129*470.51,0)+IF(W129&gt;0,W129*701.69,0)+IF(Y129&gt;0,Y129*151.63,0)+IF(Z129&gt;0,Z129*197.84)+IF(AA129&gt;0,AA129*308.4,0)+IF(AB129&gt;0,AB129*496.16,0)</f>
        <v/>
      </c>
    </row>
    <row r="130">
      <c r="A130" s="59">
        <f>IF(G130&lt;$A$1,"VENCIDO","NA VALIDADE")</f>
        <v/>
      </c>
      <c r="B130" s="60" t="inlineStr">
        <is>
          <t>SUBESTAÇÃO</t>
        </is>
      </c>
      <c r="C130" s="61" t="inlineStr">
        <is>
          <t>SE ESTÂNCIA</t>
        </is>
      </c>
      <c r="D130" s="82" t="inlineStr">
        <is>
          <t>RECIFE</t>
        </is>
      </c>
      <c r="E130" s="75" t="inlineStr">
        <is>
          <t>PE</t>
        </is>
      </c>
      <c r="F130" s="75" t="inlineStr">
        <is>
          <t>CABO DE SANTO AGOSTINHO</t>
        </is>
      </c>
      <c r="G130" s="119" t="n">
        <v>45383</v>
      </c>
      <c r="H130" s="119" t="n">
        <v>45383</v>
      </c>
      <c r="I130" s="60">
        <f>SUM(K130:AD130)</f>
        <v/>
      </c>
      <c r="J130" s="60">
        <f>SUM(AE130:AI130)</f>
        <v/>
      </c>
      <c r="K130" s="60" t="n"/>
      <c r="L130" s="60" t="n"/>
      <c r="M130" s="60" t="n">
        <v>1</v>
      </c>
      <c r="N130" s="60" t="n"/>
      <c r="O130" s="60" t="n"/>
      <c r="P130" s="60" t="n">
        <v>2</v>
      </c>
      <c r="Q130" s="60" t="n"/>
      <c r="R130" s="60" t="n"/>
      <c r="S130" s="60" t="n">
        <v>1</v>
      </c>
      <c r="T130" s="60" t="n"/>
      <c r="U130" s="60" t="n"/>
      <c r="V130" s="60" t="n"/>
      <c r="W130" s="60" t="n"/>
      <c r="X130" s="60" t="n"/>
      <c r="Y130" s="60" t="n"/>
      <c r="Z130" s="60" t="n">
        <v>1</v>
      </c>
      <c r="AA130" s="60" t="n"/>
      <c r="AB130" s="60" t="n"/>
      <c r="AC130" s="60" t="n"/>
      <c r="AD130" s="60" t="n"/>
      <c r="AE130" s="60" t="n"/>
      <c r="AF130" s="60" t="n"/>
      <c r="AG130" s="60" t="n"/>
      <c r="AH130" s="60" t="n"/>
      <c r="AI130" s="60" t="n"/>
      <c r="AJ130" s="120">
        <f>IF(K130&gt;0,K130*(82.29+8.15),0)+IF(L130&gt;0,L130*(8.15+339.97),0)+IF(M130&gt;0,M130*151.63,0)+IF(N130&gt;0,N130*197.82,0)+IF(O130&gt;0,O130*244.09,0)+IF(P130&gt;0,P130*315.35,0)+IF(Q130&gt;0,Q130*1067.3,0)+IF(S130&gt;0,S130*567.47,0)+IF(T130&gt;0,T130*151.63,0)+IF(U130&gt;0,U130*197.84,0)+IF(V130&gt;0,V130*470.51,0)+IF(W130&gt;0,W130*701.69,0)+IF(Y130&gt;0,Y130*151.63,0)+IF(Z130&gt;0,Z130*197.84)+IF(AA130&gt;0,AA130*308.4,0)+IF(AB130&gt;0,AB130*496.16,0)</f>
        <v/>
      </c>
    </row>
    <row r="131">
      <c r="A131" s="59">
        <f>IF(G131&lt;$A$1,"VENCIDO","NA VALIDADE")</f>
        <v/>
      </c>
      <c r="B131" s="60" t="inlineStr">
        <is>
          <t>SUBESTAÇÃO</t>
        </is>
      </c>
      <c r="C131" s="61" t="inlineStr">
        <is>
          <t>SE EXU</t>
        </is>
      </c>
      <c r="D131" s="82" t="inlineStr">
        <is>
          <t>EXU</t>
        </is>
      </c>
      <c r="E131" s="75" t="inlineStr">
        <is>
          <t>PE</t>
        </is>
      </c>
      <c r="F131" s="75" t="inlineStr">
        <is>
          <t>CABO DE SANTO AGOSTINHO</t>
        </is>
      </c>
      <c r="G131" s="119" t="n">
        <v>45566</v>
      </c>
      <c r="H131" s="119">
        <f>G131-180</f>
        <v/>
      </c>
      <c r="I131" s="60">
        <f>SUM(K131:AD131)</f>
        <v/>
      </c>
      <c r="J131" s="60">
        <f>SUM(AE131:AI131)</f>
        <v/>
      </c>
      <c r="K131" s="60" t="n"/>
      <c r="L131" s="60" t="n"/>
      <c r="M131" s="60" t="n"/>
      <c r="N131" s="60" t="n"/>
      <c r="O131" s="60" t="n"/>
      <c r="P131" s="60" t="n">
        <v>2</v>
      </c>
      <c r="Q131" s="60" t="n"/>
      <c r="R131" s="60" t="n"/>
      <c r="S131" s="60" t="n"/>
      <c r="T131" s="60" t="n"/>
      <c r="U131" s="60" t="n"/>
      <c r="V131" s="60" t="n"/>
      <c r="W131" s="60" t="n"/>
      <c r="X131" s="60" t="n"/>
      <c r="Y131" s="60" t="n"/>
      <c r="Z131" s="60" t="n">
        <v>1</v>
      </c>
      <c r="AA131" s="60" t="n"/>
      <c r="AB131" s="60" t="n"/>
      <c r="AC131" s="60" t="n"/>
      <c r="AD131" s="60" t="n"/>
      <c r="AE131" s="60" t="n"/>
      <c r="AF131" s="60" t="n"/>
      <c r="AG131" s="60" t="n"/>
      <c r="AH131" s="60" t="n"/>
      <c r="AI131" s="60" t="n"/>
      <c r="AJ131" s="120">
        <f>IF(K131&gt;0,K131*(82.29+8.15),0)+IF(L131&gt;0,L131*(8.15+339.97),0)+IF(M131&gt;0,M131*151.63,0)+IF(N131&gt;0,N131*197.82,0)+IF(O131&gt;0,O131*244.09,0)+IF(P131&gt;0,P131*315.35,0)+IF(Q131&gt;0,Q131*1067.3,0)+IF(S131&gt;0,S131*567.47,0)+IF(T131&gt;0,T131*151.63,0)+IF(U131&gt;0,U131*197.84,0)+IF(V131&gt;0,V131*470.51,0)+IF(W131&gt;0,W131*701.69,0)+IF(Y131&gt;0,Y131*151.63,0)+IF(Z131&gt;0,Z131*197.84)+IF(AA131&gt;0,AA131*308.4,0)+IF(AB131&gt;0,AB131*496.16,0)</f>
        <v/>
      </c>
    </row>
    <row r="132">
      <c r="A132" s="59">
        <f>IF(G132&lt;$A$1,"VENCIDO","NA VALIDADE")</f>
        <v/>
      </c>
      <c r="B132" s="60" t="inlineStr">
        <is>
          <t>UTD</t>
        </is>
      </c>
      <c r="C132" s="61" t="inlineStr">
        <is>
          <t>UTD FLORESTA E BASE . OP</t>
        </is>
      </c>
      <c r="D132" s="82" t="inlineStr">
        <is>
          <t>FLORESTA</t>
        </is>
      </c>
      <c r="E132" s="75" t="inlineStr">
        <is>
          <t>PE</t>
        </is>
      </c>
      <c r="F132" s="75" t="inlineStr">
        <is>
          <t>CABO DE SANTO AGOSTINHO</t>
        </is>
      </c>
      <c r="G132" s="119" t="n">
        <v>45536</v>
      </c>
      <c r="H132" s="119">
        <f>G132-180</f>
        <v/>
      </c>
      <c r="I132" s="60">
        <f>SUM(K132:AD132)</f>
        <v/>
      </c>
      <c r="J132" s="60">
        <f>SUM(AE132:AI132)</f>
        <v/>
      </c>
      <c r="K132" s="60" t="n"/>
      <c r="L132" s="60" t="n"/>
      <c r="M132" s="60" t="n">
        <v>1</v>
      </c>
      <c r="N132" s="60" t="n"/>
      <c r="O132" s="60" t="n"/>
      <c r="P132" s="60" t="n"/>
      <c r="Q132" s="60" t="n"/>
      <c r="R132" s="60" t="n"/>
      <c r="S132" s="60" t="n"/>
      <c r="T132" s="60" t="n">
        <v>2</v>
      </c>
      <c r="U132" s="60" t="n"/>
      <c r="V132" s="60" t="n"/>
      <c r="W132" s="60" t="n"/>
      <c r="X132" s="60" t="n"/>
      <c r="Y132" s="60" t="n"/>
      <c r="Z132" s="60" t="n">
        <v>2</v>
      </c>
      <c r="AA132" s="60" t="n"/>
      <c r="AB132" s="60" t="n"/>
      <c r="AC132" s="60" t="n"/>
      <c r="AD132" s="60" t="n"/>
      <c r="AE132" s="60" t="n"/>
      <c r="AF132" s="60" t="n"/>
      <c r="AG132" s="60" t="n"/>
      <c r="AH132" s="60" t="n"/>
      <c r="AI132" s="60" t="n"/>
      <c r="AJ132" s="120">
        <f>IF(K132&gt;0,K132*(82.29+8.15),0)+IF(L132&gt;0,L132*(8.15+339.97),0)+IF(M132&gt;0,M132*151.63,0)+IF(N132&gt;0,N132*197.82,0)+IF(O132&gt;0,O132*244.09,0)+IF(P132&gt;0,P132*315.35,0)+IF(Q132&gt;0,Q132*1067.3,0)+IF(S132&gt;0,S132*567.47,0)+IF(T132&gt;0,T132*151.63,0)+IF(U132&gt;0,U132*197.84,0)+IF(V132&gt;0,V132*470.51,0)+IF(W132&gt;0,W132*701.69,0)+IF(Y132&gt;0,Y132*151.63,0)+IF(Z132&gt;0,Z132*197.84)+IF(AA132&gt;0,AA132*308.4,0)+IF(AB132&gt;0,AB132*496.16,0)</f>
        <v/>
      </c>
    </row>
    <row r="133">
      <c r="A133" s="59">
        <f>IF(G133&lt;$A$1,"VENCIDO","NA VALIDADE")</f>
        <v/>
      </c>
      <c r="B133" s="60" t="inlineStr">
        <is>
          <t>SUBESTAÇÃO</t>
        </is>
      </c>
      <c r="C133" s="61" t="inlineStr">
        <is>
          <t>SE SEC GARANHUNS</t>
        </is>
      </c>
      <c r="D133" s="82" t="inlineStr">
        <is>
          <t>GARANHUNS</t>
        </is>
      </c>
      <c r="E133" s="75" t="inlineStr">
        <is>
          <t>PE</t>
        </is>
      </c>
      <c r="F133" s="75" t="inlineStr">
        <is>
          <t>CABO DE SANTO AGOSTINHO</t>
        </is>
      </c>
      <c r="G133" s="119" t="n">
        <v>45413</v>
      </c>
      <c r="H133" s="119" t="n">
        <v>45413</v>
      </c>
      <c r="I133" s="60">
        <f>SUM(K133:AD133)</f>
        <v/>
      </c>
      <c r="J133" s="60">
        <f>SUM(AE133:AI133)</f>
        <v/>
      </c>
      <c r="K133" s="60" t="n"/>
      <c r="L133" s="60" t="n"/>
      <c r="M133" s="60" t="n"/>
      <c r="N133" s="60" t="n"/>
      <c r="O133" s="60" t="n"/>
      <c r="P133" s="60" t="n">
        <v>2</v>
      </c>
      <c r="Q133" s="60" t="n"/>
      <c r="R133" s="60" t="n"/>
      <c r="S133" s="60" t="n"/>
      <c r="T133" s="60" t="n"/>
      <c r="U133" s="60" t="n"/>
      <c r="V133" s="60" t="n"/>
      <c r="W133" s="60" t="n"/>
      <c r="X133" s="60" t="n"/>
      <c r="Y133" s="60" t="n"/>
      <c r="Z133" s="60" t="n">
        <v>1</v>
      </c>
      <c r="AA133" s="60" t="n"/>
      <c r="AB133" s="60" t="n"/>
      <c r="AC133" s="60" t="n"/>
      <c r="AD133" s="60" t="n"/>
      <c r="AE133" s="60" t="n"/>
      <c r="AF133" s="60" t="n"/>
      <c r="AG133" s="60" t="n"/>
      <c r="AH133" s="60" t="n"/>
      <c r="AI133" s="60" t="n"/>
      <c r="AJ133" s="120">
        <f>IF(K133&gt;0,K133*(82.29+8.15),0)+IF(L133&gt;0,L133*(8.15+339.97),0)+IF(M133&gt;0,M133*151.63,0)+IF(N133&gt;0,N133*197.82,0)+IF(O133&gt;0,O133*244.09,0)+IF(P133&gt;0,P133*315.35,0)+IF(Q133&gt;0,Q133*1067.3,0)+IF(S133&gt;0,S133*567.47,0)+IF(T133&gt;0,T133*151.63,0)+IF(U133&gt;0,U133*197.84,0)+IF(V133&gt;0,V133*470.51,0)+IF(W133&gt;0,W133*701.69,0)+IF(Y133&gt;0,Y133*151.63,0)+IF(Z133&gt;0,Z133*197.84)+IF(AA133&gt;0,AA133*308.4,0)+IF(AB133&gt;0,AB133*496.16,0)</f>
        <v/>
      </c>
    </row>
    <row r="134">
      <c r="A134" s="59">
        <f>IF(G134&lt;$A$1,"VENCIDO","NA VALIDADE")</f>
        <v/>
      </c>
      <c r="B134" s="60" t="inlineStr">
        <is>
          <t>SUBESTAÇÃO</t>
        </is>
      </c>
      <c r="C134" s="61" t="inlineStr">
        <is>
          <t>SE GAZOMETRO</t>
        </is>
      </c>
      <c r="D134" s="82" t="inlineStr">
        <is>
          <t>RECIFE</t>
        </is>
      </c>
      <c r="E134" s="75" t="inlineStr">
        <is>
          <t>PE</t>
        </is>
      </c>
      <c r="F134" s="75" t="inlineStr">
        <is>
          <t>CABO DE SANTO AGOSTINHO</t>
        </is>
      </c>
      <c r="G134" s="119" t="n">
        <v>45505</v>
      </c>
      <c r="H134" s="119">
        <f>G134-180</f>
        <v/>
      </c>
      <c r="I134" s="60">
        <f>SUM(K134:AD134)</f>
        <v/>
      </c>
      <c r="J134" s="60">
        <f>SUM(AE134:AI134)</f>
        <v/>
      </c>
      <c r="K134" s="60" t="n"/>
      <c r="L134" s="60" t="n"/>
      <c r="M134" s="60" t="n"/>
      <c r="N134" s="60" t="n">
        <v>1</v>
      </c>
      <c r="O134" s="60" t="n">
        <v>1</v>
      </c>
      <c r="P134" s="60" t="n"/>
      <c r="Q134" s="60" t="n"/>
      <c r="R134" s="60" t="n"/>
      <c r="S134" s="60" t="n"/>
      <c r="T134" s="60" t="n"/>
      <c r="U134" s="60" t="n"/>
      <c r="V134" s="60" t="n"/>
      <c r="W134" s="60" t="n"/>
      <c r="X134" s="60" t="n"/>
      <c r="Y134" s="60" t="n"/>
      <c r="Z134" s="60" t="n">
        <v>1</v>
      </c>
      <c r="AA134" s="60" t="n"/>
      <c r="AB134" s="60" t="n"/>
      <c r="AC134" s="60" t="n"/>
      <c r="AD134" s="60" t="n"/>
      <c r="AE134" s="60" t="n"/>
      <c r="AF134" s="60" t="n"/>
      <c r="AG134" s="60" t="n"/>
      <c r="AH134" s="60" t="n"/>
      <c r="AI134" s="60" t="n"/>
      <c r="AJ134" s="120">
        <f>IF(K134&gt;0,K134*(82.29+8.15),0)+IF(L134&gt;0,L134*(8.15+339.97),0)+IF(M134&gt;0,M134*151.63,0)+IF(N134&gt;0,N134*197.82,0)+IF(O134&gt;0,O134*244.09,0)+IF(P134&gt;0,P134*315.35,0)+IF(Q134&gt;0,Q134*1067.3,0)+IF(S134&gt;0,S134*567.47,0)+IF(T134&gt;0,T134*151.63,0)+IF(U134&gt;0,U134*197.84,0)+IF(V134&gt;0,V134*470.51,0)+IF(W134&gt;0,W134*701.69,0)+IF(Y134&gt;0,Y134*151.63,0)+IF(Z134&gt;0,Z134*197.84)+IF(AA134&gt;0,AA134*308.4,0)+IF(AB134&gt;0,AB134*496.16,0)</f>
        <v/>
      </c>
    </row>
    <row r="135">
      <c r="A135" s="59">
        <f>IF(G135&lt;$A$1,"VENCIDO","NA VALIDADE")</f>
        <v/>
      </c>
      <c r="B135" s="60" t="inlineStr">
        <is>
          <t>SUBESTAÇÃO</t>
        </is>
      </c>
      <c r="C135" s="61" t="inlineStr">
        <is>
          <t>SE GRAVATÁ l</t>
        </is>
      </c>
      <c r="D135" s="82" t="inlineStr">
        <is>
          <t>GRAVATA</t>
        </is>
      </c>
      <c r="E135" s="75" t="inlineStr">
        <is>
          <t>PE</t>
        </is>
      </c>
      <c r="F135" s="75" t="inlineStr">
        <is>
          <t>CABO DE SANTO AGOSTINHO</t>
        </is>
      </c>
      <c r="G135" s="119" t="n">
        <v>45505</v>
      </c>
      <c r="H135" s="119">
        <f>G135-180</f>
        <v/>
      </c>
      <c r="I135" s="60">
        <f>SUM(K135:AD135)</f>
        <v/>
      </c>
      <c r="J135" s="60">
        <f>SUM(AE135:AI135)</f>
        <v/>
      </c>
      <c r="K135" s="60" t="n"/>
      <c r="L135" s="60" t="n"/>
      <c r="M135" s="60" t="n"/>
      <c r="N135" s="60" t="n"/>
      <c r="O135" s="60" t="n"/>
      <c r="P135" s="60" t="n">
        <v>2</v>
      </c>
      <c r="Q135" s="60" t="n"/>
      <c r="R135" s="60" t="n"/>
      <c r="S135" s="60" t="n"/>
      <c r="T135" s="60" t="n"/>
      <c r="U135" s="60" t="n"/>
      <c r="V135" s="60" t="n"/>
      <c r="W135" s="60" t="n"/>
      <c r="X135" s="60" t="n"/>
      <c r="Y135" s="60" t="n"/>
      <c r="Z135" s="60" t="n">
        <v>1</v>
      </c>
      <c r="AA135" s="60" t="n"/>
      <c r="AB135" s="60" t="n"/>
      <c r="AC135" s="60" t="n"/>
      <c r="AD135" s="60" t="n"/>
      <c r="AE135" s="60" t="n"/>
      <c r="AF135" s="60" t="n"/>
      <c r="AG135" s="60" t="n"/>
      <c r="AH135" s="60" t="n"/>
      <c r="AI135" s="60" t="n"/>
      <c r="AJ135" s="120">
        <f>IF(K135&gt;0,K135*(82.29+8.15),0)+IF(L135&gt;0,L135*(8.15+339.97),0)+IF(M135&gt;0,M135*151.63,0)+IF(N135&gt;0,N135*197.82,0)+IF(O135&gt;0,O135*244.09,0)+IF(P135&gt;0,P135*315.35,0)+IF(Q135&gt;0,Q135*1067.3,0)+IF(S135&gt;0,S135*567.47,0)+IF(T135&gt;0,T135*151.63,0)+IF(U135&gt;0,U135*197.84,0)+IF(V135&gt;0,V135*470.51,0)+IF(W135&gt;0,W135*701.69,0)+IF(Y135&gt;0,Y135*151.63,0)+IF(Z135&gt;0,Z135*197.84)+IF(AA135&gt;0,AA135*308.4,0)+IF(AB135&gt;0,AB135*496.16,0)</f>
        <v/>
      </c>
    </row>
    <row r="136">
      <c r="A136" s="59">
        <f>IF(G136&lt;$A$1,"VENCIDO","NA VALIDADE")</f>
        <v/>
      </c>
      <c r="B136" s="60" t="inlineStr">
        <is>
          <t>SUBESTAÇÃO</t>
        </is>
      </c>
      <c r="C136" s="61" t="inlineStr">
        <is>
          <t>SE GRAVATÁ ll</t>
        </is>
      </c>
      <c r="D136" s="82" t="inlineStr">
        <is>
          <t>GRAVATA</t>
        </is>
      </c>
      <c r="E136" s="75" t="inlineStr">
        <is>
          <t>PE</t>
        </is>
      </c>
      <c r="F136" s="75" t="inlineStr">
        <is>
          <t>CABO DE SANTO AGOSTINHO</t>
        </is>
      </c>
      <c r="G136" s="119" t="n">
        <v>45505</v>
      </c>
      <c r="H136" s="119">
        <f>G136-180</f>
        <v/>
      </c>
      <c r="I136" s="60">
        <f>SUM(K136:AD136)</f>
        <v/>
      </c>
      <c r="J136" s="60">
        <f>SUM(AE136:AI136)</f>
        <v/>
      </c>
      <c r="K136" s="60" t="n"/>
      <c r="L136" s="60" t="n"/>
      <c r="M136" s="60" t="n"/>
      <c r="N136" s="60" t="n"/>
      <c r="O136" s="60" t="n"/>
      <c r="P136" s="60" t="n"/>
      <c r="Q136" s="60" t="n"/>
      <c r="R136" s="60" t="n"/>
      <c r="S136" s="60" t="n"/>
      <c r="T136" s="60" t="n"/>
      <c r="U136" s="60" t="n"/>
      <c r="V136" s="60" t="n"/>
      <c r="W136" s="60" t="n"/>
      <c r="X136" s="60" t="n"/>
      <c r="Y136" s="60" t="n"/>
      <c r="Z136" s="60" t="n">
        <v>1</v>
      </c>
      <c r="AA136" s="60" t="n"/>
      <c r="AB136" s="60" t="n"/>
      <c r="AC136" s="60" t="n"/>
      <c r="AD136" s="60" t="n"/>
      <c r="AE136" s="60" t="n"/>
      <c r="AF136" s="60" t="n"/>
      <c r="AG136" s="60" t="n"/>
      <c r="AH136" s="60" t="n"/>
      <c r="AI136" s="60" t="n"/>
      <c r="AJ136" s="120">
        <f>IF(K136&gt;0,K136*(82.29+8.15),0)+IF(L136&gt;0,L136*(8.15+339.97),0)+IF(M136&gt;0,M136*151.63,0)+IF(N136&gt;0,N136*197.82,0)+IF(O136&gt;0,O136*244.09,0)+IF(P136&gt;0,P136*315.35,0)+IF(Q136&gt;0,Q136*1067.3,0)+IF(S136&gt;0,S136*567.47,0)+IF(T136&gt;0,T136*151.63,0)+IF(U136&gt;0,U136*197.84,0)+IF(V136&gt;0,V136*470.51,0)+IF(W136&gt;0,W136*701.69,0)+IF(Y136&gt;0,Y136*151.63,0)+IF(Z136&gt;0,Z136*197.84)+IF(AA136&gt;0,AA136*308.4,0)+IF(AB136&gt;0,AB136*496.16,0)</f>
        <v/>
      </c>
    </row>
    <row r="137">
      <c r="A137" s="59">
        <f>IF(G137&lt;$A$1,"VENCIDO","NA VALIDADE")</f>
        <v/>
      </c>
      <c r="B137" s="60" t="inlineStr">
        <is>
          <t>SUBESTAÇÃO</t>
        </is>
      </c>
      <c r="C137" s="61" t="inlineStr">
        <is>
          <t>SE HELIÓPOLIS</t>
        </is>
      </c>
      <c r="D137" s="82" t="inlineStr">
        <is>
          <t>GARANHUNS</t>
        </is>
      </c>
      <c r="E137" s="75" t="inlineStr">
        <is>
          <t>PE</t>
        </is>
      </c>
      <c r="F137" s="75" t="inlineStr">
        <is>
          <t>CABO DE SANTO AGOSTINHO</t>
        </is>
      </c>
      <c r="G137" s="119" t="n">
        <v>45413</v>
      </c>
      <c r="H137" s="119" t="n">
        <v>45413</v>
      </c>
      <c r="I137" s="60">
        <f>SUM(K137:AD137)</f>
        <v/>
      </c>
      <c r="J137" s="60">
        <f>SUM(AE137:AI137)</f>
        <v/>
      </c>
      <c r="K137" s="60" t="n"/>
      <c r="L137" s="60" t="n"/>
      <c r="M137" s="60" t="n"/>
      <c r="N137" s="60" t="n"/>
      <c r="O137" s="60" t="n"/>
      <c r="P137" s="60" t="n"/>
      <c r="Q137" s="60" t="n"/>
      <c r="R137" s="60" t="n"/>
      <c r="S137" s="60" t="n">
        <v>1</v>
      </c>
      <c r="T137" s="60" t="n"/>
      <c r="U137" s="60" t="n"/>
      <c r="V137" s="60" t="n"/>
      <c r="W137" s="60" t="n"/>
      <c r="X137" s="60" t="n"/>
      <c r="Y137" s="60" t="n"/>
      <c r="Z137" s="60" t="n">
        <v>1</v>
      </c>
      <c r="AA137" s="60" t="n"/>
      <c r="AB137" s="60" t="n"/>
      <c r="AC137" s="60" t="n"/>
      <c r="AD137" s="60" t="n"/>
      <c r="AE137" s="60" t="n"/>
      <c r="AF137" s="60" t="n"/>
      <c r="AG137" s="60" t="n"/>
      <c r="AH137" s="60" t="n"/>
      <c r="AI137" s="60" t="n"/>
      <c r="AJ137" s="120">
        <f>IF(K137&gt;0,K137*(82.29+8.15),0)+IF(L137&gt;0,L137*(8.15+339.97),0)+IF(M137&gt;0,M137*151.63,0)+IF(N137&gt;0,N137*197.82,0)+IF(O137&gt;0,O137*244.09,0)+IF(P137&gt;0,P137*315.35,0)+IF(Q137&gt;0,Q137*1067.3,0)+IF(S137&gt;0,S137*567.47,0)+IF(T137&gt;0,T137*151.63,0)+IF(U137&gt;0,U137*197.84,0)+IF(V137&gt;0,V137*470.51,0)+IF(W137&gt;0,W137*701.69,0)+IF(Y137&gt;0,Y137*151.63,0)+IF(Z137&gt;0,Z137*197.84)+IF(AA137&gt;0,AA137*308.4,0)+IF(AB137&gt;0,AB137*496.16,0)</f>
        <v/>
      </c>
    </row>
    <row r="138">
      <c r="A138" s="59">
        <f>IF(G138&lt;$A$1,"VENCIDO","NA VALIDADE")</f>
        <v/>
      </c>
      <c r="B138" s="60" t="inlineStr">
        <is>
          <t>SUBESTAÇÃO</t>
        </is>
      </c>
      <c r="C138" s="61" t="inlineStr">
        <is>
          <t>SE IBIMIRIM</t>
        </is>
      </c>
      <c r="D138" s="82" t="inlineStr">
        <is>
          <t>IBIMIRIM</t>
        </is>
      </c>
      <c r="E138" s="75" t="inlineStr">
        <is>
          <t>PE</t>
        </is>
      </c>
      <c r="F138" s="75" t="inlineStr">
        <is>
          <t>CABO DE SANTO AGOSTINHO</t>
        </is>
      </c>
      <c r="G138" s="119" t="n">
        <v>45323</v>
      </c>
      <c r="H138" s="119" t="n">
        <v>45323</v>
      </c>
      <c r="I138" s="60">
        <f>SUM(K138:AD138)</f>
        <v/>
      </c>
      <c r="J138" s="60">
        <f>SUM(AE138:AI138)</f>
        <v/>
      </c>
      <c r="K138" s="60" t="n"/>
      <c r="L138" s="60" t="n"/>
      <c r="M138" s="60" t="n"/>
      <c r="N138" s="60" t="n"/>
      <c r="O138" s="60" t="n"/>
      <c r="P138" s="60" t="n">
        <v>2</v>
      </c>
      <c r="Q138" s="60" t="n"/>
      <c r="R138" s="60" t="n"/>
      <c r="S138" s="60" t="n"/>
      <c r="T138" s="60" t="n"/>
      <c r="U138" s="60" t="n"/>
      <c r="V138" s="60" t="n"/>
      <c r="W138" s="60" t="n"/>
      <c r="X138" s="60" t="n"/>
      <c r="Y138" s="60" t="n"/>
      <c r="Z138" s="60" t="n">
        <v>1</v>
      </c>
      <c r="AA138" s="60" t="n"/>
      <c r="AB138" s="60" t="n"/>
      <c r="AC138" s="60" t="n"/>
      <c r="AD138" s="60" t="n"/>
      <c r="AE138" s="60" t="n"/>
      <c r="AF138" s="60" t="n"/>
      <c r="AG138" s="60" t="n"/>
      <c r="AH138" s="60" t="n"/>
      <c r="AI138" s="60" t="n"/>
      <c r="AJ138" s="120">
        <f>IF(K138&gt;0,K138*(82.29+8.15),0)+IF(L138&gt;0,L138*(8.15+339.97),0)+IF(M138&gt;0,M138*151.63,0)+IF(N138&gt;0,N138*197.82,0)+IF(O138&gt;0,O138*244.09,0)+IF(P138&gt;0,P138*315.35,0)+IF(Q138&gt;0,Q138*1067.3,0)+IF(S138&gt;0,S138*567.47,0)+IF(T138&gt;0,T138*151.63,0)+IF(U138&gt;0,U138*197.84,0)+IF(V138&gt;0,V138*470.51,0)+IF(W138&gt;0,W138*701.69,0)+IF(Y138&gt;0,Y138*151.63,0)+IF(Z138&gt;0,Z138*197.84)+IF(AA138&gt;0,AA138*308.4,0)+IF(AB138&gt;0,AB138*496.16,0)</f>
        <v/>
      </c>
    </row>
    <row r="139">
      <c r="A139" s="59">
        <f>IF(G139&lt;$A$1,"VENCIDO","NA VALIDADE")</f>
        <v/>
      </c>
      <c r="B139" s="60" t="inlineStr">
        <is>
          <t>SUBESTAÇÃO</t>
        </is>
      </c>
      <c r="C139" s="61" t="inlineStr">
        <is>
          <t>SE IBURA</t>
        </is>
      </c>
      <c r="D139" s="82" t="inlineStr">
        <is>
          <t>RECIFE</t>
        </is>
      </c>
      <c r="E139" s="75" t="inlineStr">
        <is>
          <t>PE</t>
        </is>
      </c>
      <c r="F139" s="75" t="inlineStr">
        <is>
          <t>CABO DE SANTO AGOSTINHO</t>
        </is>
      </c>
      <c r="G139" s="119" t="n">
        <v>45505</v>
      </c>
      <c r="H139" s="119">
        <f>G139-180</f>
        <v/>
      </c>
      <c r="I139" s="60">
        <f>SUM(K139:AD139)</f>
        <v/>
      </c>
      <c r="J139" s="60">
        <f>SUM(AE139:AI139)</f>
        <v/>
      </c>
      <c r="K139" s="60" t="n"/>
      <c r="L139" s="60" t="n"/>
      <c r="M139" s="60" t="n"/>
      <c r="N139" s="60" t="n">
        <v>1</v>
      </c>
      <c r="O139" s="60" t="n"/>
      <c r="P139" s="60" t="n">
        <v>1</v>
      </c>
      <c r="Q139" s="60" t="n"/>
      <c r="R139" s="60" t="n"/>
      <c r="S139" s="60" t="n"/>
      <c r="T139" s="60" t="n"/>
      <c r="U139" s="60" t="n"/>
      <c r="V139" s="60" t="n"/>
      <c r="W139" s="60" t="n"/>
      <c r="X139" s="60" t="n"/>
      <c r="Y139" s="60" t="n"/>
      <c r="Z139" s="60" t="n">
        <v>1</v>
      </c>
      <c r="AA139" s="60" t="n"/>
      <c r="AB139" s="60" t="n"/>
      <c r="AC139" s="60" t="n"/>
      <c r="AD139" s="60" t="n"/>
      <c r="AE139" s="60" t="n"/>
      <c r="AF139" s="60" t="n"/>
      <c r="AG139" s="60" t="n"/>
      <c r="AH139" s="60" t="n"/>
      <c r="AI139" s="60" t="n"/>
      <c r="AJ139" s="120">
        <f>IF(K139&gt;0,K139*(82.29+8.15),0)+IF(L139&gt;0,L139*(8.15+339.97),0)+IF(M139&gt;0,M139*151.63,0)+IF(N139&gt;0,N139*197.82,0)+IF(O139&gt;0,O139*244.09,0)+IF(P139&gt;0,P139*315.35,0)+IF(Q139&gt;0,Q139*1067.3,0)+IF(S139&gt;0,S139*567.47,0)+IF(T139&gt;0,T139*151.63,0)+IF(U139&gt;0,U139*197.84,0)+IF(V139&gt;0,V139*470.51,0)+IF(W139&gt;0,W139*701.69,0)+IF(Y139&gt;0,Y139*151.63,0)+IF(Z139&gt;0,Z139*197.84)+IF(AA139&gt;0,AA139*308.4,0)+IF(AB139&gt;0,AB139*496.16,0)</f>
        <v/>
      </c>
    </row>
    <row r="140">
      <c r="A140" s="59">
        <f>IF(G140&lt;$A$1,"VENCIDO","NA VALIDADE")</f>
        <v/>
      </c>
      <c r="B140" s="60" t="inlineStr">
        <is>
          <t>SUBESTAÇÃO</t>
        </is>
      </c>
      <c r="C140" s="61" t="inlineStr">
        <is>
          <t>SE IGARASSU</t>
        </is>
      </c>
      <c r="D140" s="82" t="inlineStr">
        <is>
          <t>IGARASSU</t>
        </is>
      </c>
      <c r="E140" s="75" t="inlineStr">
        <is>
          <t>PE</t>
        </is>
      </c>
      <c r="F140" s="75" t="inlineStr">
        <is>
          <t>CABO DE SANTO AGOSTINHO</t>
        </is>
      </c>
      <c r="G140" s="119" t="n">
        <v>45413</v>
      </c>
      <c r="H140" s="119" t="n">
        <v>45413</v>
      </c>
      <c r="I140" s="60">
        <f>SUM(K140:AD140)</f>
        <v/>
      </c>
      <c r="J140" s="60">
        <f>SUM(AE140:AI140)</f>
        <v/>
      </c>
      <c r="K140" s="60" t="n"/>
      <c r="L140" s="60" t="n"/>
      <c r="M140" s="60" t="n"/>
      <c r="N140" s="60" t="n"/>
      <c r="O140" s="60" t="n"/>
      <c r="P140" s="60" t="n">
        <v>2</v>
      </c>
      <c r="Q140" s="60" t="n"/>
      <c r="R140" s="60" t="n"/>
      <c r="S140" s="60" t="n"/>
      <c r="T140" s="60" t="n"/>
      <c r="U140" s="60" t="n"/>
      <c r="V140" s="60" t="n"/>
      <c r="W140" s="60" t="n"/>
      <c r="X140" s="60" t="n"/>
      <c r="Y140" s="60" t="n"/>
      <c r="Z140" s="60" t="n">
        <v>1</v>
      </c>
      <c r="AA140" s="60" t="n"/>
      <c r="AB140" s="60" t="n"/>
      <c r="AC140" s="60" t="n"/>
      <c r="AD140" s="60" t="n"/>
      <c r="AE140" s="60" t="n"/>
      <c r="AF140" s="60" t="n"/>
      <c r="AG140" s="60" t="n"/>
      <c r="AH140" s="60" t="n"/>
      <c r="AI140" s="60" t="n"/>
      <c r="AJ140" s="120">
        <f>IF(K140&gt;0,K140*(82.29+8.15),0)+IF(L140&gt;0,L140*(8.15+339.97),0)+IF(M140&gt;0,M140*151.63,0)+IF(N140&gt;0,N140*197.82,0)+IF(O140&gt;0,O140*244.09,0)+IF(P140&gt;0,P140*315.35,0)+IF(Q140&gt;0,Q140*1067.3,0)+IF(S140&gt;0,S140*567.47,0)+IF(T140&gt;0,T140*151.63,0)+IF(U140&gt;0,U140*197.84,0)+IF(V140&gt;0,V140*470.51,0)+IF(W140&gt;0,W140*701.69,0)+IF(Y140&gt;0,Y140*151.63,0)+IF(Z140&gt;0,Z140*197.84)+IF(AA140&gt;0,AA140*308.4,0)+IF(AB140&gt;0,AB140*496.16,0)</f>
        <v/>
      </c>
    </row>
    <row r="141">
      <c r="A141" s="59">
        <f>IF(G141&lt;$A$1,"VENCIDO","NA VALIDADE")</f>
        <v/>
      </c>
      <c r="B141" s="60" t="inlineStr">
        <is>
          <t>SUBESTAÇÃO</t>
        </is>
      </c>
      <c r="C141" s="61" t="inlineStr">
        <is>
          <t>SE ILHA DO LEITE</t>
        </is>
      </c>
      <c r="D141" s="82" t="inlineStr">
        <is>
          <t>RECIFE</t>
        </is>
      </c>
      <c r="E141" s="75" t="inlineStr">
        <is>
          <t>PE</t>
        </is>
      </c>
      <c r="F141" s="75" t="inlineStr">
        <is>
          <t>CABO DE SANTO AGOSTINHO</t>
        </is>
      </c>
      <c r="G141" s="119" t="n">
        <v>45383</v>
      </c>
      <c r="H141" s="119" t="n">
        <v>45383</v>
      </c>
      <c r="I141" s="60">
        <f>SUM(K141:AD141)</f>
        <v/>
      </c>
      <c r="J141" s="60">
        <f>SUM(AE141:AI141)</f>
        <v/>
      </c>
      <c r="K141" s="60" t="n"/>
      <c r="L141" s="60" t="n"/>
      <c r="M141" s="60" t="n"/>
      <c r="N141" s="60" t="n"/>
      <c r="O141" s="60" t="n"/>
      <c r="P141" s="60" t="n"/>
      <c r="Q141" s="60" t="n"/>
      <c r="R141" s="60" t="n"/>
      <c r="S141" s="60" t="n">
        <v>3</v>
      </c>
      <c r="T141" s="60" t="n"/>
      <c r="U141" s="60" t="n"/>
      <c r="V141" s="60" t="n"/>
      <c r="W141" s="60" t="n"/>
      <c r="X141" s="60" t="n"/>
      <c r="Y141" s="60" t="n"/>
      <c r="Z141" s="60" t="n">
        <v>2</v>
      </c>
      <c r="AA141" s="60" t="n"/>
      <c r="AB141" s="60" t="n"/>
      <c r="AC141" s="60" t="n"/>
      <c r="AD141" s="60" t="n"/>
      <c r="AE141" s="60" t="n"/>
      <c r="AF141" s="60" t="n"/>
      <c r="AG141" s="60" t="n"/>
      <c r="AH141" s="60" t="n"/>
      <c r="AI141" s="60" t="n"/>
      <c r="AJ141" s="120">
        <f>IF(K141&gt;0,K141*(82.29+8.15),0)+IF(L141&gt;0,L141*(8.15+339.97),0)+IF(M141&gt;0,M141*151.63,0)+IF(N141&gt;0,N141*197.82,0)+IF(O141&gt;0,O141*244.09,0)+IF(P141&gt;0,P141*315.35,0)+IF(Q141&gt;0,Q141*1067.3,0)+IF(S141&gt;0,S141*567.47,0)+IF(T141&gt;0,T141*151.63,0)+IF(U141&gt;0,U141*197.84,0)+IF(V141&gt;0,V141*470.51,0)+IF(W141&gt;0,W141*701.69,0)+IF(Y141&gt;0,Y141*151.63,0)+IF(Z141&gt;0,Z141*197.84)+IF(AA141&gt;0,AA141*308.4,0)+IF(AB141&gt;0,AB141*496.16,0)</f>
        <v/>
      </c>
    </row>
    <row r="142">
      <c r="A142" s="59">
        <f>IF(G142&lt;$A$1,"VENCIDO","NA VALIDADE")</f>
        <v/>
      </c>
      <c r="B142" s="60" t="inlineStr">
        <is>
          <t>SUBESTAÇÃO</t>
        </is>
      </c>
      <c r="C142" s="61" t="inlineStr">
        <is>
          <t>SE ILHA DO RETIRO ( RECIFE )</t>
        </is>
      </c>
      <c r="D142" s="82" t="inlineStr">
        <is>
          <t>ILHA DO RETIRO</t>
        </is>
      </c>
      <c r="E142" s="75" t="inlineStr">
        <is>
          <t>PE</t>
        </is>
      </c>
      <c r="F142" s="75" t="inlineStr">
        <is>
          <t>CABO DE SANTO AGOSTINHO</t>
        </is>
      </c>
      <c r="G142" s="119" t="n">
        <v>45444</v>
      </c>
      <c r="H142" s="119" t="n">
        <v>45444</v>
      </c>
      <c r="I142" s="60">
        <f>SUM(K142:AD142)</f>
        <v/>
      </c>
      <c r="J142" s="60">
        <f>SUM(AE142:AI142)</f>
        <v/>
      </c>
      <c r="K142" s="60" t="n"/>
      <c r="L142" s="60" t="n"/>
      <c r="M142" s="60" t="n"/>
      <c r="N142" s="60" t="n"/>
      <c r="O142" s="60" t="n"/>
      <c r="P142" s="60" t="n">
        <v>2</v>
      </c>
      <c r="Q142" s="60" t="n"/>
      <c r="R142" s="60" t="n"/>
      <c r="S142" s="60" t="n"/>
      <c r="T142" s="60" t="n"/>
      <c r="U142" s="60" t="n"/>
      <c r="V142" s="60" t="n"/>
      <c r="W142" s="60" t="n"/>
      <c r="X142" s="60" t="n"/>
      <c r="Y142" s="60" t="n"/>
      <c r="Z142" s="60" t="n">
        <v>1</v>
      </c>
      <c r="AA142" s="60" t="n"/>
      <c r="AB142" s="60" t="n"/>
      <c r="AC142" s="60" t="n"/>
      <c r="AD142" s="60" t="n"/>
      <c r="AE142" s="60" t="n"/>
      <c r="AF142" s="60" t="n"/>
      <c r="AG142" s="60" t="n"/>
      <c r="AH142" s="60" t="n"/>
      <c r="AI142" s="60" t="n"/>
      <c r="AJ142" s="120">
        <f>IF(K142&gt;0,K142*(82.29+8.15),0)+IF(L142&gt;0,L142*(8.15+339.97),0)+IF(M142&gt;0,M142*151.63,0)+IF(N142&gt;0,N142*197.82,0)+IF(O142&gt;0,O142*244.09,0)+IF(P142&gt;0,P142*315.35,0)+IF(Q142&gt;0,Q142*1067.3,0)+IF(S142&gt;0,S142*567.47,0)+IF(T142&gt;0,T142*151.63,0)+IF(U142&gt;0,U142*197.84,0)+IF(V142&gt;0,V142*470.51,0)+IF(W142&gt;0,W142*701.69,0)+IF(Y142&gt;0,Y142*151.63,0)+IF(Z142&gt;0,Z142*197.84)+IF(AA142&gt;0,AA142*308.4,0)+IF(AB142&gt;0,AB142*496.16,0)</f>
        <v/>
      </c>
    </row>
    <row r="143">
      <c r="A143" s="59">
        <f>IF(G143&lt;$A$1,"VENCIDO","NA VALIDADE")</f>
        <v/>
      </c>
      <c r="B143" s="60" t="inlineStr">
        <is>
          <t>SUBESTAÇÃO</t>
        </is>
      </c>
      <c r="C143" s="61" t="inlineStr">
        <is>
          <t>SE IMBIRIBEIRA</t>
        </is>
      </c>
      <c r="D143" s="82" t="inlineStr">
        <is>
          <t>RECIFE</t>
        </is>
      </c>
      <c r="E143" s="75" t="inlineStr">
        <is>
          <t>PE</t>
        </is>
      </c>
      <c r="F143" s="75" t="inlineStr">
        <is>
          <t>CABO DE SANTO AGOSTINHO</t>
        </is>
      </c>
      <c r="G143" s="119" t="n">
        <v>45413</v>
      </c>
      <c r="H143" s="119" t="n">
        <v>45413</v>
      </c>
      <c r="I143" s="60">
        <f>SUM(K143:AD143)</f>
        <v/>
      </c>
      <c r="J143" s="60">
        <f>SUM(AE143:AI143)</f>
        <v/>
      </c>
      <c r="K143" s="60" t="n"/>
      <c r="L143" s="60" t="n"/>
      <c r="M143" s="60" t="n"/>
      <c r="N143" s="60" t="n"/>
      <c r="O143" s="60" t="n"/>
      <c r="P143" s="60" t="n"/>
      <c r="Q143" s="60" t="n"/>
      <c r="R143" s="60" t="n"/>
      <c r="S143" s="60" t="n"/>
      <c r="T143" s="60" t="n"/>
      <c r="U143" s="60" t="n"/>
      <c r="V143" s="60" t="n"/>
      <c r="W143" s="60" t="n"/>
      <c r="X143" s="60" t="n"/>
      <c r="Y143" s="60" t="n"/>
      <c r="Z143" s="60" t="n">
        <v>3</v>
      </c>
      <c r="AA143" s="60" t="n"/>
      <c r="AB143" s="60" t="n"/>
      <c r="AC143" s="60" t="n"/>
      <c r="AD143" s="60" t="n"/>
      <c r="AE143" s="60" t="n"/>
      <c r="AF143" s="60" t="n"/>
      <c r="AG143" s="60" t="n"/>
      <c r="AH143" s="60" t="n"/>
      <c r="AI143" s="60" t="n"/>
      <c r="AJ143" s="120">
        <f>IF(K143&gt;0,K143*(82.29+8.15),0)+IF(L143&gt;0,L143*(8.15+339.97),0)+IF(M143&gt;0,M143*151.63,0)+IF(N143&gt;0,N143*197.82,0)+IF(O143&gt;0,O143*244.09,0)+IF(P143&gt;0,P143*315.35,0)+IF(Q143&gt;0,Q143*1067.3,0)+IF(S143&gt;0,S143*567.47,0)+IF(T143&gt;0,T143*151.63,0)+IF(U143&gt;0,U143*197.84,0)+IF(V143&gt;0,V143*470.51,0)+IF(W143&gt;0,W143*701.69,0)+IF(Y143&gt;0,Y143*151.63,0)+IF(Z143&gt;0,Z143*197.84)+IF(AA143&gt;0,AA143*308.4,0)+IF(AB143&gt;0,AB143*496.16,0)</f>
        <v/>
      </c>
    </row>
    <row r="144">
      <c r="A144" s="59">
        <f>IF(G144&lt;$A$1,"VENCIDO","NA VALIDADE")</f>
        <v/>
      </c>
      <c r="B144" s="60" t="inlineStr">
        <is>
          <t>SUBESTAÇÃO</t>
        </is>
      </c>
      <c r="C144" s="61" t="inlineStr">
        <is>
          <t>SE IPUTINGA</t>
        </is>
      </c>
      <c r="D144" s="82" t="inlineStr">
        <is>
          <t>RECIFE</t>
        </is>
      </c>
      <c r="E144" s="75" t="inlineStr">
        <is>
          <t>PE</t>
        </is>
      </c>
      <c r="F144" s="75" t="inlineStr">
        <is>
          <t>CABO DE SANTO AGOSTINHO</t>
        </is>
      </c>
      <c r="G144" s="119" t="n">
        <v>45444</v>
      </c>
      <c r="H144" s="119" t="n">
        <v>45444</v>
      </c>
      <c r="I144" s="60">
        <f>SUM(K144:AD144)</f>
        <v/>
      </c>
      <c r="J144" s="60">
        <f>SUM(AE144:AI144)</f>
        <v/>
      </c>
      <c r="K144" s="60" t="n"/>
      <c r="L144" s="60" t="n"/>
      <c r="M144" s="60" t="n"/>
      <c r="N144" s="60" t="n"/>
      <c r="O144" s="60" t="n"/>
      <c r="P144" s="60" t="n"/>
      <c r="Q144" s="60" t="n">
        <v>1</v>
      </c>
      <c r="R144" s="60" t="n"/>
      <c r="S144" s="60" t="n">
        <v>2</v>
      </c>
      <c r="T144" s="60" t="n"/>
      <c r="U144" s="60" t="n"/>
      <c r="V144" s="60" t="n"/>
      <c r="W144" s="60" t="n"/>
      <c r="X144" s="60" t="n"/>
      <c r="Y144" s="60" t="n"/>
      <c r="Z144" s="60" t="n">
        <v>2</v>
      </c>
      <c r="AA144" s="60" t="n"/>
      <c r="AB144" s="60" t="n"/>
      <c r="AC144" s="60" t="n"/>
      <c r="AD144" s="60" t="n"/>
      <c r="AE144" s="60" t="n"/>
      <c r="AF144" s="60" t="n"/>
      <c r="AG144" s="60" t="n"/>
      <c r="AH144" s="60" t="n"/>
      <c r="AI144" s="60" t="n"/>
      <c r="AJ144" s="120">
        <f>IF(K144&gt;0,K144*(82.29+8.15),0)+IF(L144&gt;0,L144*(8.15+339.97),0)+IF(M144&gt;0,M144*151.63,0)+IF(N144&gt;0,N144*197.82,0)+IF(O144&gt;0,O144*244.09,0)+IF(P144&gt;0,P144*315.35,0)+IF(Q144&gt;0,Q144*1067.3,0)+IF(S144&gt;0,S144*567.47,0)+IF(T144&gt;0,T144*151.63,0)+IF(U144&gt;0,U144*197.84,0)+IF(V144&gt;0,V144*470.51,0)+IF(W144&gt;0,W144*701.69,0)+IF(Y144&gt;0,Y144*151.63,0)+IF(Z144&gt;0,Z144*197.84)+IF(AA144&gt;0,AA144*308.4,0)+IF(AB144&gt;0,AB144*496.16,0)</f>
        <v/>
      </c>
    </row>
    <row r="145">
      <c r="A145" s="59">
        <f>IF(G145&lt;$A$1,"VENCIDO","NA VALIDADE")</f>
        <v/>
      </c>
      <c r="B145" s="60" t="inlineStr">
        <is>
          <t>SUBESTAÇÃO</t>
        </is>
      </c>
      <c r="C145" s="61" t="inlineStr">
        <is>
          <t>SE ITAPISSUMA</t>
        </is>
      </c>
      <c r="D145" s="82" t="inlineStr">
        <is>
          <t>ITAPISSUMA</t>
        </is>
      </c>
      <c r="E145" s="75" t="inlineStr">
        <is>
          <t>PE</t>
        </is>
      </c>
      <c r="F145" s="75" t="inlineStr">
        <is>
          <t>CABO DE SANTO AGOSTINHO</t>
        </is>
      </c>
      <c r="G145" s="119" t="n">
        <v>45323</v>
      </c>
      <c r="H145" s="119" t="n">
        <v>45323</v>
      </c>
      <c r="I145" s="60">
        <f>SUM(K145:AD145)</f>
        <v/>
      </c>
      <c r="J145" s="60">
        <f>SUM(AE145:AI145)</f>
        <v/>
      </c>
      <c r="K145" s="60" t="n"/>
      <c r="L145" s="60" t="n"/>
      <c r="M145" s="60" t="n"/>
      <c r="N145" s="60" t="n">
        <v>2</v>
      </c>
      <c r="O145" s="60" t="n"/>
      <c r="P145" s="60" t="n"/>
      <c r="Q145" s="60" t="n"/>
      <c r="R145" s="60" t="n"/>
      <c r="S145" s="60" t="n"/>
      <c r="T145" s="60" t="n"/>
      <c r="U145" s="60" t="n"/>
      <c r="V145" s="60" t="n"/>
      <c r="W145" s="60" t="n"/>
      <c r="X145" s="60" t="n"/>
      <c r="Y145" s="60" t="n"/>
      <c r="Z145" s="60" t="n">
        <v>1</v>
      </c>
      <c r="AA145" s="60" t="n"/>
      <c r="AB145" s="60" t="n"/>
      <c r="AC145" s="60" t="n"/>
      <c r="AD145" s="60" t="n"/>
      <c r="AE145" s="60" t="n"/>
      <c r="AF145" s="60" t="n"/>
      <c r="AG145" s="60" t="n"/>
      <c r="AH145" s="60" t="n"/>
      <c r="AI145" s="60" t="n"/>
      <c r="AJ145" s="120">
        <f>IF(K145&gt;0,K145*(82.29+8.15),0)+IF(L145&gt;0,L145*(8.15+339.97),0)+IF(M145&gt;0,M145*151.63,0)+IF(N145&gt;0,N145*197.82,0)+IF(O145&gt;0,O145*244.09,0)+IF(P145&gt;0,P145*315.35,0)+IF(Q145&gt;0,Q145*1067.3,0)+IF(S145&gt;0,S145*567.47,0)+IF(T145&gt;0,T145*151.63,0)+IF(U145&gt;0,U145*197.84,0)+IF(V145&gt;0,V145*470.51,0)+IF(W145&gt;0,W145*701.69,0)+IF(Y145&gt;0,Y145*151.63,0)+IF(Z145&gt;0,Z145*197.84)+IF(AA145&gt;0,AA145*308.4,0)+IF(AB145&gt;0,AB145*496.16,0)</f>
        <v/>
      </c>
    </row>
    <row r="146">
      <c r="A146" s="59">
        <f>IF(G146&lt;$A$1,"VENCIDO","NA VALIDADE")</f>
        <v/>
      </c>
      <c r="B146" s="60" t="inlineStr">
        <is>
          <t>AGÊNCIA</t>
        </is>
      </c>
      <c r="C146" s="61" t="inlineStr">
        <is>
          <t>AGÊNCIA JABOATÃO</t>
        </is>
      </c>
      <c r="D146" s="82" t="inlineStr">
        <is>
          <t>JABOATÃO DOS GUARARAPES</t>
        </is>
      </c>
      <c r="E146" s="75" t="inlineStr">
        <is>
          <t>PE</t>
        </is>
      </c>
      <c r="F146" s="75" t="inlineStr">
        <is>
          <t>CABO DE SANTO AGOSTINHO</t>
        </is>
      </c>
      <c r="G146" s="119" t="n">
        <v>45474</v>
      </c>
      <c r="H146" s="119">
        <f>G146-180</f>
        <v/>
      </c>
      <c r="I146" s="60">
        <f>SUM(K146:AD146)</f>
        <v/>
      </c>
      <c r="J146" s="60">
        <f>SUM(AE146:AI146)</f>
        <v/>
      </c>
      <c r="K146" s="60" t="n"/>
      <c r="L146" s="60" t="n"/>
      <c r="M146" s="60" t="n"/>
      <c r="N146" s="60" t="n">
        <v>1</v>
      </c>
      <c r="O146" s="60" t="n"/>
      <c r="P146" s="60" t="n"/>
      <c r="Q146" s="60" t="n"/>
      <c r="R146" s="60" t="n"/>
      <c r="S146" s="60" t="n"/>
      <c r="T146" s="60" t="n"/>
      <c r="U146" s="60" t="n"/>
      <c r="V146" s="60" t="n"/>
      <c r="W146" s="60" t="n"/>
      <c r="X146" s="60" t="n"/>
      <c r="Y146" s="60" t="n"/>
      <c r="Z146" s="60" t="n">
        <v>2</v>
      </c>
      <c r="AA146" s="60" t="n"/>
      <c r="AB146" s="60" t="n"/>
      <c r="AC146" s="60" t="n"/>
      <c r="AD146" s="60" t="n"/>
      <c r="AE146" s="60" t="n"/>
      <c r="AF146" s="60" t="n"/>
      <c r="AG146" s="60" t="n"/>
      <c r="AH146" s="60" t="n"/>
      <c r="AI146" s="60" t="n"/>
      <c r="AJ146" s="120">
        <f>IF(K146&gt;0,K146*(82.29+8.15),0)+IF(L146&gt;0,L146*(8.15+339.97),0)+IF(M146&gt;0,M146*151.63,0)+IF(N146&gt;0,N146*197.82,0)+IF(O146&gt;0,O146*244.09,0)+IF(P146&gt;0,P146*315.35,0)+IF(Q146&gt;0,Q146*1067.3,0)+IF(S146&gt;0,S146*567.47,0)+IF(T146&gt;0,T146*151.63,0)+IF(U146&gt;0,U146*197.84,0)+IF(V146&gt;0,V146*470.51,0)+IF(W146&gt;0,W146*701.69,0)+IF(Y146&gt;0,Y146*151.63,0)+IF(Z146&gt;0,Z146*197.84)+IF(AA146&gt;0,AA146*308.4,0)+IF(AB146&gt;0,AB146*496.16,0)</f>
        <v/>
      </c>
    </row>
    <row r="147">
      <c r="A147" s="59">
        <f>IF(G147&lt;$A$1,"VENCIDO","NA VALIDADE")</f>
        <v/>
      </c>
      <c r="B147" s="60" t="inlineStr">
        <is>
          <t>SUBESTAÇÃO</t>
        </is>
      </c>
      <c r="C147" s="61" t="inlineStr">
        <is>
          <t>SE JOÃO DE BARROS</t>
        </is>
      </c>
      <c r="D147" s="82" t="inlineStr">
        <is>
          <t>RECIFE</t>
        </is>
      </c>
      <c r="E147" s="75" t="inlineStr">
        <is>
          <t>PE</t>
        </is>
      </c>
      <c r="F147" s="75" t="inlineStr">
        <is>
          <t>CABO DE SANTO AGOSTINHO</t>
        </is>
      </c>
      <c r="G147" s="119" t="n">
        <v>45444</v>
      </c>
      <c r="H147" s="119" t="n">
        <v>45444</v>
      </c>
      <c r="I147" s="60">
        <f>SUM(K147:AD147)</f>
        <v/>
      </c>
      <c r="J147" s="60">
        <f>SUM(AE147:AI147)</f>
        <v/>
      </c>
      <c r="K147" s="60" t="n"/>
      <c r="L147" s="60" t="n"/>
      <c r="M147" s="60" t="n"/>
      <c r="N147" s="60" t="n"/>
      <c r="O147" s="60" t="n"/>
      <c r="P147" s="60" t="n">
        <v>2</v>
      </c>
      <c r="Q147" s="60" t="n"/>
      <c r="R147" s="60" t="n"/>
      <c r="S147" s="60" t="n"/>
      <c r="T147" s="60" t="n"/>
      <c r="U147" s="60" t="n"/>
      <c r="V147" s="60" t="n"/>
      <c r="W147" s="60" t="n"/>
      <c r="X147" s="60" t="n"/>
      <c r="Y147" s="60" t="n"/>
      <c r="Z147" s="60" t="n">
        <v>2</v>
      </c>
      <c r="AA147" s="60" t="n"/>
      <c r="AB147" s="60" t="n"/>
      <c r="AC147" s="60" t="n"/>
      <c r="AD147" s="60" t="n"/>
      <c r="AE147" s="60" t="n"/>
      <c r="AF147" s="60" t="n"/>
      <c r="AG147" s="60" t="n"/>
      <c r="AH147" s="60" t="n"/>
      <c r="AI147" s="60" t="n"/>
      <c r="AJ147" s="120">
        <f>IF(K147&gt;0,K147*(82.29+8.15),0)+IF(L147&gt;0,L147*(8.15+339.97),0)+IF(M147&gt;0,M147*151.63,0)+IF(N147&gt;0,N147*197.82,0)+IF(O147&gt;0,O147*244.09,0)+IF(P147&gt;0,P147*315.35,0)+IF(Q147&gt;0,Q147*1067.3,0)+IF(S147&gt;0,S147*567.47,0)+IF(T147&gt;0,T147*151.63,0)+IF(U147&gt;0,U147*197.84,0)+IF(V147&gt;0,V147*470.51,0)+IF(W147&gt;0,W147*701.69,0)+IF(Y147&gt;0,Y147*151.63,0)+IF(Z147&gt;0,Z147*197.84)+IF(AA147&gt;0,AA147*308.4,0)+IF(AB147&gt;0,AB147*496.16,0)</f>
        <v/>
      </c>
    </row>
    <row r="148">
      <c r="A148" s="59">
        <f>IF(G148&lt;$A$1,"VENCIDO","NA VALIDADE")</f>
        <v/>
      </c>
      <c r="B148" s="60" t="inlineStr">
        <is>
          <t>SUBESTAÇÃO</t>
        </is>
      </c>
      <c r="C148" s="61" t="inlineStr">
        <is>
          <t xml:space="preserve">SE JUSSARAL </t>
        </is>
      </c>
      <c r="D148" s="82" t="inlineStr">
        <is>
          <t>ESCADA</t>
        </is>
      </c>
      <c r="E148" s="75" t="inlineStr">
        <is>
          <t>PE</t>
        </is>
      </c>
      <c r="F148" s="75" t="inlineStr">
        <is>
          <t>CABO DE SANTO AGOSTINHO</t>
        </is>
      </c>
      <c r="G148" s="119" t="n">
        <v>45536</v>
      </c>
      <c r="H148" s="119">
        <f>G148-180</f>
        <v/>
      </c>
      <c r="I148" s="60">
        <f>SUM(K148:AD148)</f>
        <v/>
      </c>
      <c r="J148" s="60">
        <f>SUM(AE148:AI148)</f>
        <v/>
      </c>
      <c r="K148" s="60" t="n"/>
      <c r="L148" s="60" t="n"/>
      <c r="M148" s="60" t="n"/>
      <c r="N148" s="60" t="n"/>
      <c r="O148" s="60" t="n"/>
      <c r="P148" s="60" t="n"/>
      <c r="Q148" s="60" t="n"/>
      <c r="R148" s="60" t="n"/>
      <c r="S148" s="60" t="n"/>
      <c r="T148" s="60" t="n"/>
      <c r="U148" s="60" t="n"/>
      <c r="V148" s="60" t="n"/>
      <c r="W148" s="60" t="n"/>
      <c r="X148" s="60" t="n"/>
      <c r="Y148" s="60" t="n"/>
      <c r="Z148" s="60" t="n">
        <v>1</v>
      </c>
      <c r="AA148" s="60" t="n"/>
      <c r="AB148" s="60" t="n"/>
      <c r="AC148" s="60" t="n"/>
      <c r="AD148" s="60" t="n"/>
      <c r="AE148" s="60" t="n"/>
      <c r="AF148" s="60" t="n"/>
      <c r="AG148" s="60" t="n"/>
      <c r="AH148" s="60" t="n"/>
      <c r="AI148" s="60" t="n"/>
      <c r="AJ148" s="120">
        <f>IF(K148&gt;0,K148*(82.29+8.15),0)+IF(L148&gt;0,L148*(8.15+339.97),0)+IF(M148&gt;0,M148*151.63,0)+IF(N148&gt;0,N148*197.82,0)+IF(O148&gt;0,O148*244.09,0)+IF(P148&gt;0,P148*315.35,0)+IF(Q148&gt;0,Q148*1067.3,0)+IF(S148&gt;0,S148*567.47,0)+IF(T148&gt;0,T148*151.63,0)+IF(U148&gt;0,U148*197.84,0)+IF(V148&gt;0,V148*470.51,0)+IF(W148&gt;0,W148*701.69,0)+IF(Y148&gt;0,Y148*151.63,0)+IF(Z148&gt;0,Z148*197.84)+IF(AA148&gt;0,AA148*308.4,0)+IF(AB148&gt;0,AB148*496.16,0)</f>
        <v/>
      </c>
    </row>
    <row r="149">
      <c r="A149" s="59">
        <f>IF(G149&lt;$A$1,"VENCIDO","NA VALIDADE")</f>
        <v/>
      </c>
      <c r="B149" s="60" t="inlineStr">
        <is>
          <t>SUBESTAÇÃO</t>
        </is>
      </c>
      <c r="C149" s="61" t="inlineStr">
        <is>
          <t>SE MACAXEIRA</t>
        </is>
      </c>
      <c r="D149" s="82" t="inlineStr">
        <is>
          <t>RECIFE</t>
        </is>
      </c>
      <c r="E149" s="75" t="inlineStr">
        <is>
          <t>PE</t>
        </is>
      </c>
      <c r="F149" s="75" t="inlineStr">
        <is>
          <t>CABO DE SANTO AGOSTINHO</t>
        </is>
      </c>
      <c r="G149" s="119" t="n">
        <v>45505</v>
      </c>
      <c r="H149" s="119">
        <f>G149-180</f>
        <v/>
      </c>
      <c r="I149" s="60">
        <f>SUM(K149:AD149)</f>
        <v/>
      </c>
      <c r="J149" s="60">
        <f>SUM(AE149:AI149)</f>
        <v/>
      </c>
      <c r="K149" s="60" t="n"/>
      <c r="L149" s="60" t="n"/>
      <c r="M149" s="60" t="n"/>
      <c r="N149" s="60" t="n"/>
      <c r="O149" s="60" t="n"/>
      <c r="P149" s="60" t="n">
        <v>2</v>
      </c>
      <c r="Q149" s="60" t="n"/>
      <c r="R149" s="60" t="n"/>
      <c r="S149" s="60" t="n"/>
      <c r="T149" s="60" t="n"/>
      <c r="U149" s="60" t="n"/>
      <c r="V149" s="60" t="n"/>
      <c r="W149" s="60" t="n"/>
      <c r="X149" s="60" t="n"/>
      <c r="Y149" s="60" t="n"/>
      <c r="Z149" s="60" t="n">
        <v>1</v>
      </c>
      <c r="AA149" s="60" t="n"/>
      <c r="AB149" s="60" t="n"/>
      <c r="AC149" s="60" t="n"/>
      <c r="AD149" s="60" t="n"/>
      <c r="AE149" s="60" t="n"/>
      <c r="AF149" s="60" t="n"/>
      <c r="AG149" s="60" t="n"/>
      <c r="AH149" s="60" t="n"/>
      <c r="AI149" s="60" t="n"/>
      <c r="AJ149" s="120">
        <f>IF(K149&gt;0,K149*(82.29+8.15),0)+IF(L149&gt;0,L149*(8.15+339.97),0)+IF(M149&gt;0,M149*151.63,0)+IF(N149&gt;0,N149*197.82,0)+IF(O149&gt;0,O149*244.09,0)+IF(P149&gt;0,P149*315.35,0)+IF(Q149&gt;0,Q149*1067.3,0)+IF(S149&gt;0,S149*567.47,0)+IF(T149&gt;0,T149*151.63,0)+IF(U149&gt;0,U149*197.84,0)+IF(V149&gt;0,V149*470.51,0)+IF(W149&gt;0,W149*701.69,0)+IF(Y149&gt;0,Y149*151.63,0)+IF(Z149&gt;0,Z149*197.84)+IF(AA149&gt;0,AA149*308.4,0)+IF(AB149&gt;0,AB149*496.16,0)</f>
        <v/>
      </c>
    </row>
    <row r="150">
      <c r="A150" s="59">
        <f>IF(G150&lt;$A$1,"VENCIDO","NA VALIDADE")</f>
        <v/>
      </c>
      <c r="B150" s="60" t="inlineStr">
        <is>
          <t>SUBESTAÇÃO</t>
        </is>
      </c>
      <c r="C150" s="61" t="inlineStr">
        <is>
          <t xml:space="preserve">SE MASSANGANO </t>
        </is>
      </c>
      <c r="D150" s="82" t="inlineStr">
        <is>
          <t>PETROLINA</t>
        </is>
      </c>
      <c r="E150" s="75" t="inlineStr">
        <is>
          <t>PE</t>
        </is>
      </c>
      <c r="F150" s="75" t="inlineStr">
        <is>
          <t>CABO DE SANTO AGOSTINHO</t>
        </is>
      </c>
      <c r="G150" s="119" t="n">
        <v>45383</v>
      </c>
      <c r="H150" s="119" t="n">
        <v>45017</v>
      </c>
      <c r="I150" s="60">
        <f>SUM(K150:AD150)</f>
        <v/>
      </c>
      <c r="J150" s="60">
        <f>SUM(AE150:AI150)</f>
        <v/>
      </c>
      <c r="K150" s="60" t="n"/>
      <c r="L150" s="60" t="n"/>
      <c r="M150" s="60" t="n"/>
      <c r="N150" s="60" t="n"/>
      <c r="O150" s="60" t="n"/>
      <c r="P150" s="60" t="n">
        <v>2</v>
      </c>
      <c r="Q150" s="60" t="n"/>
      <c r="R150" s="60" t="n"/>
      <c r="S150" s="60" t="n"/>
      <c r="T150" s="60" t="n"/>
      <c r="U150" s="60" t="n"/>
      <c r="V150" s="60" t="n"/>
      <c r="W150" s="60" t="n"/>
      <c r="X150" s="60" t="n"/>
      <c r="Y150" s="60" t="n"/>
      <c r="Z150" s="60" t="n">
        <v>2</v>
      </c>
      <c r="AA150" s="60" t="n"/>
      <c r="AB150" s="60" t="n"/>
      <c r="AC150" s="60" t="n"/>
      <c r="AD150" s="60" t="n"/>
      <c r="AE150" s="60" t="n"/>
      <c r="AF150" s="60" t="n"/>
      <c r="AG150" s="60" t="n"/>
      <c r="AH150" s="60" t="n"/>
      <c r="AI150" s="60" t="n"/>
      <c r="AJ150" s="120">
        <f>IF(K150&gt;0,K150*(82.29+8.15),0)+IF(L150&gt;0,L150*(8.15+339.97),0)+IF(M150&gt;0,M150*151.63,0)+IF(N150&gt;0,N150*197.82,0)+IF(O150&gt;0,O150*244.09,0)+IF(P150&gt;0,P150*315.35,0)+IF(Q150&gt;0,Q150*1067.3,0)+IF(S150&gt;0,S150*567.47,0)+IF(T150&gt;0,T150*151.63,0)+IF(U150&gt;0,U150*197.84,0)+IF(V150&gt;0,V150*470.51,0)+IF(W150&gt;0,W150*701.69,0)+IF(Y150&gt;0,Y150*151.63,0)+IF(Z150&gt;0,Z150*197.84)+IF(AA150&gt;0,AA150*308.4,0)+IF(AB150&gt;0,AB150*496.16,0)</f>
        <v/>
      </c>
    </row>
    <row r="151">
      <c r="A151" s="59">
        <f>IF(G151&lt;$A$1,"VENCIDO","NA VALIDADE")</f>
        <v/>
      </c>
      <c r="B151" s="60" t="inlineStr">
        <is>
          <t>SUBESTAÇÃO</t>
        </is>
      </c>
      <c r="C151" s="61" t="inlineStr">
        <is>
          <t>SE MASSANGANO I</t>
        </is>
      </c>
      <c r="D151" s="82" t="inlineStr">
        <is>
          <t>PETROLINA</t>
        </is>
      </c>
      <c r="E151" s="75" t="inlineStr">
        <is>
          <t>PE</t>
        </is>
      </c>
      <c r="F151" s="75" t="inlineStr">
        <is>
          <t>CABO DE SANTO AGOSTINHO</t>
        </is>
      </c>
      <c r="G151" s="119" t="n">
        <v>45536</v>
      </c>
      <c r="H151" s="119">
        <f>G151-180</f>
        <v/>
      </c>
      <c r="I151" s="60">
        <f>SUM(K151:AD151)</f>
        <v/>
      </c>
      <c r="J151" s="60">
        <f>SUM(AE151:AI151)</f>
        <v/>
      </c>
      <c r="K151" s="60" t="n"/>
      <c r="L151" s="60" t="n"/>
      <c r="M151" s="60" t="n"/>
      <c r="N151" s="60" t="n"/>
      <c r="O151" s="60" t="n"/>
      <c r="P151" s="60" t="n">
        <v>2</v>
      </c>
      <c r="Q151" s="60" t="n"/>
      <c r="R151" s="60" t="n"/>
      <c r="S151" s="60" t="n"/>
      <c r="T151" s="60" t="n"/>
      <c r="U151" s="60" t="n"/>
      <c r="V151" s="60" t="n"/>
      <c r="W151" s="60" t="n"/>
      <c r="X151" s="60" t="n"/>
      <c r="Y151" s="60" t="n"/>
      <c r="Z151" s="60" t="n">
        <v>2</v>
      </c>
      <c r="AA151" s="60" t="n"/>
      <c r="AB151" s="60" t="n"/>
      <c r="AC151" s="60" t="n"/>
      <c r="AD151" s="60" t="n"/>
      <c r="AE151" s="60" t="n"/>
      <c r="AF151" s="60" t="n"/>
      <c r="AG151" s="60" t="n"/>
      <c r="AH151" s="60" t="n"/>
      <c r="AI151" s="60" t="n"/>
      <c r="AJ151" s="120">
        <f>IF(K151&gt;0,K151*(82.29+8.15),0)+IF(L151&gt;0,L151*(8.15+339.97),0)+IF(M151&gt;0,M151*151.63,0)+IF(N151&gt;0,N151*197.82,0)+IF(O151&gt;0,O151*244.09,0)+IF(P151&gt;0,P151*315.35,0)+IF(Q151&gt;0,Q151*1067.3,0)+IF(S151&gt;0,S151*567.47,0)+IF(T151&gt;0,T151*151.63,0)+IF(U151&gt;0,U151*197.84,0)+IF(V151&gt;0,V151*470.51,0)+IF(W151&gt;0,W151*701.69,0)+IF(Y151&gt;0,Y151*151.63,0)+IF(Z151&gt;0,Z151*197.84)+IF(AA151&gt;0,AA151*308.4,0)+IF(AB151&gt;0,AB151*496.16,0)</f>
        <v/>
      </c>
    </row>
    <row r="152">
      <c r="A152" s="59">
        <f>IF(G152&lt;$A$1,"VENCIDO","NA VALIDADE")</f>
        <v/>
      </c>
      <c r="B152" s="60" t="inlineStr">
        <is>
          <t>SUBESTAÇÃO</t>
        </is>
      </c>
      <c r="C152" s="61" t="inlineStr">
        <is>
          <t>SE MASSANGANO II</t>
        </is>
      </c>
      <c r="D152" s="82" t="inlineStr">
        <is>
          <t>PETROLINA</t>
        </is>
      </c>
      <c r="E152" s="75" t="inlineStr">
        <is>
          <t>PE</t>
        </is>
      </c>
      <c r="F152" s="75" t="inlineStr">
        <is>
          <t>CABO DE SANTO AGOSTINHO</t>
        </is>
      </c>
      <c r="G152" s="119" t="n">
        <v>45536</v>
      </c>
      <c r="H152" s="119">
        <f>G152-180</f>
        <v/>
      </c>
      <c r="I152" s="60">
        <f>SUM(K152:AD152)</f>
        <v/>
      </c>
      <c r="J152" s="60">
        <f>SUM(AE152:AI152)</f>
        <v/>
      </c>
      <c r="K152" s="60" t="n"/>
      <c r="L152" s="60" t="n"/>
      <c r="M152" s="60" t="n"/>
      <c r="N152" s="60" t="n"/>
      <c r="O152" s="60" t="n"/>
      <c r="P152" s="60" t="n">
        <v>2</v>
      </c>
      <c r="Q152" s="60" t="n"/>
      <c r="R152" s="60" t="n"/>
      <c r="S152" s="60" t="n"/>
      <c r="T152" s="60" t="n"/>
      <c r="U152" s="60" t="n"/>
      <c r="V152" s="60" t="n"/>
      <c r="W152" s="60" t="n"/>
      <c r="X152" s="60" t="n"/>
      <c r="Y152" s="60" t="n"/>
      <c r="Z152" s="60" t="n">
        <v>1</v>
      </c>
      <c r="AA152" s="60" t="n"/>
      <c r="AB152" s="60" t="n"/>
      <c r="AC152" s="60" t="n"/>
      <c r="AD152" s="60" t="n"/>
      <c r="AE152" s="60" t="n"/>
      <c r="AF152" s="60" t="n"/>
      <c r="AG152" s="60" t="n"/>
      <c r="AH152" s="60" t="n"/>
      <c r="AI152" s="60" t="n"/>
      <c r="AJ152" s="120">
        <f>IF(K152&gt;0,K152*(82.29+8.15),0)+IF(L152&gt;0,L152*(8.15+339.97),0)+IF(M152&gt;0,M152*151.63,0)+IF(N152&gt;0,N152*197.82,0)+IF(O152&gt;0,O152*244.09,0)+IF(P152&gt;0,P152*315.35,0)+IF(Q152&gt;0,Q152*1067.3,0)+IF(S152&gt;0,S152*567.47,0)+IF(T152&gt;0,T152*151.63,0)+IF(U152&gt;0,U152*197.84,0)+IF(V152&gt;0,V152*470.51,0)+IF(W152&gt;0,W152*701.69,0)+IF(Y152&gt;0,Y152*151.63,0)+IF(Z152&gt;0,Z152*197.84)+IF(AA152&gt;0,AA152*308.4,0)+IF(AB152&gt;0,AB152*496.16,0)</f>
        <v/>
      </c>
    </row>
    <row r="153">
      <c r="A153" s="59">
        <f>IF(G153&lt;$A$1,"VENCIDO","NA VALIDADE")</f>
        <v/>
      </c>
      <c r="B153" s="60" t="inlineStr">
        <is>
          <t>SUBESTAÇÃO</t>
        </is>
      </c>
      <c r="C153" s="61" t="inlineStr">
        <is>
          <t>SE MASSANGANO III</t>
        </is>
      </c>
      <c r="D153" s="82" t="inlineStr">
        <is>
          <t>PETROLINA</t>
        </is>
      </c>
      <c r="E153" s="75" t="inlineStr">
        <is>
          <t>PE</t>
        </is>
      </c>
      <c r="F153" s="75" t="inlineStr">
        <is>
          <t>CABO DE SANTO AGOSTINHO</t>
        </is>
      </c>
      <c r="G153" s="119" t="n">
        <v>45536</v>
      </c>
      <c r="H153" s="119">
        <f>G153-180</f>
        <v/>
      </c>
      <c r="I153" s="60">
        <f>SUM(K153:AD153)</f>
        <v/>
      </c>
      <c r="J153" s="60">
        <f>SUM(AE153:AI153)</f>
        <v/>
      </c>
      <c r="K153" s="60" t="n"/>
      <c r="L153" s="60" t="n"/>
      <c r="M153" s="60" t="n"/>
      <c r="N153" s="60" t="n"/>
      <c r="O153" s="60" t="n">
        <v>1</v>
      </c>
      <c r="P153" s="60" t="n">
        <v>1</v>
      </c>
      <c r="Q153" s="60" t="n"/>
      <c r="R153" s="60" t="n"/>
      <c r="S153" s="60" t="n"/>
      <c r="T153" s="60" t="n"/>
      <c r="U153" s="60" t="n"/>
      <c r="V153" s="60" t="n"/>
      <c r="W153" s="60" t="n"/>
      <c r="X153" s="60" t="n"/>
      <c r="Y153" s="60" t="n"/>
      <c r="Z153" s="60" t="n">
        <v>1</v>
      </c>
      <c r="AA153" s="60" t="n"/>
      <c r="AB153" s="60" t="n"/>
      <c r="AC153" s="60" t="n"/>
      <c r="AD153" s="60" t="n"/>
      <c r="AE153" s="60" t="n"/>
      <c r="AF153" s="60" t="n"/>
      <c r="AG153" s="60" t="n"/>
      <c r="AH153" s="60" t="n"/>
      <c r="AI153" s="60" t="n"/>
      <c r="AJ153" s="120">
        <f>IF(K153&gt;0,K153*(82.29+8.15),0)+IF(L153&gt;0,L153*(8.15+339.97),0)+IF(M153&gt;0,M153*151.63,0)+IF(N153&gt;0,N153*197.82,0)+IF(O153&gt;0,O153*244.09,0)+IF(P153&gt;0,P153*315.35,0)+IF(Q153&gt;0,Q153*1067.3,0)+IF(S153&gt;0,S153*567.47,0)+IF(T153&gt;0,T153*151.63,0)+IF(U153&gt;0,U153*197.84,0)+IF(V153&gt;0,V153*470.51,0)+IF(W153&gt;0,W153*701.69,0)+IF(Y153&gt;0,Y153*151.63,0)+IF(Z153&gt;0,Z153*197.84)+IF(AA153&gt;0,AA153*308.4,0)+IF(AB153&gt;0,AB153*496.16,0)</f>
        <v/>
      </c>
    </row>
    <row r="154">
      <c r="A154" s="59">
        <f>IF(G154&lt;$A$1,"VENCIDO","NA VALIDADE")</f>
        <v/>
      </c>
      <c r="B154" s="60" t="inlineStr">
        <is>
          <t>SUBESTAÇÃO</t>
        </is>
      </c>
      <c r="C154" s="61" t="inlineStr">
        <is>
          <t>SE MORENO</t>
        </is>
      </c>
      <c r="D154" s="82" t="inlineStr">
        <is>
          <t>MORENO</t>
        </is>
      </c>
      <c r="E154" s="75" t="inlineStr">
        <is>
          <t>PE</t>
        </is>
      </c>
      <c r="F154" s="75" t="inlineStr">
        <is>
          <t>CABO DE SANTO AGOSTINHO</t>
        </is>
      </c>
      <c r="G154" s="119" t="n">
        <v>45474</v>
      </c>
      <c r="H154" s="119" t="n">
        <v>45474</v>
      </c>
      <c r="I154" s="60">
        <f>SUM(K154:AD154)</f>
        <v/>
      </c>
      <c r="J154" s="60">
        <f>SUM(AE154:AI154)</f>
        <v/>
      </c>
      <c r="K154" s="60" t="n"/>
      <c r="L154" s="60" t="n"/>
      <c r="M154" s="60" t="n"/>
      <c r="N154" s="60" t="n"/>
      <c r="O154" s="60" t="n"/>
      <c r="P154" s="60" t="n">
        <v>2</v>
      </c>
      <c r="Q154" s="60" t="n"/>
      <c r="R154" s="60" t="n"/>
      <c r="S154" s="60" t="n"/>
      <c r="T154" s="60" t="n"/>
      <c r="U154" s="60" t="n"/>
      <c r="V154" s="60" t="n"/>
      <c r="W154" s="60" t="n"/>
      <c r="X154" s="60" t="n"/>
      <c r="Y154" s="60" t="n"/>
      <c r="Z154" s="60" t="n">
        <v>1</v>
      </c>
      <c r="AA154" s="60" t="n"/>
      <c r="AB154" s="60" t="n"/>
      <c r="AC154" s="60" t="n"/>
      <c r="AD154" s="60" t="n"/>
      <c r="AE154" s="60" t="n"/>
      <c r="AF154" s="60" t="n"/>
      <c r="AG154" s="60" t="n"/>
      <c r="AH154" s="60" t="n"/>
      <c r="AI154" s="60" t="n"/>
      <c r="AJ154" s="120">
        <f>IF(K154&gt;0,K154*(82.29+8.15),0)+IF(L154&gt;0,L154*(8.15+339.97),0)+IF(M154&gt;0,M154*151.63,0)+IF(N154&gt;0,N154*197.82,0)+IF(O154&gt;0,O154*244.09,0)+IF(P154&gt;0,P154*315.35,0)+IF(Q154&gt;0,Q154*1067.3,0)+IF(S154&gt;0,S154*567.47,0)+IF(T154&gt;0,T154*151.63,0)+IF(U154&gt;0,U154*197.84,0)+IF(V154&gt;0,V154*470.51,0)+IF(W154&gt;0,W154*701.69,0)+IF(Y154&gt;0,Y154*151.63,0)+IF(Z154&gt;0,Z154*197.84)+IF(AA154&gt;0,AA154*308.4,0)+IF(AB154&gt;0,AB154*496.16,0)</f>
        <v/>
      </c>
    </row>
    <row r="155">
      <c r="A155" s="59">
        <f>IF(G155&lt;$A$1,"VENCIDO","NA VALIDADE")</f>
        <v/>
      </c>
      <c r="B155" s="60" t="inlineStr">
        <is>
          <t>SUBESTAÇÃO</t>
        </is>
      </c>
      <c r="C155" s="61" t="inlineStr">
        <is>
          <t>SE OLINDA</t>
        </is>
      </c>
      <c r="D155" s="82" t="inlineStr">
        <is>
          <t>OLINDA</t>
        </is>
      </c>
      <c r="E155" s="75" t="inlineStr">
        <is>
          <t>PE</t>
        </is>
      </c>
      <c r="F155" s="75" t="inlineStr">
        <is>
          <t>CABO DE SANTO AGOSTINHO</t>
        </is>
      </c>
      <c r="G155" s="119" t="n">
        <v>45444</v>
      </c>
      <c r="H155" s="119">
        <f>G155-180</f>
        <v/>
      </c>
      <c r="I155" s="60">
        <f>SUM(K155:AD155)</f>
        <v/>
      </c>
      <c r="J155" s="60">
        <f>SUM(AE155:AI155)</f>
        <v/>
      </c>
      <c r="K155" s="60" t="n"/>
      <c r="L155" s="60" t="n"/>
      <c r="M155" s="60" t="n"/>
      <c r="N155" s="60" t="n"/>
      <c r="O155" s="60" t="n">
        <v>1</v>
      </c>
      <c r="P155" s="60" t="n"/>
      <c r="Q155" s="60" t="n"/>
      <c r="R155" s="60" t="n"/>
      <c r="S155" s="60" t="n"/>
      <c r="T155" s="60" t="n"/>
      <c r="U155" s="60" t="n"/>
      <c r="V155" s="60" t="n"/>
      <c r="W155" s="60" t="n"/>
      <c r="X155" s="60" t="n"/>
      <c r="Y155" s="60" t="n"/>
      <c r="Z155" s="60" t="n"/>
      <c r="AA155" s="60" t="n"/>
      <c r="AB155" s="60" t="n"/>
      <c r="AC155" s="60" t="n"/>
      <c r="AD155" s="60" t="n"/>
      <c r="AE155" s="60" t="n"/>
      <c r="AF155" s="60" t="n"/>
      <c r="AG155" s="60" t="n"/>
      <c r="AH155" s="60" t="n"/>
      <c r="AI155" s="60" t="n"/>
      <c r="AJ155" s="120">
        <f>IF(K155&gt;0,K155*(82.29+8.15),0)+IF(L155&gt;0,L155*(8.15+339.97),0)+IF(M155&gt;0,M155*151.63,0)+IF(N155&gt;0,N155*197.82,0)+IF(O155&gt;0,O155*244.09,0)+IF(P155&gt;0,P155*315.35,0)+IF(Q155&gt;0,Q155*1067.3,0)+IF(S155&gt;0,S155*567.47,0)+IF(T155&gt;0,T155*151.63,0)+IF(U155&gt;0,U155*197.84,0)+IF(V155&gt;0,V155*470.51,0)+IF(W155&gt;0,W155*701.69,0)+IF(Y155&gt;0,Y155*151.63,0)+IF(Z155&gt;0,Z155*197.84)+IF(AA155&gt;0,AA155*308.4,0)+IF(AB155&gt;0,AB155*496.16,0)</f>
        <v/>
      </c>
    </row>
    <row r="156">
      <c r="A156" s="59">
        <f>IF(G156&lt;$A$1,"VENCIDO","NA VALIDADE")</f>
        <v/>
      </c>
      <c r="B156" s="60" t="inlineStr">
        <is>
          <t>SUBESTAÇÃO</t>
        </is>
      </c>
      <c r="C156" s="61" t="inlineStr">
        <is>
          <t>SE OURICURI</t>
        </is>
      </c>
      <c r="D156" s="82" t="inlineStr">
        <is>
          <t>OURICURI</t>
        </is>
      </c>
      <c r="E156" s="75" t="inlineStr">
        <is>
          <t>PE</t>
        </is>
      </c>
      <c r="F156" s="75" t="inlineStr">
        <is>
          <t>CABO DE SANTO AGOSTINHO</t>
        </is>
      </c>
      <c r="G156" s="119" t="n">
        <v>45383</v>
      </c>
      <c r="H156" s="119" t="n">
        <v>45383</v>
      </c>
      <c r="I156" s="60">
        <f>SUM(K156:AD156)</f>
        <v/>
      </c>
      <c r="J156" s="60">
        <f>SUM(AE156:AI156)</f>
        <v/>
      </c>
      <c r="K156" s="60" t="n"/>
      <c r="L156" s="60" t="n"/>
      <c r="M156" s="60" t="n"/>
      <c r="N156" s="60" t="n"/>
      <c r="O156" s="60" t="n"/>
      <c r="P156" s="60" t="n">
        <v>2</v>
      </c>
      <c r="Q156" s="60" t="n"/>
      <c r="R156" s="60" t="n"/>
      <c r="S156" s="60" t="n"/>
      <c r="T156" s="60" t="n"/>
      <c r="U156" s="60" t="n"/>
      <c r="V156" s="60" t="n"/>
      <c r="W156" s="60" t="n"/>
      <c r="X156" s="60" t="n"/>
      <c r="Y156" s="60" t="n"/>
      <c r="Z156" s="60" t="n">
        <v>1</v>
      </c>
      <c r="AA156" s="60" t="n"/>
      <c r="AB156" s="60" t="n"/>
      <c r="AC156" s="60" t="n"/>
      <c r="AD156" s="60" t="n"/>
      <c r="AE156" s="60" t="n"/>
      <c r="AF156" s="60" t="n"/>
      <c r="AG156" s="60" t="n"/>
      <c r="AH156" s="60" t="n"/>
      <c r="AI156" s="60" t="n"/>
      <c r="AJ156" s="120">
        <f>IF(K156&gt;0,K156*(82.29+8.15),0)+IF(L156&gt;0,L156*(8.15+339.97),0)+IF(M156&gt;0,M156*151.63,0)+IF(N156&gt;0,N156*197.82,0)+IF(O156&gt;0,O156*244.09,0)+IF(P156&gt;0,P156*315.35,0)+IF(Q156&gt;0,Q156*1067.3,0)+IF(S156&gt;0,S156*567.47,0)+IF(T156&gt;0,T156*151.63,0)+IF(U156&gt;0,U156*197.84,0)+IF(V156&gt;0,V156*470.51,0)+IF(W156&gt;0,W156*701.69,0)+IF(Y156&gt;0,Y156*151.63,0)+IF(Z156&gt;0,Z156*197.84)+IF(AA156&gt;0,AA156*308.4,0)+IF(AB156&gt;0,AB156*496.16,0)</f>
        <v/>
      </c>
    </row>
    <row r="157">
      <c r="A157" s="59">
        <f>IF(G157&lt;$A$1,"VENCIDO","NA VALIDADE")</f>
        <v/>
      </c>
      <c r="B157" s="60" t="inlineStr">
        <is>
          <t>SUBESTAÇÃO</t>
        </is>
      </c>
      <c r="C157" s="61" t="inlineStr">
        <is>
          <t>SE PARNAMIRIM</t>
        </is>
      </c>
      <c r="D157" s="82" t="inlineStr">
        <is>
          <t>PARNAMIRIM</t>
        </is>
      </c>
      <c r="E157" s="75" t="inlineStr">
        <is>
          <t>PE</t>
        </is>
      </c>
      <c r="F157" s="75" t="inlineStr">
        <is>
          <t>CABO DE SANTO AGOSTINHO</t>
        </is>
      </c>
      <c r="G157" s="119" t="n">
        <v>45383</v>
      </c>
      <c r="H157" s="119" t="n">
        <v>45383</v>
      </c>
      <c r="I157" s="60">
        <f>SUM(K157:AD157)</f>
        <v/>
      </c>
      <c r="J157" s="60">
        <f>SUM(AE157:AI157)</f>
        <v/>
      </c>
      <c r="K157" s="60" t="n"/>
      <c r="L157" s="60" t="n"/>
      <c r="M157" s="60" t="n"/>
      <c r="N157" s="60" t="n"/>
      <c r="O157" s="60" t="n"/>
      <c r="P157" s="60" t="n">
        <v>2</v>
      </c>
      <c r="Q157" s="60" t="n"/>
      <c r="R157" s="60" t="n"/>
      <c r="S157" s="60" t="n"/>
      <c r="T157" s="60" t="n"/>
      <c r="U157" s="60" t="n"/>
      <c r="V157" s="60" t="n"/>
      <c r="W157" s="60" t="n"/>
      <c r="X157" s="60" t="n"/>
      <c r="Y157" s="60" t="n"/>
      <c r="Z157" s="60" t="n">
        <v>1</v>
      </c>
      <c r="AA157" s="60" t="n"/>
      <c r="AB157" s="60" t="n"/>
      <c r="AC157" s="60" t="n"/>
      <c r="AD157" s="60" t="n"/>
      <c r="AE157" s="60" t="n"/>
      <c r="AF157" s="60" t="n"/>
      <c r="AG157" s="60" t="n"/>
      <c r="AH157" s="60" t="n"/>
      <c r="AI157" s="60" t="n"/>
      <c r="AJ157" s="120">
        <f>IF(K157&gt;0,K157*(82.29+8.15),0)+IF(L157&gt;0,L157*(8.15+339.97),0)+IF(M157&gt;0,M157*151.63,0)+IF(N157&gt;0,N157*197.82,0)+IF(O157&gt;0,O157*244.09,0)+IF(P157&gt;0,P157*315.35,0)+IF(Q157&gt;0,Q157*1067.3,0)+IF(S157&gt;0,S157*567.47,0)+IF(T157&gt;0,T157*151.63,0)+IF(U157&gt;0,U157*197.84,0)+IF(V157&gt;0,V157*470.51,0)+IF(W157&gt;0,W157*701.69,0)+IF(Y157&gt;0,Y157*151.63,0)+IF(Z157&gt;0,Z157*197.84)+IF(AA157&gt;0,AA157*308.4,0)+IF(AB157&gt;0,AB157*496.16,0)</f>
        <v/>
      </c>
    </row>
    <row r="158">
      <c r="A158" s="59">
        <f>IF(G158&lt;$A$1,"VENCIDO","NA VALIDADE")</f>
        <v/>
      </c>
      <c r="B158" s="60" t="inlineStr">
        <is>
          <t>SUBESTAÇÃO</t>
        </is>
      </c>
      <c r="C158" s="61" t="inlineStr">
        <is>
          <t>SE PAU DE FERRO</t>
        </is>
      </c>
      <c r="D158" s="82" t="inlineStr">
        <is>
          <t>RECIFE</t>
        </is>
      </c>
      <c r="E158" s="75" t="inlineStr">
        <is>
          <t>PE</t>
        </is>
      </c>
      <c r="F158" s="75" t="inlineStr">
        <is>
          <t>CABO DE SANTO AGOSTINHO</t>
        </is>
      </c>
      <c r="G158" s="119" t="n">
        <v>45474</v>
      </c>
      <c r="H158" s="119">
        <f>G158-180</f>
        <v/>
      </c>
      <c r="I158" s="60">
        <f>SUM(K158:AD158)</f>
        <v/>
      </c>
      <c r="J158" s="60">
        <f>SUM(AE158:AI158)</f>
        <v/>
      </c>
      <c r="K158" s="60" t="n"/>
      <c r="L158" s="60" t="n"/>
      <c r="M158" s="60" t="n"/>
      <c r="N158" s="60" t="n"/>
      <c r="O158" s="60" t="n"/>
      <c r="P158" s="60" t="n">
        <v>2</v>
      </c>
      <c r="Q158" s="60" t="n"/>
      <c r="R158" s="60" t="n"/>
      <c r="S158" s="60" t="n">
        <v>2</v>
      </c>
      <c r="T158" s="60" t="n"/>
      <c r="U158" s="60" t="n"/>
      <c r="V158" s="60" t="n"/>
      <c r="W158" s="60" t="n"/>
      <c r="X158" s="60" t="n"/>
      <c r="Y158" s="60" t="n"/>
      <c r="Z158" s="60" t="n">
        <v>1</v>
      </c>
      <c r="AA158" s="60" t="n"/>
      <c r="AB158" s="60" t="n"/>
      <c r="AC158" s="60" t="n"/>
      <c r="AD158" s="60" t="n"/>
      <c r="AE158" s="60" t="n"/>
      <c r="AF158" s="60" t="n"/>
      <c r="AG158" s="60" t="n"/>
      <c r="AH158" s="60" t="n"/>
      <c r="AI158" s="60" t="n"/>
      <c r="AJ158" s="120">
        <f>IF(K158&gt;0,K158*(82.29+8.15),0)+IF(L158&gt;0,L158*(8.15+339.97),0)+IF(M158&gt;0,M158*151.63,0)+IF(N158&gt;0,N158*197.82,0)+IF(O158&gt;0,O158*244.09,0)+IF(P158&gt;0,P158*315.35,0)+IF(Q158&gt;0,Q158*1067.3,0)+IF(S158&gt;0,S158*567.47,0)+IF(T158&gt;0,T158*151.63,0)+IF(U158&gt;0,U158*197.84,0)+IF(V158&gt;0,V158*470.51,0)+IF(W158&gt;0,W158*701.69,0)+IF(Y158&gt;0,Y158*151.63,0)+IF(Z158&gt;0,Z158*197.84)+IF(AA158&gt;0,AA158*308.4,0)+IF(AB158&gt;0,AB158*496.16,0)</f>
        <v/>
      </c>
    </row>
    <row r="159">
      <c r="A159" s="59">
        <f>IF(G159&lt;$A$1,"VENCIDO","NA VALIDADE")</f>
        <v/>
      </c>
      <c r="B159" s="60" t="inlineStr">
        <is>
          <t>SUBESTAÇÃO</t>
        </is>
      </c>
      <c r="C159" s="61" t="inlineStr">
        <is>
          <t>SE PETROLINA I</t>
        </is>
      </c>
      <c r="D159" s="82" t="inlineStr">
        <is>
          <t>PETROLINA</t>
        </is>
      </c>
      <c r="E159" s="75" t="inlineStr">
        <is>
          <t>PE</t>
        </is>
      </c>
      <c r="F159" s="75" t="inlineStr">
        <is>
          <t>CABO DE SANTO AGOSTINHO</t>
        </is>
      </c>
      <c r="G159" s="119" t="n">
        <v>45566</v>
      </c>
      <c r="H159" s="119">
        <f>G159-180</f>
        <v/>
      </c>
      <c r="I159" s="60">
        <f>SUM(K159:AD159)</f>
        <v/>
      </c>
      <c r="J159" s="60">
        <f>SUM(AE159:AI159)</f>
        <v/>
      </c>
      <c r="K159" s="60" t="n"/>
      <c r="L159" s="60" t="n"/>
      <c r="M159" s="60" t="n"/>
      <c r="N159" s="60" t="n">
        <v>1</v>
      </c>
      <c r="O159" s="60" t="n"/>
      <c r="P159" s="60" t="n">
        <v>1</v>
      </c>
      <c r="Q159" s="60" t="n"/>
      <c r="R159" s="60" t="n"/>
      <c r="S159" s="60" t="n"/>
      <c r="T159" s="60" t="n"/>
      <c r="U159" s="60" t="n"/>
      <c r="V159" s="60" t="n"/>
      <c r="W159" s="60" t="n"/>
      <c r="X159" s="60" t="n"/>
      <c r="Y159" s="60" t="n"/>
      <c r="Z159" s="60" t="n">
        <v>1</v>
      </c>
      <c r="AA159" s="60" t="n"/>
      <c r="AB159" s="60" t="n"/>
      <c r="AC159" s="60" t="n"/>
      <c r="AD159" s="60" t="n"/>
      <c r="AE159" s="60" t="n"/>
      <c r="AF159" s="60" t="n"/>
      <c r="AG159" s="60" t="n"/>
      <c r="AH159" s="60" t="n"/>
      <c r="AI159" s="60" t="n"/>
      <c r="AJ159" s="120">
        <f>IF(K159&gt;0,K159*(82.29+8.15),0)+IF(L159&gt;0,L159*(8.15+339.97),0)+IF(M159&gt;0,M159*151.63,0)+IF(N159&gt;0,N159*197.82,0)+IF(O159&gt;0,O159*244.09,0)+IF(P159&gt;0,P159*315.35,0)+IF(Q159&gt;0,Q159*1067.3,0)+IF(S159&gt;0,S159*567.47,0)+IF(T159&gt;0,T159*151.63,0)+IF(U159&gt;0,U159*197.84,0)+IF(V159&gt;0,V159*470.51,0)+IF(W159&gt;0,W159*701.69,0)+IF(Y159&gt;0,Y159*151.63,0)+IF(Z159&gt;0,Z159*197.84)+IF(AA159&gt;0,AA159*308.4,0)+IF(AB159&gt;0,AB159*496.16,0)</f>
        <v/>
      </c>
    </row>
    <row r="160">
      <c r="A160" s="59">
        <f>IF(G160&lt;$A$1,"VENCIDO","NA VALIDADE")</f>
        <v/>
      </c>
      <c r="B160" s="60" t="inlineStr">
        <is>
          <t>SUBESTAÇÃO</t>
        </is>
      </c>
      <c r="C160" s="61" t="inlineStr">
        <is>
          <t>SE PETROLINA II</t>
        </is>
      </c>
      <c r="D160" s="82" t="inlineStr">
        <is>
          <t>PETROLINA</t>
        </is>
      </c>
      <c r="E160" s="75" t="inlineStr">
        <is>
          <t>PE</t>
        </is>
      </c>
      <c r="F160" s="75" t="inlineStr">
        <is>
          <t>CABO DE SANTO AGOSTINHO</t>
        </is>
      </c>
      <c r="G160" s="119" t="n">
        <v>45536</v>
      </c>
      <c r="H160" s="119">
        <f>G160-180</f>
        <v/>
      </c>
      <c r="I160" s="60">
        <f>SUM(K160:AD160)</f>
        <v/>
      </c>
      <c r="J160" s="60">
        <f>SUM(AE160:AI160)</f>
        <v/>
      </c>
      <c r="K160" s="60" t="n"/>
      <c r="L160" s="60" t="n"/>
      <c r="M160" s="60" t="n"/>
      <c r="N160" s="60" t="n"/>
      <c r="O160" s="60" t="n">
        <v>1</v>
      </c>
      <c r="P160" s="60" t="n">
        <v>1</v>
      </c>
      <c r="Q160" s="60" t="n"/>
      <c r="R160" s="60" t="n"/>
      <c r="S160" s="60" t="n"/>
      <c r="T160" s="60" t="n"/>
      <c r="U160" s="60" t="n"/>
      <c r="V160" s="60" t="n"/>
      <c r="W160" s="60" t="n"/>
      <c r="X160" s="60" t="n"/>
      <c r="Y160" s="60" t="n"/>
      <c r="Z160" s="60" t="n">
        <v>1</v>
      </c>
      <c r="AA160" s="60" t="n"/>
      <c r="AB160" s="60" t="n"/>
      <c r="AC160" s="60" t="n"/>
      <c r="AD160" s="60" t="n"/>
      <c r="AE160" s="60" t="n"/>
      <c r="AF160" s="60" t="n"/>
      <c r="AG160" s="60" t="n"/>
      <c r="AH160" s="60" t="n"/>
      <c r="AI160" s="60" t="n"/>
      <c r="AJ160" s="120">
        <f>IF(K160&gt;0,K160*(82.29+8.15),0)+IF(L160&gt;0,L160*(8.15+339.97),0)+IF(M160&gt;0,M160*151.63,0)+IF(N160&gt;0,N160*197.82,0)+IF(O160&gt;0,O160*244.09,0)+IF(P160&gt;0,P160*315.35,0)+IF(Q160&gt;0,Q160*1067.3,0)+IF(S160&gt;0,S160*567.47,0)+IF(T160&gt;0,T160*151.63,0)+IF(U160&gt;0,U160*197.84,0)+IF(V160&gt;0,V160*470.51,0)+IF(W160&gt;0,W160*701.69,0)+IF(Y160&gt;0,Y160*151.63,0)+IF(Z160&gt;0,Z160*197.84)+IF(AA160&gt;0,AA160*308.4,0)+IF(AB160&gt;0,AB160*496.16,0)</f>
        <v/>
      </c>
    </row>
    <row r="161">
      <c r="A161" s="59">
        <f>IF(G161&lt;$A$1,"VENCIDO","NA VALIDADE")</f>
        <v/>
      </c>
      <c r="B161" s="60" t="inlineStr">
        <is>
          <t>SUBESTAÇÃO</t>
        </is>
      </c>
      <c r="C161" s="61" t="inlineStr">
        <is>
          <t>SE PIEDADE</t>
        </is>
      </c>
      <c r="D161" s="82" t="inlineStr">
        <is>
          <t>JABOATAO DOS GUARARAPES</t>
        </is>
      </c>
      <c r="E161" s="75" t="inlineStr">
        <is>
          <t>PE</t>
        </is>
      </c>
      <c r="F161" s="75" t="inlineStr">
        <is>
          <t>CABO DE SANTO AGOSTINHO</t>
        </is>
      </c>
      <c r="G161" s="119" t="n">
        <v>45444</v>
      </c>
      <c r="H161" s="119" t="n">
        <v>45444</v>
      </c>
      <c r="I161" s="60">
        <f>SUM(K161:AD161)</f>
        <v/>
      </c>
      <c r="J161" s="60">
        <f>SUM(AE161:AI161)</f>
        <v/>
      </c>
      <c r="K161" s="60" t="n"/>
      <c r="L161" s="60" t="n"/>
      <c r="M161" s="60" t="n"/>
      <c r="N161" s="60" t="n"/>
      <c r="O161" s="60" t="n"/>
      <c r="P161" s="60" t="n">
        <v>2</v>
      </c>
      <c r="Q161" s="60" t="n"/>
      <c r="R161" s="60" t="n"/>
      <c r="S161" s="60" t="n"/>
      <c r="T161" s="60" t="n"/>
      <c r="U161" s="60" t="n"/>
      <c r="V161" s="60" t="n"/>
      <c r="W161" s="60" t="n"/>
      <c r="X161" s="60" t="n"/>
      <c r="Y161" s="60" t="n"/>
      <c r="Z161" s="60" t="n">
        <v>1</v>
      </c>
      <c r="AA161" s="60" t="n"/>
      <c r="AB161" s="60" t="n"/>
      <c r="AC161" s="60" t="n"/>
      <c r="AD161" s="60" t="n"/>
      <c r="AE161" s="60" t="n"/>
      <c r="AF161" s="60" t="n"/>
      <c r="AG161" s="60" t="n"/>
      <c r="AH161" s="60" t="n"/>
      <c r="AI161" s="60" t="n"/>
      <c r="AJ161" s="120">
        <f>IF(K161&gt;0,K161*(82.29+8.15),0)+IF(L161&gt;0,L161*(8.15+339.97),0)+IF(M161&gt;0,M161*151.63,0)+IF(N161&gt;0,N161*197.82,0)+IF(O161&gt;0,O161*244.09,0)+IF(P161&gt;0,P161*315.35,0)+IF(Q161&gt;0,Q161*1067.3,0)+IF(S161&gt;0,S161*567.47,0)+IF(T161&gt;0,T161*151.63,0)+IF(U161&gt;0,U161*197.84,0)+IF(V161&gt;0,V161*470.51,0)+IF(W161&gt;0,W161*701.69,0)+IF(Y161&gt;0,Y161*151.63,0)+IF(Z161&gt;0,Z161*197.84)+IF(AA161&gt;0,AA161*308.4,0)+IF(AB161&gt;0,AB161*496.16,0)</f>
        <v/>
      </c>
    </row>
    <row r="162">
      <c r="A162" s="59">
        <f>IF(G162&lt;$A$1,"VENCIDO","NA VALIDADE")</f>
        <v/>
      </c>
      <c r="B162" s="60" t="inlineStr">
        <is>
          <t>SUBESTAÇÃO</t>
        </is>
      </c>
      <c r="C162" s="61" t="inlineStr">
        <is>
          <t>SE PINA</t>
        </is>
      </c>
      <c r="D162" s="82" t="inlineStr">
        <is>
          <t>RECIFE</t>
        </is>
      </c>
      <c r="E162" s="75" t="inlineStr">
        <is>
          <t>PE</t>
        </is>
      </c>
      <c r="F162" s="75" t="inlineStr">
        <is>
          <t>CABO DE SANTO AGOSTINHO</t>
        </is>
      </c>
      <c r="G162" s="119" t="n">
        <v>45536</v>
      </c>
      <c r="H162" s="119">
        <f>G162-180</f>
        <v/>
      </c>
      <c r="I162" s="60">
        <f>SUM(K162:AD162)</f>
        <v/>
      </c>
      <c r="J162" s="60">
        <f>SUM(AE162:AI162)</f>
        <v/>
      </c>
      <c r="K162" s="60" t="n"/>
      <c r="L162" s="60" t="n"/>
      <c r="M162" s="60" t="n"/>
      <c r="N162" s="60" t="n"/>
      <c r="O162" s="60" t="n"/>
      <c r="P162" s="60" t="n"/>
      <c r="Q162" s="60" t="n"/>
      <c r="R162" s="60" t="n"/>
      <c r="S162" s="60" t="n"/>
      <c r="T162" s="60" t="n"/>
      <c r="U162" s="60" t="n"/>
      <c r="V162" s="60" t="n"/>
      <c r="W162" s="60" t="n"/>
      <c r="X162" s="60" t="n"/>
      <c r="Y162" s="60" t="n"/>
      <c r="Z162" s="60" t="n">
        <v>4</v>
      </c>
      <c r="AA162" s="60" t="n"/>
      <c r="AB162" s="60" t="n"/>
      <c r="AC162" s="60" t="n"/>
      <c r="AD162" s="60" t="n"/>
      <c r="AE162" s="60" t="n"/>
      <c r="AF162" s="60" t="n"/>
      <c r="AG162" s="60" t="n"/>
      <c r="AH162" s="60" t="n"/>
      <c r="AI162" s="60" t="n"/>
      <c r="AJ162" s="120">
        <f>IF(K162&gt;0,K162*(82.29+8.15),0)+IF(L162&gt;0,L162*(8.15+339.97),0)+IF(M162&gt;0,M162*151.63,0)+IF(N162&gt;0,N162*197.82,0)+IF(O162&gt;0,O162*244.09,0)+IF(P162&gt;0,P162*315.35,0)+IF(Q162&gt;0,Q162*1067.3,0)+IF(S162&gt;0,S162*567.47,0)+IF(T162&gt;0,T162*151.63,0)+IF(U162&gt;0,U162*197.84,0)+IF(V162&gt;0,V162*470.51,0)+IF(W162&gt;0,W162*701.69,0)+IF(Y162&gt;0,Y162*151.63,0)+IF(Z162&gt;0,Z162*197.84)+IF(AA162&gt;0,AA162*308.4,0)+IF(AB162&gt;0,AB162*496.16,0)</f>
        <v/>
      </c>
    </row>
    <row r="163">
      <c r="A163" s="59">
        <f>IF(G163&lt;$A$1,"VENCIDO","NA VALIDADE")</f>
        <v/>
      </c>
      <c r="B163" s="60" t="inlineStr">
        <is>
          <t>SUBESTAÇÃO</t>
        </is>
      </c>
      <c r="C163" s="61" t="inlineStr">
        <is>
          <t>SE PIRAPAMA I</t>
        </is>
      </c>
      <c r="D163" s="82" t="inlineStr">
        <is>
          <t>CABO DE SANTO AGOSTINHO</t>
        </is>
      </c>
      <c r="E163" s="75" t="inlineStr">
        <is>
          <t>PE</t>
        </is>
      </c>
      <c r="F163" s="75" t="inlineStr">
        <is>
          <t>CABO DE SANTO AGOSTINHO</t>
        </is>
      </c>
      <c r="G163" s="119" t="n">
        <v>45413</v>
      </c>
      <c r="H163" s="119" t="n">
        <v>45413</v>
      </c>
      <c r="I163" s="60">
        <f>SUM(K163:AD163)</f>
        <v/>
      </c>
      <c r="J163" s="60">
        <f>SUM(AE163:AI163)</f>
        <v/>
      </c>
      <c r="K163" s="60" t="n"/>
      <c r="L163" s="60" t="n"/>
      <c r="M163" s="60" t="n"/>
      <c r="N163" s="60" t="n"/>
      <c r="O163" s="60" t="n"/>
      <c r="P163" s="60" t="n">
        <v>1</v>
      </c>
      <c r="Q163" s="60" t="n"/>
      <c r="R163" s="60" t="n"/>
      <c r="S163" s="60" t="n"/>
      <c r="T163" s="60" t="n"/>
      <c r="U163" s="60" t="n"/>
      <c r="V163" s="60" t="n"/>
      <c r="W163" s="60" t="n"/>
      <c r="X163" s="60" t="n"/>
      <c r="Y163" s="60" t="n"/>
      <c r="Z163" s="60" t="n">
        <v>1</v>
      </c>
      <c r="AA163" s="60" t="n"/>
      <c r="AB163" s="60" t="n"/>
      <c r="AC163" s="60" t="n"/>
      <c r="AD163" s="60" t="n"/>
      <c r="AE163" s="60" t="n"/>
      <c r="AF163" s="60" t="n"/>
      <c r="AG163" s="60" t="n"/>
      <c r="AH163" s="60" t="n"/>
      <c r="AI163" s="60" t="n"/>
      <c r="AJ163" s="120">
        <f>IF(K163&gt;0,K163*(82.29+8.15),0)+IF(L163&gt;0,L163*(8.15+339.97),0)+IF(M163&gt;0,M163*151.63,0)+IF(N163&gt;0,N163*197.82,0)+IF(O163&gt;0,O163*244.09,0)+IF(P163&gt;0,P163*315.35,0)+IF(Q163&gt;0,Q163*1067.3,0)+IF(S163&gt;0,S163*567.47,0)+IF(T163&gt;0,T163*151.63,0)+IF(U163&gt;0,U163*197.84,0)+IF(V163&gt;0,V163*470.51,0)+IF(W163&gt;0,W163*701.69,0)+IF(Y163&gt;0,Y163*151.63,0)+IF(Z163&gt;0,Z163*197.84)+IF(AA163&gt;0,AA163*308.4,0)+IF(AB163&gt;0,AB163*496.16,0)</f>
        <v/>
      </c>
    </row>
    <row r="164">
      <c r="A164" s="59">
        <f>IF(G164&lt;$A$1,"VENCIDO","NA VALIDADE")</f>
        <v/>
      </c>
      <c r="B164" s="60" t="inlineStr">
        <is>
          <t>SUBESTAÇÃO</t>
        </is>
      </c>
      <c r="C164" s="61" t="inlineStr">
        <is>
          <t>SE PONTAL NORTE</t>
        </is>
      </c>
      <c r="D164" s="82" t="inlineStr">
        <is>
          <t xml:space="preserve">PETROLINA </t>
        </is>
      </c>
      <c r="E164" s="75" t="inlineStr">
        <is>
          <t>PE</t>
        </is>
      </c>
      <c r="F164" s="75" t="inlineStr">
        <is>
          <t>CABO DE SANTO AGOSTINHO</t>
        </is>
      </c>
      <c r="G164" s="119" t="n">
        <v>45474</v>
      </c>
      <c r="H164" s="119">
        <f>G164-180</f>
        <v/>
      </c>
      <c r="I164" s="60">
        <f>SUM(K164:AD164)</f>
        <v/>
      </c>
      <c r="J164" s="60">
        <f>SUM(AE164:AI164)</f>
        <v/>
      </c>
      <c r="K164" s="60" t="n"/>
      <c r="L164" s="60" t="n"/>
      <c r="M164" s="60" t="n"/>
      <c r="N164" s="60" t="n"/>
      <c r="O164" s="60" t="n"/>
      <c r="P164" s="60" t="n">
        <v>1</v>
      </c>
      <c r="Q164" s="60" t="n"/>
      <c r="R164" s="60" t="n"/>
      <c r="S164" s="60" t="n"/>
      <c r="T164" s="60" t="n"/>
      <c r="U164" s="60" t="n"/>
      <c r="V164" s="60" t="n"/>
      <c r="W164" s="60" t="n"/>
      <c r="X164" s="60" t="n"/>
      <c r="Y164" s="60" t="n"/>
      <c r="Z164" s="60" t="n"/>
      <c r="AA164" s="60" t="n">
        <v>1</v>
      </c>
      <c r="AB164" s="60" t="n"/>
      <c r="AC164" s="60" t="n"/>
      <c r="AD164" s="60" t="n"/>
      <c r="AE164" s="60" t="n"/>
      <c r="AF164" s="60" t="n"/>
      <c r="AG164" s="60" t="n"/>
      <c r="AH164" s="60" t="n"/>
      <c r="AI164" s="60" t="n"/>
      <c r="AJ164" s="120">
        <f>IF(K164&gt;0,K164*(82.29+8.15),0)+IF(L164&gt;0,L164*(8.15+339.97),0)+IF(M164&gt;0,M164*151.63,0)+IF(N164&gt;0,N164*197.82,0)+IF(O164&gt;0,O164*244.09,0)+IF(P164&gt;0,P164*315.35,0)+IF(Q164&gt;0,Q164*1067.3,0)+IF(S164&gt;0,S164*567.47,0)+IF(T164&gt;0,T164*151.63,0)+IF(U164&gt;0,U164*197.84,0)+IF(V164&gt;0,V164*470.51,0)+IF(W164&gt;0,W164*701.69,0)+IF(Y164&gt;0,Y164*151.63,0)+IF(Z164&gt;0,Z164*197.84)+IF(AA164&gt;0,AA164*308.4,0)+IF(AB164&gt;0,AB164*496.16,0)</f>
        <v/>
      </c>
    </row>
    <row r="165">
      <c r="A165" s="59">
        <f>IF(G165&lt;$A$1,"VENCIDO","NA VALIDADE")</f>
        <v/>
      </c>
      <c r="B165" s="60" t="inlineStr">
        <is>
          <t>SUBESTAÇÃO</t>
        </is>
      </c>
      <c r="C165" s="61" t="inlineStr">
        <is>
          <t>SE PONTAL SUL I</t>
        </is>
      </c>
      <c r="D165" s="82" t="inlineStr">
        <is>
          <t>PETROLINA</t>
        </is>
      </c>
      <c r="E165" s="75" t="inlineStr">
        <is>
          <t>PE</t>
        </is>
      </c>
      <c r="F165" s="75" t="inlineStr">
        <is>
          <t>CABO DE SANTO AGOSTINHO</t>
        </is>
      </c>
      <c r="G165" s="119" t="n">
        <v>45536</v>
      </c>
      <c r="H165" s="119">
        <f>G165-180</f>
        <v/>
      </c>
      <c r="I165" s="60">
        <f>SUM(K165:AD165)</f>
        <v/>
      </c>
      <c r="J165" s="60">
        <f>SUM(AE165:AI165)</f>
        <v/>
      </c>
      <c r="K165" s="60" t="n"/>
      <c r="L165" s="60" t="n"/>
      <c r="M165" s="60" t="n"/>
      <c r="N165" s="60" t="n">
        <v>1</v>
      </c>
      <c r="O165" s="60" t="n"/>
      <c r="P165" s="60" t="n">
        <v>1</v>
      </c>
      <c r="Q165" s="60" t="n"/>
      <c r="R165" s="60" t="n"/>
      <c r="S165" s="60" t="n"/>
      <c r="T165" s="60" t="n"/>
      <c r="U165" s="60" t="n"/>
      <c r="V165" s="60" t="n"/>
      <c r="W165" s="60" t="n"/>
      <c r="X165" s="60" t="n"/>
      <c r="Y165" s="60" t="n"/>
      <c r="Z165" s="60" t="n">
        <v>1</v>
      </c>
      <c r="AA165" s="60" t="n"/>
      <c r="AB165" s="60" t="n"/>
      <c r="AC165" s="60" t="n"/>
      <c r="AD165" s="60" t="n"/>
      <c r="AE165" s="60" t="n"/>
      <c r="AF165" s="60" t="n"/>
      <c r="AG165" s="60" t="n"/>
      <c r="AH165" s="60" t="n"/>
      <c r="AI165" s="60" t="n"/>
      <c r="AJ165" s="120">
        <f>IF(K165&gt;0,K165*(82.29+8.15),0)+IF(L165&gt;0,L165*(8.15+339.97),0)+IF(M165&gt;0,M165*151.63,0)+IF(N165&gt;0,N165*197.82,0)+IF(O165&gt;0,O165*244.09,0)+IF(P165&gt;0,P165*315.35,0)+IF(Q165&gt;0,Q165*1067.3,0)+IF(S165&gt;0,S165*567.47,0)+IF(T165&gt;0,T165*151.63,0)+IF(U165&gt;0,U165*197.84,0)+IF(V165&gt;0,V165*470.51,0)+IF(W165&gt;0,W165*701.69,0)+IF(Y165&gt;0,Y165*151.63,0)+IF(Z165&gt;0,Z165*197.84)+IF(AA165&gt;0,AA165*308.4,0)+IF(AB165&gt;0,AB165*496.16,0)</f>
        <v/>
      </c>
    </row>
    <row r="166">
      <c r="A166" s="59">
        <f>IF(G166&lt;$A$1,"VENCIDO","NA VALIDADE")</f>
        <v/>
      </c>
      <c r="B166" s="60" t="inlineStr">
        <is>
          <t>SUBESTAÇÃO</t>
        </is>
      </c>
      <c r="C166" s="61" t="inlineStr">
        <is>
          <t>SE PONTAL SUL II</t>
        </is>
      </c>
      <c r="D166" s="82" t="inlineStr">
        <is>
          <t>PETROLINA</t>
        </is>
      </c>
      <c r="E166" s="75" t="inlineStr">
        <is>
          <t>PE</t>
        </is>
      </c>
      <c r="F166" s="75" t="inlineStr">
        <is>
          <t>CABO DE SANTO AGOSTINHO</t>
        </is>
      </c>
      <c r="G166" s="119" t="n">
        <v>45383</v>
      </c>
      <c r="H166" s="119" t="n">
        <v>45383</v>
      </c>
      <c r="I166" s="60">
        <f>SUM(K166:AD166)</f>
        <v/>
      </c>
      <c r="J166" s="60">
        <f>SUM(AE166:AI166)</f>
        <v/>
      </c>
      <c r="K166" s="60" t="n"/>
      <c r="L166" s="60" t="n"/>
      <c r="M166" s="60" t="n"/>
      <c r="N166" s="60" t="n"/>
      <c r="O166" s="60" t="n"/>
      <c r="P166" s="60" t="n">
        <v>1</v>
      </c>
      <c r="Q166" s="60" t="n"/>
      <c r="R166" s="60" t="n"/>
      <c r="S166" s="60" t="n">
        <v>1</v>
      </c>
      <c r="T166" s="60" t="n"/>
      <c r="U166" s="60" t="n"/>
      <c r="V166" s="60" t="n"/>
      <c r="W166" s="60" t="n"/>
      <c r="X166" s="60" t="n"/>
      <c r="Y166" s="60" t="n"/>
      <c r="Z166" s="60" t="n">
        <v>1</v>
      </c>
      <c r="AA166" s="60" t="n"/>
      <c r="AB166" s="60" t="n"/>
      <c r="AC166" s="60" t="n"/>
      <c r="AD166" s="60" t="n"/>
      <c r="AE166" s="60" t="n"/>
      <c r="AF166" s="60" t="n"/>
      <c r="AG166" s="60" t="n"/>
      <c r="AH166" s="60" t="n"/>
      <c r="AI166" s="60" t="n"/>
      <c r="AJ166" s="120">
        <f>IF(K166&gt;0,K166*(82.29+8.15),0)+IF(L166&gt;0,L166*(8.15+339.97),0)+IF(M166&gt;0,M166*151.63,0)+IF(N166&gt;0,N166*197.82,0)+IF(O166&gt;0,O166*244.09,0)+IF(P166&gt;0,P166*315.35,0)+IF(Q166&gt;0,Q166*1067.3,0)+IF(S166&gt;0,S166*567.47,0)+IF(T166&gt;0,T166*151.63,0)+IF(U166&gt;0,U166*197.84,0)+IF(V166&gt;0,V166*470.51,0)+IF(W166&gt;0,W166*701.69,0)+IF(Y166&gt;0,Y166*151.63,0)+IF(Z166&gt;0,Z166*197.84)+IF(AA166&gt;0,AA166*308.4,0)+IF(AB166&gt;0,AB166*496.16,0)</f>
        <v/>
      </c>
    </row>
    <row r="167">
      <c r="A167" s="59">
        <f>IF(G167&lt;$A$1,"VENCIDO","NA VALIDADE")</f>
        <v/>
      </c>
      <c r="B167" s="60" t="inlineStr">
        <is>
          <t>SUBESTAÇÃO</t>
        </is>
      </c>
      <c r="C167" s="61" t="inlineStr">
        <is>
          <t>SE PONTEZINHA (SEM EXTINTOR)</t>
        </is>
      </c>
      <c r="D167" s="82" t="inlineStr">
        <is>
          <t>JABOATAO DOS GUARARAPES</t>
        </is>
      </c>
      <c r="E167" s="75" t="inlineStr">
        <is>
          <t>PE</t>
        </is>
      </c>
      <c r="F167" s="75" t="inlineStr">
        <is>
          <t>CABO DE SANTO AGOSTINHO</t>
        </is>
      </c>
      <c r="G167" s="119" t="n">
        <v>45078</v>
      </c>
      <c r="H167" s="119">
        <f>G167-180</f>
        <v/>
      </c>
      <c r="I167" s="60">
        <f>SUM(K167:AD167)</f>
        <v/>
      </c>
      <c r="J167" s="60">
        <f>SUM(AE167:AI167)</f>
        <v/>
      </c>
      <c r="K167" s="60" t="n"/>
      <c r="L167" s="60" t="n"/>
      <c r="M167" s="60" t="n"/>
      <c r="N167" s="60" t="n"/>
      <c r="O167" s="60" t="n"/>
      <c r="P167" s="60" t="n">
        <v>2</v>
      </c>
      <c r="Q167" s="60" t="n"/>
      <c r="R167" s="60" t="n"/>
      <c r="S167" s="60" t="n"/>
      <c r="T167" s="60" t="n"/>
      <c r="U167" s="60" t="n"/>
      <c r="V167" s="60" t="n"/>
      <c r="W167" s="60" t="n"/>
      <c r="X167" s="60" t="n"/>
      <c r="Y167" s="60" t="n"/>
      <c r="Z167" s="60" t="n">
        <v>1</v>
      </c>
      <c r="AA167" s="60" t="n"/>
      <c r="AB167" s="60" t="n"/>
      <c r="AC167" s="60" t="n"/>
      <c r="AD167" s="60" t="n"/>
      <c r="AE167" s="60" t="n"/>
      <c r="AF167" s="60" t="n"/>
      <c r="AG167" s="60" t="n"/>
      <c r="AH167" s="60" t="n"/>
      <c r="AI167" s="60" t="n"/>
      <c r="AJ167" s="120">
        <f>IF(K167&gt;0,K167*(82.29+8.15),0)+IF(L167&gt;0,L167*(8.15+339.97),0)+IF(M167&gt;0,M167*151.63,0)+IF(N167&gt;0,N167*197.82,0)+IF(O167&gt;0,O167*244.09,0)+IF(P167&gt;0,P167*315.35,0)+IF(Q167&gt;0,Q167*1067.3,0)+IF(S167&gt;0,S167*567.47,0)+IF(T167&gt;0,T167*151.63,0)+IF(U167&gt;0,U167*197.84,0)+IF(V167&gt;0,V167*470.51,0)+IF(W167&gt;0,W167*701.69,0)+IF(Y167&gt;0,Y167*151.63,0)+IF(Z167&gt;0,Z167*197.84)+IF(AA167&gt;0,AA167*308.4,0)+IF(AB167&gt;0,AB167*496.16,0)</f>
        <v/>
      </c>
    </row>
    <row r="168">
      <c r="A168" s="59">
        <f>IF(G168&lt;$A$1,"VENCIDO","NA VALIDADE")</f>
        <v/>
      </c>
      <c r="B168" s="60" t="inlineStr">
        <is>
          <t>SUBESTAÇÃO</t>
        </is>
      </c>
      <c r="C168" s="61" t="inlineStr">
        <is>
          <t>SE PORTO DE SUAPE ( LIBERAR ACESSO )</t>
        </is>
      </c>
      <c r="D168" s="82" t="inlineStr">
        <is>
          <t>CABO DE SANTO AGOSTINHO</t>
        </is>
      </c>
      <c r="E168" s="75" t="inlineStr">
        <is>
          <t>PE</t>
        </is>
      </c>
      <c r="F168" s="75" t="inlineStr">
        <is>
          <t>CABO DE SANTO AGOSTINHO</t>
        </is>
      </c>
      <c r="G168" s="119" t="n">
        <v>45170</v>
      </c>
      <c r="H168" s="119">
        <f>G168-180</f>
        <v/>
      </c>
      <c r="I168" s="60">
        <f>SUM(K168:AD168)</f>
        <v/>
      </c>
      <c r="J168" s="60">
        <f>SUM(AE168:AI168)</f>
        <v/>
      </c>
      <c r="K168" s="60" t="n"/>
      <c r="L168" s="60" t="n"/>
      <c r="M168" s="60" t="n"/>
      <c r="N168" s="60" t="n"/>
      <c r="O168" s="60" t="n"/>
      <c r="P168" s="60" t="n">
        <v>2</v>
      </c>
      <c r="Q168" s="60" t="n"/>
      <c r="R168" s="60" t="n"/>
      <c r="S168" s="60" t="n"/>
      <c r="T168" s="60" t="n"/>
      <c r="U168" s="60" t="n"/>
      <c r="V168" s="60" t="n"/>
      <c r="W168" s="60" t="n"/>
      <c r="X168" s="60" t="n"/>
      <c r="Y168" s="60" t="n"/>
      <c r="Z168" s="60" t="n">
        <v>1</v>
      </c>
      <c r="AA168" s="60" t="n"/>
      <c r="AB168" s="60" t="n"/>
      <c r="AC168" s="60" t="n"/>
      <c r="AD168" s="60" t="n"/>
      <c r="AE168" s="60" t="n"/>
      <c r="AF168" s="60" t="n"/>
      <c r="AG168" s="60" t="n"/>
      <c r="AH168" s="60" t="n"/>
      <c r="AI168" s="60" t="n"/>
      <c r="AJ168" s="120">
        <f>IF(K168&gt;0,K168*(82.29+8.15),0)+IF(L168&gt;0,L168*(8.15+339.97),0)+IF(M168&gt;0,M168*151.63,0)+IF(N168&gt;0,N168*197.82,0)+IF(O168&gt;0,O168*244.09,0)+IF(P168&gt;0,P168*315.35,0)+IF(Q168&gt;0,Q168*1067.3,0)+IF(S168&gt;0,S168*567.47,0)+IF(T168&gt;0,T168*151.63,0)+IF(U168&gt;0,U168*197.84,0)+IF(V168&gt;0,V168*470.51,0)+IF(W168&gt;0,W168*701.69,0)+IF(Y168&gt;0,Y168*151.63,0)+IF(Z168&gt;0,Z168*197.84)+IF(AA168&gt;0,AA168*308.4,0)+IF(AB168&gt;0,AB168*496.16,0)</f>
        <v/>
      </c>
    </row>
    <row r="169">
      <c r="A169" s="59">
        <f>IF(G169&lt;$A$1,"VENCIDO","NA VALIDADE")</f>
        <v/>
      </c>
      <c r="B169" s="60" t="inlineStr">
        <is>
          <t>SUBESTAÇÃO</t>
        </is>
      </c>
      <c r="C169" s="61" t="inlineStr">
        <is>
          <t>SE PRATA</t>
        </is>
      </c>
      <c r="D169" s="82" t="inlineStr">
        <is>
          <t>BONITO</t>
        </is>
      </c>
      <c r="E169" s="75" t="inlineStr">
        <is>
          <t>PE</t>
        </is>
      </c>
      <c r="F169" s="75" t="inlineStr">
        <is>
          <t>CABO DE SANTO AGOSTINHO</t>
        </is>
      </c>
      <c r="G169" s="119" t="n">
        <v>45566</v>
      </c>
      <c r="H169" s="119">
        <f>G169-180</f>
        <v/>
      </c>
      <c r="I169" s="60">
        <f>SUM(K169:AD169)</f>
        <v/>
      </c>
      <c r="J169" s="60">
        <f>SUM(AE169:AI169)</f>
        <v/>
      </c>
      <c r="K169" s="60" t="n"/>
      <c r="L169" s="60" t="n"/>
      <c r="M169" s="60" t="n"/>
      <c r="N169" s="60" t="n"/>
      <c r="O169" s="60" t="n"/>
      <c r="P169" s="60" t="n">
        <v>2</v>
      </c>
      <c r="Q169" s="60" t="n"/>
      <c r="R169" s="60" t="n"/>
      <c r="S169" s="60" t="n"/>
      <c r="T169" s="60" t="n"/>
      <c r="U169" s="60" t="n"/>
      <c r="V169" s="60" t="n"/>
      <c r="W169" s="60" t="n"/>
      <c r="X169" s="60" t="n"/>
      <c r="Y169" s="60" t="n"/>
      <c r="Z169" s="60" t="n">
        <v>1</v>
      </c>
      <c r="AA169" s="60" t="n"/>
      <c r="AB169" s="60" t="n"/>
      <c r="AC169" s="60" t="n"/>
      <c r="AD169" s="60" t="n"/>
      <c r="AE169" s="60" t="n"/>
      <c r="AF169" s="60" t="n"/>
      <c r="AG169" s="60" t="n"/>
      <c r="AH169" s="60" t="n"/>
      <c r="AI169" s="60" t="n"/>
      <c r="AJ169" s="120">
        <f>IF(K169&gt;0,K169*(82.29+8.15),0)+IF(L169&gt;0,L169*(8.15+339.97),0)+IF(M169&gt;0,M169*151.63,0)+IF(N169&gt;0,N169*197.82,0)+IF(O169&gt;0,O169*244.09,0)+IF(P169&gt;0,P169*315.35,0)+IF(Q169&gt;0,Q169*1067.3,0)+IF(S169&gt;0,S169*567.47,0)+IF(T169&gt;0,T169*151.63,0)+IF(U169&gt;0,U169*197.84,0)+IF(V169&gt;0,V169*470.51,0)+IF(W169&gt;0,W169*701.69,0)+IF(Y169&gt;0,Y169*151.63,0)+IF(Z169&gt;0,Z169*197.84)+IF(AA169&gt;0,AA169*308.4,0)+IF(AB169&gt;0,AB169*496.16,0)</f>
        <v/>
      </c>
    </row>
    <row r="170">
      <c r="A170" s="59">
        <f>IF(G170&lt;$A$1,"VENCIDO","NA VALIDADE")</f>
        <v/>
      </c>
      <c r="B170" s="60" t="inlineStr">
        <is>
          <t>SUBESTAÇÃO</t>
        </is>
      </c>
      <c r="C170" s="61" t="inlineStr">
        <is>
          <t>SE QUIPAPA</t>
        </is>
      </c>
      <c r="D170" s="82" t="inlineStr">
        <is>
          <t>QUIPAPA</t>
        </is>
      </c>
      <c r="E170" s="75" t="inlineStr">
        <is>
          <t>PE</t>
        </is>
      </c>
      <c r="F170" s="75" t="inlineStr">
        <is>
          <t>CABO DE SANTO AGOSTINHO</t>
        </is>
      </c>
      <c r="G170" s="119" t="n">
        <v>45323</v>
      </c>
      <c r="H170" s="119" t="n">
        <v>45323</v>
      </c>
      <c r="I170" s="60">
        <f>SUM(K170:AD170)</f>
        <v/>
      </c>
      <c r="J170" s="60">
        <f>SUM(AE170:AI170)</f>
        <v/>
      </c>
      <c r="K170" s="60" t="n"/>
      <c r="L170" s="60" t="n"/>
      <c r="M170" s="60" t="n"/>
      <c r="N170" s="60" t="n"/>
      <c r="O170" s="60" t="n"/>
      <c r="P170" s="60" t="n">
        <v>2</v>
      </c>
      <c r="Q170" s="60" t="n"/>
      <c r="R170" s="60" t="n"/>
      <c r="S170" s="60" t="n"/>
      <c r="T170" s="60" t="n"/>
      <c r="U170" s="60" t="n"/>
      <c r="V170" s="60" t="n"/>
      <c r="W170" s="60" t="n"/>
      <c r="X170" s="60" t="n"/>
      <c r="Y170" s="60" t="n">
        <v>1</v>
      </c>
      <c r="Z170" s="60" t="n"/>
      <c r="AA170" s="60" t="n"/>
      <c r="AB170" s="60" t="n"/>
      <c r="AC170" s="60" t="n"/>
      <c r="AD170" s="60" t="n"/>
      <c r="AE170" s="60" t="n"/>
      <c r="AF170" s="60" t="n"/>
      <c r="AG170" s="60" t="n"/>
      <c r="AH170" s="60" t="n"/>
      <c r="AI170" s="60" t="n"/>
      <c r="AJ170" s="120">
        <f>IF(K170&gt;0,K170*(82.29+8.15),0)+IF(L170&gt;0,L170*(8.15+339.97),0)+IF(M170&gt;0,M170*151.63,0)+IF(N170&gt;0,N170*197.82,0)+IF(O170&gt;0,O170*244.09,0)+IF(P170&gt;0,P170*315.35,0)+IF(Q170&gt;0,Q170*1067.3,0)+IF(S170&gt;0,S170*567.47,0)+IF(T170&gt;0,T170*151.63,0)+IF(U170&gt;0,U170*197.84,0)+IF(V170&gt;0,V170*470.51,0)+IF(W170&gt;0,W170*701.69,0)+IF(Y170&gt;0,Y170*151.63,0)+IF(Z170&gt;0,Z170*197.84)+IF(AA170&gt;0,AA170*308.4,0)+IF(AB170&gt;0,AB170*496.16,0)</f>
        <v/>
      </c>
    </row>
    <row r="171">
      <c r="A171" s="59">
        <f>IF(G171&lt;$A$1,"VENCIDO","NA VALIDADE")</f>
        <v/>
      </c>
      <c r="B171" s="60" t="inlineStr">
        <is>
          <t>SUBESTAÇÃO</t>
        </is>
      </c>
      <c r="C171" s="61" t="inlineStr">
        <is>
          <t>SE RAJADA</t>
        </is>
      </c>
      <c r="D171" s="82" t="inlineStr">
        <is>
          <t>SANTA MARIA DA BOA VISTA</t>
        </is>
      </c>
      <c r="E171" s="75" t="inlineStr">
        <is>
          <t>PE</t>
        </is>
      </c>
      <c r="F171" s="75" t="inlineStr">
        <is>
          <t>CABO DE SANTO AGOSTINHO</t>
        </is>
      </c>
      <c r="G171" s="119" t="n">
        <v>45536</v>
      </c>
      <c r="H171" s="119">
        <f>G171-180</f>
        <v/>
      </c>
      <c r="I171" s="60">
        <f>SUM(K171:AD171)</f>
        <v/>
      </c>
      <c r="J171" s="60">
        <f>SUM(AE171:AI171)</f>
        <v/>
      </c>
      <c r="K171" s="60" t="n"/>
      <c r="L171" s="60" t="n"/>
      <c r="M171" s="60" t="n"/>
      <c r="N171" s="60" t="n">
        <v>2</v>
      </c>
      <c r="O171" s="60" t="n"/>
      <c r="P171" s="60" t="n"/>
      <c r="Q171" s="60" t="n"/>
      <c r="R171" s="60" t="n"/>
      <c r="S171" s="60" t="n"/>
      <c r="T171" s="60" t="n"/>
      <c r="U171" s="60" t="n"/>
      <c r="V171" s="60" t="n"/>
      <c r="W171" s="60" t="n"/>
      <c r="X171" s="60" t="n"/>
      <c r="Y171" s="60" t="n"/>
      <c r="Z171" s="60" t="n">
        <v>1</v>
      </c>
      <c r="AA171" s="60" t="n"/>
      <c r="AB171" s="60" t="n"/>
      <c r="AC171" s="60" t="n"/>
      <c r="AD171" s="60" t="n"/>
      <c r="AE171" s="60" t="n"/>
      <c r="AF171" s="60" t="n"/>
      <c r="AG171" s="60" t="n"/>
      <c r="AH171" s="60" t="n"/>
      <c r="AI171" s="60" t="n"/>
      <c r="AJ171" s="120">
        <f>IF(K171&gt;0,K171*(82.29+8.15),0)+IF(L171&gt;0,L171*(8.15+339.97),0)+IF(M171&gt;0,M171*151.63,0)+IF(N171&gt;0,N171*197.82,0)+IF(O171&gt;0,O171*244.09,0)+IF(P171&gt;0,P171*315.35,0)+IF(Q171&gt;0,Q171*1067.3,0)+IF(S171&gt;0,S171*567.47,0)+IF(T171&gt;0,T171*151.63,0)+IF(U171&gt;0,U171*197.84,0)+IF(V171&gt;0,V171*470.51,0)+IF(W171&gt;0,W171*701.69,0)+IF(Y171&gt;0,Y171*151.63,0)+IF(Z171&gt;0,Z171*197.84)+IF(AA171&gt;0,AA171*308.4,0)+IF(AB171&gt;0,AB171*496.16,0)</f>
        <v/>
      </c>
    </row>
    <row r="172">
      <c r="A172" s="59">
        <f>IF(G172&lt;$A$1,"VENCIDO","NA VALIDADE")</f>
        <v/>
      </c>
      <c r="B172" s="60" t="inlineStr">
        <is>
          <t>SUBESTAÇÃO</t>
        </is>
      </c>
      <c r="C172" s="61" t="inlineStr">
        <is>
          <t>SE NOSSA SENHORA DO Ó</t>
        </is>
      </c>
      <c r="D172" s="82" t="inlineStr">
        <is>
          <t>IPOJUCA</t>
        </is>
      </c>
      <c r="E172" s="75" t="inlineStr">
        <is>
          <t>PE</t>
        </is>
      </c>
      <c r="F172" s="75" t="inlineStr">
        <is>
          <t>CABO DE SANTO AGOSTINHO</t>
        </is>
      </c>
      <c r="G172" s="119" t="n">
        <v>45383</v>
      </c>
      <c r="H172" s="119" t="n">
        <v>45383</v>
      </c>
      <c r="I172" s="60">
        <f>SUM(K172:AD172)</f>
        <v/>
      </c>
      <c r="J172" s="60">
        <f>SUM(AE172:AI172)</f>
        <v/>
      </c>
      <c r="K172" s="60" t="n"/>
      <c r="L172" s="60" t="n"/>
      <c r="M172" s="60" t="n"/>
      <c r="N172" s="60" t="n"/>
      <c r="O172" s="60" t="n"/>
      <c r="P172" s="60" t="n">
        <v>1</v>
      </c>
      <c r="Q172" s="60" t="n"/>
      <c r="R172" s="60" t="n"/>
      <c r="S172" s="60" t="n">
        <v>2</v>
      </c>
      <c r="T172" s="60" t="n"/>
      <c r="U172" s="60" t="n"/>
      <c r="V172" s="60" t="n"/>
      <c r="W172" s="60" t="n"/>
      <c r="X172" s="60" t="n"/>
      <c r="Y172" s="60" t="n"/>
      <c r="Z172" s="60" t="n">
        <v>1</v>
      </c>
      <c r="AA172" s="60" t="n"/>
      <c r="AB172" s="60" t="n"/>
      <c r="AC172" s="60" t="n"/>
      <c r="AD172" s="60" t="n"/>
      <c r="AE172" s="60" t="n"/>
      <c r="AF172" s="60" t="n"/>
      <c r="AG172" s="60" t="n"/>
      <c r="AH172" s="60" t="n"/>
      <c r="AI172" s="60" t="n"/>
      <c r="AJ172" s="120">
        <f>IF(K172&gt;0,K172*(82.29+8.15),0)+IF(L172&gt;0,L172*(8.15+339.97),0)+IF(M172&gt;0,M172*151.63,0)+IF(N172&gt;0,N172*197.82,0)+IF(O172&gt;0,O172*244.09,0)+IF(P172&gt;0,P172*315.35,0)+IF(Q172&gt;0,Q172*1067.3,0)+IF(S172&gt;0,S172*567.47,0)+IF(T172&gt;0,T172*151.63,0)+IF(U172&gt;0,U172*197.84,0)+IF(V172&gt;0,V172*470.51,0)+IF(W172&gt;0,W172*701.69,0)+IF(Y172&gt;0,Y172*151.63,0)+IF(Z172&gt;0,Z172*197.84)+IF(AA172&gt;0,AA172*308.4,0)+IF(AB172&gt;0,AB172*496.16,0)</f>
        <v/>
      </c>
    </row>
    <row r="173">
      <c r="A173" s="59">
        <f>IF(G173&lt;$A$1,"VENCIDO","NA VALIDADE")</f>
        <v/>
      </c>
      <c r="B173" s="60" t="inlineStr">
        <is>
          <t>SUBESTAÇÃO</t>
        </is>
      </c>
      <c r="C173" s="61" t="inlineStr">
        <is>
          <t>SE RIACHO DAS ALMAS</t>
        </is>
      </c>
      <c r="D173" s="82" t="inlineStr">
        <is>
          <t>RIACHO DAS ALMAS</t>
        </is>
      </c>
      <c r="E173" s="75" t="inlineStr">
        <is>
          <t>PE</t>
        </is>
      </c>
      <c r="F173" s="75" t="inlineStr">
        <is>
          <t>CABO DE SANTO AGOSTINHO</t>
        </is>
      </c>
      <c r="G173" s="119" t="n">
        <v>45536</v>
      </c>
      <c r="H173" s="119">
        <f>G173-180</f>
        <v/>
      </c>
      <c r="I173" s="60">
        <f>SUM(K173:AD173)</f>
        <v/>
      </c>
      <c r="J173" s="60">
        <f>SUM(AE173:AI173)</f>
        <v/>
      </c>
      <c r="K173" s="60" t="n"/>
      <c r="L173" s="60" t="n"/>
      <c r="M173" s="60" t="n"/>
      <c r="N173" s="60" t="n"/>
      <c r="O173" s="60" t="n"/>
      <c r="P173" s="60" t="n"/>
      <c r="Q173" s="60" t="n"/>
      <c r="R173" s="60" t="n"/>
      <c r="S173" s="60" t="n">
        <v>1</v>
      </c>
      <c r="T173" s="60" t="n"/>
      <c r="U173" s="60" t="n"/>
      <c r="V173" s="60" t="n"/>
      <c r="W173" s="60" t="n"/>
      <c r="X173" s="60" t="n"/>
      <c r="Y173" s="60" t="n"/>
      <c r="Z173" s="60" t="n">
        <v>1</v>
      </c>
      <c r="AA173" s="60" t="n"/>
      <c r="AB173" s="60" t="n"/>
      <c r="AC173" s="60" t="n"/>
      <c r="AD173" s="60" t="n"/>
      <c r="AE173" s="60" t="n"/>
      <c r="AF173" s="60" t="n"/>
      <c r="AG173" s="60" t="n"/>
      <c r="AH173" s="60" t="n"/>
      <c r="AI173" s="60" t="n"/>
      <c r="AJ173" s="120">
        <f>IF(K173&gt;0,K173*(82.29+8.15),0)+IF(L173&gt;0,L173*(8.15+339.97),0)+IF(M173&gt;0,M173*151.63,0)+IF(N173&gt;0,N173*197.82,0)+IF(O173&gt;0,O173*244.09,0)+IF(P173&gt;0,P173*315.35,0)+IF(Q173&gt;0,Q173*1067.3,0)+IF(S173&gt;0,S173*567.47,0)+IF(T173&gt;0,T173*151.63,0)+IF(U173&gt;0,U173*197.84,0)+IF(V173&gt;0,V173*470.51,0)+IF(W173&gt;0,W173*701.69,0)+IF(Y173&gt;0,Y173*151.63,0)+IF(Z173&gt;0,Z173*197.84)+IF(AA173&gt;0,AA173*308.4,0)+IF(AB173&gt;0,AB173*496.16,0)</f>
        <v/>
      </c>
    </row>
    <row r="174">
      <c r="A174" s="59">
        <f>IF(G174&lt;$A$1,"VENCIDO","NA VALIDADE")</f>
        <v/>
      </c>
      <c r="B174" s="60" t="inlineStr">
        <is>
          <t>SUBESTAÇÃO</t>
        </is>
      </c>
      <c r="C174" s="61" t="inlineStr">
        <is>
          <t>SE RIO DOCE</t>
        </is>
      </c>
      <c r="D174" s="82" t="inlineStr">
        <is>
          <t>OLINDA</t>
        </is>
      </c>
      <c r="E174" s="75" t="inlineStr">
        <is>
          <t>PE</t>
        </is>
      </c>
      <c r="F174" s="75" t="inlineStr">
        <is>
          <t>CABO DE SANTO AGOSTINHO</t>
        </is>
      </c>
      <c r="G174" s="119" t="n">
        <v>45383</v>
      </c>
      <c r="H174" s="119" t="n">
        <v>45383</v>
      </c>
      <c r="I174" s="60">
        <f>SUM(K174:AD174)</f>
        <v/>
      </c>
      <c r="J174" s="60">
        <f>SUM(AE174:AI174)</f>
        <v/>
      </c>
      <c r="K174" s="60" t="n"/>
      <c r="L174" s="60" t="n"/>
      <c r="M174" s="60" t="n"/>
      <c r="N174" s="60" t="n"/>
      <c r="O174" s="60" t="n"/>
      <c r="P174" s="60" t="n">
        <v>2</v>
      </c>
      <c r="Q174" s="60" t="n"/>
      <c r="R174" s="60" t="n"/>
      <c r="S174" s="60" t="n"/>
      <c r="T174" s="60" t="n"/>
      <c r="U174" s="60" t="n"/>
      <c r="V174" s="60" t="n"/>
      <c r="W174" s="60" t="n"/>
      <c r="X174" s="60" t="n"/>
      <c r="Y174" s="60" t="n"/>
      <c r="Z174" s="60" t="n">
        <v>1</v>
      </c>
      <c r="AA174" s="60" t="n"/>
      <c r="AB174" s="60" t="n"/>
      <c r="AC174" s="60" t="n"/>
      <c r="AD174" s="60" t="n"/>
      <c r="AE174" s="60" t="n"/>
      <c r="AF174" s="60" t="n"/>
      <c r="AG174" s="60" t="n"/>
      <c r="AH174" s="60" t="n"/>
      <c r="AI174" s="60" t="n"/>
      <c r="AJ174" s="120">
        <f>IF(K174&gt;0,K174*(82.29+8.15),0)+IF(L174&gt;0,L174*(8.15+339.97),0)+IF(M174&gt;0,M174*151.63,0)+IF(N174&gt;0,N174*197.82,0)+IF(O174&gt;0,O174*244.09,0)+IF(P174&gt;0,P174*315.35,0)+IF(Q174&gt;0,Q174*1067.3,0)+IF(S174&gt;0,S174*567.47,0)+IF(T174&gt;0,T174*151.63,0)+IF(U174&gt;0,U174*197.84,0)+IF(V174&gt;0,V174*470.51,0)+IF(W174&gt;0,W174*701.69,0)+IF(Y174&gt;0,Y174*151.63,0)+IF(Z174&gt;0,Z174*197.84)+IF(AA174&gt;0,AA174*308.4,0)+IF(AB174&gt;0,AB174*496.16,0)</f>
        <v/>
      </c>
    </row>
    <row r="175">
      <c r="A175" s="59">
        <f>IF(G175&lt;$A$1,"VENCIDO","NA VALIDADE")</f>
        <v/>
      </c>
      <c r="B175" s="60" t="inlineStr">
        <is>
          <t>SUBESTAÇÃO</t>
        </is>
      </c>
      <c r="C175" s="61" t="inlineStr">
        <is>
          <t>SE SANTA CRUZ</t>
        </is>
      </c>
      <c r="D175" s="82" t="inlineStr">
        <is>
          <t>SANTA CRUZ</t>
        </is>
      </c>
      <c r="E175" s="75" t="inlineStr">
        <is>
          <t>PE</t>
        </is>
      </c>
      <c r="F175" s="75" t="inlineStr">
        <is>
          <t>CABO DE SANTO AGOSTINHO</t>
        </is>
      </c>
      <c r="G175" s="119" t="n">
        <v>45444</v>
      </c>
      <c r="H175" s="119" t="n">
        <v>45444</v>
      </c>
      <c r="I175" s="60">
        <f>SUM(K175:AD175)</f>
        <v/>
      </c>
      <c r="J175" s="60">
        <f>SUM(AE175:AI175)</f>
        <v/>
      </c>
      <c r="K175" s="60" t="n"/>
      <c r="L175" s="60" t="n"/>
      <c r="M175" s="60" t="n"/>
      <c r="N175" s="60" t="n"/>
      <c r="O175" s="60" t="n"/>
      <c r="P175" s="60" t="n"/>
      <c r="Q175" s="60" t="n"/>
      <c r="R175" s="60" t="n"/>
      <c r="S175" s="60" t="n">
        <v>1</v>
      </c>
      <c r="T175" s="60" t="n"/>
      <c r="U175" s="60" t="n"/>
      <c r="V175" s="60" t="n"/>
      <c r="W175" s="60" t="n"/>
      <c r="X175" s="60" t="n"/>
      <c r="Y175" s="60" t="n"/>
      <c r="Z175" s="60" t="n">
        <v>1</v>
      </c>
      <c r="AA175" s="60" t="n"/>
      <c r="AB175" s="60" t="n"/>
      <c r="AC175" s="60" t="n"/>
      <c r="AD175" s="60" t="n"/>
      <c r="AE175" s="60" t="n">
        <v>21</v>
      </c>
      <c r="AF175" s="60" t="n"/>
      <c r="AG175" s="60" t="n"/>
      <c r="AH175" s="60" t="n"/>
      <c r="AI175" s="60" t="n"/>
      <c r="AJ175" s="120">
        <f>IF(K175&gt;0,K175*(82.29+8.15),0)+IF(L175&gt;0,L175*(8.15+339.97),0)+IF(M175&gt;0,M175*151.63,0)+IF(N175&gt;0,N175*197.82,0)+IF(O175&gt;0,O175*244.09,0)+IF(P175&gt;0,P175*315.35,0)+IF(Q175&gt;0,Q175*1067.3,0)+IF(S175&gt;0,S175*567.47,0)+IF(T175&gt;0,T175*151.63,0)+IF(U175&gt;0,U175*197.84,0)+IF(V175&gt;0,V175*470.51,0)+IF(W175&gt;0,W175*701.69,0)+IF(Y175&gt;0,Y175*151.63,0)+IF(Z175&gt;0,Z175*197.84)+IF(AA175&gt;0,AA175*308.4,0)+IF(AB175&gt;0,AB175*496.16,0)</f>
        <v/>
      </c>
    </row>
    <row r="176">
      <c r="A176" s="59">
        <f>IF(G176&lt;$A$1,"VENCIDO","NA VALIDADE")</f>
        <v/>
      </c>
      <c r="B176" s="60" t="inlineStr">
        <is>
          <t>SUBESTAÇÃO</t>
        </is>
      </c>
      <c r="C176" s="61" t="inlineStr">
        <is>
          <t>SE SÃO BENTO DO UNA</t>
        </is>
      </c>
      <c r="D176" s="82" t="inlineStr">
        <is>
          <t>SAO BENTO DO UNA</t>
        </is>
      </c>
      <c r="E176" s="75" t="inlineStr">
        <is>
          <t>PE</t>
        </is>
      </c>
      <c r="F176" s="75" t="inlineStr">
        <is>
          <t>CABO DE SANTO AGOSTINHO</t>
        </is>
      </c>
      <c r="G176" s="119" t="n">
        <v>45352</v>
      </c>
      <c r="H176" s="119" t="n">
        <v>45352</v>
      </c>
      <c r="I176" s="60">
        <f>SUM(K176:AD176)</f>
        <v/>
      </c>
      <c r="J176" s="60">
        <f>SUM(AE176:AI176)</f>
        <v/>
      </c>
      <c r="K176" s="60" t="n"/>
      <c r="L176" s="60" t="n"/>
      <c r="M176" s="60" t="n"/>
      <c r="N176" s="60" t="n"/>
      <c r="O176" s="60" t="n">
        <v>1</v>
      </c>
      <c r="P176" s="60" t="n">
        <v>1</v>
      </c>
      <c r="Q176" s="60" t="n"/>
      <c r="R176" s="60" t="n"/>
      <c r="S176" s="60" t="n"/>
      <c r="T176" s="60" t="n"/>
      <c r="U176" s="60" t="n"/>
      <c r="V176" s="60" t="n"/>
      <c r="W176" s="60" t="n"/>
      <c r="X176" s="60" t="n"/>
      <c r="Y176" s="60" t="n">
        <v>1</v>
      </c>
      <c r="Z176" s="60" t="n"/>
      <c r="AA176" s="60" t="n"/>
      <c r="AB176" s="60" t="n"/>
      <c r="AC176" s="60" t="n"/>
      <c r="AD176" s="60" t="n"/>
      <c r="AE176" s="60" t="n"/>
      <c r="AF176" s="60" t="n"/>
      <c r="AG176" s="60" t="n"/>
      <c r="AH176" s="60" t="n"/>
      <c r="AI176" s="60" t="n"/>
      <c r="AJ176" s="120">
        <f>IF(K176&gt;0,K176*(82.29+8.15),0)+IF(L176&gt;0,L176*(8.15+339.97),0)+IF(M176&gt;0,M176*151.63,0)+IF(N176&gt;0,N176*197.82,0)+IF(O176&gt;0,O176*244.09,0)+IF(P176&gt;0,P176*315.35,0)+IF(Q176&gt;0,Q176*1067.3,0)+IF(S176&gt;0,S176*567.47,0)+IF(T176&gt;0,T176*151.63,0)+IF(U176&gt;0,U176*197.84,0)+IF(V176&gt;0,V176*470.51,0)+IF(W176&gt;0,W176*701.69,0)+IF(Y176&gt;0,Y176*151.63,0)+IF(Z176&gt;0,Z176*197.84)+IF(AA176&gt;0,AA176*308.4,0)+IF(AB176&gt;0,AB176*496.16,0)</f>
        <v/>
      </c>
    </row>
    <row r="177">
      <c r="A177" s="59">
        <f>IF(G177&lt;$A$1,"VENCIDO","NA VALIDADE")</f>
        <v/>
      </c>
      <c r="B177" s="60" t="inlineStr">
        <is>
          <t>UTD</t>
        </is>
      </c>
      <c r="C177" s="61" t="inlineStr">
        <is>
          <t>UTD SANTA MARIA DA BOA VISTA</t>
        </is>
      </c>
      <c r="D177" s="82" t="inlineStr">
        <is>
          <t>SANTA MARIA DA BOA VISTA</t>
        </is>
      </c>
      <c r="E177" s="75" t="inlineStr">
        <is>
          <t>PE</t>
        </is>
      </c>
      <c r="F177" s="75" t="inlineStr">
        <is>
          <t>CABO DE SANTO AGOSTINHO</t>
        </is>
      </c>
      <c r="G177" s="119" t="n">
        <v>45323</v>
      </c>
      <c r="H177" s="119" t="n">
        <v>45323</v>
      </c>
      <c r="I177" s="60">
        <f>SUM(K177:AD177)</f>
        <v/>
      </c>
      <c r="J177" s="60">
        <f>SUM(AE177:AI177)</f>
        <v/>
      </c>
      <c r="K177" s="60" t="n">
        <v>2</v>
      </c>
      <c r="L177" s="60" t="n"/>
      <c r="M177" s="60" t="n"/>
      <c r="N177" s="60" t="n">
        <v>1</v>
      </c>
      <c r="O177" s="60" t="n"/>
      <c r="P177" s="60" t="n">
        <v>1</v>
      </c>
      <c r="Q177" s="60" t="n"/>
      <c r="R177" s="60" t="n"/>
      <c r="S177" s="60" t="n"/>
      <c r="T177" s="60" t="n"/>
      <c r="U177" s="60" t="n"/>
      <c r="V177" s="60" t="n"/>
      <c r="W177" s="60" t="n"/>
      <c r="X177" s="60" t="n"/>
      <c r="Y177" s="60" t="n"/>
      <c r="Z177" s="60" t="n">
        <v>1</v>
      </c>
      <c r="AA177" s="60" t="n"/>
      <c r="AB177" s="60" t="n"/>
      <c r="AC177" s="60" t="n"/>
      <c r="AD177" s="60" t="n"/>
      <c r="AE177" s="60" t="n"/>
      <c r="AF177" s="60" t="n"/>
      <c r="AG177" s="60" t="n"/>
      <c r="AH177" s="60" t="n"/>
      <c r="AI177" s="60" t="n"/>
      <c r="AJ177" s="120">
        <f>IF(K177&gt;0,K177*(82.29+8.15),0)+IF(L177&gt;0,L177*(8.15+339.97),0)+IF(M177&gt;0,M177*151.63,0)+IF(N177&gt;0,N177*197.82,0)+IF(O177&gt;0,O177*244.09,0)+IF(P177&gt;0,P177*315.35,0)+IF(Q177&gt;0,Q177*1067.3,0)+IF(S177&gt;0,S177*567.47,0)+IF(T177&gt;0,T177*151.63,0)+IF(U177&gt;0,U177*197.84,0)+IF(V177&gt;0,V177*470.51,0)+IF(W177&gt;0,W177*701.69,0)+IF(Y177&gt;0,Y177*151.63,0)+IF(Z177&gt;0,Z177*197.84)+IF(AA177&gt;0,AA177*308.4,0)+IF(AB177&gt;0,AB177*496.16,0)</f>
        <v/>
      </c>
    </row>
    <row r="178">
      <c r="A178" s="59">
        <f>IF(G178&lt;$A$1,"VENCIDO","NA VALIDADE")</f>
        <v/>
      </c>
      <c r="B178" s="60" t="inlineStr">
        <is>
          <t>SUBESTAÇÃO</t>
        </is>
      </c>
      <c r="C178" s="61" t="inlineStr">
        <is>
          <t>SE SÃO FRANCISCO</t>
        </is>
      </c>
      <c r="D178" s="82" t="inlineStr">
        <is>
          <t>SANTA MARIA DA BOA VISTA</t>
        </is>
      </c>
      <c r="E178" s="75" t="inlineStr">
        <is>
          <t>PE</t>
        </is>
      </c>
      <c r="F178" s="75" t="inlineStr">
        <is>
          <t>CABO DE SANTO AGOSTINHO</t>
        </is>
      </c>
      <c r="G178" s="119" t="n">
        <v>45536</v>
      </c>
      <c r="H178" s="119">
        <f>G178-180</f>
        <v/>
      </c>
      <c r="I178" s="60">
        <f>SUM(K178:AD178)</f>
        <v/>
      </c>
      <c r="J178" s="60">
        <f>SUM(AE178:AI178)</f>
        <v/>
      </c>
      <c r="K178" s="60" t="n"/>
      <c r="L178" s="60" t="n"/>
      <c r="M178" s="60" t="n"/>
      <c r="N178" s="60" t="n"/>
      <c r="O178" s="60" t="n">
        <v>1</v>
      </c>
      <c r="P178" s="60" t="n">
        <v>1</v>
      </c>
      <c r="Q178" s="60" t="n"/>
      <c r="R178" s="60" t="n"/>
      <c r="S178" s="60" t="n"/>
      <c r="T178" s="60" t="n"/>
      <c r="U178" s="60" t="n"/>
      <c r="V178" s="60" t="n"/>
      <c r="W178" s="60" t="n"/>
      <c r="X178" s="60" t="n"/>
      <c r="Y178" s="60" t="n"/>
      <c r="Z178" s="60" t="n">
        <v>1</v>
      </c>
      <c r="AA178" s="60" t="n"/>
      <c r="AB178" s="60" t="n"/>
      <c r="AC178" s="60" t="n"/>
      <c r="AD178" s="60" t="n"/>
      <c r="AE178" s="60" t="n"/>
      <c r="AF178" s="60" t="n"/>
      <c r="AG178" s="60" t="n"/>
      <c r="AH178" s="60" t="n"/>
      <c r="AI178" s="60" t="n"/>
      <c r="AJ178" s="120">
        <f>IF(K178&gt;0,K178*(82.29+8.15),0)+IF(L178&gt;0,L178*(8.15+339.97),0)+IF(M178&gt;0,M178*151.63,0)+IF(N178&gt;0,N178*197.82,0)+IF(O178&gt;0,O178*244.09,0)+IF(P178&gt;0,P178*315.35,0)+IF(Q178&gt;0,Q178*1067.3,0)+IF(S178&gt;0,S178*567.47,0)+IF(T178&gt;0,T178*151.63,0)+IF(U178&gt;0,U178*197.84,0)+IF(V178&gt;0,V178*470.51,0)+IF(W178&gt;0,W178*701.69,0)+IF(Y178&gt;0,Y178*151.63,0)+IF(Z178&gt;0,Z178*197.84)+IF(AA178&gt;0,AA178*308.4,0)+IF(AB178&gt;0,AB178*496.16,0)</f>
        <v/>
      </c>
    </row>
    <row r="179">
      <c r="A179" s="59">
        <f>IF(G179&lt;$A$1,"VENCIDO","NA VALIDADE")</f>
        <v/>
      </c>
      <c r="B179" s="60" t="inlineStr">
        <is>
          <t>AGÊNCIA</t>
        </is>
      </c>
      <c r="C179" s="61" t="inlineStr">
        <is>
          <t>AGÊNCIA SÃO LOURENÇO DA MATA</t>
        </is>
      </c>
      <c r="D179" s="82" t="inlineStr">
        <is>
          <t>SAO LOURENCO DA MATA</t>
        </is>
      </c>
      <c r="E179" s="75" t="inlineStr">
        <is>
          <t>PE</t>
        </is>
      </c>
      <c r="F179" s="75" t="inlineStr">
        <is>
          <t>CABO DE SANTO AGOSTINHO</t>
        </is>
      </c>
      <c r="G179" s="119" t="n">
        <v>45505</v>
      </c>
      <c r="H179" s="119">
        <f>G179-180</f>
        <v/>
      </c>
      <c r="I179" s="60">
        <f>SUM(K179:AD179)</f>
        <v/>
      </c>
      <c r="J179" s="60">
        <f>SUM(AE179:AI179)</f>
        <v/>
      </c>
      <c r="K179" s="60" t="n">
        <v>1</v>
      </c>
      <c r="L179" s="60" t="n"/>
      <c r="M179" s="60" t="n">
        <v>1</v>
      </c>
      <c r="N179" s="60" t="n"/>
      <c r="O179" s="60" t="n"/>
      <c r="P179" s="60" t="n"/>
      <c r="Q179" s="60" t="n"/>
      <c r="R179" s="60" t="n"/>
      <c r="S179" s="60" t="n"/>
      <c r="T179" s="60" t="n"/>
      <c r="U179" s="60" t="n"/>
      <c r="V179" s="60" t="n"/>
      <c r="W179" s="60" t="n"/>
      <c r="X179" s="60" t="n"/>
      <c r="Y179" s="60" t="n"/>
      <c r="Z179" s="60" t="n">
        <v>1</v>
      </c>
      <c r="AA179" s="60" t="n"/>
      <c r="AB179" s="60" t="n"/>
      <c r="AC179" s="60" t="n"/>
      <c r="AD179" s="60" t="n"/>
      <c r="AE179" s="60" t="n"/>
      <c r="AF179" s="60" t="n"/>
      <c r="AG179" s="60" t="n"/>
      <c r="AH179" s="60" t="n"/>
      <c r="AI179" s="60" t="n"/>
      <c r="AJ179" s="120">
        <f>IF(K179&gt;0,K179*(82.29+8.15),0)+IF(L179&gt;0,L179*(8.15+339.97),0)+IF(M179&gt;0,M179*151.63,0)+IF(N179&gt;0,N179*197.82,0)+IF(O179&gt;0,O179*244.09,0)+IF(P179&gt;0,P179*315.35,0)+IF(Q179&gt;0,Q179*1067.3,0)+IF(S179&gt;0,S179*567.47,0)+IF(T179&gt;0,T179*151.63,0)+IF(U179&gt;0,U179*197.84,0)+IF(V179&gt;0,V179*470.51,0)+IF(W179&gt;0,W179*701.69,0)+IF(Y179&gt;0,Y179*151.63,0)+IF(Z179&gt;0,Z179*197.84)+IF(AA179&gt;0,AA179*308.4,0)+IF(AB179&gt;0,AB179*496.16,0)</f>
        <v/>
      </c>
    </row>
    <row r="180">
      <c r="A180" s="59">
        <f>IF(G180&lt;$A$1,"VENCIDO","NA VALIDADE")</f>
        <v/>
      </c>
      <c r="B180" s="60" t="inlineStr">
        <is>
          <t>SUBESTAÇÃO</t>
        </is>
      </c>
      <c r="C180" s="61" t="inlineStr">
        <is>
          <t>SE SÃO LOURENÇO</t>
        </is>
      </c>
      <c r="D180" s="82" t="inlineStr">
        <is>
          <t>SAO LOURENCO DA MATA</t>
        </is>
      </c>
      <c r="E180" s="75" t="inlineStr">
        <is>
          <t>PE</t>
        </is>
      </c>
      <c r="F180" s="75" t="inlineStr">
        <is>
          <t>CABO DE SANTO AGOSTINHO</t>
        </is>
      </c>
      <c r="G180" s="119" t="n">
        <v>45323</v>
      </c>
      <c r="H180" s="119" t="n">
        <v>45323</v>
      </c>
      <c r="I180" s="60">
        <f>SUM(K180:AD180)</f>
        <v/>
      </c>
      <c r="J180" s="60">
        <f>SUM(AE180:AI180)</f>
        <v/>
      </c>
      <c r="K180" s="60" t="n"/>
      <c r="L180" s="60" t="n"/>
      <c r="M180" s="60" t="n"/>
      <c r="N180" s="60" t="n"/>
      <c r="O180" s="60" t="n">
        <v>1</v>
      </c>
      <c r="P180" s="60" t="n">
        <v>1</v>
      </c>
      <c r="Q180" s="60" t="n"/>
      <c r="R180" s="60" t="n"/>
      <c r="S180" s="60" t="n">
        <v>3</v>
      </c>
      <c r="T180" s="60" t="n"/>
      <c r="U180" s="60" t="n"/>
      <c r="V180" s="60" t="n"/>
      <c r="W180" s="60" t="n"/>
      <c r="X180" s="60" t="n"/>
      <c r="Y180" s="60" t="n"/>
      <c r="Z180" s="60" t="n">
        <v>1</v>
      </c>
      <c r="AA180" s="60" t="n"/>
      <c r="AB180" s="60" t="n"/>
      <c r="AC180" s="60" t="n"/>
      <c r="AD180" s="60" t="n"/>
      <c r="AE180" s="60" t="n"/>
      <c r="AF180" s="60" t="n"/>
      <c r="AG180" s="60" t="n"/>
      <c r="AH180" s="60" t="n"/>
      <c r="AI180" s="60" t="n"/>
      <c r="AJ180" s="120">
        <f>IF(K180&gt;0,K180*(82.29+8.15),0)+IF(L180&gt;0,L180*(8.15+339.97),0)+IF(M180&gt;0,M180*151.63,0)+IF(N180&gt;0,N180*197.82,0)+IF(O180&gt;0,O180*244.09,0)+IF(P180&gt;0,P180*315.35,0)+IF(Q180&gt;0,Q180*1067.3,0)+IF(S180&gt;0,S180*567.47,0)+IF(T180&gt;0,T180*151.63,0)+IF(U180&gt;0,U180*197.84,0)+IF(V180&gt;0,V180*470.51,0)+IF(W180&gt;0,W180*701.69,0)+IF(Y180&gt;0,Y180*151.63,0)+IF(Z180&gt;0,Z180*197.84)+IF(AA180&gt;0,AA180*308.4,0)+IF(AB180&gt;0,AB180*496.16,0)</f>
        <v/>
      </c>
    </row>
    <row r="181">
      <c r="A181" s="59">
        <f>IF(G181&lt;$A$1,"VENCIDO","NA VALIDADE")</f>
        <v/>
      </c>
      <c r="B181" s="60" t="inlineStr">
        <is>
          <t>SUBESTAÇÃO</t>
        </is>
      </c>
      <c r="C181" s="61" t="inlineStr">
        <is>
          <t>SE SE BREJO DA MADRE DE DEUS</t>
        </is>
      </c>
      <c r="D181" s="82" t="inlineStr">
        <is>
          <t>BREJO DA MADRE DE DEUS</t>
        </is>
      </c>
      <c r="E181" s="75" t="inlineStr">
        <is>
          <t>PE</t>
        </is>
      </c>
      <c r="F181" s="75" t="inlineStr">
        <is>
          <t>CABO DE SANTO AGOSTINHO</t>
        </is>
      </c>
      <c r="G181" s="119" t="n">
        <v>45323</v>
      </c>
      <c r="H181" s="119" t="n">
        <v>45323</v>
      </c>
      <c r="I181" s="60">
        <f>SUM(K181:AD181)</f>
        <v/>
      </c>
      <c r="J181" s="60">
        <f>SUM(AE181:AI181)</f>
        <v/>
      </c>
      <c r="K181" s="60" t="n"/>
      <c r="L181" s="60" t="n"/>
      <c r="M181" s="60" t="n"/>
      <c r="N181" s="60" t="n"/>
      <c r="O181" s="60" t="n"/>
      <c r="P181" s="60" t="n">
        <v>2</v>
      </c>
      <c r="Q181" s="60" t="n"/>
      <c r="R181" s="60" t="n"/>
      <c r="S181" s="60" t="n"/>
      <c r="T181" s="60" t="n"/>
      <c r="U181" s="60" t="n"/>
      <c r="V181" s="60" t="n"/>
      <c r="W181" s="60" t="n"/>
      <c r="X181" s="60" t="n"/>
      <c r="Y181" s="60" t="n">
        <v>1</v>
      </c>
      <c r="Z181" s="60" t="n"/>
      <c r="AA181" s="60" t="n"/>
      <c r="AB181" s="60" t="n"/>
      <c r="AC181" s="60" t="n"/>
      <c r="AD181" s="60" t="n"/>
      <c r="AE181" s="60" t="n"/>
      <c r="AF181" s="60" t="n"/>
      <c r="AG181" s="60" t="n"/>
      <c r="AH181" s="60" t="n"/>
      <c r="AI181" s="60" t="n"/>
      <c r="AJ181" s="120">
        <f>IF(K181&gt;0,K181*(82.29+8.15),0)+IF(L181&gt;0,L181*(8.15+339.97),0)+IF(M181&gt;0,M181*151.63,0)+IF(N181&gt;0,N181*197.82,0)+IF(O181&gt;0,O181*244.09,0)+IF(P181&gt;0,P181*315.35,0)+IF(Q181&gt;0,Q181*1067.3,0)+IF(S181&gt;0,S181*567.47,0)+IF(T181&gt;0,T181*151.63,0)+IF(U181&gt;0,U181*197.84,0)+IF(V181&gt;0,V181*470.51,0)+IF(W181&gt;0,W181*701.69,0)+IF(Y181&gt;0,Y181*151.63,0)+IF(Z181&gt;0,Z181*197.84)+IF(AA181&gt;0,AA181*308.4,0)+IF(AB181&gt;0,AB181*496.16,0)</f>
        <v/>
      </c>
    </row>
    <row r="182">
      <c r="A182" s="59">
        <f>IF(G182&lt;$A$1,"VENCIDO","NA VALIDADE")</f>
        <v/>
      </c>
      <c r="B182" s="60" t="inlineStr">
        <is>
          <t>SUBESTAÇÃO</t>
        </is>
      </c>
      <c r="C182" s="61" t="inlineStr">
        <is>
          <t>SE SEC FLORES</t>
        </is>
      </c>
      <c r="D182" s="82" t="inlineStr">
        <is>
          <t>FLORES</t>
        </is>
      </c>
      <c r="E182" s="75" t="inlineStr">
        <is>
          <t>PE</t>
        </is>
      </c>
      <c r="F182" s="75" t="inlineStr">
        <is>
          <t>CABO DE SANTO AGOSTINHO</t>
        </is>
      </c>
      <c r="G182" s="119" t="n">
        <v>45566</v>
      </c>
      <c r="H182" s="119">
        <f>G182-180</f>
        <v/>
      </c>
      <c r="I182" s="60">
        <f>SUM(K182:AD182)</f>
        <v/>
      </c>
      <c r="J182" s="60">
        <f>SUM(AE182:AI182)</f>
        <v/>
      </c>
      <c r="K182" s="60" t="n"/>
      <c r="L182" s="60" t="n"/>
      <c r="M182" s="60" t="n"/>
      <c r="N182" s="60" t="n"/>
      <c r="O182" s="60" t="n"/>
      <c r="P182" s="60" t="n">
        <v>2</v>
      </c>
      <c r="Q182" s="60" t="n"/>
      <c r="R182" s="60" t="n"/>
      <c r="S182" s="60" t="n"/>
      <c r="T182" s="60" t="n"/>
      <c r="U182" s="60" t="n"/>
      <c r="V182" s="60" t="n"/>
      <c r="W182" s="60" t="n"/>
      <c r="X182" s="60" t="n"/>
      <c r="Y182" s="60" t="n"/>
      <c r="Z182" s="60" t="n">
        <v>1</v>
      </c>
      <c r="AA182" s="60" t="n"/>
      <c r="AB182" s="60" t="n"/>
      <c r="AC182" s="60" t="n"/>
      <c r="AD182" s="60" t="n"/>
      <c r="AE182" s="60" t="n"/>
      <c r="AF182" s="60" t="n"/>
      <c r="AG182" s="60" t="n"/>
      <c r="AH182" s="60" t="n"/>
      <c r="AI182" s="60" t="n"/>
      <c r="AJ182" s="120">
        <f>IF(K182&gt;0,K182*(82.29+8.15),0)+IF(L182&gt;0,L182*(8.15+339.97),0)+IF(M182&gt;0,M182*151.63,0)+IF(N182&gt;0,N182*197.82,0)+IF(O182&gt;0,O182*244.09,0)+IF(P182&gt;0,P182*315.35,0)+IF(Q182&gt;0,Q182*1067.3,0)+IF(S182&gt;0,S182*567.47,0)+IF(T182&gt;0,T182*151.63,0)+IF(U182&gt;0,U182*197.84,0)+IF(V182&gt;0,V182*470.51,0)+IF(W182&gt;0,W182*701.69,0)+IF(Y182&gt;0,Y182*151.63,0)+IF(Z182&gt;0,Z182*197.84)+IF(AA182&gt;0,AA182*308.4,0)+IF(AB182&gt;0,AB182*496.16,0)</f>
        <v/>
      </c>
    </row>
    <row r="183">
      <c r="A183" s="59">
        <f>IF(G183&lt;$A$1,"VENCIDO","NA VALIDADE")</f>
        <v/>
      </c>
      <c r="B183" s="60" t="inlineStr">
        <is>
          <t>AGÊNCIA</t>
        </is>
      </c>
      <c r="C183" s="61" t="inlineStr">
        <is>
          <t>AGÊNCIA GARANHUNS</t>
        </is>
      </c>
      <c r="D183" s="82" t="inlineStr">
        <is>
          <t>GARANHUNS</t>
        </is>
      </c>
      <c r="E183" s="75" t="inlineStr">
        <is>
          <t>PE</t>
        </is>
      </c>
      <c r="F183" s="75" t="inlineStr">
        <is>
          <t>CABO DE SANTO AGOSTINHO</t>
        </is>
      </c>
      <c r="G183" s="119" t="n">
        <v>45658</v>
      </c>
      <c r="H183" s="119">
        <f>G183-180</f>
        <v/>
      </c>
      <c r="I183" s="60">
        <f>SUM(K183:AD183)</f>
        <v/>
      </c>
      <c r="J183" s="60">
        <f>SUM(AE183:AI183)</f>
        <v/>
      </c>
      <c r="K183" s="60" t="n"/>
      <c r="L183" s="60" t="n"/>
      <c r="M183" s="60" t="n">
        <v>1</v>
      </c>
      <c r="N183" s="60" t="n"/>
      <c r="O183" s="60" t="n"/>
      <c r="P183" s="60" t="n"/>
      <c r="Q183" s="60" t="n"/>
      <c r="R183" s="60" t="n"/>
      <c r="S183" s="60" t="n"/>
      <c r="T183" s="60" t="n"/>
      <c r="U183" s="60" t="n"/>
      <c r="V183" s="60" t="n"/>
      <c r="W183" s="60" t="n"/>
      <c r="X183" s="60" t="n"/>
      <c r="Y183" s="60" t="n">
        <v>1</v>
      </c>
      <c r="Z183" s="60" t="n"/>
      <c r="AA183" s="60" t="n"/>
      <c r="AB183" s="60" t="n"/>
      <c r="AC183" s="60" t="n"/>
      <c r="AD183" s="60" t="n"/>
      <c r="AE183" s="60" t="n"/>
      <c r="AF183" s="60" t="n"/>
      <c r="AG183" s="60" t="n"/>
      <c r="AH183" s="60" t="n"/>
      <c r="AI183" s="60" t="n"/>
      <c r="AJ183" s="120">
        <f>IF(K183&gt;0,K183*(82.29+8.15),0)+IF(L183&gt;0,L183*(8.15+339.97),0)+IF(M183&gt;0,M183*151.63,0)+IF(N183&gt;0,N183*197.82,0)+IF(O183&gt;0,O183*244.09,0)+IF(P183&gt;0,P183*315.35,0)+IF(Q183&gt;0,Q183*1067.3,0)+IF(S183&gt;0,S183*567.47,0)+IF(T183&gt;0,T183*151.63,0)+IF(U183&gt;0,U183*197.84,0)+IF(V183&gt;0,V183*470.51,0)+IF(W183&gt;0,W183*701.69,0)+IF(Y183&gt;0,Y183*151.63,0)+IF(Z183&gt;0,Z183*197.84)+IF(AA183&gt;0,AA183*308.4,0)+IF(AB183&gt;0,AB183*496.16,0)</f>
        <v/>
      </c>
    </row>
    <row r="184">
      <c r="A184" s="59">
        <f>IF(G184&lt;$A$1,"VENCIDO","NA VALIDADE")</f>
        <v/>
      </c>
      <c r="B184" s="60" t="inlineStr">
        <is>
          <t>SUBESTAÇÃO</t>
        </is>
      </c>
      <c r="C184" s="61" t="inlineStr">
        <is>
          <t>SE GARANHUNS</t>
        </is>
      </c>
      <c r="D184" s="82" t="inlineStr">
        <is>
          <t>GARANHUNS</t>
        </is>
      </c>
      <c r="E184" s="75" t="inlineStr">
        <is>
          <t>PE</t>
        </is>
      </c>
      <c r="F184" s="75" t="inlineStr">
        <is>
          <t>CABO DE SANTO AGOSTINHO</t>
        </is>
      </c>
      <c r="G184" s="119" t="n">
        <v>45536</v>
      </c>
      <c r="H184" s="119" t="n">
        <v>45200</v>
      </c>
      <c r="I184" s="60">
        <f>SUM(K184:AD184)</f>
        <v/>
      </c>
      <c r="J184" s="60">
        <f>SUM(AE184:AI184)</f>
        <v/>
      </c>
      <c r="K184" s="60" t="n"/>
      <c r="L184" s="60" t="n"/>
      <c r="M184" s="60" t="n"/>
      <c r="N184" s="60" t="n"/>
      <c r="O184" s="60" t="n"/>
      <c r="P184" s="60" t="n">
        <v>1</v>
      </c>
      <c r="Q184" s="60" t="n"/>
      <c r="R184" s="60" t="n"/>
      <c r="S184" s="60" t="n"/>
      <c r="T184" s="60" t="n"/>
      <c r="U184" s="60" t="n"/>
      <c r="V184" s="60" t="n"/>
      <c r="W184" s="60" t="n"/>
      <c r="X184" s="60" t="n"/>
      <c r="Y184" s="60" t="n"/>
      <c r="Z184" s="60" t="n">
        <v>1</v>
      </c>
      <c r="AA184" s="60" t="n"/>
      <c r="AB184" s="60" t="n"/>
      <c r="AC184" s="60" t="n"/>
      <c r="AD184" s="60" t="n"/>
      <c r="AE184" s="60" t="n"/>
      <c r="AF184" s="60" t="n"/>
      <c r="AG184" s="60" t="n"/>
      <c r="AH184" s="60" t="n"/>
      <c r="AI184" s="60" t="n"/>
      <c r="AJ184" s="120">
        <f>IF(K184&gt;0,K184*(82.29+8.15),0)+IF(L184&gt;0,L184*(8.15+339.97),0)+IF(M184&gt;0,M184*151.63,0)+IF(N184&gt;0,N184*197.82,0)+IF(O184&gt;0,O184*244.09,0)+IF(P184&gt;0,P184*315.35,0)+IF(Q184&gt;0,Q184*1067.3,0)+IF(S184&gt;0,S184*567.47,0)+IF(T184&gt;0,T184*151.63,0)+IF(U184&gt;0,U184*197.84,0)+IF(V184&gt;0,V184*470.51,0)+IF(W184&gt;0,W184*701.69,0)+IF(Y184&gt;0,Y184*151.63,0)+IF(Z184&gt;0,Z184*197.84)+IF(AA184&gt;0,AA184*308.4,0)+IF(AB184&gt;0,AB184*496.16,0)</f>
        <v/>
      </c>
    </row>
    <row r="185">
      <c r="A185" s="59">
        <f>IF(G185&lt;$A$1,"VENCIDO","NA VALIDADE")</f>
        <v/>
      </c>
      <c r="B185" s="60" t="inlineStr">
        <is>
          <t>SUBESTAÇÃO</t>
        </is>
      </c>
      <c r="C185" s="61" t="inlineStr">
        <is>
          <t>SE SEC JABOATÃO</t>
        </is>
      </c>
      <c r="D185" s="82" t="inlineStr">
        <is>
          <t>JABOATAO DOS GUARARAPES</t>
        </is>
      </c>
      <c r="E185" s="75" t="inlineStr">
        <is>
          <t>PE</t>
        </is>
      </c>
      <c r="F185" s="75" t="inlineStr">
        <is>
          <t>CABO DE SANTO AGOSTINHO</t>
        </is>
      </c>
      <c r="G185" s="119" t="n">
        <v>45413</v>
      </c>
      <c r="H185" s="119" t="n">
        <v>45413</v>
      </c>
      <c r="I185" s="60">
        <f>SUM(K185:AD185)</f>
        <v/>
      </c>
      <c r="J185" s="60">
        <f>SUM(AE185:AI185)</f>
        <v/>
      </c>
      <c r="K185" s="60" t="n"/>
      <c r="L185" s="60" t="n"/>
      <c r="M185" s="60" t="n"/>
      <c r="N185" s="60" t="n"/>
      <c r="O185" s="60" t="n"/>
      <c r="P185" s="60" t="n">
        <v>2</v>
      </c>
      <c r="Q185" s="60" t="n"/>
      <c r="R185" s="60" t="n"/>
      <c r="S185" s="60" t="n"/>
      <c r="T185" s="60" t="n"/>
      <c r="U185" s="60" t="n"/>
      <c r="V185" s="60" t="n"/>
      <c r="W185" s="60" t="n"/>
      <c r="X185" s="60" t="n"/>
      <c r="Y185" s="60" t="n"/>
      <c r="Z185" s="60" t="n">
        <v>1</v>
      </c>
      <c r="AA185" s="60" t="n"/>
      <c r="AB185" s="60" t="n"/>
      <c r="AC185" s="60" t="n"/>
      <c r="AD185" s="60" t="n"/>
      <c r="AE185" s="60" t="n"/>
      <c r="AF185" s="60" t="n"/>
      <c r="AG185" s="60" t="n"/>
      <c r="AH185" s="60" t="n"/>
      <c r="AI185" s="60" t="n"/>
      <c r="AJ185" s="120">
        <f>IF(K185&gt;0,K185*(82.29+8.15),0)+IF(L185&gt;0,L185*(8.15+339.97),0)+IF(M185&gt;0,M185*151.63,0)+IF(N185&gt;0,N185*197.82,0)+IF(O185&gt;0,O185*244.09,0)+IF(P185&gt;0,P185*315.35,0)+IF(Q185&gt;0,Q185*1067.3,0)+IF(S185&gt;0,S185*567.47,0)+IF(T185&gt;0,T185*151.63,0)+IF(U185&gt;0,U185*197.84,0)+IF(V185&gt;0,V185*470.51,0)+IF(W185&gt;0,W185*701.69,0)+IF(Y185&gt;0,Y185*151.63,0)+IF(Z185&gt;0,Z185*197.84)+IF(AA185&gt;0,AA185*308.4,0)+IF(AB185&gt;0,AB185*496.16,0)</f>
        <v/>
      </c>
    </row>
    <row r="186">
      <c r="A186" s="59">
        <f>IF(G186&lt;$A$1,"VENCIDO","NA VALIDADE")</f>
        <v/>
      </c>
      <c r="B186" s="60" t="inlineStr">
        <is>
          <t>SUBESTAÇÃO</t>
        </is>
      </c>
      <c r="C186" s="61" t="inlineStr">
        <is>
          <t>SE SEC PETROLINA</t>
        </is>
      </c>
      <c r="D186" s="82" t="inlineStr">
        <is>
          <t>PETROLINA</t>
        </is>
      </c>
      <c r="E186" s="75" t="inlineStr">
        <is>
          <t>PE</t>
        </is>
      </c>
      <c r="F186" s="75" t="inlineStr">
        <is>
          <t>CABO DE SANTO AGOSTINHO</t>
        </is>
      </c>
      <c r="G186" s="119" t="n">
        <v>45536</v>
      </c>
      <c r="H186" s="119">
        <f>G186-180</f>
        <v/>
      </c>
      <c r="I186" s="60">
        <f>SUM(K186:AD186)</f>
        <v/>
      </c>
      <c r="J186" s="60">
        <f>SUM(AE186:AI186)</f>
        <v/>
      </c>
      <c r="K186" s="60" t="n"/>
      <c r="L186" s="60" t="n"/>
      <c r="M186" s="60" t="n"/>
      <c r="N186" s="60" t="n">
        <v>1</v>
      </c>
      <c r="O186" s="60" t="n"/>
      <c r="P186" s="60" t="n">
        <v>1</v>
      </c>
      <c r="Q186" s="60" t="n"/>
      <c r="R186" s="60" t="n"/>
      <c r="S186" s="60" t="n"/>
      <c r="T186" s="60" t="n"/>
      <c r="U186" s="60" t="n"/>
      <c r="V186" s="60" t="n"/>
      <c r="W186" s="60" t="n"/>
      <c r="X186" s="60" t="n"/>
      <c r="Y186" s="60" t="n"/>
      <c r="Z186" s="60" t="n">
        <v>1</v>
      </c>
      <c r="AA186" s="60" t="n"/>
      <c r="AB186" s="60" t="n"/>
      <c r="AC186" s="60" t="n"/>
      <c r="AD186" s="60" t="n"/>
      <c r="AE186" s="60" t="n"/>
      <c r="AF186" s="60" t="n"/>
      <c r="AG186" s="60" t="n"/>
      <c r="AH186" s="60" t="n"/>
      <c r="AI186" s="60" t="n"/>
      <c r="AJ186" s="120">
        <f>IF(K186&gt;0,K186*(82.29+8.15),0)+IF(L186&gt;0,L186*(8.15+339.97),0)+IF(M186&gt;0,M186*151.63,0)+IF(N186&gt;0,N186*197.82,0)+IF(O186&gt;0,O186*244.09,0)+IF(P186&gt;0,P186*315.35,0)+IF(Q186&gt;0,Q186*1067.3,0)+IF(S186&gt;0,S186*567.47,0)+IF(T186&gt;0,T186*151.63,0)+IF(U186&gt;0,U186*197.84,0)+IF(V186&gt;0,V186*470.51,0)+IF(W186&gt;0,W186*701.69,0)+IF(Y186&gt;0,Y186*151.63,0)+IF(Z186&gt;0,Z186*197.84)+IF(AA186&gt;0,AA186*308.4,0)+IF(AB186&gt;0,AB186*496.16,0)</f>
        <v/>
      </c>
    </row>
    <row r="187">
      <c r="A187" s="59">
        <f>IF(G187&lt;$A$1,"VENCIDO","NA VALIDADE")</f>
        <v/>
      </c>
      <c r="B187" s="60" t="inlineStr">
        <is>
          <t>SUBESTAÇÃO</t>
        </is>
      </c>
      <c r="C187" s="61" t="inlineStr">
        <is>
          <t>SE SEC PORTO DE SUAPE</t>
        </is>
      </c>
      <c r="D187" s="82" t="inlineStr">
        <is>
          <t>CABO DE SANTO AGOSTINHO</t>
        </is>
      </c>
      <c r="E187" s="75" t="inlineStr">
        <is>
          <t>PE</t>
        </is>
      </c>
      <c r="F187" s="75" t="inlineStr">
        <is>
          <t>CABO DE SANTO AGOSTINHO</t>
        </is>
      </c>
      <c r="G187" s="119" t="n">
        <v>45352</v>
      </c>
      <c r="H187" s="119" t="n">
        <v>45352</v>
      </c>
      <c r="I187" s="60">
        <f>SUM(K187:AD187)</f>
        <v/>
      </c>
      <c r="J187" s="60">
        <f>SUM(AE187:AI187)</f>
        <v/>
      </c>
      <c r="K187" s="60" t="n"/>
      <c r="L187" s="60" t="n"/>
      <c r="M187" s="60" t="n"/>
      <c r="N187" s="60" t="n">
        <v>1</v>
      </c>
      <c r="O187" s="60" t="n">
        <v>2</v>
      </c>
      <c r="P187" s="60" t="n"/>
      <c r="Q187" s="60" t="n"/>
      <c r="R187" s="60" t="n"/>
      <c r="S187" s="60" t="n">
        <v>1</v>
      </c>
      <c r="T187" s="60" t="n"/>
      <c r="U187" s="60" t="n"/>
      <c r="V187" s="60" t="n"/>
      <c r="W187" s="60" t="n"/>
      <c r="X187" s="60" t="n"/>
      <c r="Y187" s="60" t="n"/>
      <c r="Z187" s="60" t="n">
        <v>1</v>
      </c>
      <c r="AA187" s="60" t="n"/>
      <c r="AB187" s="60" t="n"/>
      <c r="AC187" s="60" t="n"/>
      <c r="AD187" s="60" t="n"/>
      <c r="AE187" s="60" t="n"/>
      <c r="AF187" s="60" t="n"/>
      <c r="AG187" s="60" t="n"/>
      <c r="AH187" s="60" t="n"/>
      <c r="AI187" s="60" t="n"/>
      <c r="AJ187" s="120">
        <f>IF(K187&gt;0,K187*(82.29+8.15),0)+IF(L187&gt;0,L187*(8.15+339.97),0)+IF(M187&gt;0,M187*151.63,0)+IF(N187&gt;0,N187*197.82,0)+IF(O187&gt;0,O187*244.09,0)+IF(P187&gt;0,P187*315.35,0)+IF(Q187&gt;0,Q187*1067.3,0)+IF(S187&gt;0,S187*567.47,0)+IF(T187&gt;0,T187*151.63,0)+IF(U187&gt;0,U187*197.84,0)+IF(V187&gt;0,V187*470.51,0)+IF(W187&gt;0,W187*701.69,0)+IF(Y187&gt;0,Y187*151.63,0)+IF(Z187&gt;0,Z187*197.84)+IF(AA187&gt;0,AA187*308.4,0)+IF(AB187&gt;0,AB187*496.16,0)</f>
        <v/>
      </c>
    </row>
    <row r="188">
      <c r="A188" s="59">
        <f>IF(G188&lt;$A$1,"VENCIDO","NA VALIDADE")</f>
        <v/>
      </c>
      <c r="B188" s="60" t="inlineStr">
        <is>
          <t>SUBESTAÇÃO</t>
        </is>
      </c>
      <c r="C188" s="61" t="inlineStr">
        <is>
          <t>SE PRAZERES</t>
        </is>
      </c>
      <c r="D188" s="82" t="inlineStr">
        <is>
          <t>JABOATAO DOS GUARARAPES</t>
        </is>
      </c>
      <c r="E188" s="75" t="inlineStr">
        <is>
          <t>PE</t>
        </is>
      </c>
      <c r="F188" s="75" t="inlineStr">
        <is>
          <t>CABO DE SANTO AGOSTINHO</t>
        </is>
      </c>
      <c r="G188" s="119" t="n">
        <v>45658</v>
      </c>
      <c r="H188" s="119" t="n">
        <v>45474</v>
      </c>
      <c r="I188" s="60">
        <f>SUM(K188:AD188)</f>
        <v/>
      </c>
      <c r="J188" s="60">
        <f>SUM(AE188:AI188)</f>
        <v/>
      </c>
      <c r="K188" s="60" t="n"/>
      <c r="L188" s="60" t="n"/>
      <c r="M188" s="60" t="n">
        <v>2</v>
      </c>
      <c r="N188" s="60" t="n">
        <v>2</v>
      </c>
      <c r="O188" s="60" t="n"/>
      <c r="P188" s="60" t="n"/>
      <c r="Q188" s="60" t="n"/>
      <c r="R188" s="60" t="n"/>
      <c r="S188" s="60" t="n"/>
      <c r="T188" s="60" t="n"/>
      <c r="U188" s="60" t="n"/>
      <c r="V188" s="60" t="n"/>
      <c r="W188" s="60" t="n"/>
      <c r="X188" s="60" t="n"/>
      <c r="Y188" s="60" t="n"/>
      <c r="Z188" s="60" t="n">
        <v>2</v>
      </c>
      <c r="AA188" s="60" t="n"/>
      <c r="AB188" s="60" t="n"/>
      <c r="AC188" s="60" t="n"/>
      <c r="AD188" s="60" t="n"/>
      <c r="AE188" s="60" t="n"/>
      <c r="AF188" s="60" t="n"/>
      <c r="AG188" s="60" t="n"/>
      <c r="AH188" s="60" t="n"/>
      <c r="AI188" s="60" t="n"/>
      <c r="AJ188" s="120">
        <f>IF(K188&gt;0,K188*(82.29+8.15),0)+IF(L188&gt;0,L188*(8.15+339.97),0)+IF(M188&gt;0,M188*151.63,0)+IF(N188&gt;0,N188*197.82,0)+IF(O188&gt;0,O188*244.09,0)+IF(P188&gt;0,P188*315.35,0)+IF(Q188&gt;0,Q188*1067.3,0)+IF(S188&gt;0,S188*567.47,0)+IF(T188&gt;0,T188*151.63,0)+IF(U188&gt;0,U188*197.84,0)+IF(V188&gt;0,V188*470.51,0)+IF(W188&gt;0,W188*701.69,0)+IF(Y188&gt;0,Y188*151.63,0)+IF(Z188&gt;0,Z188*197.84)+IF(AA188&gt;0,AA188*308.4,0)+IF(AB188&gt;0,AB188*496.16,0)</f>
        <v/>
      </c>
    </row>
    <row r="189">
      <c r="A189" s="59">
        <f>IF(G189&lt;$A$1,"VENCIDO","NA VALIDADE")</f>
        <v/>
      </c>
      <c r="B189" s="60" t="inlineStr">
        <is>
          <t>SUBESTAÇÃO</t>
        </is>
      </c>
      <c r="C189" s="61" t="inlineStr">
        <is>
          <t>SE SERTANIA (SEM ACESSO CHAVE )</t>
        </is>
      </c>
      <c r="D189" s="82" t="inlineStr">
        <is>
          <t>SERTANIA</t>
        </is>
      </c>
      <c r="E189" s="75" t="inlineStr">
        <is>
          <t>PE</t>
        </is>
      </c>
      <c r="F189" s="75" t="inlineStr">
        <is>
          <t>CABO DE SANTO AGOSTINHO</t>
        </is>
      </c>
      <c r="G189" s="119" t="n">
        <v>45231</v>
      </c>
      <c r="H189" s="119">
        <f>G189-180</f>
        <v/>
      </c>
      <c r="I189" s="60">
        <f>SUM(K189:AD189)</f>
        <v/>
      </c>
      <c r="J189" s="60">
        <f>SUM(AE189:AI189)</f>
        <v/>
      </c>
      <c r="K189" s="60" t="n"/>
      <c r="L189" s="60" t="n"/>
      <c r="M189" s="60" t="n"/>
      <c r="N189" s="60" t="n"/>
      <c r="O189" s="60" t="n"/>
      <c r="P189" s="60" t="n">
        <v>1</v>
      </c>
      <c r="Q189" s="60" t="n"/>
      <c r="R189" s="60" t="n"/>
      <c r="S189" s="60" t="n"/>
      <c r="T189" s="60" t="n"/>
      <c r="U189" s="60" t="n"/>
      <c r="V189" s="60" t="n"/>
      <c r="W189" s="60" t="n"/>
      <c r="X189" s="60" t="n"/>
      <c r="Y189" s="60" t="n"/>
      <c r="Z189" s="60" t="n">
        <v>1</v>
      </c>
      <c r="AA189" s="60" t="n"/>
      <c r="AB189" s="60" t="n"/>
      <c r="AC189" s="60" t="n"/>
      <c r="AD189" s="60" t="n"/>
      <c r="AE189" s="60" t="n"/>
      <c r="AF189" s="60" t="n"/>
      <c r="AG189" s="60" t="n"/>
      <c r="AH189" s="60" t="n"/>
      <c r="AI189" s="60" t="n"/>
      <c r="AJ189" s="120">
        <f>IF(K189&gt;0,K189*(82.29+8.15),0)+IF(L189&gt;0,L189*(8.15+339.97),0)+IF(M189&gt;0,M189*151.63,0)+IF(N189&gt;0,N189*197.82,0)+IF(O189&gt;0,O189*244.09,0)+IF(P189&gt;0,P189*315.35,0)+IF(Q189&gt;0,Q189*1067.3,0)+IF(S189&gt;0,S189*567.47,0)+IF(T189&gt;0,T189*151.63,0)+IF(U189&gt;0,U189*197.84,0)+IF(V189&gt;0,V189*470.51,0)+IF(W189&gt;0,W189*701.69,0)+IF(Y189&gt;0,Y189*151.63,0)+IF(Z189&gt;0,Z189*197.84)+IF(AA189&gt;0,AA189*308.4,0)+IF(AB189&gt;0,AB189*496.16,0)</f>
        <v/>
      </c>
    </row>
    <row r="190">
      <c r="A190" s="59">
        <f>IF(G190&lt;$A$1,"VENCIDO","NA VALIDADE")</f>
        <v/>
      </c>
      <c r="B190" s="60" t="inlineStr">
        <is>
          <t>SUBESTAÇÃO</t>
        </is>
      </c>
      <c r="C190" s="61" t="inlineStr">
        <is>
          <t>SE SETÚBAL</t>
        </is>
      </c>
      <c r="D190" s="82" t="inlineStr">
        <is>
          <t>JABOATAO DOS GUARARAPES</t>
        </is>
      </c>
      <c r="E190" s="75" t="inlineStr">
        <is>
          <t>PE</t>
        </is>
      </c>
      <c r="F190" s="75" t="inlineStr">
        <is>
          <t>CABO DE SANTO AGOSTINHO</t>
        </is>
      </c>
      <c r="G190" s="119" t="n">
        <v>45383</v>
      </c>
      <c r="H190" s="119" t="n">
        <v>45383</v>
      </c>
      <c r="I190" s="60">
        <f>SUM(K190:AD190)</f>
        <v/>
      </c>
      <c r="J190" s="60">
        <f>SUM(AE190:AI190)</f>
        <v/>
      </c>
      <c r="K190" s="60" t="n"/>
      <c r="L190" s="60" t="n"/>
      <c r="M190" s="60" t="n"/>
      <c r="N190" s="60" t="n"/>
      <c r="O190" s="60" t="n"/>
      <c r="P190" s="60" t="n"/>
      <c r="Q190" s="60" t="n"/>
      <c r="R190" s="60" t="n"/>
      <c r="S190" s="60" t="n">
        <v>1</v>
      </c>
      <c r="T190" s="60" t="n"/>
      <c r="U190" s="60" t="n"/>
      <c r="V190" s="60" t="n"/>
      <c r="W190" s="60" t="n"/>
      <c r="X190" s="60" t="n"/>
      <c r="Y190" s="60" t="n"/>
      <c r="Z190" s="60" t="n">
        <v>1</v>
      </c>
      <c r="AA190" s="60" t="n"/>
      <c r="AB190" s="60" t="n"/>
      <c r="AC190" s="60" t="n"/>
      <c r="AD190" s="60" t="n"/>
      <c r="AE190" s="60" t="n"/>
      <c r="AF190" s="60" t="n"/>
      <c r="AG190" s="60" t="n"/>
      <c r="AH190" s="60" t="n"/>
      <c r="AI190" s="60" t="n"/>
      <c r="AJ190" s="120">
        <f>IF(K190&gt;0,K190*(82.29+8.15),0)+IF(L190&gt;0,L190*(8.15+339.97),0)+IF(M190&gt;0,M190*151.63,0)+IF(N190&gt;0,N190*197.82,0)+IF(O190&gt;0,O190*244.09,0)+IF(P190&gt;0,P190*315.35,0)+IF(Q190&gt;0,Q190*1067.3,0)+IF(S190&gt;0,S190*567.47,0)+IF(T190&gt;0,T190*151.63,0)+IF(U190&gt;0,U190*197.84,0)+IF(V190&gt;0,V190*470.51,0)+IF(W190&gt;0,W190*701.69,0)+IF(Y190&gt;0,Y190*151.63,0)+IF(Z190&gt;0,Z190*197.84)+IF(AA190&gt;0,AA190*308.4,0)+IF(AB190&gt;0,AB190*496.16,0)</f>
        <v/>
      </c>
    </row>
    <row r="191">
      <c r="A191" s="59">
        <f>IF(G191&lt;$A$1,"VENCIDO","NA VALIDADE")</f>
        <v/>
      </c>
      <c r="B191" s="60" t="inlineStr">
        <is>
          <t>SUBESTAÇÃO</t>
        </is>
      </c>
      <c r="C191" s="61" t="inlineStr">
        <is>
          <t>SE TABIRA</t>
        </is>
      </c>
      <c r="D191" s="82" t="inlineStr">
        <is>
          <t>TABIRA</t>
        </is>
      </c>
      <c r="E191" s="75" t="inlineStr">
        <is>
          <t>PE</t>
        </is>
      </c>
      <c r="F191" s="75" t="inlineStr">
        <is>
          <t>CABO DE SANTO AGOSTINHO</t>
        </is>
      </c>
      <c r="G191" s="119" t="n">
        <v>45383</v>
      </c>
      <c r="H191" s="119" t="n">
        <v>45383</v>
      </c>
      <c r="I191" s="60">
        <f>SUM(K191:AD191)</f>
        <v/>
      </c>
      <c r="J191" s="60">
        <f>SUM(AE191:AI191)</f>
        <v/>
      </c>
      <c r="K191" s="60" t="n"/>
      <c r="L191" s="60" t="n"/>
      <c r="M191" s="60" t="n"/>
      <c r="N191" s="60" t="n"/>
      <c r="O191" s="60" t="n"/>
      <c r="P191" s="60" t="n">
        <v>2</v>
      </c>
      <c r="Q191" s="60" t="n"/>
      <c r="R191" s="60" t="n"/>
      <c r="S191" s="60" t="n"/>
      <c r="T191" s="60" t="n"/>
      <c r="U191" s="60" t="n"/>
      <c r="V191" s="60" t="n"/>
      <c r="W191" s="60" t="n"/>
      <c r="X191" s="60" t="n"/>
      <c r="Y191" s="60" t="n"/>
      <c r="Z191" s="60" t="n">
        <v>1</v>
      </c>
      <c r="AA191" s="60" t="n"/>
      <c r="AB191" s="60" t="n"/>
      <c r="AC191" s="60" t="n"/>
      <c r="AD191" s="60" t="n"/>
      <c r="AE191" s="60" t="n"/>
      <c r="AF191" s="60" t="n"/>
      <c r="AG191" s="60" t="n"/>
      <c r="AH191" s="60" t="n"/>
      <c r="AI191" s="60" t="n"/>
      <c r="AJ191" s="120">
        <f>IF(K191&gt;0,K191*(82.29+8.15),0)+IF(L191&gt;0,L191*(8.15+339.97),0)+IF(M191&gt;0,M191*151.63,0)+IF(N191&gt;0,N191*197.82,0)+IF(O191&gt;0,O191*244.09,0)+IF(P191&gt;0,P191*315.35,0)+IF(Q191&gt;0,Q191*1067.3,0)+IF(S191&gt;0,S191*567.47,0)+IF(T191&gt;0,T191*151.63,0)+IF(U191&gt;0,U191*197.84,0)+IF(V191&gt;0,V191*470.51,0)+IF(W191&gt;0,W191*701.69,0)+IF(Y191&gt;0,Y191*151.63,0)+IF(Z191&gt;0,Z191*197.84)+IF(AA191&gt;0,AA191*308.4,0)+IF(AB191&gt;0,AB191*496.16,0)</f>
        <v/>
      </c>
    </row>
    <row r="192">
      <c r="A192" s="59">
        <f>IF(G192&lt;$A$1,"VENCIDO","NA VALIDADE")</f>
        <v/>
      </c>
      <c r="B192" s="60" t="inlineStr">
        <is>
          <t>SUBESTAÇÃO</t>
        </is>
      </c>
      <c r="C192" s="61" t="inlineStr">
        <is>
          <t>SE TACARATU</t>
        </is>
      </c>
      <c r="D192" s="82" t="inlineStr">
        <is>
          <t>TACARATU</t>
        </is>
      </c>
      <c r="E192" s="75" t="inlineStr">
        <is>
          <t>PE</t>
        </is>
      </c>
      <c r="F192" s="75" t="inlineStr">
        <is>
          <t>CABO DE SANTO AGOSTINHO</t>
        </is>
      </c>
      <c r="G192" s="119" t="n">
        <v>45383</v>
      </c>
      <c r="H192" s="119" t="n">
        <v>45383</v>
      </c>
      <c r="I192" s="60">
        <f>SUM(K192:AD192)</f>
        <v/>
      </c>
      <c r="J192" s="60">
        <f>SUM(AE192:AI192)</f>
        <v/>
      </c>
      <c r="K192" s="60" t="n"/>
      <c r="L192" s="60" t="n"/>
      <c r="M192" s="60" t="n"/>
      <c r="N192" s="60" t="n"/>
      <c r="O192" s="60" t="n"/>
      <c r="P192" s="60" t="n">
        <v>1</v>
      </c>
      <c r="Q192" s="60" t="n"/>
      <c r="R192" s="60" t="n"/>
      <c r="S192" s="60" t="n">
        <v>2</v>
      </c>
      <c r="T192" s="60" t="n"/>
      <c r="U192" s="60" t="n"/>
      <c r="V192" s="60" t="n"/>
      <c r="W192" s="60" t="n"/>
      <c r="X192" s="60" t="n"/>
      <c r="Y192" s="60" t="n"/>
      <c r="Z192" s="60" t="n">
        <v>1</v>
      </c>
      <c r="AA192" s="60" t="n"/>
      <c r="AB192" s="60" t="n"/>
      <c r="AC192" s="60" t="n"/>
      <c r="AD192" s="60" t="n"/>
      <c r="AE192" s="60" t="n"/>
      <c r="AF192" s="60" t="n"/>
      <c r="AG192" s="60" t="n"/>
      <c r="AH192" s="60" t="n"/>
      <c r="AI192" s="60" t="n"/>
      <c r="AJ192" s="120">
        <f>IF(K192&gt;0,K192*(82.29+8.15),0)+IF(L192&gt;0,L192*(8.15+339.97),0)+IF(M192&gt;0,M192*151.63,0)+IF(N192&gt;0,N192*197.82,0)+IF(O192&gt;0,O192*244.09,0)+IF(P192&gt;0,P192*315.35,0)+IF(Q192&gt;0,Q192*1067.3,0)+IF(S192&gt;0,S192*567.47,0)+IF(T192&gt;0,T192*151.63,0)+IF(U192&gt;0,U192*197.84,0)+IF(V192&gt;0,V192*470.51,0)+IF(W192&gt;0,W192*701.69,0)+IF(Y192&gt;0,Y192*151.63,0)+IF(Z192&gt;0,Z192*197.84)+IF(AA192&gt;0,AA192*308.4,0)+IF(AB192&gt;0,AB192*496.16,0)</f>
        <v/>
      </c>
    </row>
    <row r="193">
      <c r="A193" s="59">
        <f>IF(G193&lt;$A$1,"VENCIDO","NA VALIDADE")</f>
        <v/>
      </c>
      <c r="B193" s="60" t="inlineStr">
        <is>
          <t>SUBESTAÇÃO</t>
        </is>
      </c>
      <c r="C193" s="61" t="inlineStr">
        <is>
          <t>SE ITAÍBA</t>
        </is>
      </c>
      <c r="D193" s="82" t="inlineStr">
        <is>
          <t>ITAÍBA</t>
        </is>
      </c>
      <c r="E193" s="75" t="inlineStr">
        <is>
          <t>PE</t>
        </is>
      </c>
      <c r="F193" s="75" t="inlineStr">
        <is>
          <t>CABO DE SANTO AGOSTINHO</t>
        </is>
      </c>
      <c r="G193" s="119" t="n">
        <v>45413</v>
      </c>
      <c r="H193" s="119" t="n">
        <v>45413</v>
      </c>
      <c r="I193" s="60">
        <f>SUM(K193:AD193)</f>
        <v/>
      </c>
      <c r="J193" s="60">
        <f>SUM(AE193:AI193)</f>
        <v/>
      </c>
      <c r="K193" s="60" t="n"/>
      <c r="L193" s="60" t="n"/>
      <c r="M193" s="60" t="n"/>
      <c r="N193" s="60" t="n"/>
      <c r="O193" s="60" t="n"/>
      <c r="P193" s="60" t="n">
        <v>1</v>
      </c>
      <c r="Q193" s="60" t="n"/>
      <c r="R193" s="60" t="n"/>
      <c r="S193" s="60" t="n"/>
      <c r="T193" s="60" t="n"/>
      <c r="U193" s="60" t="n"/>
      <c r="V193" s="60" t="n"/>
      <c r="W193" s="60" t="n"/>
      <c r="X193" s="60" t="n"/>
      <c r="Y193" s="60" t="n"/>
      <c r="Z193" s="60" t="n">
        <v>1</v>
      </c>
      <c r="AA193" s="60" t="n"/>
      <c r="AB193" s="60" t="n"/>
      <c r="AC193" s="60" t="n"/>
      <c r="AD193" s="60" t="n"/>
      <c r="AE193" s="60" t="n"/>
      <c r="AF193" s="60" t="n"/>
      <c r="AG193" s="60" t="n"/>
      <c r="AH193" s="60" t="n"/>
      <c r="AI193" s="60" t="n"/>
      <c r="AJ193" s="120">
        <f>IF(K193&gt;0,K193*(82.29+8.15),0)+IF(L193&gt;0,L193*(8.15+339.97),0)+IF(M193&gt;0,M193*151.63,0)+IF(N193&gt;0,N193*197.82,0)+IF(O193&gt;0,O193*244.09,0)+IF(P193&gt;0,P193*315.35,0)+IF(Q193&gt;0,Q193*1067.3,0)+IF(S193&gt;0,S193*567.47,0)+IF(T193&gt;0,T193*151.63,0)+IF(U193&gt;0,U193*197.84,0)+IF(V193&gt;0,V193*470.51,0)+IF(W193&gt;0,W193*701.69,0)+IF(Y193&gt;0,Y193*151.63,0)+IF(Z193&gt;0,Z193*197.84)+IF(AA193&gt;0,AA193*308.4,0)+IF(AB193&gt;0,AB193*496.16,0)</f>
        <v/>
      </c>
    </row>
    <row r="194">
      <c r="A194" s="59">
        <f>IF(G194&lt;$A$1,"VENCIDO","NA VALIDADE")</f>
        <v/>
      </c>
      <c r="B194" s="60" t="inlineStr">
        <is>
          <t>SUBESTAÇÃO</t>
        </is>
      </c>
      <c r="C194" s="61" t="inlineStr">
        <is>
          <t>SE TAMANDARE</t>
        </is>
      </c>
      <c r="D194" s="82" t="inlineStr">
        <is>
          <t>TAMANDARE</t>
        </is>
      </c>
      <c r="E194" s="75" t="inlineStr">
        <is>
          <t>PE</t>
        </is>
      </c>
      <c r="F194" s="75" t="inlineStr">
        <is>
          <t>CABO DE SANTO AGOSTINHO</t>
        </is>
      </c>
      <c r="G194" s="119" t="n">
        <v>45474</v>
      </c>
      <c r="H194" s="119">
        <f>G194-180</f>
        <v/>
      </c>
      <c r="I194" s="60">
        <f>SUM(K194:AD194)</f>
        <v/>
      </c>
      <c r="J194" s="60">
        <f>SUM(AE194:AI194)</f>
        <v/>
      </c>
      <c r="K194" s="60" t="n"/>
      <c r="L194" s="60" t="n"/>
      <c r="M194" s="60" t="n"/>
      <c r="N194" s="60" t="n"/>
      <c r="O194" s="60" t="n"/>
      <c r="P194" s="60" t="n">
        <v>2</v>
      </c>
      <c r="Q194" s="60" t="n"/>
      <c r="R194" s="60" t="n"/>
      <c r="S194" s="60" t="n"/>
      <c r="T194" s="60" t="n"/>
      <c r="U194" s="60" t="n"/>
      <c r="V194" s="60" t="n"/>
      <c r="W194" s="60" t="n"/>
      <c r="X194" s="60" t="n"/>
      <c r="Y194" s="60" t="n"/>
      <c r="Z194" s="60" t="n">
        <v>1</v>
      </c>
      <c r="AA194" s="60" t="n"/>
      <c r="AB194" s="60" t="n"/>
      <c r="AC194" s="60" t="n"/>
      <c r="AD194" s="60" t="n"/>
      <c r="AE194" s="60" t="n"/>
      <c r="AF194" s="60" t="n"/>
      <c r="AG194" s="60" t="n"/>
      <c r="AH194" s="60" t="n"/>
      <c r="AI194" s="60" t="n"/>
      <c r="AJ194" s="120">
        <f>IF(K194&gt;0,K194*(82.29+8.15),0)+IF(L194&gt;0,L194*(8.15+339.97),0)+IF(M194&gt;0,M194*151.63,0)+IF(N194&gt;0,N194*197.82,0)+IF(O194&gt;0,O194*244.09,0)+IF(P194&gt;0,P194*315.35,0)+IF(Q194&gt;0,Q194*1067.3,0)+IF(S194&gt;0,S194*567.47,0)+IF(T194&gt;0,T194*151.63,0)+IF(U194&gt;0,U194*197.84,0)+IF(V194&gt;0,V194*470.51,0)+IF(W194&gt;0,W194*701.69,0)+IF(Y194&gt;0,Y194*151.63,0)+IF(Z194&gt;0,Z194*197.84)+IF(AA194&gt;0,AA194*308.4,0)+IF(AB194&gt;0,AB194*496.16,0)</f>
        <v/>
      </c>
    </row>
    <row r="195">
      <c r="A195" s="59">
        <f>IF(G195&lt;$A$1,"VENCIDO","NA VALIDADE")</f>
        <v/>
      </c>
      <c r="B195" s="60" t="inlineStr">
        <is>
          <t>SUBESTAÇÃO</t>
        </is>
      </c>
      <c r="C195" s="61" t="inlineStr">
        <is>
          <t>SE TAMARINEIRA</t>
        </is>
      </c>
      <c r="D195" s="82" t="inlineStr">
        <is>
          <t>RECIFE</t>
        </is>
      </c>
      <c r="E195" s="75" t="inlineStr">
        <is>
          <t>PE</t>
        </is>
      </c>
      <c r="F195" s="75" t="inlineStr">
        <is>
          <t>CABO DE SANTO AGOSTINHO</t>
        </is>
      </c>
      <c r="G195" s="119" t="n">
        <v>45474</v>
      </c>
      <c r="H195" s="119" t="n">
        <v>45474</v>
      </c>
      <c r="I195" s="60">
        <f>SUM(K195:AD195)</f>
        <v/>
      </c>
      <c r="J195" s="60">
        <f>SUM(AE195:AI195)</f>
        <v/>
      </c>
      <c r="K195" s="60" t="n"/>
      <c r="L195" s="60" t="n"/>
      <c r="M195" s="60" t="n"/>
      <c r="N195" s="60" t="n"/>
      <c r="O195" s="60" t="n"/>
      <c r="P195" s="60" t="n"/>
      <c r="Q195" s="60" t="n"/>
      <c r="R195" s="60" t="n"/>
      <c r="S195" s="60" t="n">
        <v>1</v>
      </c>
      <c r="T195" s="60" t="n"/>
      <c r="U195" s="60" t="n"/>
      <c r="V195" s="60" t="n"/>
      <c r="W195" s="60" t="n"/>
      <c r="X195" s="60" t="n"/>
      <c r="Y195" s="60" t="n"/>
      <c r="Z195" s="60" t="n">
        <v>1</v>
      </c>
      <c r="AA195" s="60" t="n"/>
      <c r="AB195" s="60" t="n"/>
      <c r="AC195" s="60" t="n"/>
      <c r="AD195" s="60" t="n"/>
      <c r="AE195" s="60" t="n"/>
      <c r="AF195" s="60" t="n"/>
      <c r="AG195" s="60" t="n"/>
      <c r="AH195" s="60" t="n"/>
      <c r="AI195" s="60" t="n"/>
      <c r="AJ195" s="120">
        <f>IF(K195&gt;0,K195*(82.29+8.15),0)+IF(L195&gt;0,L195*(8.15+339.97),0)+IF(M195&gt;0,M195*151.63,0)+IF(N195&gt;0,N195*197.82,0)+IF(O195&gt;0,O195*244.09,0)+IF(P195&gt;0,P195*315.35,0)+IF(Q195&gt;0,Q195*1067.3,0)+IF(S195&gt;0,S195*567.47,0)+IF(T195&gt;0,T195*151.63,0)+IF(U195&gt;0,U195*197.84,0)+IF(V195&gt;0,V195*470.51,0)+IF(W195&gt;0,W195*701.69,0)+IF(Y195&gt;0,Y195*151.63,0)+IF(Z195&gt;0,Z195*197.84)+IF(AA195&gt;0,AA195*308.4,0)+IF(AB195&gt;0,AB195*496.16,0)</f>
        <v/>
      </c>
    </row>
    <row r="196">
      <c r="A196" s="59">
        <f>IF(G196&lt;$A$1,"VENCIDO","NA VALIDADE")</f>
        <v/>
      </c>
      <c r="B196" s="60" t="inlineStr">
        <is>
          <t>SUBESTAÇÃO</t>
        </is>
      </c>
      <c r="C196" s="61" t="inlineStr">
        <is>
          <t>SE TEJIPIÓ</t>
        </is>
      </c>
      <c r="D196" s="82" t="inlineStr">
        <is>
          <t>RECIFE</t>
        </is>
      </c>
      <c r="E196" s="75" t="inlineStr">
        <is>
          <t>PE</t>
        </is>
      </c>
      <c r="F196" s="75" t="inlineStr">
        <is>
          <t>CABO DE SANTO AGOSTINHO</t>
        </is>
      </c>
      <c r="G196" s="119" t="n">
        <v>45505</v>
      </c>
      <c r="H196" s="119">
        <f>G196-180</f>
        <v/>
      </c>
      <c r="I196" s="60">
        <f>SUM(K196:AD196)</f>
        <v/>
      </c>
      <c r="J196" s="60">
        <f>SUM(AE196:AI196)</f>
        <v/>
      </c>
      <c r="K196" s="60" t="n"/>
      <c r="L196" s="60" t="n"/>
      <c r="M196" s="60" t="n"/>
      <c r="N196" s="60" t="n"/>
      <c r="O196" s="60" t="n"/>
      <c r="P196" s="60" t="n">
        <v>2</v>
      </c>
      <c r="Q196" s="60" t="n"/>
      <c r="R196" s="60" t="n"/>
      <c r="S196" s="60" t="n"/>
      <c r="T196" s="60" t="n"/>
      <c r="U196" s="60" t="n"/>
      <c r="V196" s="60" t="n"/>
      <c r="W196" s="60" t="n"/>
      <c r="X196" s="60" t="n"/>
      <c r="Y196" s="60" t="n"/>
      <c r="Z196" s="60" t="n">
        <v>1</v>
      </c>
      <c r="AA196" s="60" t="n"/>
      <c r="AB196" s="60" t="n"/>
      <c r="AC196" s="60" t="n"/>
      <c r="AD196" s="60" t="n"/>
      <c r="AE196" s="60" t="n"/>
      <c r="AF196" s="60" t="n"/>
      <c r="AG196" s="60" t="n"/>
      <c r="AH196" s="60" t="n"/>
      <c r="AI196" s="60" t="n"/>
      <c r="AJ196" s="120">
        <f>IF(K196&gt;0,K196*(82.29+8.15),0)+IF(L196&gt;0,L196*(8.15+339.97),0)+IF(M196&gt;0,M196*151.63,0)+IF(N196&gt;0,N196*197.82,0)+IF(O196&gt;0,O196*244.09,0)+IF(P196&gt;0,P196*315.35,0)+IF(Q196&gt;0,Q196*1067.3,0)+IF(S196&gt;0,S196*567.47,0)+IF(T196&gt;0,T196*151.63,0)+IF(U196&gt;0,U196*197.84,0)+IF(V196&gt;0,V196*470.51,0)+IF(W196&gt;0,W196*701.69,0)+IF(Y196&gt;0,Y196*151.63,0)+IF(Z196&gt;0,Z196*197.84)+IF(AA196&gt;0,AA196*308.4,0)+IF(AB196&gt;0,AB196*496.16,0)</f>
        <v/>
      </c>
    </row>
    <row r="197">
      <c r="A197" s="59">
        <f>IF(G197&lt;$A$1,"VENCIDO","NA VALIDADE")</f>
        <v/>
      </c>
      <c r="B197" s="60" t="inlineStr">
        <is>
          <t>SUBESTAÇÃO</t>
        </is>
      </c>
      <c r="C197" s="61" t="inlineStr">
        <is>
          <t>SE TEJUCUPAPO</t>
        </is>
      </c>
      <c r="D197" s="82" t="inlineStr">
        <is>
          <t>GOIANA</t>
        </is>
      </c>
      <c r="E197" s="75" t="inlineStr">
        <is>
          <t>PE</t>
        </is>
      </c>
      <c r="F197" s="75" t="inlineStr">
        <is>
          <t>CABO DE SANTO AGOSTINHO</t>
        </is>
      </c>
      <c r="G197" s="119" t="n">
        <v>45383</v>
      </c>
      <c r="H197" s="119" t="n">
        <v>45383</v>
      </c>
      <c r="I197" s="60">
        <f>SUM(K197:AD197)</f>
        <v/>
      </c>
      <c r="J197" s="60">
        <f>SUM(AE197:AI197)</f>
        <v/>
      </c>
      <c r="K197" s="60" t="n"/>
      <c r="L197" s="60" t="n"/>
      <c r="M197" s="60" t="n"/>
      <c r="N197" s="60" t="n"/>
      <c r="O197" s="60" t="n"/>
      <c r="P197" s="60" t="n"/>
      <c r="Q197" s="60" t="n"/>
      <c r="R197" s="60" t="n"/>
      <c r="S197" s="60" t="n">
        <v>4</v>
      </c>
      <c r="T197" s="60" t="n"/>
      <c r="U197" s="60" t="n"/>
      <c r="V197" s="60" t="n"/>
      <c r="W197" s="60" t="n"/>
      <c r="X197" s="60" t="n"/>
      <c r="Y197" s="60" t="n"/>
      <c r="Z197" s="60" t="n">
        <v>1</v>
      </c>
      <c r="AA197" s="60" t="n"/>
      <c r="AB197" s="60" t="n"/>
      <c r="AC197" s="60" t="n"/>
      <c r="AD197" s="60" t="n"/>
      <c r="AE197" s="60" t="n"/>
      <c r="AF197" s="60" t="n"/>
      <c r="AG197" s="60" t="n"/>
      <c r="AH197" s="60" t="n"/>
      <c r="AI197" s="60" t="n"/>
      <c r="AJ197" s="120">
        <f>IF(K197&gt;0,K197*(82.29+8.15),0)+IF(L197&gt;0,L197*(8.15+339.97),0)+IF(M197&gt;0,M197*151.63,0)+IF(N197&gt;0,N197*197.82,0)+IF(O197&gt;0,O197*244.09,0)+IF(P197&gt;0,P197*315.35,0)+IF(Q197&gt;0,Q197*1067.3,0)+IF(S197&gt;0,S197*567.47,0)+IF(T197&gt;0,T197*151.63,0)+IF(U197&gt;0,U197*197.84,0)+IF(V197&gt;0,V197*470.51,0)+IF(W197&gt;0,W197*701.69,0)+IF(Y197&gt;0,Y197*151.63,0)+IF(Z197&gt;0,Z197*197.84)+IF(AA197&gt;0,AA197*308.4,0)+IF(AB197&gt;0,AB197*496.16,0)</f>
        <v/>
      </c>
    </row>
    <row r="198">
      <c r="A198" s="59">
        <f>IF(G198&lt;$A$1,"VENCIDO","NA VALIDADE")</f>
        <v/>
      </c>
      <c r="B198" s="60" t="inlineStr">
        <is>
          <t>SUBESTAÇÃO</t>
        </is>
      </c>
      <c r="C198" s="61" t="inlineStr">
        <is>
          <t>SE TIMBAÚBA</t>
        </is>
      </c>
      <c r="D198" s="82" t="inlineStr">
        <is>
          <t>TIMBAUBA</t>
        </is>
      </c>
      <c r="E198" s="75" t="inlineStr">
        <is>
          <t>PE</t>
        </is>
      </c>
      <c r="F198" s="75" t="inlineStr">
        <is>
          <t>CABO DE SANTO AGOSTINHO</t>
        </is>
      </c>
      <c r="G198" s="119" t="n">
        <v>45536</v>
      </c>
      <c r="H198" s="119">
        <f>G198-180</f>
        <v/>
      </c>
      <c r="I198" s="60">
        <f>SUM(K198:AD198)</f>
        <v/>
      </c>
      <c r="J198" s="60">
        <f>SUM(AE198:AI198)</f>
        <v/>
      </c>
      <c r="K198" s="60" t="n"/>
      <c r="L198" s="60" t="n"/>
      <c r="M198" s="60" t="n"/>
      <c r="N198" s="60" t="n"/>
      <c r="O198" s="60" t="n"/>
      <c r="P198" s="60" t="n">
        <v>1</v>
      </c>
      <c r="Q198" s="60" t="n"/>
      <c r="R198" s="60" t="n"/>
      <c r="S198" s="60" t="n"/>
      <c r="T198" s="60" t="n"/>
      <c r="U198" s="60" t="n"/>
      <c r="V198" s="60" t="n"/>
      <c r="W198" s="60" t="n"/>
      <c r="X198" s="60" t="n"/>
      <c r="Y198" s="60" t="n"/>
      <c r="Z198" s="60" t="n">
        <v>1</v>
      </c>
      <c r="AA198" s="60" t="n"/>
      <c r="AB198" s="60" t="n"/>
      <c r="AC198" s="60" t="n"/>
      <c r="AD198" s="60" t="n"/>
      <c r="AE198" s="60" t="n"/>
      <c r="AF198" s="60" t="n"/>
      <c r="AG198" s="60" t="n"/>
      <c r="AH198" s="60" t="n"/>
      <c r="AI198" s="60" t="n"/>
      <c r="AJ198" s="120">
        <f>IF(K198&gt;0,K198*(82.29+8.15),0)+IF(L198&gt;0,L198*(8.15+339.97),0)+IF(M198&gt;0,M198*151.63,0)+IF(N198&gt;0,N198*197.82,0)+IF(O198&gt;0,O198*244.09,0)+IF(P198&gt;0,P198*315.35,0)+IF(Q198&gt;0,Q198*1067.3,0)+IF(S198&gt;0,S198*567.47,0)+IF(T198&gt;0,T198*151.63,0)+IF(U198&gt;0,U198*197.84,0)+IF(V198&gt;0,V198*470.51,0)+IF(W198&gt;0,W198*701.69,0)+IF(Y198&gt;0,Y198*151.63,0)+IF(Z198&gt;0,Z198*197.84)+IF(AA198&gt;0,AA198*308.4,0)+IF(AB198&gt;0,AB198*496.16,0)</f>
        <v/>
      </c>
    </row>
    <row r="199">
      <c r="A199" s="59">
        <f>IF(G199&lt;$A$1,"VENCIDO","NA VALIDADE")</f>
        <v/>
      </c>
      <c r="B199" s="60" t="inlineStr">
        <is>
          <t>SUBESTAÇÃO</t>
        </is>
      </c>
      <c r="C199" s="61" t="inlineStr">
        <is>
          <t>SE TORITAMA</t>
        </is>
      </c>
      <c r="D199" s="82" t="inlineStr">
        <is>
          <t>TORITAMA</t>
        </is>
      </c>
      <c r="E199" s="75" t="inlineStr">
        <is>
          <t>PE</t>
        </is>
      </c>
      <c r="F199" s="75" t="inlineStr">
        <is>
          <t>CABO DE SANTO AGOSTINHO</t>
        </is>
      </c>
      <c r="G199" s="119" t="n">
        <v>45566</v>
      </c>
      <c r="H199" s="119">
        <f>G199-180</f>
        <v/>
      </c>
      <c r="I199" s="60">
        <f>SUM(K199:AD199)</f>
        <v/>
      </c>
      <c r="J199" s="60">
        <f>SUM(AE199:AI199)</f>
        <v/>
      </c>
      <c r="K199" s="60" t="n"/>
      <c r="L199" s="60" t="n"/>
      <c r="M199" s="60" t="n"/>
      <c r="N199" s="60" t="n"/>
      <c r="O199" s="60" t="n"/>
      <c r="P199" s="60" t="n">
        <v>1</v>
      </c>
      <c r="Q199" s="60" t="n"/>
      <c r="R199" s="60" t="n"/>
      <c r="S199" s="60" t="n"/>
      <c r="T199" s="60" t="n"/>
      <c r="U199" s="60" t="n"/>
      <c r="V199" s="60" t="n"/>
      <c r="W199" s="60" t="n"/>
      <c r="X199" s="60" t="n"/>
      <c r="Y199" s="60" t="n"/>
      <c r="Z199" s="60" t="n">
        <v>1</v>
      </c>
      <c r="AA199" s="60" t="n"/>
      <c r="AB199" s="60" t="n"/>
      <c r="AC199" s="60" t="n"/>
      <c r="AD199" s="60" t="n"/>
      <c r="AE199" s="60" t="n"/>
      <c r="AF199" s="60" t="n"/>
      <c r="AG199" s="60" t="n"/>
      <c r="AH199" s="60" t="n"/>
      <c r="AI199" s="60" t="n"/>
      <c r="AJ199" s="120">
        <f>IF(K199&gt;0,K199*(82.29+8.15),0)+IF(L199&gt;0,L199*(8.15+339.97),0)+IF(M199&gt;0,M199*151.63,0)+IF(N199&gt;0,N199*197.82,0)+IF(O199&gt;0,O199*244.09,0)+IF(P199&gt;0,P199*315.35,0)+IF(Q199&gt;0,Q199*1067.3,0)+IF(S199&gt;0,S199*567.47,0)+IF(T199&gt;0,T199*151.63,0)+IF(U199&gt;0,U199*197.84,0)+IF(V199&gt;0,V199*470.51,0)+IF(W199&gt;0,W199*701.69,0)+IF(Y199&gt;0,Y199*151.63,0)+IF(Z199&gt;0,Z199*197.84)+IF(AA199&gt;0,AA199*308.4,0)+IF(AB199&gt;0,AB199*496.16,0)</f>
        <v/>
      </c>
    </row>
    <row r="200">
      <c r="A200" s="59">
        <f>IF(G200&lt;$A$1,"VENCIDO","NA VALIDADE")</f>
        <v/>
      </c>
      <c r="B200" s="60" t="inlineStr">
        <is>
          <t>SUBESTAÇÃO</t>
        </is>
      </c>
      <c r="C200" s="61" t="inlineStr">
        <is>
          <t>SE TRINDADE</t>
        </is>
      </c>
      <c r="D200" s="82" t="inlineStr">
        <is>
          <t>TRINDADE</t>
        </is>
      </c>
      <c r="E200" s="75" t="inlineStr">
        <is>
          <t>PE</t>
        </is>
      </c>
      <c r="F200" s="75" t="inlineStr">
        <is>
          <t>CABO DE SANTO AGOSTINHO</t>
        </is>
      </c>
      <c r="G200" s="119" t="n">
        <v>45566</v>
      </c>
      <c r="H200" s="119">
        <f>G200-180</f>
        <v/>
      </c>
      <c r="I200" s="60">
        <f>SUM(K200:AD200)</f>
        <v/>
      </c>
      <c r="J200" s="60">
        <f>SUM(AE200:AI200)</f>
        <v/>
      </c>
      <c r="K200" s="60" t="n"/>
      <c r="L200" s="60" t="n"/>
      <c r="M200" s="60" t="n"/>
      <c r="N200" s="60" t="n"/>
      <c r="O200" s="60" t="n"/>
      <c r="P200" s="60" t="n">
        <v>2</v>
      </c>
      <c r="Q200" s="60" t="n"/>
      <c r="R200" s="60" t="n"/>
      <c r="S200" s="60" t="n"/>
      <c r="T200" s="60" t="n"/>
      <c r="U200" s="60" t="n"/>
      <c r="V200" s="60" t="n"/>
      <c r="W200" s="60" t="n"/>
      <c r="X200" s="60" t="n"/>
      <c r="Y200" s="60" t="n"/>
      <c r="Z200" s="60" t="n">
        <v>1</v>
      </c>
      <c r="AA200" s="60" t="n"/>
      <c r="AB200" s="60" t="n"/>
      <c r="AC200" s="60" t="n"/>
      <c r="AD200" s="60" t="n"/>
      <c r="AE200" s="60" t="n"/>
      <c r="AF200" s="60" t="n"/>
      <c r="AG200" s="60" t="n"/>
      <c r="AH200" s="60" t="n"/>
      <c r="AI200" s="60" t="n"/>
      <c r="AJ200" s="120">
        <f>IF(K200&gt;0,K200*(82.29+8.15),0)+IF(L200&gt;0,L200*(8.15+339.97),0)+IF(M200&gt;0,M200*151.63,0)+IF(N200&gt;0,N200*197.82,0)+IF(O200&gt;0,O200*244.09,0)+IF(P200&gt;0,P200*315.35,0)+IF(Q200&gt;0,Q200*1067.3,0)+IF(S200&gt;0,S200*567.47,0)+IF(T200&gt;0,T200*151.63,0)+IF(U200&gt;0,U200*197.84,0)+IF(V200&gt;0,V200*470.51,0)+IF(W200&gt;0,W200*701.69,0)+IF(Y200&gt;0,Y200*151.63,0)+IF(Z200&gt;0,Z200*197.84)+IF(AA200&gt;0,AA200*308.4,0)+IF(AB200&gt;0,AB200*496.16,0)</f>
        <v/>
      </c>
    </row>
    <row r="201">
      <c r="A201" s="59">
        <f>IF(G201&lt;$A$1,"VENCIDO","NA VALIDADE")</f>
        <v/>
      </c>
      <c r="B201" s="60" t="inlineStr">
        <is>
          <t>SUBESTAÇÃO</t>
        </is>
      </c>
      <c r="C201" s="61" t="inlineStr">
        <is>
          <t>SE VARZEA ( RECIFE )</t>
        </is>
      </c>
      <c r="D201" s="82" t="inlineStr">
        <is>
          <t>VÁRZEA</t>
        </is>
      </c>
      <c r="E201" s="75" t="inlineStr">
        <is>
          <t>PE</t>
        </is>
      </c>
      <c r="F201" s="75" t="inlineStr">
        <is>
          <t>CABO DE SANTO AGOSTINHO</t>
        </is>
      </c>
      <c r="G201" s="119" t="n">
        <v>45444</v>
      </c>
      <c r="H201" s="119" t="n">
        <v>45444</v>
      </c>
      <c r="I201" s="60">
        <f>SUM(K201:AD201)</f>
        <v/>
      </c>
      <c r="J201" s="60">
        <f>SUM(AE201:AI201)</f>
        <v/>
      </c>
      <c r="K201" s="60" t="n"/>
      <c r="L201" s="60" t="n"/>
      <c r="M201" s="60" t="n"/>
      <c r="N201" s="60" t="n"/>
      <c r="O201" s="60" t="n"/>
      <c r="P201" s="60" t="n">
        <v>1</v>
      </c>
      <c r="Q201" s="60" t="n"/>
      <c r="R201" s="60" t="n"/>
      <c r="S201" s="60" t="n">
        <v>2</v>
      </c>
      <c r="T201" s="60" t="n"/>
      <c r="U201" s="60" t="n"/>
      <c r="V201" s="60" t="n"/>
      <c r="W201" s="60" t="n"/>
      <c r="X201" s="60" t="n"/>
      <c r="Y201" s="60" t="n"/>
      <c r="Z201" s="60" t="n">
        <v>1</v>
      </c>
      <c r="AA201" s="60" t="n"/>
      <c r="AB201" s="60" t="n"/>
      <c r="AC201" s="60" t="n"/>
      <c r="AD201" s="60" t="n"/>
      <c r="AE201" s="60" t="n"/>
      <c r="AF201" s="60" t="n"/>
      <c r="AG201" s="60" t="n"/>
      <c r="AH201" s="60" t="n"/>
      <c r="AI201" s="60" t="n"/>
      <c r="AJ201" s="120">
        <f>IF(K201&gt;0,K201*(82.29+8.15),0)+IF(L201&gt;0,L201*(8.15+339.97),0)+IF(M201&gt;0,M201*151.63,0)+IF(N201&gt;0,N201*197.82,0)+IF(O201&gt;0,O201*244.09,0)+IF(P201&gt;0,P201*315.35,0)+IF(Q201&gt;0,Q201*1067.3,0)+IF(S201&gt;0,S201*567.47,0)+IF(T201&gt;0,T201*151.63,0)+IF(U201&gt;0,U201*197.84,0)+IF(V201&gt;0,V201*470.51,0)+IF(W201&gt;0,W201*701.69,0)+IF(Y201&gt;0,Y201*151.63,0)+IF(Z201&gt;0,Z201*197.84)+IF(AA201&gt;0,AA201*308.4,0)+IF(AB201&gt;0,AB201*496.16,0)</f>
        <v/>
      </c>
    </row>
    <row r="202">
      <c r="A202" s="59">
        <f>IF(G202&lt;$A$1,"VENCIDO","NA VALIDADE")</f>
        <v/>
      </c>
      <c r="B202" s="60" t="inlineStr">
        <is>
          <t>SUBESTAÇÃO</t>
        </is>
      </c>
      <c r="C202" s="61" t="inlineStr">
        <is>
          <t>SE VENTUROSA</t>
        </is>
      </c>
      <c r="D202" s="82" t="inlineStr">
        <is>
          <t>VENTUROSA</t>
        </is>
      </c>
      <c r="E202" s="75" t="inlineStr">
        <is>
          <t>PE</t>
        </is>
      </c>
      <c r="F202" s="75" t="inlineStr">
        <is>
          <t>CABO DE SANTO AGOSTINHO</t>
        </is>
      </c>
      <c r="G202" s="119" t="n">
        <v>45536</v>
      </c>
      <c r="H202" s="119">
        <f>G202-180</f>
        <v/>
      </c>
      <c r="I202" s="60">
        <f>SUM(K202:AD202)</f>
        <v/>
      </c>
      <c r="J202" s="60">
        <f>SUM(AE202:AI202)</f>
        <v/>
      </c>
      <c r="K202" s="60" t="n"/>
      <c r="L202" s="60" t="n"/>
      <c r="M202" s="60" t="n"/>
      <c r="N202" s="60" t="n"/>
      <c r="O202" s="60" t="n"/>
      <c r="P202" s="60" t="n">
        <v>1</v>
      </c>
      <c r="Q202" s="60" t="n"/>
      <c r="R202" s="60" t="n"/>
      <c r="S202" s="60" t="n"/>
      <c r="T202" s="60" t="n"/>
      <c r="U202" s="60" t="n"/>
      <c r="V202" s="60" t="n"/>
      <c r="W202" s="60" t="n"/>
      <c r="X202" s="60" t="n"/>
      <c r="Y202" s="60" t="n"/>
      <c r="Z202" s="60" t="n">
        <v>1</v>
      </c>
      <c r="AA202" s="60" t="n"/>
      <c r="AB202" s="60" t="n"/>
      <c r="AC202" s="60" t="n"/>
      <c r="AD202" s="60" t="n"/>
      <c r="AE202" s="60" t="n"/>
      <c r="AF202" s="60" t="n"/>
      <c r="AG202" s="60" t="n"/>
      <c r="AH202" s="60" t="n"/>
      <c r="AI202" s="60" t="n"/>
      <c r="AJ202" s="120">
        <f>IF(K202&gt;0,K202*(82.29+8.15),0)+IF(L202&gt;0,L202*(8.15+339.97),0)+IF(M202&gt;0,M202*151.63,0)+IF(N202&gt;0,N202*197.82,0)+IF(O202&gt;0,O202*244.09,0)+IF(P202&gt;0,P202*315.35,0)+IF(Q202&gt;0,Q202*1067.3,0)+IF(S202&gt;0,S202*567.47,0)+IF(T202&gt;0,T202*151.63,0)+IF(U202&gt;0,U202*197.84,0)+IF(V202&gt;0,V202*470.51,0)+IF(W202&gt;0,W202*701.69,0)+IF(Y202&gt;0,Y202*151.63,0)+IF(Z202&gt;0,Z202*197.84)+IF(AA202&gt;0,AA202*308.4,0)+IF(AB202&gt;0,AB202*496.16,0)</f>
        <v/>
      </c>
    </row>
    <row r="203">
      <c r="A203" s="59">
        <f>IF(G203&lt;$A$1,"VENCIDO","NA VALIDADE")</f>
        <v/>
      </c>
      <c r="B203" s="60" t="inlineStr">
        <is>
          <t>SUBESTAÇÃO</t>
        </is>
      </c>
      <c r="C203" s="61" t="inlineStr">
        <is>
          <t>SE VERTENTES</t>
        </is>
      </c>
      <c r="D203" s="82" t="inlineStr">
        <is>
          <t>VERTENTES</t>
        </is>
      </c>
      <c r="E203" s="75" t="inlineStr">
        <is>
          <t>PE</t>
        </is>
      </c>
      <c r="F203" s="75" t="inlineStr">
        <is>
          <t>CABO DE SANTO AGOSTINHO</t>
        </is>
      </c>
      <c r="G203" s="119" t="n">
        <v>45597</v>
      </c>
      <c r="H203" s="119">
        <f>G203-180</f>
        <v/>
      </c>
      <c r="I203" s="60">
        <f>SUM(K203:AD203)</f>
        <v/>
      </c>
      <c r="J203" s="60">
        <f>SUM(AE203:AI203)</f>
        <v/>
      </c>
      <c r="K203" s="60" t="n"/>
      <c r="L203" s="60" t="n"/>
      <c r="M203" s="60" t="n"/>
      <c r="N203" s="60" t="n"/>
      <c r="O203" s="60" t="n"/>
      <c r="P203" s="60" t="n"/>
      <c r="Q203" s="60" t="n"/>
      <c r="R203" s="60" t="n"/>
      <c r="S203" s="60" t="n">
        <v>1</v>
      </c>
      <c r="T203" s="60" t="n"/>
      <c r="U203" s="60" t="n"/>
      <c r="V203" s="60" t="n"/>
      <c r="W203" s="60" t="n"/>
      <c r="X203" s="60" t="n"/>
      <c r="Y203" s="60" t="n"/>
      <c r="Z203" s="60" t="n">
        <v>1</v>
      </c>
      <c r="AA203" s="60" t="n"/>
      <c r="AB203" s="60" t="n"/>
      <c r="AC203" s="60" t="n"/>
      <c r="AD203" s="60" t="n"/>
      <c r="AE203" s="60" t="n"/>
      <c r="AF203" s="60" t="n"/>
      <c r="AG203" s="60" t="n"/>
      <c r="AH203" s="60" t="n"/>
      <c r="AI203" s="60" t="n"/>
      <c r="AJ203" s="120">
        <f>IF(K203&gt;0,K203*(82.29+8.15),0)+IF(L203&gt;0,L203*(8.15+339.97),0)+IF(M203&gt;0,M203*151.63,0)+IF(N203&gt;0,N203*197.82,0)+IF(O203&gt;0,O203*244.09,0)+IF(P203&gt;0,P203*315.35,0)+IF(Q203&gt;0,Q203*1067.3,0)+IF(S203&gt;0,S203*567.47,0)+IF(T203&gt;0,T203*151.63,0)+IF(U203&gt;0,U203*197.84,0)+IF(V203&gt;0,V203*470.51,0)+IF(W203&gt;0,W203*701.69,0)+IF(Y203&gt;0,Y203*151.63,0)+IF(Z203&gt;0,Z203*197.84)+IF(AA203&gt;0,AA203*308.4,0)+IF(AB203&gt;0,AB203*496.16,0)</f>
        <v/>
      </c>
    </row>
    <row r="204">
      <c r="A204" s="59">
        <f>IF(G204&lt;$A$1,"VENCIDO","NA VALIDADE")</f>
        <v/>
      </c>
      <c r="B204" s="60" t="inlineStr">
        <is>
          <t>SUBESTAÇÃO</t>
        </is>
      </c>
      <c r="C204" s="61" t="inlineStr">
        <is>
          <t>SE VICÊNCIA</t>
        </is>
      </c>
      <c r="D204" s="82" t="inlineStr">
        <is>
          <t>VICENCIA</t>
        </is>
      </c>
      <c r="E204" s="75" t="inlineStr">
        <is>
          <t>PE</t>
        </is>
      </c>
      <c r="F204" s="75" t="inlineStr">
        <is>
          <t>CABO DE SANTO AGOSTINHO</t>
        </is>
      </c>
      <c r="G204" s="119" t="n">
        <v>45474</v>
      </c>
      <c r="H204" s="119" t="n">
        <v>45474</v>
      </c>
      <c r="I204" s="60">
        <f>SUM(K204:AD204)</f>
        <v/>
      </c>
      <c r="J204" s="60">
        <f>SUM(AE204:AI204)</f>
        <v/>
      </c>
      <c r="K204" s="60" t="n">
        <v>1</v>
      </c>
      <c r="L204" s="60" t="n"/>
      <c r="M204" s="60" t="n"/>
      <c r="N204" s="60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  <c r="Y204" s="60" t="n"/>
      <c r="Z204" s="60" t="n">
        <v>2</v>
      </c>
      <c r="AA204" s="60" t="n"/>
      <c r="AB204" s="60" t="n"/>
      <c r="AC204" s="60" t="n"/>
      <c r="AD204" s="60" t="n"/>
      <c r="AE204" s="60" t="n"/>
      <c r="AF204" s="60" t="n"/>
      <c r="AG204" s="60" t="n"/>
      <c r="AH204" s="60" t="n"/>
      <c r="AI204" s="60" t="n"/>
      <c r="AJ204" s="120">
        <f>IF(K204&gt;0,K204*(82.29+8.15),0)+IF(L204&gt;0,L204*(8.15+339.97),0)+IF(M204&gt;0,M204*151.63,0)+IF(N204&gt;0,N204*197.82,0)+IF(O204&gt;0,O204*244.09,0)+IF(P204&gt;0,P204*315.35,0)+IF(Q204&gt;0,Q204*1067.3,0)+IF(S204&gt;0,S204*567.47,0)+IF(T204&gt;0,T204*151.63,0)+IF(U204&gt;0,U204*197.84,0)+IF(V204&gt;0,V204*470.51,0)+IF(W204&gt;0,W204*701.69,0)+IF(Y204&gt;0,Y204*151.63,0)+IF(Z204&gt;0,Z204*197.84)+IF(AA204&gt;0,AA204*308.4,0)+IF(AB204&gt;0,AB204*496.16,0)</f>
        <v/>
      </c>
    </row>
    <row r="205">
      <c r="A205" s="59">
        <f>IF(G205&lt;$A$1,"VENCIDO","NA VALIDADE")</f>
        <v/>
      </c>
      <c r="B205" s="60" t="inlineStr">
        <is>
          <t>SUBESTAÇÃO</t>
        </is>
      </c>
      <c r="C205" s="61" t="inlineStr">
        <is>
          <t>SE VITÓRIA I</t>
        </is>
      </c>
      <c r="D205" s="82" t="inlineStr">
        <is>
          <t>VITORIA DE SANTO ANTAO</t>
        </is>
      </c>
      <c r="E205" s="75" t="inlineStr">
        <is>
          <t>PE</t>
        </is>
      </c>
      <c r="F205" s="75" t="inlineStr">
        <is>
          <t>CABO DE SANTO AGOSTINHO</t>
        </is>
      </c>
      <c r="G205" s="119" t="n">
        <v>45658</v>
      </c>
      <c r="H205" s="119">
        <f>G205-180</f>
        <v/>
      </c>
      <c r="I205" s="60">
        <f>SUM(K205:AD205)</f>
        <v/>
      </c>
      <c r="J205" s="60">
        <f>SUM(AE205:AI205)</f>
        <v/>
      </c>
      <c r="K205" s="60" t="n">
        <v>0</v>
      </c>
      <c r="L205" s="60" t="n"/>
      <c r="M205" s="60" t="n"/>
      <c r="N205" s="60" t="n">
        <v>0</v>
      </c>
      <c r="O205" s="60" t="n">
        <v>1</v>
      </c>
      <c r="P205" s="60" t="n">
        <v>3</v>
      </c>
      <c r="Q205" s="60" t="n"/>
      <c r="R205" s="60" t="n"/>
      <c r="S205" s="60" t="n"/>
      <c r="T205" s="60" t="n"/>
      <c r="U205" s="60" t="n"/>
      <c r="V205" s="60" t="n"/>
      <c r="W205" s="60" t="n"/>
      <c r="X205" s="60" t="n"/>
      <c r="Y205" s="60" t="n"/>
      <c r="Z205" s="60" t="n">
        <v>2</v>
      </c>
      <c r="AA205" s="60" t="n"/>
      <c r="AB205" s="60" t="n"/>
      <c r="AC205" s="60" t="n"/>
      <c r="AD205" s="60" t="n"/>
      <c r="AE205" s="60" t="n"/>
      <c r="AF205" s="60" t="n"/>
      <c r="AG205" s="60" t="n"/>
      <c r="AH205" s="60" t="n"/>
      <c r="AI205" s="60" t="n"/>
      <c r="AJ205" s="120">
        <f>IF(K205&gt;0,K205*(82.29+8.15),0)+IF(L205&gt;0,L205*(8.15+339.97),0)+IF(M205&gt;0,M205*151.63,0)+IF(N205&gt;0,N205*197.82,0)+IF(O205&gt;0,O205*244.09,0)+IF(P205&gt;0,P205*315.35,0)+IF(Q205&gt;0,Q205*1067.3,0)+IF(S205&gt;0,S205*567.47,0)+IF(T205&gt;0,T205*151.63,0)+IF(U205&gt;0,U205*197.84,0)+IF(V205&gt;0,V205*470.51,0)+IF(W205&gt;0,W205*701.69,0)+IF(Y205&gt;0,Y205*151.63,0)+IF(Z205&gt;0,Z205*197.84)+IF(AA205&gt;0,AA205*308.4,0)+IF(AB205&gt;0,AB205*496.16,0)</f>
        <v/>
      </c>
    </row>
    <row r="206">
      <c r="A206" s="59">
        <f>IF(G206&lt;$A$1,"VENCIDO","NA VALIDADE")</f>
        <v/>
      </c>
      <c r="B206" s="60" t="inlineStr">
        <is>
          <t>SUBESTAÇÃO</t>
        </is>
      </c>
      <c r="C206" s="61" t="inlineStr">
        <is>
          <t>SE VITÓRIA II</t>
        </is>
      </c>
      <c r="D206" s="82" t="inlineStr">
        <is>
          <t>VITORIA DE SANTO ANTAO</t>
        </is>
      </c>
      <c r="E206" s="75" t="inlineStr">
        <is>
          <t>PE</t>
        </is>
      </c>
      <c r="F206" s="75" t="inlineStr">
        <is>
          <t>CABO DE SANTO AGOSTINHO</t>
        </is>
      </c>
      <c r="G206" s="119" t="n">
        <v>45474</v>
      </c>
      <c r="H206" s="119" t="n">
        <v>45474</v>
      </c>
      <c r="I206" s="60">
        <f>SUM(K206:AD206)</f>
        <v/>
      </c>
      <c r="J206" s="60">
        <f>SUM(AE206:AI206)</f>
        <v/>
      </c>
      <c r="K206" s="60" t="n"/>
      <c r="L206" s="60" t="n"/>
      <c r="M206" s="60" t="n"/>
      <c r="N206" s="60" t="n"/>
      <c r="O206" s="60" t="n"/>
      <c r="P206" s="60" t="n"/>
      <c r="Q206" s="60" t="n"/>
      <c r="R206" s="60" t="n"/>
      <c r="S206" s="60" t="n">
        <v>1</v>
      </c>
      <c r="T206" s="60" t="n"/>
      <c r="U206" s="60" t="n"/>
      <c r="V206" s="60" t="n"/>
      <c r="W206" s="60" t="n"/>
      <c r="X206" s="60" t="n"/>
      <c r="Y206" s="60" t="n"/>
      <c r="Z206" s="60" t="n">
        <v>2</v>
      </c>
      <c r="AA206" s="60" t="n"/>
      <c r="AB206" s="60" t="n"/>
      <c r="AC206" s="60" t="n"/>
      <c r="AD206" s="60" t="n"/>
      <c r="AE206" s="60" t="n"/>
      <c r="AF206" s="60" t="n"/>
      <c r="AG206" s="60" t="n"/>
      <c r="AH206" s="60" t="n"/>
      <c r="AI206" s="60" t="n"/>
      <c r="AJ206" s="120">
        <f>IF(K206&gt;0,K206*(82.29+8.15),0)+IF(L206&gt;0,L206*(8.15+339.97),0)+IF(M206&gt;0,M206*151.63,0)+IF(N206&gt;0,N206*197.82,0)+IF(O206&gt;0,O206*244.09,0)+IF(P206&gt;0,P206*315.35,0)+IF(Q206&gt;0,Q206*1067.3,0)+IF(S206&gt;0,S206*567.47,0)+IF(T206&gt;0,T206*151.63,0)+IF(U206&gt;0,U206*197.84,0)+IF(V206&gt;0,V206*470.51,0)+IF(W206&gt;0,W206*701.69,0)+IF(Y206&gt;0,Y206*151.63,0)+IF(Z206&gt;0,Z206*197.84)+IF(AA206&gt;0,AA206*308.4,0)+IF(AB206&gt;0,AB206*496.16,0)</f>
        <v/>
      </c>
    </row>
    <row r="207">
      <c r="A207" s="59">
        <f>IF(G207&lt;$A$1,"VENCIDO","NA VALIDADE")</f>
        <v/>
      </c>
      <c r="B207" s="60" t="inlineStr">
        <is>
          <t>SUBESTAÇÃO</t>
        </is>
      </c>
      <c r="C207" s="61" t="inlineStr">
        <is>
          <t>SE TABATINGA</t>
        </is>
      </c>
      <c r="D207" s="82" t="inlineStr">
        <is>
          <t>CAMARAGIBE</t>
        </is>
      </c>
      <c r="E207" s="75" t="inlineStr">
        <is>
          <t>PE</t>
        </is>
      </c>
      <c r="F207" s="75" t="inlineStr">
        <is>
          <t>CABO DE SANTO AGOSTINHO</t>
        </is>
      </c>
      <c r="G207" s="119" t="n">
        <v>45474</v>
      </c>
      <c r="H207" s="119" t="n">
        <v>45474</v>
      </c>
      <c r="I207" s="60">
        <f>SUM(K207:AD207)</f>
        <v/>
      </c>
      <c r="J207" s="60">
        <f>SUM(AE207:AI207)</f>
        <v/>
      </c>
      <c r="K207" s="60" t="n"/>
      <c r="L207" s="60" t="n"/>
      <c r="M207" s="60" t="n"/>
      <c r="N207" s="60" t="n">
        <v>2</v>
      </c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  <c r="Y207" s="60" t="n"/>
      <c r="Z207" s="60" t="n">
        <v>1</v>
      </c>
      <c r="AA207" s="60" t="n"/>
      <c r="AB207" s="60" t="n"/>
      <c r="AC207" s="60" t="n"/>
      <c r="AD207" s="60" t="n"/>
      <c r="AE207" s="60" t="n"/>
      <c r="AF207" s="60" t="n"/>
      <c r="AG207" s="60" t="n"/>
      <c r="AH207" s="60" t="n"/>
      <c r="AI207" s="60" t="n"/>
      <c r="AJ207" s="120">
        <f>IF(K207&gt;0,K207*(82.29+8.15),0)+IF(L207&gt;0,L207*(8.15+339.97),0)+IF(M207&gt;0,M207*151.63,0)+IF(N207&gt;0,N207*197.82,0)+IF(O207&gt;0,O207*244.09,0)+IF(P207&gt;0,P207*315.35,0)+IF(Q207&gt;0,Q207*1067.3,0)+IF(S207&gt;0,S207*567.47,0)+IF(T207&gt;0,T207*151.63,0)+IF(U207&gt;0,U207*197.84,0)+IF(V207&gt;0,V207*470.51,0)+IF(W207&gt;0,W207*701.69,0)+IF(Y207&gt;0,Y207*151.63,0)+IF(Z207&gt;0,Z207*197.84)+IF(AA207&gt;0,AA207*308.4,0)+IF(AB207&gt;0,AB207*496.16,0)</f>
        <v/>
      </c>
    </row>
    <row r="208">
      <c r="A208" s="59">
        <f>IF(G208&lt;$A$1,"VENCIDO","NA VALIDADE")</f>
        <v/>
      </c>
      <c r="B208" s="60" t="inlineStr">
        <is>
          <t>UTD</t>
        </is>
      </c>
      <c r="C208" s="61" t="inlineStr">
        <is>
          <t>UTD ARCOVERDE</t>
        </is>
      </c>
      <c r="D208" s="82" t="inlineStr">
        <is>
          <t>ARCOVERDE</t>
        </is>
      </c>
      <c r="E208" s="75" t="inlineStr">
        <is>
          <t>PE</t>
        </is>
      </c>
      <c r="F208" s="75" t="inlineStr">
        <is>
          <t>CABO DE SANTO AGOSTINHO</t>
        </is>
      </c>
      <c r="G208" s="119" t="n">
        <v>45323</v>
      </c>
      <c r="H208" s="119" t="n">
        <v>45323</v>
      </c>
      <c r="I208" s="60">
        <f>SUM(K208:AD208)</f>
        <v/>
      </c>
      <c r="J208" s="60">
        <f>SUM(AE208:AI208)</f>
        <v/>
      </c>
      <c r="K208" s="60" t="n">
        <v>2</v>
      </c>
      <c r="L208" s="60" t="n"/>
      <c r="M208" s="60" t="n"/>
      <c r="N208" s="60" t="n">
        <v>5</v>
      </c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  <c r="Y208" s="60" t="n"/>
      <c r="Z208" s="60" t="n">
        <v>2</v>
      </c>
      <c r="AA208" s="60" t="n"/>
      <c r="AB208" s="60" t="n"/>
      <c r="AC208" s="60" t="n"/>
      <c r="AD208" s="60" t="n"/>
      <c r="AE208" s="60" t="n"/>
      <c r="AF208" s="60" t="n"/>
      <c r="AG208" s="60" t="n"/>
      <c r="AH208" s="60" t="n"/>
      <c r="AI208" s="60" t="n"/>
      <c r="AJ208" s="120">
        <f>IF(K208&gt;0,K208*(82.29+8.15),0)+IF(L208&gt;0,L208*(8.15+339.97),0)+IF(M208&gt;0,M208*151.63,0)+IF(N208&gt;0,N208*197.82,0)+IF(O208&gt;0,O208*244.09,0)+IF(P208&gt;0,P208*315.35,0)+IF(Q208&gt;0,Q208*1067.3,0)+IF(S208&gt;0,S208*567.47,0)+IF(T208&gt;0,T208*151.63,0)+IF(U208&gt;0,U208*197.84,0)+IF(V208&gt;0,V208*470.51,0)+IF(W208&gt;0,W208*701.69,0)+IF(Y208&gt;0,Y208*151.63,0)+IF(Z208&gt;0,Z208*197.84)+IF(AA208&gt;0,AA208*308.4,0)+IF(AB208&gt;0,AB208*496.16,0)</f>
        <v/>
      </c>
    </row>
    <row r="209">
      <c r="A209" s="59">
        <f>IF(G209&lt;$A$1,"VENCIDO","NA VALIDADE")</f>
        <v/>
      </c>
      <c r="B209" s="60" t="inlineStr">
        <is>
          <t>SUBESTAÇÃO</t>
        </is>
      </c>
      <c r="C209" s="61" t="inlineStr">
        <is>
          <t>SE BELO JARDIN</t>
        </is>
      </c>
      <c r="D209" s="82" t="inlineStr">
        <is>
          <t>BELO JARDIM</t>
        </is>
      </c>
      <c r="E209" s="75" t="inlineStr">
        <is>
          <t>PE</t>
        </is>
      </c>
      <c r="F209" s="75" t="inlineStr">
        <is>
          <t>CABO DE SANTO AGOSTINHO</t>
        </is>
      </c>
      <c r="G209" s="119" t="n">
        <v>45323</v>
      </c>
      <c r="H209" s="119" t="n">
        <v>45323</v>
      </c>
      <c r="I209" s="60">
        <f>SUM(K209:AD209)</f>
        <v/>
      </c>
      <c r="J209" s="60">
        <f>SUM(AE209:AI209)</f>
        <v/>
      </c>
      <c r="K209" s="60" t="n"/>
      <c r="L209" s="60" t="n"/>
      <c r="M209" s="60" t="n"/>
      <c r="N209" s="60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  <c r="Y209" s="60" t="n"/>
      <c r="Z209" s="60" t="n">
        <v>1</v>
      </c>
      <c r="AA209" s="60" t="n"/>
      <c r="AB209" s="60" t="n"/>
      <c r="AC209" s="60" t="n"/>
      <c r="AD209" s="60" t="n"/>
      <c r="AE209" s="60" t="n"/>
      <c r="AF209" s="60" t="n"/>
      <c r="AG209" s="60" t="n"/>
      <c r="AH209" s="60" t="n"/>
      <c r="AI209" s="60" t="n"/>
      <c r="AJ209" s="120">
        <f>IF(K209&gt;0,K209*(82.29+8.15),0)+IF(L209&gt;0,L209*(8.15+339.97),0)+IF(M209&gt;0,M209*151.63,0)+IF(N209&gt;0,N209*197.82,0)+IF(O209&gt;0,O209*244.09,0)+IF(P209&gt;0,P209*315.35,0)+IF(Q209&gt;0,Q209*1067.3,0)+IF(S209&gt;0,S209*567.47,0)+IF(T209&gt;0,T209*151.63,0)+IF(U209&gt;0,U209*197.84,0)+IF(V209&gt;0,V209*470.51,0)+IF(W209&gt;0,W209*701.69,0)+IF(Y209&gt;0,Y209*151.63,0)+IF(Z209&gt;0,Z209*197.84)+IF(AA209&gt;0,AA209*308.4,0)+IF(AB209&gt;0,AB209*496.16,0)</f>
        <v/>
      </c>
    </row>
    <row r="210">
      <c r="A210" s="59">
        <f>IF(G210&lt;$A$1,"VENCIDO","NA VALIDADE")</f>
        <v/>
      </c>
      <c r="B210" s="60" t="inlineStr">
        <is>
          <t>UTD</t>
        </is>
      </c>
      <c r="C210" s="61" t="inlineStr">
        <is>
          <t>UTD BELO JARDIM/ CARUARU</t>
        </is>
      </c>
      <c r="D210" s="82" t="inlineStr">
        <is>
          <t>CARUARU</t>
        </is>
      </c>
      <c r="E210" s="75" t="inlineStr">
        <is>
          <t>PE</t>
        </is>
      </c>
      <c r="F210" s="75" t="inlineStr">
        <is>
          <t>CABO DE SANTO AGOSTINHO</t>
        </is>
      </c>
      <c r="G210" s="119" t="n">
        <v>45505</v>
      </c>
      <c r="H210" s="119">
        <f>G210-180</f>
        <v/>
      </c>
      <c r="I210" s="60">
        <f>SUM(K210:AD210)</f>
        <v/>
      </c>
      <c r="J210" s="60">
        <f>SUM(AE210:AI210)</f>
        <v/>
      </c>
      <c r="K210" s="60" t="n">
        <v>2</v>
      </c>
      <c r="L210" s="60" t="n"/>
      <c r="M210" s="60" t="n">
        <v>1</v>
      </c>
      <c r="N210" s="60" t="n"/>
      <c r="O210" s="60" t="n">
        <v>6</v>
      </c>
      <c r="P210" s="60" t="n">
        <v>3</v>
      </c>
      <c r="Q210" s="60" t="n"/>
      <c r="R210" s="60" t="n"/>
      <c r="S210" s="60" t="n">
        <v>1</v>
      </c>
      <c r="T210" s="60" t="n"/>
      <c r="U210" s="60" t="n"/>
      <c r="V210" s="60" t="n"/>
      <c r="W210" s="60" t="n"/>
      <c r="X210" s="60" t="n"/>
      <c r="Y210" s="60" t="n"/>
      <c r="Z210" s="60" t="n">
        <v>6</v>
      </c>
      <c r="AA210" s="60" t="n"/>
      <c r="AB210" s="60" t="n"/>
      <c r="AC210" s="60" t="n"/>
      <c r="AD210" s="60" t="n"/>
      <c r="AE210" s="60" t="n"/>
      <c r="AF210" s="60" t="n"/>
      <c r="AG210" s="60" t="n"/>
      <c r="AH210" s="60" t="n"/>
      <c r="AI210" s="60" t="n"/>
      <c r="AJ210" s="120">
        <f>IF(K210&gt;0,K210*(82.29+8.15),0)+IF(L210&gt;0,L210*(8.15+339.97),0)+IF(M210&gt;0,M210*151.63,0)+IF(N210&gt;0,N210*197.82,0)+IF(O210&gt;0,O210*244.09,0)+IF(P210&gt;0,P210*315.35,0)+IF(Q210&gt;0,Q210*1067.3,0)+IF(S210&gt;0,S210*567.47,0)+IF(T210&gt;0,T210*151.63,0)+IF(U210&gt;0,U210*197.84,0)+IF(V210&gt;0,V210*470.51,0)+IF(W210&gt;0,W210*701.69,0)+IF(Y210&gt;0,Y210*151.63,0)+IF(Z210&gt;0,Z210*197.84)+IF(AA210&gt;0,AA210*308.4,0)+IF(AB210&gt;0,AB210*496.16,0)</f>
        <v/>
      </c>
    </row>
    <row r="211">
      <c r="A211" s="59">
        <f>IF(G211&lt;$A$1,"VENCIDO","NA VALIDADE")</f>
        <v/>
      </c>
      <c r="B211" s="60" t="inlineStr">
        <is>
          <t>UTD</t>
        </is>
      </c>
      <c r="C211" s="61" t="inlineStr">
        <is>
          <t>UTD CABO</t>
        </is>
      </c>
      <c r="D211" s="82" t="inlineStr">
        <is>
          <t>CABO DE SANTO AGOSTINHO</t>
        </is>
      </c>
      <c r="E211" s="75" t="inlineStr">
        <is>
          <t>PE</t>
        </is>
      </c>
      <c r="F211" s="75" t="inlineStr">
        <is>
          <t>CABO DE SANTO AGOSTINHO</t>
        </is>
      </c>
      <c r="G211" s="119" t="n">
        <v>45474</v>
      </c>
      <c r="H211" s="119" t="n">
        <v>45474</v>
      </c>
      <c r="I211" s="60">
        <f>SUM(K211:AD211)</f>
        <v/>
      </c>
      <c r="J211" s="60">
        <f>SUM(AE211:AI211)</f>
        <v/>
      </c>
      <c r="K211" s="60" t="n">
        <v>5</v>
      </c>
      <c r="L211" s="60" t="n"/>
      <c r="M211" s="60" t="n"/>
      <c r="N211" s="60" t="n">
        <v>5</v>
      </c>
      <c r="O211" s="60" t="n">
        <v>3</v>
      </c>
      <c r="P211" s="60" t="n">
        <v>8</v>
      </c>
      <c r="Q211" s="60" t="n"/>
      <c r="R211" s="60" t="n"/>
      <c r="S211" s="60" t="n"/>
      <c r="T211" s="60" t="n"/>
      <c r="U211" s="60" t="n"/>
      <c r="V211" s="60" t="n"/>
      <c r="W211" s="60" t="n"/>
      <c r="X211" s="60" t="n"/>
      <c r="Y211" s="60" t="n"/>
      <c r="Z211" s="60" t="n">
        <v>2</v>
      </c>
      <c r="AA211" s="60" t="n"/>
      <c r="AB211" s="60" t="n"/>
      <c r="AC211" s="60" t="n"/>
      <c r="AD211" s="60" t="n"/>
      <c r="AE211" s="60" t="n"/>
      <c r="AF211" s="60" t="n"/>
      <c r="AG211" s="60" t="n"/>
      <c r="AH211" s="60" t="n"/>
      <c r="AI211" s="60" t="n"/>
      <c r="AJ211" s="120">
        <f>IF(K211&gt;0,K211*(82.29+8.15),0)+IF(L211&gt;0,L211*(8.15+339.97),0)+IF(M211&gt;0,M211*151.63,0)+IF(N211&gt;0,N211*197.82,0)+IF(O211&gt;0,O211*244.09,0)+IF(P211&gt;0,P211*315.35,0)+IF(Q211&gt;0,Q211*1067.3,0)+IF(S211&gt;0,S211*567.47,0)+IF(T211&gt;0,T211*151.63,0)+IF(U211&gt;0,U211*197.84,0)+IF(V211&gt;0,V211*470.51,0)+IF(W211&gt;0,W211*701.69,0)+IF(Y211&gt;0,Y211*151.63,0)+IF(Z211&gt;0,Z211*197.84)+IF(AA211&gt;0,AA211*308.4,0)+IF(AB211&gt;0,AB211*496.16,0)</f>
        <v/>
      </c>
    </row>
    <row r="212">
      <c r="A212" s="59">
        <f>IF(G212&lt;$A$1,"VENCIDO","NA VALIDADE")</f>
        <v/>
      </c>
      <c r="B212" s="60" t="inlineStr">
        <is>
          <t>UTD</t>
        </is>
      </c>
      <c r="C212" s="61" t="inlineStr">
        <is>
          <t>UTD CARPINA</t>
        </is>
      </c>
      <c r="D212" s="82" t="inlineStr">
        <is>
          <t>CARPINA</t>
        </is>
      </c>
      <c r="E212" s="75" t="inlineStr">
        <is>
          <t>PE</t>
        </is>
      </c>
      <c r="F212" s="75" t="inlineStr">
        <is>
          <t>CABO DE SANTO AGOSTINHO</t>
        </is>
      </c>
      <c r="G212" s="119" t="n">
        <v>45323</v>
      </c>
      <c r="H212" s="119" t="n">
        <v>45323</v>
      </c>
      <c r="I212" s="60">
        <f>SUM(K212:AD212)</f>
        <v/>
      </c>
      <c r="J212" s="60">
        <f>SUM(AE212:AI212)</f>
        <v/>
      </c>
      <c r="K212" s="60" t="n">
        <v>2</v>
      </c>
      <c r="L212" s="60" t="n"/>
      <c r="M212" s="60" t="n">
        <v>1</v>
      </c>
      <c r="N212" s="60" t="n">
        <v>4</v>
      </c>
      <c r="O212" s="60" t="n"/>
      <c r="P212" s="60" t="n">
        <v>2</v>
      </c>
      <c r="Q212" s="60" t="n"/>
      <c r="R212" s="60" t="n"/>
      <c r="S212" s="60" t="n"/>
      <c r="T212" s="60" t="n"/>
      <c r="U212" s="60" t="n"/>
      <c r="V212" s="60" t="n"/>
      <c r="W212" s="60" t="n"/>
      <c r="X212" s="60" t="n"/>
      <c r="Y212" s="60" t="n"/>
      <c r="Z212" s="60" t="n">
        <v>1</v>
      </c>
      <c r="AA212" s="60" t="n"/>
      <c r="AB212" s="60" t="n"/>
      <c r="AC212" s="60" t="n"/>
      <c r="AD212" s="60" t="n"/>
      <c r="AE212" s="60" t="n">
        <v>27</v>
      </c>
      <c r="AF212" s="60" t="n"/>
      <c r="AG212" s="60" t="n"/>
      <c r="AH212" s="60" t="n"/>
      <c r="AI212" s="60" t="n"/>
      <c r="AJ212" s="120">
        <f>IF(K212&gt;0,K212*(82.29+8.15),0)+IF(L212&gt;0,L212*(8.15+339.97),0)+IF(M212&gt;0,M212*151.63,0)+IF(N212&gt;0,N212*197.82,0)+IF(O212&gt;0,O212*244.09,0)+IF(P212&gt;0,P212*315.35,0)+IF(Q212&gt;0,Q212*1067.3,0)+IF(S212&gt;0,S212*567.47,0)+IF(T212&gt;0,T212*151.63,0)+IF(U212&gt;0,U212*197.84,0)+IF(V212&gt;0,V212*470.51,0)+IF(W212&gt;0,W212*701.69,0)+IF(Y212&gt;0,Y212*151.63,0)+IF(Z212&gt;0,Z212*197.84)+IF(AA212&gt;0,AA212*308.4,0)+IF(AB212&gt;0,AB212*496.16,0)</f>
        <v/>
      </c>
    </row>
    <row r="213">
      <c r="A213" s="59">
        <f>IF(G213&lt;$A$1,"VENCIDO","NA VALIDADE")</f>
        <v/>
      </c>
      <c r="B213" s="60" t="inlineStr">
        <is>
          <t>UTD</t>
        </is>
      </c>
      <c r="C213" s="61" t="inlineStr">
        <is>
          <t>UTD GARANHUNS</t>
        </is>
      </c>
      <c r="D213" s="82" t="inlineStr">
        <is>
          <t>GARANHUNS</t>
        </is>
      </c>
      <c r="E213" s="75" t="inlineStr">
        <is>
          <t>PE</t>
        </is>
      </c>
      <c r="F213" s="75" t="inlineStr">
        <is>
          <t>CABO DE SANTO AGOSTINHO</t>
        </is>
      </c>
      <c r="G213" s="119" t="n">
        <v>45536</v>
      </c>
      <c r="H213" s="119" t="n">
        <v>45200</v>
      </c>
      <c r="I213" s="60">
        <f>SUM(K213:AD213)</f>
        <v/>
      </c>
      <c r="J213" s="60">
        <f>SUM(AE213:AI213)</f>
        <v/>
      </c>
      <c r="K213" s="60" t="n">
        <v>5</v>
      </c>
      <c r="L213" s="60" t="n"/>
      <c r="M213" s="60" t="n"/>
      <c r="N213" s="60" t="n">
        <v>1</v>
      </c>
      <c r="O213" s="60" t="n">
        <v>4</v>
      </c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  <c r="Y213" s="60" t="n"/>
      <c r="Z213" s="60" t="n">
        <v>2</v>
      </c>
      <c r="AA213" s="60" t="n"/>
      <c r="AB213" s="60" t="n"/>
      <c r="AC213" s="60" t="n"/>
      <c r="AD213" s="60" t="n"/>
      <c r="AE213" s="60" t="n"/>
      <c r="AF213" s="60" t="n"/>
      <c r="AG213" s="60" t="n"/>
      <c r="AH213" s="60" t="n"/>
      <c r="AI213" s="60" t="n"/>
      <c r="AJ213" s="120">
        <f>IF(K213&gt;0,K213*(82.29+8.15),0)+IF(L213&gt;0,L213*(8.15+339.97),0)+IF(M213&gt;0,M213*151.63,0)+IF(N213&gt;0,N213*197.82,0)+IF(O213&gt;0,O213*244.09,0)+IF(P213&gt;0,P213*315.35,0)+IF(Q213&gt;0,Q213*1067.3,0)+IF(S213&gt;0,S213*567.47,0)+IF(T213&gt;0,T213*151.63,0)+IF(U213&gt;0,U213*197.84,0)+IF(V213&gt;0,V213*470.51,0)+IF(W213&gt;0,W213*701.69,0)+IF(Y213&gt;0,Y213*151.63,0)+IF(Z213&gt;0,Z213*197.84)+IF(AA213&gt;0,AA213*308.4,0)+IF(AB213&gt;0,AB213*496.16,0)</f>
        <v/>
      </c>
    </row>
    <row r="214">
      <c r="A214" s="59">
        <f>IF(G214&lt;$A$1,"VENCIDO","NA VALIDADE")</f>
        <v/>
      </c>
      <c r="B214" s="60" t="inlineStr">
        <is>
          <t>UTD</t>
        </is>
      </c>
      <c r="C214" s="61" t="inlineStr">
        <is>
          <t>UTD GOIANA</t>
        </is>
      </c>
      <c r="D214" s="82" t="inlineStr">
        <is>
          <t>GOIANA</t>
        </is>
      </c>
      <c r="E214" s="75" t="inlineStr">
        <is>
          <t>PE</t>
        </is>
      </c>
      <c r="F214" s="75" t="inlineStr">
        <is>
          <t>CABO DE SANTO AGOSTINHO</t>
        </is>
      </c>
      <c r="G214" s="119" t="n">
        <v>45505</v>
      </c>
      <c r="H214" s="119">
        <f>G214-180</f>
        <v/>
      </c>
      <c r="I214" s="60">
        <f>SUM(K214:AD214)</f>
        <v/>
      </c>
      <c r="J214" s="60">
        <f>SUM(AE214:AI214)</f>
        <v/>
      </c>
      <c r="K214" s="60" t="n">
        <v>1</v>
      </c>
      <c r="L214" s="60" t="n"/>
      <c r="M214" s="60" t="n"/>
      <c r="N214" s="60" t="n"/>
      <c r="O214" s="60" t="n"/>
      <c r="P214" s="60" t="n">
        <v>1</v>
      </c>
      <c r="Q214" s="60" t="n"/>
      <c r="R214" s="60" t="n"/>
      <c r="S214" s="60" t="n"/>
      <c r="T214" s="60" t="n"/>
      <c r="U214" s="60" t="n"/>
      <c r="V214" s="60" t="n"/>
      <c r="W214" s="60" t="n"/>
      <c r="X214" s="60" t="n"/>
      <c r="Y214" s="60" t="n"/>
      <c r="Z214" s="60" t="n">
        <v>3</v>
      </c>
      <c r="AA214" s="60" t="n"/>
      <c r="AB214" s="60" t="n"/>
      <c r="AC214" s="60" t="n"/>
      <c r="AD214" s="60" t="n"/>
      <c r="AE214" s="60" t="n"/>
      <c r="AF214" s="60" t="n"/>
      <c r="AG214" s="60" t="n"/>
      <c r="AH214" s="60" t="n"/>
      <c r="AI214" s="60" t="n"/>
      <c r="AJ214" s="120">
        <f>IF(K214&gt;0,K214*(82.29+8.15),0)+IF(L214&gt;0,L214*(8.15+339.97),0)+IF(M214&gt;0,M214*151.63,0)+IF(N214&gt;0,N214*197.82,0)+IF(O214&gt;0,O214*244.09,0)+IF(P214&gt;0,P214*315.35,0)+IF(Q214&gt;0,Q214*1067.3,0)+IF(S214&gt;0,S214*567.47,0)+IF(T214&gt;0,T214*151.63,0)+IF(U214&gt;0,U214*197.84,0)+IF(V214&gt;0,V214*470.51,0)+IF(W214&gt;0,W214*701.69,0)+IF(Y214&gt;0,Y214*151.63,0)+IF(Z214&gt;0,Z214*197.84)+IF(AA214&gt;0,AA214*308.4,0)+IF(AB214&gt;0,AB214*496.16,0)</f>
        <v/>
      </c>
    </row>
    <row r="215">
      <c r="A215" s="59">
        <f>IF(G215&lt;$A$1,"VENCIDO","NA VALIDADE")</f>
        <v/>
      </c>
      <c r="B215" s="60" t="inlineStr">
        <is>
          <t>UTD</t>
        </is>
      </c>
      <c r="C215" s="61" t="inlineStr">
        <is>
          <t>UTD NORTE/ OLINDA</t>
        </is>
      </c>
      <c r="D215" s="82" t="inlineStr">
        <is>
          <t>OLINDA</t>
        </is>
      </c>
      <c r="E215" s="75" t="inlineStr">
        <is>
          <t>PE</t>
        </is>
      </c>
      <c r="F215" s="75" t="inlineStr">
        <is>
          <t>CABO DE SANTO AGOSTINHO</t>
        </is>
      </c>
      <c r="G215" s="119" t="n">
        <v>45658</v>
      </c>
      <c r="H215" s="119">
        <f>G215-180</f>
        <v/>
      </c>
      <c r="I215" s="60">
        <f>SUM(K215:AD215)</f>
        <v/>
      </c>
      <c r="J215" s="60">
        <f>SUM(AE215:AI215)</f>
        <v/>
      </c>
      <c r="K215" s="60" t="n"/>
      <c r="L215" s="60" t="n"/>
      <c r="M215" s="60" t="n">
        <v>2</v>
      </c>
      <c r="N215" s="60" t="n"/>
      <c r="O215" s="60" t="n"/>
      <c r="P215" s="60" t="n"/>
      <c r="Q215" s="60" t="n"/>
      <c r="R215" s="60" t="n"/>
      <c r="S215" s="60" t="n"/>
      <c r="T215" s="60" t="n"/>
      <c r="U215" s="60" t="n">
        <v>2</v>
      </c>
      <c r="V215" s="60" t="n"/>
      <c r="W215" s="60" t="n"/>
      <c r="X215" s="60" t="n"/>
      <c r="Y215" s="60" t="n"/>
      <c r="Z215" s="60" t="n">
        <v>1</v>
      </c>
      <c r="AA215" s="60" t="n"/>
      <c r="AB215" s="60" t="n"/>
      <c r="AC215" s="60" t="n"/>
      <c r="AD215" s="60" t="n"/>
      <c r="AE215" s="60" t="n">
        <v>4</v>
      </c>
      <c r="AF215" s="60" t="n"/>
      <c r="AG215" s="60" t="n"/>
      <c r="AH215" s="60" t="n"/>
      <c r="AI215" s="60" t="n"/>
      <c r="AJ215" s="120">
        <f>IF(K215&gt;0,K215*(82.29+8.15),0)+IF(L215&gt;0,L215*(8.15+339.97),0)+IF(M215&gt;0,M215*151.63,0)+IF(N215&gt;0,N215*197.82,0)+IF(O215&gt;0,O215*244.09,0)+IF(P215&gt;0,P215*315.35,0)+IF(Q215&gt;0,Q215*1067.3,0)+IF(S215&gt;0,S215*567.47,0)+IF(T215&gt;0,T215*151.63,0)+IF(U215&gt;0,U215*197.84,0)+IF(V215&gt;0,V215*470.51,0)+IF(W215&gt;0,W215*701.69,0)+IF(Y215&gt;0,Y215*151.63,0)+IF(Z215&gt;0,Z215*197.84)+IF(AA215&gt;0,AA215*308.4,0)+IF(AB215&gt;0,AB215*496.16,0)</f>
        <v/>
      </c>
    </row>
    <row r="216">
      <c r="A216" s="59">
        <f>IF(G216&lt;$A$1,"VENCIDO","NA VALIDADE")</f>
        <v/>
      </c>
      <c r="B216" s="60" t="inlineStr">
        <is>
          <t>UTD</t>
        </is>
      </c>
      <c r="C216" s="61" t="inlineStr">
        <is>
          <t>UTD OURICURI e BASE .OP</t>
        </is>
      </c>
      <c r="D216" s="82" t="inlineStr">
        <is>
          <t>OURICURI</t>
        </is>
      </c>
      <c r="E216" s="75" t="inlineStr">
        <is>
          <t>PE</t>
        </is>
      </c>
      <c r="F216" s="75" t="inlineStr">
        <is>
          <t>CABO DE SANTO AGOSTINHO</t>
        </is>
      </c>
      <c r="G216" s="119" t="n">
        <v>45383</v>
      </c>
      <c r="H216" s="119" t="n">
        <v>45383</v>
      </c>
      <c r="I216" s="60">
        <f>SUM(K216:AD216)</f>
        <v/>
      </c>
      <c r="J216" s="60">
        <f>SUM(AE216:AI216)</f>
        <v/>
      </c>
      <c r="K216" s="60" t="n">
        <v>2</v>
      </c>
      <c r="L216" s="60" t="n"/>
      <c r="M216" s="60" t="n">
        <v>1</v>
      </c>
      <c r="N216" s="60" t="n"/>
      <c r="O216" s="60" t="n">
        <v>1</v>
      </c>
      <c r="P216" s="60" t="n">
        <v>1</v>
      </c>
      <c r="Q216" s="60" t="n"/>
      <c r="R216" s="60" t="n"/>
      <c r="S216" s="60" t="n"/>
      <c r="T216" s="60" t="n"/>
      <c r="U216" s="60" t="n"/>
      <c r="V216" s="60" t="n"/>
      <c r="W216" s="60" t="n"/>
      <c r="X216" s="60" t="n"/>
      <c r="Y216" s="60" t="n"/>
      <c r="Z216" s="60" t="n">
        <v>1</v>
      </c>
      <c r="AA216" s="60" t="n"/>
      <c r="AB216" s="60" t="n"/>
      <c r="AC216" s="60" t="n"/>
      <c r="AD216" s="60" t="n"/>
      <c r="AE216" s="60" t="n"/>
      <c r="AF216" s="60" t="n"/>
      <c r="AG216" s="60" t="n"/>
      <c r="AH216" s="60" t="n"/>
      <c r="AI216" s="60" t="n"/>
      <c r="AJ216" s="120">
        <f>IF(K216&gt;0,K216*(82.29+8.15),0)+IF(L216&gt;0,L216*(8.15+339.97),0)+IF(M216&gt;0,M216*151.63,0)+IF(N216&gt;0,N216*197.82,0)+IF(O216&gt;0,O216*244.09,0)+IF(P216&gt;0,P216*315.35,0)+IF(Q216&gt;0,Q216*1067.3,0)+IF(S216&gt;0,S216*567.47,0)+IF(T216&gt;0,T216*151.63,0)+IF(U216&gt;0,U216*197.84,0)+IF(V216&gt;0,V216*470.51,0)+IF(W216&gt;0,W216*701.69,0)+IF(Y216&gt;0,Y216*151.63,0)+IF(Z216&gt;0,Z216*197.84)+IF(AA216&gt;0,AA216*308.4,0)+IF(AB216&gt;0,AB216*496.16,0)</f>
        <v/>
      </c>
    </row>
    <row r="217">
      <c r="A217" s="59">
        <f>IF(G217&lt;$A$1,"VENCIDO","NA VALIDADE")</f>
        <v/>
      </c>
      <c r="B217" s="60" t="inlineStr">
        <is>
          <t>UTD</t>
        </is>
      </c>
      <c r="C217" s="61" t="inlineStr">
        <is>
          <t>UTD PALMARES</t>
        </is>
      </c>
      <c r="D217" s="82" t="inlineStr">
        <is>
          <t>PALMARES</t>
        </is>
      </c>
      <c r="E217" s="75" t="inlineStr">
        <is>
          <t>PE</t>
        </is>
      </c>
      <c r="F217" s="75" t="inlineStr">
        <is>
          <t>CABO DE SANTO AGOSTINHO</t>
        </is>
      </c>
      <c r="G217" s="119" t="n">
        <v>45505</v>
      </c>
      <c r="H217" s="119">
        <f>G217-180</f>
        <v/>
      </c>
      <c r="I217" s="60">
        <f>SUM(K217:AD217)</f>
        <v/>
      </c>
      <c r="J217" s="60">
        <f>SUM(AE217:AI217)</f>
        <v/>
      </c>
      <c r="K217" s="60" t="n">
        <v>4</v>
      </c>
      <c r="L217" s="60" t="n"/>
      <c r="M217" s="60" t="n">
        <v>4</v>
      </c>
      <c r="N217" s="60" t="n">
        <v>1</v>
      </c>
      <c r="O217" s="60" t="n">
        <v>1</v>
      </c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  <c r="Y217" s="60" t="n"/>
      <c r="Z217" s="60" t="n">
        <v>2</v>
      </c>
      <c r="AA217" s="60" t="n"/>
      <c r="AB217" s="60" t="n"/>
      <c r="AC217" s="60" t="n"/>
      <c r="AD217" s="60" t="n"/>
      <c r="AE217" s="60" t="n">
        <v>4</v>
      </c>
      <c r="AF217" s="60" t="n"/>
      <c r="AG217" s="60" t="n"/>
      <c r="AH217" s="60" t="n"/>
      <c r="AI217" s="60" t="n"/>
      <c r="AJ217" s="120">
        <f>IF(K217&gt;0,K217*(82.29+8.15),0)+IF(L217&gt;0,L217*(8.15+339.97),0)+IF(M217&gt;0,M217*151.63,0)+IF(N217&gt;0,N217*197.82,0)+IF(O217&gt;0,O217*244.09,0)+IF(P217&gt;0,P217*315.35,0)+IF(Q217&gt;0,Q217*1067.3,0)+IF(S217&gt;0,S217*567.47,0)+IF(T217&gt;0,T217*151.63,0)+IF(U217&gt;0,U217*197.84,0)+IF(V217&gt;0,V217*470.51,0)+IF(W217&gt;0,W217*701.69,0)+IF(Y217&gt;0,Y217*151.63,0)+IF(Z217&gt;0,Z217*197.84)+IF(AA217&gt;0,AA217*308.4,0)+IF(AB217&gt;0,AB217*496.16,0)</f>
        <v/>
      </c>
    </row>
    <row r="218">
      <c r="A218" s="59">
        <f>IF(G218&lt;$A$1,"VENCIDO","NA VALIDADE")</f>
        <v/>
      </c>
      <c r="B218" s="60" t="inlineStr">
        <is>
          <t>UTD</t>
        </is>
      </c>
      <c r="C218" s="61" t="inlineStr">
        <is>
          <t>UTD PETROLINA</t>
        </is>
      </c>
      <c r="D218" s="82" t="inlineStr">
        <is>
          <t>PETROLINA</t>
        </is>
      </c>
      <c r="E218" s="75" t="inlineStr">
        <is>
          <t>PE</t>
        </is>
      </c>
      <c r="F218" s="75" t="inlineStr">
        <is>
          <t>CABO DE SANTO AGOSTINHO</t>
        </is>
      </c>
      <c r="G218" s="119" t="n">
        <v>45536</v>
      </c>
      <c r="H218" s="119">
        <f>G218-180</f>
        <v/>
      </c>
      <c r="I218" s="60">
        <f>SUM(K218:AD218)</f>
        <v/>
      </c>
      <c r="J218" s="60">
        <f>SUM(AE218:AI218)</f>
        <v/>
      </c>
      <c r="K218" s="60" t="n">
        <v>8</v>
      </c>
      <c r="L218" s="60" t="n"/>
      <c r="M218" s="60" t="n"/>
      <c r="N218" s="60" t="n">
        <v>5</v>
      </c>
      <c r="O218" s="60" t="n">
        <v>2</v>
      </c>
      <c r="P218" s="60" t="n">
        <v>1</v>
      </c>
      <c r="Q218" s="60" t="n"/>
      <c r="R218" s="60" t="n"/>
      <c r="S218" s="60" t="n"/>
      <c r="T218" s="60" t="n"/>
      <c r="U218" s="60" t="n"/>
      <c r="V218" s="60" t="n"/>
      <c r="W218" s="60" t="n"/>
      <c r="X218" s="60" t="n"/>
      <c r="Y218" s="60" t="n"/>
      <c r="Z218" s="60" t="n">
        <v>4</v>
      </c>
      <c r="AA218" s="60" t="n"/>
      <c r="AB218" s="60" t="n"/>
      <c r="AC218" s="60" t="n"/>
      <c r="AD218" s="60" t="n"/>
      <c r="AE218" s="60" t="n"/>
      <c r="AF218" s="60" t="n"/>
      <c r="AG218" s="60" t="n">
        <v>17</v>
      </c>
      <c r="AH218" s="60" t="n"/>
      <c r="AI218" s="60" t="n"/>
      <c r="AJ218" s="120">
        <f>IF(K218&gt;0,K218*(82.29+8.15),0)+IF(L218&gt;0,L218*(8.15+339.97),0)+IF(M218&gt;0,M218*151.63,0)+IF(N218&gt;0,N218*197.82,0)+IF(O218&gt;0,O218*244.09,0)+IF(P218&gt;0,P218*315.35,0)+IF(Q218&gt;0,Q218*1067.3,0)+IF(S218&gt;0,S218*567.47,0)+IF(T218&gt;0,T218*151.63,0)+IF(U218&gt;0,U218*197.84,0)+IF(V218&gt;0,V218*470.51,0)+IF(W218&gt;0,W218*701.69,0)+IF(Y218&gt;0,Y218*151.63,0)+IF(Z218&gt;0,Z218*197.84)+IF(AA218&gt;0,AA218*308.4,0)+IF(AB218&gt;0,AB218*496.16,0)</f>
        <v/>
      </c>
    </row>
    <row r="219">
      <c r="A219" s="59">
        <f>IF(G219&lt;$A$1,"VENCIDO","NA VALIDADE")</f>
        <v/>
      </c>
      <c r="B219" s="60" t="inlineStr">
        <is>
          <t>UTD</t>
        </is>
      </c>
      <c r="C219" s="61" t="inlineStr">
        <is>
          <t>UTD SALGUEIRO</t>
        </is>
      </c>
      <c r="D219" s="82" t="inlineStr">
        <is>
          <t>SALGUEIRO</t>
        </is>
      </c>
      <c r="E219" s="75" t="inlineStr">
        <is>
          <t>PE</t>
        </is>
      </c>
      <c r="F219" s="75" t="inlineStr">
        <is>
          <t>CABO DE SANTO AGOSTINHO</t>
        </is>
      </c>
      <c r="G219" s="119" t="n">
        <v>45474</v>
      </c>
      <c r="H219" s="119">
        <f>G219-180</f>
        <v/>
      </c>
      <c r="I219" s="60">
        <f>SUM(K219:AD219)</f>
        <v/>
      </c>
      <c r="J219" s="60">
        <f>SUM(AE219:AI219)</f>
        <v/>
      </c>
      <c r="K219" s="60" t="n">
        <v>4</v>
      </c>
      <c r="L219" s="60" t="n"/>
      <c r="M219" s="60" t="n">
        <v>1</v>
      </c>
      <c r="N219" s="60" t="n"/>
      <c r="O219" s="60" t="n">
        <v>2</v>
      </c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  <c r="Y219" s="60" t="n"/>
      <c r="Z219" s="60" t="n">
        <v>2</v>
      </c>
      <c r="AA219" s="60" t="n"/>
      <c r="AB219" s="60" t="n"/>
      <c r="AC219" s="60" t="n"/>
      <c r="AD219" s="60" t="n"/>
      <c r="AE219" s="60" t="n"/>
      <c r="AF219" s="60" t="n"/>
      <c r="AG219" s="60" t="n"/>
      <c r="AH219" s="60" t="n"/>
      <c r="AI219" s="60" t="n"/>
      <c r="AJ219" s="120">
        <f>IF(K219&gt;0,K219*(82.29+8.15),0)+IF(L219&gt;0,L219*(8.15+339.97),0)+IF(M219&gt;0,M219*151.63,0)+IF(N219&gt;0,N219*197.82,0)+IF(O219&gt;0,O219*244.09,0)+IF(P219&gt;0,P219*315.35,0)+IF(Q219&gt;0,Q219*1067.3,0)+IF(S219&gt;0,S219*567.47,0)+IF(T219&gt;0,T219*151.63,0)+IF(U219&gt;0,U219*197.84,0)+IF(V219&gt;0,V219*470.51,0)+IF(W219&gt;0,W219*701.69,0)+IF(Y219&gt;0,Y219*151.63,0)+IF(Z219&gt;0,Z219*197.84)+IF(AA219&gt;0,AA219*308.4,0)+IF(AB219&gt;0,AB219*496.16,0)</f>
        <v/>
      </c>
    </row>
    <row r="220">
      <c r="A220" s="59">
        <f>IF(G220&lt;$A$1,"VENCIDO","NA VALIDADE")</f>
        <v/>
      </c>
      <c r="B220" s="60" t="inlineStr">
        <is>
          <t>UTD</t>
        </is>
      </c>
      <c r="C220" s="61" t="inlineStr">
        <is>
          <t>UTD SANTA CRUZ DO CAPIBARIBE</t>
        </is>
      </c>
      <c r="D220" s="82" t="inlineStr">
        <is>
          <t>SAO LOURENCO DA MATA</t>
        </is>
      </c>
      <c r="E220" s="75" t="inlineStr">
        <is>
          <t>PE</t>
        </is>
      </c>
      <c r="F220" s="75" t="inlineStr">
        <is>
          <t>CABO DE SANTO AGOSTINHO</t>
        </is>
      </c>
      <c r="G220" s="119" t="n">
        <v>45352</v>
      </c>
      <c r="H220" s="119" t="n">
        <v>45352</v>
      </c>
      <c r="I220" s="60">
        <f>SUM(K220:AD220)</f>
        <v/>
      </c>
      <c r="J220" s="60">
        <f>SUM(AE220:AI220)</f>
        <v/>
      </c>
      <c r="K220" s="60" t="n">
        <v>2</v>
      </c>
      <c r="L220" s="60" t="n"/>
      <c r="M220" s="60" t="n"/>
      <c r="N220" s="60" t="n">
        <v>2</v>
      </c>
      <c r="O220" s="60" t="n"/>
      <c r="P220" s="60" t="n">
        <v>5</v>
      </c>
      <c r="Q220" s="60" t="n"/>
      <c r="R220" s="60" t="n"/>
      <c r="S220" s="60" t="n"/>
      <c r="T220" s="60" t="n"/>
      <c r="U220" s="60" t="n"/>
      <c r="V220" s="60" t="n"/>
      <c r="W220" s="60" t="n"/>
      <c r="X220" s="60" t="n"/>
      <c r="Y220" s="60" t="n"/>
      <c r="Z220" s="60" t="n">
        <v>1</v>
      </c>
      <c r="AA220" s="60" t="n"/>
      <c r="AB220" s="60" t="n"/>
      <c r="AC220" s="60" t="n"/>
      <c r="AD220" s="60" t="n"/>
      <c r="AE220" s="60" t="n"/>
      <c r="AF220" s="60" t="n"/>
      <c r="AG220" s="60" t="n"/>
      <c r="AH220" s="60" t="n"/>
      <c r="AI220" s="60" t="n"/>
      <c r="AJ220" s="120">
        <f>IF(K220&gt;0,K220*(82.29+8.15),0)+IF(L220&gt;0,L220*(8.15+339.97),0)+IF(M220&gt;0,M220*151.63,0)+IF(N220&gt;0,N220*197.82,0)+IF(O220&gt;0,O220*244.09,0)+IF(P220&gt;0,P220*315.35,0)+IF(Q220&gt;0,Q220*1067.3,0)+IF(S220&gt;0,S220*567.47,0)+IF(T220&gt;0,T220*151.63,0)+IF(U220&gt;0,U220*197.84,0)+IF(V220&gt;0,V220*470.51,0)+IF(W220&gt;0,W220*701.69,0)+IF(Y220&gt;0,Y220*151.63,0)+IF(Z220&gt;0,Z220*197.84)+IF(AA220&gt;0,AA220*308.4,0)+IF(AB220&gt;0,AB220*496.16,0)</f>
        <v/>
      </c>
    </row>
    <row r="221">
      <c r="A221" s="59">
        <f>IF(G221&lt;$A$1,"VENCIDO","NA VALIDADE")</f>
        <v/>
      </c>
      <c r="B221" s="60" t="inlineStr">
        <is>
          <t>UTD</t>
        </is>
      </c>
      <c r="C221" s="61" t="inlineStr">
        <is>
          <t>UTD SERRA TALHADA E SUBSTAÇÃO</t>
        </is>
      </c>
      <c r="D221" s="82" t="inlineStr">
        <is>
          <t>SERRA TALHADA</t>
        </is>
      </c>
      <c r="E221" s="75" t="inlineStr">
        <is>
          <t>PE</t>
        </is>
      </c>
      <c r="F221" s="75" t="inlineStr">
        <is>
          <t>CABO DE SANTO AGOSTINHO</t>
        </is>
      </c>
      <c r="G221" s="119" t="n">
        <v>45536</v>
      </c>
      <c r="H221" s="119">
        <f>G221-180</f>
        <v/>
      </c>
      <c r="I221" s="60">
        <f>SUM(K221:AD221)</f>
        <v/>
      </c>
      <c r="J221" s="60">
        <f>SUM(AE221:AI221)</f>
        <v/>
      </c>
      <c r="K221" s="60" t="n">
        <v>12</v>
      </c>
      <c r="L221" s="60" t="n"/>
      <c r="M221" s="60" t="n"/>
      <c r="N221" s="60" t="n">
        <v>2</v>
      </c>
      <c r="O221" s="60" t="n">
        <v>2</v>
      </c>
      <c r="P221" s="60" t="n">
        <v>4</v>
      </c>
      <c r="Q221" s="60" t="n"/>
      <c r="R221" s="60" t="n"/>
      <c r="S221" s="60" t="n"/>
      <c r="T221" s="60" t="n"/>
      <c r="U221" s="60" t="n"/>
      <c r="V221" s="60" t="n"/>
      <c r="W221" s="60" t="n"/>
      <c r="X221" s="60" t="n"/>
      <c r="Y221" s="60" t="n"/>
      <c r="Z221" s="60" t="n">
        <v>7</v>
      </c>
      <c r="AA221" s="60" t="n"/>
      <c r="AB221" s="60" t="n"/>
      <c r="AC221" s="60" t="n"/>
      <c r="AD221" s="60" t="n"/>
      <c r="AE221" s="60" t="n"/>
      <c r="AF221" s="60" t="n"/>
      <c r="AG221" s="60" t="n"/>
      <c r="AH221" s="60" t="n"/>
      <c r="AI221" s="60" t="n"/>
      <c r="AJ221" s="120">
        <f>IF(K221&gt;0,K221*(82.29+8.15),0)+IF(L221&gt;0,L221*(8.15+339.97),0)+IF(M221&gt;0,M221*151.63,0)+IF(N221&gt;0,N221*197.82,0)+IF(O221&gt;0,O221*244.09,0)+IF(P221&gt;0,P221*315.35,0)+IF(Q221&gt;0,Q221*1067.3,0)+IF(S221&gt;0,S221*567.47,0)+IF(T221&gt;0,T221*151.63,0)+IF(U221&gt;0,U221*197.84,0)+IF(V221&gt;0,V221*470.51,0)+IF(W221&gt;0,W221*701.69,0)+IF(Y221&gt;0,Y221*151.63,0)+IF(Z221&gt;0,Z221*197.84)+IF(AA221&gt;0,AA221*308.4,0)+IF(AB221&gt;0,AB221*496.16,0)</f>
        <v/>
      </c>
    </row>
    <row r="222">
      <c r="A222" s="59">
        <f>IF(G222&lt;$A$1,"VENCIDO","NA VALIDADE")</f>
        <v/>
      </c>
      <c r="B222" s="60" t="inlineStr">
        <is>
          <t>AGÊNCIA</t>
        </is>
      </c>
      <c r="C222" s="61" t="inlineStr">
        <is>
          <t>AGÊNCIA PIEDADE</t>
        </is>
      </c>
      <c r="D222" s="82" t="inlineStr">
        <is>
          <t>JABOATAO DOS GUARARAPES</t>
        </is>
      </c>
      <c r="E222" s="75" t="inlineStr">
        <is>
          <t>PE</t>
        </is>
      </c>
      <c r="F222" s="75" t="inlineStr">
        <is>
          <t>CABO DE SANTO AGOSTINHO</t>
        </is>
      </c>
      <c r="G222" s="119" t="n">
        <v>45413</v>
      </c>
      <c r="H222" s="119">
        <f>G222-180</f>
        <v/>
      </c>
      <c r="I222" s="60">
        <f>SUM(K222:AD222)</f>
        <v/>
      </c>
      <c r="J222" s="60">
        <f>SUM(AE222:AI222)</f>
        <v/>
      </c>
      <c r="K222" s="60" t="n"/>
      <c r="L222" s="60" t="n"/>
      <c r="M222" s="60" t="n"/>
      <c r="N222" s="60" t="n"/>
      <c r="O222" s="60" t="n">
        <v>2</v>
      </c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  <c r="Y222" s="60" t="n"/>
      <c r="Z222" s="60" t="n"/>
      <c r="AA222" s="60" t="n"/>
      <c r="AB222" s="60" t="n"/>
      <c r="AC222" s="60" t="n"/>
      <c r="AD222" s="60" t="n"/>
      <c r="AE222" s="60" t="n"/>
      <c r="AF222" s="60" t="n"/>
      <c r="AG222" s="60" t="n"/>
      <c r="AH222" s="60" t="n"/>
      <c r="AI222" s="60" t="n"/>
      <c r="AJ222" s="120">
        <f>IF(K222&gt;0,K222*(82.29+8.15),0)+IF(L222&gt;0,L222*(8.15+339.97),0)+IF(M222&gt;0,M222*151.63,0)+IF(N222&gt;0,N222*197.82,0)+IF(O222&gt;0,O222*244.09,0)+IF(P222&gt;0,P222*315.35,0)+IF(Q222&gt;0,Q222*1067.3,0)+IF(S222&gt;0,S222*567.47,0)+IF(T222&gt;0,T222*151.63,0)+IF(U222&gt;0,U222*197.84,0)+IF(V222&gt;0,V222*470.51,0)+IF(W222&gt;0,W222*701.69,0)+IF(Y222&gt;0,Y222*151.63,0)+IF(Z222&gt;0,Z222*197.84)+IF(AA222&gt;0,AA222*308.4,0)+IF(AB222&gt;0,AB222*496.16,0)</f>
        <v/>
      </c>
    </row>
    <row r="223">
      <c r="A223" s="59">
        <f>IF(G223&lt;$A$1,"VENCIDO","NA VALIDADE")</f>
        <v/>
      </c>
      <c r="B223" s="60" t="inlineStr">
        <is>
          <t>UTD</t>
        </is>
      </c>
      <c r="C223" s="61" t="inlineStr">
        <is>
          <t>UTD SUL/ PIEDADE</t>
        </is>
      </c>
      <c r="D223" s="82" t="inlineStr">
        <is>
          <t>JABOATÃO DOS GUARARAPES</t>
        </is>
      </c>
      <c r="E223" s="75" t="inlineStr">
        <is>
          <t>PE</t>
        </is>
      </c>
      <c r="F223" s="75" t="inlineStr">
        <is>
          <t>CABO DE SANTO AGOSTINHO</t>
        </is>
      </c>
      <c r="G223" s="119" t="n">
        <v>45566</v>
      </c>
      <c r="H223" s="119">
        <f>G223-180</f>
        <v/>
      </c>
      <c r="I223" s="60">
        <f>SUM(K223:AD223)</f>
        <v/>
      </c>
      <c r="J223" s="60">
        <f>SUM(AE223:AI223)</f>
        <v/>
      </c>
      <c r="K223" s="60" t="n"/>
      <c r="L223" s="60" t="n"/>
      <c r="M223" s="60" t="n"/>
      <c r="N223" s="60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  <c r="Y223" s="60" t="n"/>
      <c r="Z223" s="60" t="n">
        <v>6</v>
      </c>
      <c r="AA223" s="60" t="n"/>
      <c r="AB223" s="60" t="n"/>
      <c r="AC223" s="60" t="n"/>
      <c r="AD223" s="60" t="n"/>
      <c r="AE223" s="60" t="n">
        <v>4</v>
      </c>
      <c r="AF223" s="60" t="n"/>
      <c r="AG223" s="60" t="n"/>
      <c r="AH223" s="60" t="n"/>
      <c r="AI223" s="60" t="n"/>
      <c r="AJ223" s="120">
        <f>IF(K223&gt;0,K223*(82.29+8.15),0)+IF(L223&gt;0,L223*(8.15+339.97),0)+IF(M223&gt;0,M223*151.63,0)+IF(N223&gt;0,N223*197.82,0)+IF(O223&gt;0,O223*244.09,0)+IF(P223&gt;0,P223*315.35,0)+IF(Q223&gt;0,Q223*1067.3,0)+IF(S223&gt;0,S223*567.47,0)+IF(T223&gt;0,T223*151.63,0)+IF(U223&gt;0,U223*197.84,0)+IF(V223&gt;0,V223*470.51,0)+IF(W223&gt;0,W223*701.69,0)+IF(Y223&gt;0,Y223*151.63,0)+IF(Z223&gt;0,Z223*197.84)+IF(AA223&gt;0,AA223*308.4,0)+IF(AB223&gt;0,AB223*496.16,0)</f>
        <v/>
      </c>
    </row>
    <row r="224">
      <c r="A224" s="59">
        <f>IF(G224&lt;$A$1,"VENCIDO","NA VALIDADE")</f>
        <v/>
      </c>
      <c r="B224" s="60" t="inlineStr">
        <is>
          <t>SUBESTAÇÃO</t>
        </is>
      </c>
      <c r="C224" s="61" t="inlineStr">
        <is>
          <t>SE SURUBIM</t>
        </is>
      </c>
      <c r="D224" s="82" t="inlineStr">
        <is>
          <t>SURUBIM</t>
        </is>
      </c>
      <c r="E224" s="75" t="inlineStr">
        <is>
          <t>PE</t>
        </is>
      </c>
      <c r="F224" s="75" t="inlineStr">
        <is>
          <t>CABO DE SANTO AGOSTINHO</t>
        </is>
      </c>
      <c r="G224" s="119" t="n">
        <v>45566</v>
      </c>
      <c r="H224" s="119">
        <f>G224-180</f>
        <v/>
      </c>
      <c r="I224" s="60">
        <f>SUM(K224:AD224)</f>
        <v/>
      </c>
      <c r="J224" s="60">
        <f>SUM(AE224:AI224)</f>
        <v/>
      </c>
      <c r="K224" s="60" t="n"/>
      <c r="L224" s="60" t="n"/>
      <c r="M224" s="60" t="n"/>
      <c r="N224" s="60" t="n">
        <v>1</v>
      </c>
      <c r="O224" s="60" t="n"/>
      <c r="P224" s="60" t="n"/>
      <c r="Q224" s="60" t="n"/>
      <c r="R224" s="60" t="n"/>
      <c r="S224" s="60" t="n">
        <v>1</v>
      </c>
      <c r="T224" s="60" t="n"/>
      <c r="U224" s="60" t="n"/>
      <c r="V224" s="60" t="n"/>
      <c r="W224" s="60" t="n"/>
      <c r="X224" s="60" t="n"/>
      <c r="Y224" s="60" t="n"/>
      <c r="Z224" s="60" t="n">
        <v>1</v>
      </c>
      <c r="AA224" s="60" t="n"/>
      <c r="AB224" s="60" t="n"/>
      <c r="AC224" s="60" t="n"/>
      <c r="AD224" s="60" t="n"/>
      <c r="AE224" s="60" t="n"/>
      <c r="AF224" s="60" t="n"/>
      <c r="AG224" s="60" t="n"/>
      <c r="AH224" s="60" t="n"/>
      <c r="AI224" s="60" t="n"/>
      <c r="AJ224" s="120">
        <f>IF(K224&gt;0,K224*(82.29+8.15),0)+IF(L224&gt;0,L224*(8.15+339.97),0)+IF(M224&gt;0,M224*151.63,0)+IF(N224&gt;0,N224*197.82,0)+IF(O224&gt;0,O224*244.09,0)+IF(P224&gt;0,P224*315.35,0)+IF(Q224&gt;0,Q224*1067.3,0)+IF(S224&gt;0,S224*567.47,0)+IF(T224&gt;0,T224*151.63,0)+IF(U224&gt;0,U224*197.84,0)+IF(V224&gt;0,V224*470.51,0)+IF(W224&gt;0,W224*701.69,0)+IF(Y224&gt;0,Y224*151.63,0)+IF(Z224&gt;0,Z224*197.84)+IF(AA224&gt;0,AA224*308.4,0)+IF(AB224&gt;0,AB224*496.16,0)</f>
        <v/>
      </c>
    </row>
    <row r="225">
      <c r="A225" s="59">
        <f>IF(G225&lt;$A$1,"VENCIDO","NA VALIDADE")</f>
        <v/>
      </c>
      <c r="B225" s="60" t="inlineStr">
        <is>
          <t>UTD</t>
        </is>
      </c>
      <c r="C225" s="61" t="inlineStr">
        <is>
          <t>UTD SURUBIM</t>
        </is>
      </c>
      <c r="D225" s="82" t="inlineStr">
        <is>
          <t>SURUBIM</t>
        </is>
      </c>
      <c r="E225" s="75" t="inlineStr">
        <is>
          <t>PE</t>
        </is>
      </c>
      <c r="F225" s="75" t="inlineStr">
        <is>
          <t>CABO DE SANTO AGOSTINHO</t>
        </is>
      </c>
      <c r="G225" s="119" t="n">
        <v>45536</v>
      </c>
      <c r="H225" s="119">
        <f>G225-180</f>
        <v/>
      </c>
      <c r="I225" s="60">
        <f>SUM(K225:AD225)</f>
        <v/>
      </c>
      <c r="J225" s="60">
        <f>SUM(AE225:AI225)</f>
        <v/>
      </c>
      <c r="K225" s="60" t="n">
        <v>1</v>
      </c>
      <c r="L225" s="60" t="n"/>
      <c r="M225" s="60" t="n"/>
      <c r="N225" s="60" t="n">
        <v>1</v>
      </c>
      <c r="O225" s="60" t="n">
        <v>2</v>
      </c>
      <c r="P225" s="60" t="n">
        <v>1</v>
      </c>
      <c r="Q225" s="60" t="n"/>
      <c r="R225" s="60" t="n"/>
      <c r="S225" s="60" t="n"/>
      <c r="T225" s="60" t="n"/>
      <c r="U225" s="60" t="n"/>
      <c r="V225" s="60" t="n"/>
      <c r="W225" s="60" t="n"/>
      <c r="X225" s="60" t="n"/>
      <c r="Y225" s="60" t="n"/>
      <c r="Z225" s="60" t="n">
        <v>2</v>
      </c>
      <c r="AA225" s="60" t="n"/>
      <c r="AB225" s="60" t="n"/>
      <c r="AC225" s="60" t="n"/>
      <c r="AD225" s="60" t="n"/>
      <c r="AE225" s="60" t="n"/>
      <c r="AF225" s="60" t="n"/>
      <c r="AG225" s="60" t="n"/>
      <c r="AH225" s="60" t="n"/>
      <c r="AI225" s="60" t="n"/>
      <c r="AJ225" s="120">
        <f>IF(K225&gt;0,K225*(82.29+8.15),0)+IF(L225&gt;0,L225*(8.15+339.97),0)+IF(M225&gt;0,M225*151.63,0)+IF(N225&gt;0,N225*197.82,0)+IF(O225&gt;0,O225*244.09,0)+IF(P225&gt;0,P225*315.35,0)+IF(Q225&gt;0,Q225*1067.3,0)+IF(S225&gt;0,S225*567.47,0)+IF(T225&gt;0,T225*151.63,0)+IF(U225&gt;0,U225*197.84,0)+IF(V225&gt;0,V225*470.51,0)+IF(W225&gt;0,W225*701.69,0)+IF(Y225&gt;0,Y225*151.63,0)+IF(Z225&gt;0,Z225*197.84)+IF(AA225&gt;0,AA225*308.4,0)+IF(AB225&gt;0,AB225*496.16,0)</f>
        <v/>
      </c>
    </row>
    <row r="226">
      <c r="A226" s="59">
        <f>IF(G226&lt;$A$1,"VENCIDO","NA VALIDADE")</f>
        <v/>
      </c>
      <c r="B226" s="60" t="inlineStr">
        <is>
          <t>UTD</t>
        </is>
      </c>
      <c r="C226" s="61" t="inlineStr">
        <is>
          <t>UTD VITÓRIA SANTO ANTÃO</t>
        </is>
      </c>
      <c r="D226" s="82" t="inlineStr">
        <is>
          <t>VITORIA DE SANTO ANTAO</t>
        </is>
      </c>
      <c r="E226" s="75" t="inlineStr">
        <is>
          <t>PE</t>
        </is>
      </c>
      <c r="F226" s="75" t="inlineStr">
        <is>
          <t>CABO DE SANTO AGOSTINHO</t>
        </is>
      </c>
      <c r="G226" s="119" t="n">
        <v>45658</v>
      </c>
      <c r="H226" s="119">
        <f>G226-180</f>
        <v/>
      </c>
      <c r="I226" s="60">
        <f>SUM(K226:AD226)</f>
        <v/>
      </c>
      <c r="J226" s="60">
        <f>SUM(AE226:AI226)</f>
        <v/>
      </c>
      <c r="K226" s="60" t="n">
        <v>1</v>
      </c>
      <c r="L226" s="60" t="n"/>
      <c r="M226" s="60" t="n">
        <v>3</v>
      </c>
      <c r="N226" s="60" t="n">
        <v>2</v>
      </c>
      <c r="O226" s="60" t="n">
        <v>1</v>
      </c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  <c r="Y226" s="60" t="n"/>
      <c r="Z226" s="60" t="n">
        <v>2</v>
      </c>
      <c r="AA226" s="60" t="n"/>
      <c r="AB226" s="60" t="n"/>
      <c r="AC226" s="60" t="n"/>
      <c r="AD226" s="60" t="n"/>
      <c r="AE226" s="60" t="n"/>
      <c r="AF226" s="60" t="n"/>
      <c r="AG226" s="60" t="n"/>
      <c r="AH226" s="60" t="n"/>
      <c r="AI226" s="60" t="n"/>
      <c r="AJ226" s="120">
        <f>IF(K226&gt;0,K226*(82.29+8.15),0)+IF(L226&gt;0,L226*(8.15+339.97),0)+IF(M226&gt;0,M226*151.63,0)+IF(N226&gt;0,N226*197.82,0)+IF(O226&gt;0,O226*244.09,0)+IF(P226&gt;0,P226*315.35,0)+IF(Q226&gt;0,Q226*1067.3,0)+IF(S226&gt;0,S226*567.47,0)+IF(T226&gt;0,T226*151.63,0)+IF(U226&gt;0,U226*197.84,0)+IF(V226&gt;0,V226*470.51,0)+IF(W226&gt;0,W226*701.69,0)+IF(Y226&gt;0,Y226*151.63,0)+IF(Z226&gt;0,Z226*197.84)+IF(AA226&gt;0,AA226*308.4,0)+IF(AB226&gt;0,AB226*496.16,0)</f>
        <v/>
      </c>
    </row>
    <row r="227">
      <c r="A227" s="59">
        <f>IF(G227&lt;$A$1,"VENCIDO","NA VALIDADE")</f>
        <v/>
      </c>
      <c r="B227" s="60" t="inlineStr">
        <is>
          <t>BASE.OP</t>
        </is>
      </c>
      <c r="C227" s="61" t="inlineStr">
        <is>
          <t>BASE OP.VICÊNCIA</t>
        </is>
      </c>
      <c r="D227" s="82" t="inlineStr">
        <is>
          <t>VICENCIA</t>
        </is>
      </c>
      <c r="E227" s="75" t="inlineStr">
        <is>
          <t>PE</t>
        </is>
      </c>
      <c r="F227" s="75" t="inlineStr">
        <is>
          <t>CABO DE SANTO AGOSTINHO</t>
        </is>
      </c>
      <c r="G227" s="119" t="n">
        <v>45474</v>
      </c>
      <c r="H227" s="119" t="n">
        <v>45474</v>
      </c>
      <c r="I227" s="60">
        <f>SUM(K227:AD227)</f>
        <v/>
      </c>
      <c r="J227" s="60">
        <f>SUM(AE227:AI227)</f>
        <v/>
      </c>
      <c r="K227" s="60" t="n"/>
      <c r="L227" s="60" t="n"/>
      <c r="M227" s="60" t="n"/>
      <c r="N227" s="60" t="n"/>
      <c r="O227" s="60" t="n"/>
      <c r="P227" s="60" t="n">
        <v>2</v>
      </c>
      <c r="Q227" s="60" t="n"/>
      <c r="R227" s="60" t="n"/>
      <c r="S227" s="60" t="n"/>
      <c r="T227" s="60" t="n"/>
      <c r="U227" s="60" t="n"/>
      <c r="V227" s="60" t="n"/>
      <c r="W227" s="60" t="n"/>
      <c r="X227" s="60" t="n"/>
      <c r="Y227" s="60" t="n"/>
      <c r="Z227" s="60" t="n">
        <v>1</v>
      </c>
      <c r="AA227" s="60" t="n"/>
      <c r="AB227" s="60" t="n"/>
      <c r="AC227" s="60" t="n"/>
      <c r="AD227" s="60" t="n"/>
      <c r="AE227" s="60" t="n"/>
      <c r="AF227" s="60" t="n"/>
      <c r="AG227" s="60" t="n"/>
      <c r="AH227" s="60" t="n"/>
      <c r="AI227" s="60" t="n"/>
      <c r="AJ227" s="120">
        <f>IF(K227&gt;0,K227*(82.29+8.15),0)+IF(L227&gt;0,L227*(8.15+339.97),0)+IF(M227&gt;0,M227*151.63,0)+IF(N227&gt;0,N227*197.82,0)+IF(O227&gt;0,O227*244.09,0)+IF(P227&gt;0,P227*315.35,0)+IF(Q227&gt;0,Q227*1067.3,0)+IF(S227&gt;0,S227*567.47,0)+IF(T227&gt;0,T227*151.63,0)+IF(U227&gt;0,U227*197.84,0)+IF(V227&gt;0,V227*470.51,0)+IF(W227&gt;0,W227*701.69,0)+IF(Y227&gt;0,Y227*151.63,0)+IF(Z227&gt;0,Z227*197.84)+IF(AA227&gt;0,AA227*308.4,0)+IF(AB227&gt;0,AB227*496.16,0)</f>
        <v/>
      </c>
    </row>
    <row r="228">
      <c r="A228" s="59">
        <f>IF(G228&lt;$A$1,"VENCIDO","NA VALIDADE")</f>
        <v/>
      </c>
      <c r="B228" s="60" t="inlineStr">
        <is>
          <t>UTD</t>
        </is>
      </c>
      <c r="C228" s="66" t="inlineStr">
        <is>
          <t>UTD CARPINA</t>
        </is>
      </c>
      <c r="D228" s="84" t="inlineStr">
        <is>
          <t>CARPINA</t>
        </is>
      </c>
      <c r="E228" s="75" t="inlineStr">
        <is>
          <t>PE</t>
        </is>
      </c>
      <c r="F228" s="75" t="inlineStr">
        <is>
          <t>CABO DE SANTO AGOSTINHO</t>
        </is>
      </c>
      <c r="G228" s="119" t="n">
        <v>45323</v>
      </c>
      <c r="H228" s="119">
        <f>G228-180</f>
        <v/>
      </c>
      <c r="I228" s="60">
        <f>SUM(K228:AD228)</f>
        <v/>
      </c>
      <c r="J228" s="60">
        <f>SUM(AE228:AI228)</f>
        <v/>
      </c>
      <c r="K228" s="60" t="n">
        <v>2</v>
      </c>
      <c r="L228" s="60" t="n"/>
      <c r="M228" s="60" t="n">
        <v>1</v>
      </c>
      <c r="N228" s="60" t="n">
        <v>4</v>
      </c>
      <c r="O228" s="60" t="n"/>
      <c r="P228" s="60" t="n">
        <v>2</v>
      </c>
      <c r="Q228" s="60" t="n"/>
      <c r="R228" s="60" t="n"/>
      <c r="S228" s="60" t="n"/>
      <c r="T228" s="60" t="n"/>
      <c r="U228" s="60" t="n"/>
      <c r="V228" s="60" t="n"/>
      <c r="W228" s="60" t="n"/>
      <c r="X228" s="60" t="n"/>
      <c r="Y228" s="60" t="n"/>
      <c r="Z228" s="60" t="n">
        <v>1</v>
      </c>
      <c r="AA228" s="60" t="n"/>
      <c r="AB228" s="60" t="n"/>
      <c r="AC228" s="60" t="n"/>
      <c r="AD228" s="60" t="n"/>
      <c r="AE228" s="60" t="n"/>
      <c r="AF228" s="60" t="n"/>
      <c r="AG228" s="60" t="n"/>
      <c r="AH228" s="60" t="n"/>
      <c r="AI228" s="60" t="n"/>
      <c r="AJ228" s="120">
        <f>IF(K228&gt;0,K228*(82.29+8.15),0)+IF(L228&gt;0,L228*(8.15+339.97),0)+IF(M228&gt;0,M228*151.63,0)+IF(N228&gt;0,N228*197.82,0)+IF(O228&gt;0,O228*244.09,0)+IF(P228&gt;0,P228*315.35,0)+IF(Q228&gt;0,Q228*1067.3,0)+IF(S228&gt;0,S228*567.47,0)+IF(T228&gt;0,T228*151.63,0)+IF(U228&gt;0,U228*197.84,0)+IF(V228&gt;0,V228*470.51,0)+IF(W228&gt;0,W228*701.69,0)+IF(Y228&gt;0,Y228*151.63,0)+IF(Z228&gt;0,Z228*197.84)+IF(AA228&gt;0,AA228*308.4,0)+IF(AB228&gt;0,AB228*496.16,0)</f>
        <v/>
      </c>
    </row>
    <row r="229">
      <c r="A229" s="59">
        <f>IF(G229&lt;$A$1,"VENCIDO","NA VALIDADE")</f>
        <v/>
      </c>
      <c r="B229" s="60" t="inlineStr">
        <is>
          <t>UTD</t>
        </is>
      </c>
      <c r="C229" s="66" t="inlineStr">
        <is>
          <t>UTD OURICURI</t>
        </is>
      </c>
      <c r="D229" s="84" t="inlineStr">
        <is>
          <t>OURICURI</t>
        </is>
      </c>
      <c r="E229" s="75" t="inlineStr">
        <is>
          <t>PE</t>
        </is>
      </c>
      <c r="F229" s="75" t="inlineStr">
        <is>
          <t>CABO DE SANTO AGOSTINHO</t>
        </is>
      </c>
      <c r="G229" s="119" t="n">
        <v>45383</v>
      </c>
      <c r="H229" s="119">
        <f>G229-180</f>
        <v/>
      </c>
      <c r="I229" s="60">
        <f>SUM(K229:AD229)</f>
        <v/>
      </c>
      <c r="J229" s="60">
        <f>SUM(AE229:AI229)</f>
        <v/>
      </c>
      <c r="K229" s="60" t="n">
        <v>2</v>
      </c>
      <c r="L229" s="60" t="n"/>
      <c r="M229" s="60" t="n"/>
      <c r="N229" s="60" t="n"/>
      <c r="O229" s="60" t="n">
        <v>1</v>
      </c>
      <c r="P229" s="60" t="n">
        <v>1</v>
      </c>
      <c r="Q229" s="60" t="n"/>
      <c r="R229" s="60" t="n"/>
      <c r="S229" s="60" t="n"/>
      <c r="T229" s="60" t="n"/>
      <c r="U229" s="60" t="n"/>
      <c r="V229" s="60" t="n"/>
      <c r="W229" s="60" t="n"/>
      <c r="X229" s="60" t="n"/>
      <c r="Y229" s="60" t="n"/>
      <c r="Z229" s="60" t="n">
        <v>1</v>
      </c>
      <c r="AA229" s="60" t="n"/>
      <c r="AB229" s="60" t="n"/>
      <c r="AC229" s="60" t="n"/>
      <c r="AD229" s="60" t="n"/>
      <c r="AE229" s="60" t="n"/>
      <c r="AF229" s="60" t="n"/>
      <c r="AG229" s="60" t="n"/>
      <c r="AH229" s="60" t="n"/>
      <c r="AI229" s="60" t="n"/>
      <c r="AJ229" s="120">
        <f>IF(K229&gt;0,K229*(82.29+8.15),0)+IF(L229&gt;0,L229*(8.15+339.97),0)+IF(M229&gt;0,M229*151.63,0)+IF(N229&gt;0,N229*197.82,0)+IF(O229&gt;0,O229*244.09,0)+IF(P229&gt;0,P229*315.35,0)+IF(Q229&gt;0,Q229*1067.3,0)+IF(S229&gt;0,S229*567.47,0)+IF(T229&gt;0,T229*151.63,0)+IF(U229&gt;0,U229*197.84,0)+IF(V229&gt;0,V229*470.51,0)+IF(W229&gt;0,W229*701.69,0)+IF(Y229&gt;0,Y229*151.63,0)+IF(Z229&gt;0,Z229*197.84)+IF(AA229&gt;0,AA229*308.4,0)+IF(AB229&gt;0,AB229*496.16,0)</f>
        <v/>
      </c>
    </row>
    <row r="230">
      <c r="A230" s="59">
        <f>IF(G230&lt;$A$1,"VENCIDO","NA VALIDADE")</f>
        <v/>
      </c>
      <c r="B230" s="60" t="inlineStr">
        <is>
          <t>UTD</t>
        </is>
      </c>
      <c r="C230" s="66" t="inlineStr">
        <is>
          <t>UTD PALMARES</t>
        </is>
      </c>
      <c r="D230" s="84" t="inlineStr">
        <is>
          <t>PALMARES</t>
        </is>
      </c>
      <c r="E230" s="75" t="inlineStr">
        <is>
          <t>PE</t>
        </is>
      </c>
      <c r="F230" s="75" t="inlineStr">
        <is>
          <t>CABO DE SANTO AGOSTINHO</t>
        </is>
      </c>
      <c r="G230" s="119" t="n">
        <v>45139</v>
      </c>
      <c r="H230" s="119">
        <f>G230-180</f>
        <v/>
      </c>
      <c r="I230" s="60">
        <f>SUM(K230:AD230)</f>
        <v/>
      </c>
      <c r="J230" s="60">
        <f>SUM(AE230:AI230)</f>
        <v/>
      </c>
      <c r="K230" s="60" t="n">
        <v>4</v>
      </c>
      <c r="L230" s="60" t="n"/>
      <c r="M230" s="60" t="n">
        <v>2</v>
      </c>
      <c r="N230" s="60" t="n">
        <v>3</v>
      </c>
      <c r="O230" s="60" t="n">
        <v>1</v>
      </c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  <c r="Y230" s="60" t="n"/>
      <c r="Z230" s="60" t="n">
        <v>2</v>
      </c>
      <c r="AA230" s="60" t="n"/>
      <c r="AB230" s="60" t="n"/>
      <c r="AC230" s="60" t="n"/>
      <c r="AD230" s="60" t="n"/>
      <c r="AE230" s="60" t="n"/>
      <c r="AF230" s="60" t="n"/>
      <c r="AG230" s="60" t="n"/>
      <c r="AH230" s="60" t="n"/>
      <c r="AI230" s="60" t="n"/>
      <c r="AJ230" s="120">
        <f>IF(K230&gt;0,K230*(82.29+8.15),0)+IF(L230&gt;0,L230*(8.15+339.97),0)+IF(M230&gt;0,M230*151.63,0)+IF(N230&gt;0,N230*197.82,0)+IF(O230&gt;0,O230*244.09,0)+IF(P230&gt;0,P230*315.35,0)+IF(Q230&gt;0,Q230*1067.3,0)+IF(S230&gt;0,S230*567.47,0)+IF(T230&gt;0,T230*151.63,0)+IF(U230&gt;0,U230*197.84,0)+IF(V230&gt;0,V230*470.51,0)+IF(W230&gt;0,W230*701.69,0)+IF(Y230&gt;0,Y230*151.63,0)+IF(Z230&gt;0,Z230*197.84)+IF(AA230&gt;0,AA230*308.4,0)+IF(AB230&gt;0,AB230*496.16,0)</f>
        <v/>
      </c>
    </row>
    <row r="231">
      <c r="A231" s="59">
        <f>IF(G231&lt;$A$1,"VENCIDO","NA VALIDADE")</f>
        <v/>
      </c>
      <c r="B231" s="60" t="inlineStr">
        <is>
          <t>UTD</t>
        </is>
      </c>
      <c r="C231" s="66" t="inlineStr">
        <is>
          <t>UTD VITÓRIA SANTO ANTÃO</t>
        </is>
      </c>
      <c r="D231" s="84" t="inlineStr">
        <is>
          <t>VITORIA DE SANTO ANTAO</t>
        </is>
      </c>
      <c r="E231" s="75" t="inlineStr">
        <is>
          <t>PE</t>
        </is>
      </c>
      <c r="F231" s="75" t="inlineStr">
        <is>
          <t>CABO DE SANTO AGOSTINHO</t>
        </is>
      </c>
      <c r="G231" s="119" t="n">
        <v>45323</v>
      </c>
      <c r="H231" s="119">
        <f>G231-180</f>
        <v/>
      </c>
      <c r="I231" s="60">
        <f>SUM(K231:AD231)</f>
        <v/>
      </c>
      <c r="J231" s="60">
        <f>SUM(AE231:AI231)</f>
        <v/>
      </c>
      <c r="K231" s="60" t="n">
        <v>1</v>
      </c>
      <c r="L231" s="60" t="n"/>
      <c r="M231" s="60" t="n">
        <v>2</v>
      </c>
      <c r="N231" s="60" t="n">
        <v>3</v>
      </c>
      <c r="O231" s="60" t="n">
        <v>1</v>
      </c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  <c r="Y231" s="60" t="n"/>
      <c r="Z231" s="60" t="n">
        <v>2</v>
      </c>
      <c r="AA231" s="60" t="n"/>
      <c r="AB231" s="60" t="n"/>
      <c r="AC231" s="60" t="n"/>
      <c r="AD231" s="60" t="n"/>
      <c r="AE231" s="60" t="n"/>
      <c r="AF231" s="60" t="n"/>
      <c r="AG231" s="60" t="n"/>
      <c r="AH231" s="60" t="n"/>
      <c r="AI231" s="60" t="n"/>
      <c r="AJ231" s="120">
        <f>IF(K231&gt;0,K231*(82.29+8.15),0)+IF(L231&gt;0,L231*(8.15+339.97),0)+IF(M231&gt;0,M231*151.63,0)+IF(N231&gt;0,N231*197.82,0)+IF(O231&gt;0,O231*244.09,0)+IF(P231&gt;0,P231*315.35,0)+IF(Q231&gt;0,Q231*1067.3,0)+IF(S231&gt;0,S231*567.47,0)+IF(T231&gt;0,T231*151.63,0)+IF(U231&gt;0,U231*197.84,0)+IF(V231&gt;0,V231*470.51,0)+IF(W231&gt;0,W231*701.69,0)+IF(Y231&gt;0,Y231*151.63,0)+IF(Z231&gt;0,Z231*197.84)+IF(AA231&gt;0,AA231*308.4,0)+IF(AB231&gt;0,AB231*496.16,0)</f>
        <v/>
      </c>
    </row>
    <row r="232" ht="15.75" customHeight="1">
      <c r="A232" s="61" t="n"/>
      <c r="B232" s="61" t="n"/>
      <c r="C232" s="61" t="n"/>
      <c r="D232" s="85" t="n"/>
      <c r="E232" s="61" t="n"/>
      <c r="F232" s="61" t="n"/>
      <c r="G232" s="119" t="n"/>
      <c r="H232" s="124" t="inlineStr">
        <is>
          <t>TOTAL</t>
        </is>
      </c>
      <c r="I232" s="79">
        <f>SUBTOTAL(109,I3:I228)</f>
        <v/>
      </c>
      <c r="J232" s="79">
        <f>SUBTOTAL(109,J3:J228)</f>
        <v/>
      </c>
      <c r="K232" s="79">
        <f>SUBTOTAL(109,K3:K228)</f>
        <v/>
      </c>
      <c r="L232" s="79">
        <f>SUBTOTAL(109,L3:L228)</f>
        <v/>
      </c>
      <c r="M232" s="79">
        <f>SUBTOTAL(109,M3:M228)</f>
        <v/>
      </c>
      <c r="N232" s="79">
        <f>SUBTOTAL(109,N3:N228)</f>
        <v/>
      </c>
      <c r="O232" s="79">
        <f>SUBTOTAL(109,O3:O228)</f>
        <v/>
      </c>
      <c r="P232" s="79">
        <f>SUBTOTAL(109,P3:P228)</f>
        <v/>
      </c>
      <c r="Q232" s="79">
        <f>SUBTOTAL(109,Q3:Q228)</f>
        <v/>
      </c>
      <c r="R232" s="79" t="n"/>
      <c r="S232" s="79">
        <f>SUBTOTAL(109,S3:S228)</f>
        <v/>
      </c>
      <c r="T232" s="79">
        <f>SUBTOTAL(109,T3:T228)</f>
        <v/>
      </c>
      <c r="U232" s="79">
        <f>SUBTOTAL(109,U3:U228)</f>
        <v/>
      </c>
      <c r="V232" s="79">
        <f>SUBTOTAL(109,V3:V228)</f>
        <v/>
      </c>
      <c r="W232" s="79">
        <f>SUBTOTAL(109,W3:W228)</f>
        <v/>
      </c>
      <c r="X232" s="79">
        <f>SUBTOTAL(109,X3:X228)</f>
        <v/>
      </c>
      <c r="Y232" s="79">
        <f>SUBTOTAL(109,Y3:Y228)</f>
        <v/>
      </c>
      <c r="Z232" s="79">
        <f>SUBTOTAL(109,Z3:Z228)</f>
        <v/>
      </c>
      <c r="AA232" s="79">
        <f>SUBTOTAL(109,AA3:AA228)</f>
        <v/>
      </c>
      <c r="AB232" s="79">
        <f>SUBTOTAL(109,AB3:AB228)</f>
        <v/>
      </c>
      <c r="AC232" s="79">
        <f>SUBTOTAL(109,AC3:AC228)</f>
        <v/>
      </c>
      <c r="AD232" s="79">
        <f>SUBTOTAL(109,AD3:AD228)</f>
        <v/>
      </c>
      <c r="AE232" s="79">
        <f>SUBTOTAL(109,AE3:AE228)</f>
        <v/>
      </c>
      <c r="AF232" s="79">
        <f>SUBTOTAL(109,AF3:AF228)</f>
        <v/>
      </c>
      <c r="AG232" s="79">
        <f>SUBTOTAL(109,AG3:AG228)</f>
        <v/>
      </c>
      <c r="AH232" s="79">
        <f>SUBTOTAL(109,AH3:AH228)</f>
        <v/>
      </c>
      <c r="AI232" s="79" t="n"/>
      <c r="AJ232" s="125">
        <f>SUBTOTAL(109,AJ3:AJ228)</f>
        <v/>
      </c>
    </row>
  </sheetData>
  <autoFilter ref="A2:AJ231"/>
  <mergeCells count="7">
    <mergeCell ref="I1:J1"/>
    <mergeCell ref="M1:S1"/>
    <mergeCell ref="AE1:AJ1"/>
    <mergeCell ref="K1:L1"/>
    <mergeCell ref="AC1:AD1"/>
    <mergeCell ref="T1:X1"/>
    <mergeCell ref="Y1:AB1"/>
  </mergeCells>
  <conditionalFormatting sqref="A2">
    <cfRule type="containsText" priority="5" operator="containsText" dxfId="8" text="ENVIADO">
      <formula>NOT(ISERROR(SEARCH("ENVIADO",A2)))</formula>
    </cfRule>
    <cfRule type="cellIs" priority="6" operator="equal" dxfId="7">
      <formula>#REF!</formula>
    </cfRule>
    <cfRule type="cellIs" priority="7" operator="equal" dxfId="6">
      <formula>#REF!</formula>
    </cfRule>
    <cfRule type="cellIs" priority="8" operator="equal" dxfId="5">
      <formula>#REF!</formula>
    </cfRule>
    <cfRule type="cellIs" priority="9" operator="equal" dxfId="4">
      <formula>#REF!</formula>
    </cfRule>
  </conditionalFormatting>
  <conditionalFormatting sqref="A3:A231">
    <cfRule type="containsText" priority="2" operator="containsText" dxfId="3" text="NA VALIDADE">
      <formula>NOT(ISERROR(SEARCH("NA VALIDADE",A3)))</formula>
    </cfRule>
    <cfRule type="containsText" priority="3" operator="containsText" dxfId="2" text="VENCIDO">
      <formula>NOT(ISERROR(SEARCH("VENCIDO",A3)))</formula>
    </cfRule>
  </conditionalFormatting>
  <conditionalFormatting sqref="I3:AJ231">
    <cfRule type="cellIs" priority="4" operator="greaterThan" dxfId="1">
      <formula>0</formula>
    </cfRule>
  </conditionalFormatting>
  <conditionalFormatting sqref="I232:AJ232">
    <cfRule type="cellIs" priority="10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1" fitToHeight="0" horizontalDpi="300" verticalDpi="300"/>
  <drawing r:id="rIdDrw1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6" filterMode="1">
    <tabColor rgb="FFC55A11"/>
    <outlinePr summaryBelow="1" summaryRight="1"/>
    <pageSetUpPr fitToPage="1"/>
  </sheetPr>
  <dimension ref="A1:AK36"/>
  <sheetViews>
    <sheetView view="pageBreakPreview" zoomScale="80" zoomScaleNormal="100" zoomScalePageLayoutView="80" workbookViewId="0">
      <selection activeCell="AG15" sqref="AG15"/>
    </sheetView>
  </sheetViews>
  <sheetFormatPr baseColWidth="8" defaultColWidth="8.7109375" defaultRowHeight="15"/>
  <cols>
    <col width="12.42578125" customWidth="1" min="1" max="1"/>
    <col width="13.5703125" customWidth="1" min="2" max="2"/>
    <col width="10.85546875" customWidth="1" min="3" max="3"/>
    <col width="98.5703125" customWidth="1" min="4" max="4"/>
    <col width="13.85546875" customWidth="1" min="5" max="5"/>
    <col width="3.85546875" customWidth="1" min="6" max="6"/>
    <col width="24.140625" customWidth="1" min="7" max="7"/>
    <col width="13.5703125" customWidth="1" min="8" max="9"/>
    <col width="11.85546875" customWidth="1" min="36" max="36"/>
    <col hidden="1" width="17" customWidth="1" min="37" max="37"/>
  </cols>
  <sheetData>
    <row r="1" ht="49.5" customHeight="1">
      <c r="A1" s="122">
        <f>TODAY()</f>
        <v/>
      </c>
      <c r="B1" s="122">
        <f>TODAY()</f>
        <v/>
      </c>
      <c r="C1" s="48" t="n"/>
      <c r="D1" s="49">
        <f>SUBTOTAL(3,D3:D515)</f>
        <v/>
      </c>
      <c r="E1" s="51" t="inlineStr">
        <is>
          <t>MAPA:</t>
        </is>
      </c>
      <c r="F1" s="48" t="n"/>
      <c r="G1" s="48" t="n"/>
      <c r="H1" s="52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4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UF</t>
        </is>
      </c>
      <c r="G2" s="54" t="inlineStr">
        <is>
          <t>BASE DE ATENDIMENTO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30Kg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 hidden="1">
      <c r="A3" s="59" t="n"/>
      <c r="B3" s="59">
        <f>IF(H3&lt;$B$1,"VENCIDO","NA VALIDADE")</f>
        <v/>
      </c>
      <c r="C3" s="60" t="inlineStr">
        <is>
          <t>N/A</t>
        </is>
      </c>
      <c r="D3" s="61" t="inlineStr">
        <is>
          <t>ARAPUÁ I,II e III (AEROGERADOR)</t>
        </is>
      </c>
      <c r="E3" s="75" t="n"/>
      <c r="F3" s="60" t="inlineStr">
        <is>
          <t>RN</t>
        </is>
      </c>
      <c r="G3" s="60" t="inlineStr">
        <is>
          <t>NATAL</t>
        </is>
      </c>
      <c r="H3" s="119" t="n">
        <v>45102</v>
      </c>
      <c r="I3" s="119">
        <f>H3-180</f>
        <v/>
      </c>
      <c r="J3" s="60">
        <f>SUM(L3:AE3)</f>
        <v/>
      </c>
      <c r="K3" s="60">
        <f>SUM(AF3:AJ3)</f>
        <v/>
      </c>
      <c r="L3" s="60" t="n"/>
      <c r="M3" s="60" t="n"/>
      <c r="N3" s="60" t="n"/>
      <c r="O3" s="60" t="n"/>
      <c r="P3" s="60" t="n"/>
      <c r="Q3" s="60" t="n"/>
      <c r="R3" s="60" t="n"/>
      <c r="S3" s="60" t="n"/>
      <c r="T3" s="60" t="n"/>
      <c r="U3" s="60" t="n"/>
      <c r="V3" s="60" t="n"/>
      <c r="W3" s="60" t="n"/>
      <c r="X3" s="60" t="n"/>
      <c r="Y3" s="60" t="n"/>
      <c r="Z3" s="60" t="n"/>
      <c r="AA3" s="60" t="n">
        <v>42</v>
      </c>
      <c r="AB3" s="60" t="n"/>
      <c r="AC3" s="60" t="n"/>
      <c r="AD3" s="60" t="n"/>
      <c r="AE3" s="60" t="n"/>
      <c r="AF3" s="60" t="n"/>
      <c r="AG3" s="60" t="n"/>
      <c r="AH3" s="60" t="n"/>
      <c r="AI3" s="60" t="n"/>
      <c r="AJ3" s="60" t="n"/>
      <c r="AK3" s="120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 hidden="1">
      <c r="A4" s="59" t="inlineStr">
        <is>
          <t>SIM</t>
        </is>
      </c>
      <c r="B4" s="59">
        <f>IF(H4&lt;$B$1,"VENCIDO","NA VALIDADE")</f>
        <v/>
      </c>
      <c r="C4" s="60" t="inlineStr">
        <is>
          <t>N/A</t>
        </is>
      </c>
      <c r="D4" s="61" t="inlineStr">
        <is>
          <t>ARIZONA (SUBESTAÇÃO)</t>
        </is>
      </c>
      <c r="E4" s="75" t="n"/>
      <c r="F4" s="60" t="inlineStr">
        <is>
          <t>RN</t>
        </is>
      </c>
      <c r="G4" s="60" t="inlineStr">
        <is>
          <t>NATAL</t>
        </is>
      </c>
      <c r="H4" s="119" t="n">
        <v>45074</v>
      </c>
      <c r="I4" s="119">
        <f>H4-180</f>
        <v/>
      </c>
      <c r="J4" s="60">
        <f>SUM(L4:AE4)</f>
        <v/>
      </c>
      <c r="K4" s="60">
        <f>SUM(AF4:AJ4)</f>
        <v/>
      </c>
      <c r="L4" s="60" t="n"/>
      <c r="M4" s="60" t="n"/>
      <c r="N4" s="60" t="n"/>
      <c r="O4" s="60" t="n"/>
      <c r="P4" s="60" t="n"/>
      <c r="Q4" s="60" t="n"/>
      <c r="R4" s="60" t="n"/>
      <c r="S4" s="60" t="n"/>
      <c r="T4" s="60" t="n"/>
      <c r="U4" s="60" t="n"/>
      <c r="V4" s="60" t="n"/>
      <c r="W4" s="60" t="n"/>
      <c r="X4" s="60" t="n"/>
      <c r="Y4" s="60" t="n"/>
      <c r="Z4" s="60" t="n"/>
      <c r="AA4" s="60" t="n">
        <v>11</v>
      </c>
      <c r="AB4" s="60" t="n"/>
      <c r="AC4" s="60" t="n"/>
      <c r="AD4" s="60" t="n"/>
      <c r="AE4" s="60" t="n"/>
      <c r="AF4" s="60" t="n"/>
      <c r="AG4" s="60" t="n"/>
      <c r="AH4" s="60" t="n"/>
      <c r="AI4" s="60" t="n"/>
      <c r="AJ4" s="60" t="n"/>
      <c r="AK4" s="120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/>
      </c>
    </row>
    <row r="5" hidden="1">
      <c r="A5" s="59" t="n"/>
      <c r="B5" s="59">
        <f>IF(H5&lt;$B$1,"VENCIDO","NA VALIDADE")</f>
        <v/>
      </c>
      <c r="C5" s="60" t="inlineStr">
        <is>
          <t>N/A</t>
        </is>
      </c>
      <c r="D5" s="61" t="inlineStr">
        <is>
          <t>CAETITÉ (SUBESTAÇÃO)</t>
        </is>
      </c>
      <c r="E5" s="60" t="inlineStr">
        <is>
          <t>CAETITÉ</t>
        </is>
      </c>
      <c r="F5" s="60" t="inlineStr">
        <is>
          <t>BA</t>
        </is>
      </c>
      <c r="G5" s="61" t="inlineStr">
        <is>
          <t>VITÓRIA DA CONQUISTA</t>
        </is>
      </c>
      <c r="H5" s="119" t="n">
        <v>44927</v>
      </c>
      <c r="I5" s="119">
        <f>H5-180</f>
        <v/>
      </c>
      <c r="J5" s="60">
        <f>SUM(L5:AE5)</f>
        <v/>
      </c>
      <c r="K5" s="60">
        <f>SUM(AF5:AJ5)</f>
        <v/>
      </c>
      <c r="L5" s="60" t="n"/>
      <c r="M5" s="60" t="n"/>
      <c r="N5" s="60" t="n"/>
      <c r="O5" s="60" t="n"/>
      <c r="P5" s="60" t="n"/>
      <c r="Q5" s="60" t="n"/>
      <c r="R5" s="60" t="n"/>
      <c r="S5" s="60" t="n"/>
      <c r="T5" s="60" t="n">
        <v>1</v>
      </c>
      <c r="U5" s="60" t="n"/>
      <c r="V5" s="60" t="n">
        <v>6</v>
      </c>
      <c r="W5" s="60" t="n"/>
      <c r="X5" s="60" t="n">
        <v>5</v>
      </c>
      <c r="Y5" s="60" t="n"/>
      <c r="Z5" s="60" t="n"/>
      <c r="AA5" s="60" t="n">
        <v>10</v>
      </c>
      <c r="AB5" s="60" t="n"/>
      <c r="AC5" s="60" t="n"/>
      <c r="AD5" s="60" t="n"/>
      <c r="AE5" s="60" t="n"/>
      <c r="AF5" s="60" t="n"/>
      <c r="AG5" s="60" t="n"/>
      <c r="AH5" s="60" t="n"/>
      <c r="AI5" s="60" t="n"/>
      <c r="AJ5" s="60" t="n"/>
      <c r="AK5" s="120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/>
      </c>
    </row>
    <row r="6" hidden="1">
      <c r="A6" s="59" t="n"/>
      <c r="B6" s="59">
        <f>IF(H6&lt;$B$1,"VENCIDO","NA VALIDADE")</f>
        <v/>
      </c>
      <c r="C6" s="60" t="inlineStr">
        <is>
          <t>N/A</t>
        </is>
      </c>
      <c r="D6" s="61" t="inlineStr">
        <is>
          <t>CALANGO I (AEROGERADORES)</t>
        </is>
      </c>
      <c r="E6" s="75" t="n"/>
      <c r="F6" s="60" t="inlineStr">
        <is>
          <t>RN</t>
        </is>
      </c>
      <c r="G6" s="60" t="inlineStr">
        <is>
          <t>NATAL</t>
        </is>
      </c>
      <c r="H6" s="119" t="n">
        <v>44621</v>
      </c>
      <c r="I6" s="119">
        <f>H6-180</f>
        <v/>
      </c>
      <c r="J6" s="60">
        <f>SUM(L6:AE6)</f>
        <v/>
      </c>
      <c r="K6" s="60">
        <f>SUM(AF6:AJ6)</f>
        <v/>
      </c>
      <c r="L6" s="60" t="n"/>
      <c r="M6" s="60" t="n"/>
      <c r="N6" s="60" t="n"/>
      <c r="O6" s="60" t="n"/>
      <c r="P6" s="60" t="n"/>
      <c r="Q6" s="60" t="n"/>
      <c r="R6" s="60" t="n"/>
      <c r="S6" s="60" t="n"/>
      <c r="T6" s="60" t="n"/>
      <c r="U6" s="60" t="n"/>
      <c r="V6" s="60" t="n"/>
      <c r="W6" s="60" t="n"/>
      <c r="X6" s="60" t="n"/>
      <c r="Y6" s="60" t="n"/>
      <c r="Z6" s="60" t="n"/>
      <c r="AA6" s="60" t="n">
        <v>30</v>
      </c>
      <c r="AB6" s="60" t="n"/>
      <c r="AC6" s="60" t="n"/>
      <c r="AD6" s="60" t="n"/>
      <c r="AE6" s="60" t="n"/>
      <c r="AF6" s="60" t="n"/>
      <c r="AG6" s="60" t="n"/>
      <c r="AH6" s="60" t="n"/>
      <c r="AI6" s="60" t="n"/>
      <c r="AJ6" s="60" t="n"/>
      <c r="AK6" s="120">
        <f>IF(L6&gt;0,L6*(82.29+8.15),0)+IF(M6&gt;0,M6*(8.15+339.97),0)+IF(N6&gt;0,N6*151.63,0)+IF(O6&gt;0,O6*197.82,0)+IF(P6&gt;0,P6*244.09,0)+IF(Q6&gt;0,Q6*315.35,0)+IF(R6&gt;0,R6*1067.3,0)+IF(T6&gt;0,T6*567.47,0)+IF(U6&gt;0,U6*151.63,0)+IF(V6&gt;0,V6*197.84,0)+IF(W6&gt;0,W6*470.51,0)+IF(X6&gt;0,X6*701.69,0)+IF(Z6&gt;0,Z6*151.63,0)+IF(AA6&gt;0,AA6*197.84)+IF(AB6&gt;0,AB6*308.4,0)+IF(AC6&gt;0,AC6*496.16,0)</f>
        <v/>
      </c>
    </row>
    <row r="7" hidden="1">
      <c r="A7" s="59" t="inlineStr">
        <is>
          <t>SIM</t>
        </is>
      </c>
      <c r="B7" s="59">
        <f>IF(H7&lt;$B$1,"VENCIDO","NA VALIDADE")</f>
        <v/>
      </c>
      <c r="C7" s="60" t="inlineStr">
        <is>
          <t>SUBESTAÇÃO</t>
        </is>
      </c>
      <c r="D7" s="61" t="inlineStr">
        <is>
          <t>SE PQ EÓLICO MEL II</t>
        </is>
      </c>
      <c r="E7" s="86" t="inlineStr">
        <is>
          <t>AREIA BRANCA</t>
        </is>
      </c>
      <c r="F7" s="60" t="inlineStr">
        <is>
          <t>RN</t>
        </is>
      </c>
      <c r="G7" s="60" t="inlineStr">
        <is>
          <t>NATAL</t>
        </is>
      </c>
      <c r="H7" s="119" t="n">
        <v>45566</v>
      </c>
      <c r="I7" s="119">
        <f>H7-180</f>
        <v/>
      </c>
      <c r="J7" s="60">
        <f>SUM(L7:AE7)</f>
        <v/>
      </c>
      <c r="K7" s="60">
        <f>SUM(AF7:AJ7)</f>
        <v/>
      </c>
      <c r="L7" s="60" t="n"/>
      <c r="M7" s="60" t="n"/>
      <c r="N7" s="60" t="n"/>
      <c r="O7" s="60" t="n"/>
      <c r="P7" s="60" t="n"/>
      <c r="Q7" s="60" t="n">
        <v>2</v>
      </c>
      <c r="R7" s="60" t="n"/>
      <c r="S7" s="60" t="n"/>
      <c r="T7" s="60" t="n"/>
      <c r="U7" s="60" t="n"/>
      <c r="V7" s="60" t="n"/>
      <c r="W7" s="60" t="n"/>
      <c r="X7" s="60" t="n"/>
      <c r="Y7" s="60" t="n"/>
      <c r="Z7" s="60" t="n"/>
      <c r="AA7" s="60" t="n">
        <v>10</v>
      </c>
      <c r="AB7" s="60" t="n"/>
      <c r="AC7" s="60" t="n">
        <v>2</v>
      </c>
      <c r="AD7" s="60" t="n"/>
      <c r="AE7" s="60" t="n"/>
      <c r="AF7" s="60" t="n"/>
      <c r="AG7" s="60" t="n"/>
      <c r="AH7" s="60" t="n"/>
      <c r="AI7" s="60" t="n"/>
      <c r="AJ7" s="60" t="n"/>
      <c r="AK7" s="120">
        <f>IF(L7&gt;0,L7*(82.29+8.15),0)+IF(M7&gt;0,M7*(8.15+339.97),0)+IF(N7&gt;0,N7*151.63,0)+IF(O7&gt;0,O7*197.82,0)+IF(P7&gt;0,P7*244.09,0)+IF(Q7&gt;0,Q7*315.35,0)+IF(R7&gt;0,R7*1067.3,0)+IF(T7&gt;0,T7*567.47,0)+IF(U7&gt;0,U7*151.63,0)+IF(V7&gt;0,V7*197.84,0)+IF(W7&gt;0,W7*470.51,0)+IF(X7&gt;0,X7*701.69,0)+IF(Z7&gt;0,Z7*151.63,0)+IF(AA7&gt;0,AA7*197.84)+IF(AB7&gt;0,AB7*308.4,0)+IF(AC7&gt;0,AC7*496.16,0)</f>
        <v/>
      </c>
    </row>
    <row r="8" hidden="1">
      <c r="A8" s="59" t="inlineStr">
        <is>
          <t>SIM</t>
        </is>
      </c>
      <c r="B8" s="59">
        <f>IF(H8&lt;$B$1,"VENCIDO","NA VALIDADE")</f>
        <v/>
      </c>
      <c r="C8" s="60" t="inlineStr">
        <is>
          <t>SUBESTAÇÃO</t>
        </is>
      </c>
      <c r="D8" s="61" t="inlineStr">
        <is>
          <t>SE PQ EÓLICO CALANGO SANTANA II E III</t>
        </is>
      </c>
      <c r="E8" s="86" t="inlineStr">
        <is>
          <t>LAGOA NOVA</t>
        </is>
      </c>
      <c r="F8" s="60" t="inlineStr">
        <is>
          <t>RN</t>
        </is>
      </c>
      <c r="G8" s="60" t="inlineStr">
        <is>
          <t>NATAL</t>
        </is>
      </c>
      <c r="H8" s="119" t="n">
        <v>45383</v>
      </c>
      <c r="I8" s="119" t="n">
        <v>45383</v>
      </c>
      <c r="J8" s="60">
        <f>SUM(L8:AE8)</f>
        <v/>
      </c>
      <c r="K8" s="60">
        <f>SUM(AF8:AJ8)</f>
        <v/>
      </c>
      <c r="L8" s="60" t="n">
        <v>5</v>
      </c>
      <c r="M8" s="60" t="n"/>
      <c r="N8" s="60" t="n"/>
      <c r="O8" s="60" t="n">
        <v>7</v>
      </c>
      <c r="P8" s="60" t="n"/>
      <c r="Q8" s="60" t="n"/>
      <c r="R8" s="60" t="n"/>
      <c r="S8" s="60" t="n"/>
      <c r="T8" s="60" t="n">
        <v>1</v>
      </c>
      <c r="U8" s="60" t="n"/>
      <c r="V8" s="60" t="n"/>
      <c r="W8" s="60" t="n"/>
      <c r="X8" s="60" t="n"/>
      <c r="Y8" s="60" t="n"/>
      <c r="Z8" s="60" t="n"/>
      <c r="AA8" s="60" t="n">
        <v>9</v>
      </c>
      <c r="AB8" s="60" t="n">
        <v>1</v>
      </c>
      <c r="AC8" s="60" t="n"/>
      <c r="AD8" s="60" t="n"/>
      <c r="AE8" s="60" t="n"/>
      <c r="AF8" s="60" t="n"/>
      <c r="AG8" s="60" t="n"/>
      <c r="AH8" s="60" t="n"/>
      <c r="AI8" s="60" t="n"/>
      <c r="AJ8" s="60" t="n"/>
      <c r="AK8" s="120">
        <f>IF(L8&gt;0,L8*(82.29+8.15),0)+IF(M8&gt;0,M8*(8.15+339.97),0)+IF(N8&gt;0,N8*151.63,0)+IF(O8&gt;0,O8*197.82,0)+IF(P8&gt;0,P8*244.09,0)+IF(Q8&gt;0,Q8*315.35,0)+IF(R8&gt;0,R8*1067.3,0)+IF(T8&gt;0,T8*567.47,0)+IF(U8&gt;0,U8*151.63,0)+IF(V8&gt;0,V8*197.84,0)+IF(W8&gt;0,W8*470.51,0)+IF(X8&gt;0,X8*701.69,0)+IF(Z8&gt;0,Z8*151.63,0)+IF(AA8&gt;0,AA8*197.84)+IF(AB8&gt;0,AB8*308.4,0)+IF(AC8&gt;0,AC8*496.16,0)</f>
        <v/>
      </c>
    </row>
    <row r="9" hidden="1">
      <c r="A9" s="59" t="inlineStr">
        <is>
          <t>SIM</t>
        </is>
      </c>
      <c r="B9" s="59">
        <f>IF(H9&lt;$B$1,"VENCIDO","NA VALIDADE")</f>
        <v/>
      </c>
      <c r="C9" s="60" t="inlineStr">
        <is>
          <t>N/A</t>
        </is>
      </c>
      <c r="D9" s="61" t="inlineStr">
        <is>
          <t>CALANGO III (AEROGERADORES)</t>
        </is>
      </c>
      <c r="E9" s="75" t="n"/>
      <c r="F9" s="60" t="inlineStr">
        <is>
          <t>RN</t>
        </is>
      </c>
      <c r="G9" s="60" t="inlineStr">
        <is>
          <t>NATAL</t>
        </is>
      </c>
      <c r="H9" s="119" t="n">
        <v>44621</v>
      </c>
      <c r="I9" s="119">
        <f>H9-180</f>
        <v/>
      </c>
      <c r="J9" s="60">
        <f>SUM(L9:AE9)</f>
        <v/>
      </c>
      <c r="K9" s="60">
        <f>SUM(AF9:AJ9)</f>
        <v/>
      </c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  <c r="X9" s="60" t="n"/>
      <c r="Y9" s="60" t="n"/>
      <c r="Z9" s="60" t="n"/>
      <c r="AA9" s="60" t="n">
        <v>30</v>
      </c>
      <c r="AB9" s="60" t="n"/>
      <c r="AC9" s="60" t="n"/>
      <c r="AD9" s="60" t="n"/>
      <c r="AE9" s="60" t="n"/>
      <c r="AF9" s="60" t="n"/>
      <c r="AG9" s="60" t="n"/>
      <c r="AH9" s="60" t="n"/>
      <c r="AI9" s="60" t="n"/>
      <c r="AJ9" s="60" t="n"/>
      <c r="AK9" s="120">
        <f>IF(L9&gt;0,L9*(82.29+8.15),0)+IF(M9&gt;0,M9*(8.15+339.97),0)+IF(N9&gt;0,N9*151.63,0)+IF(O9&gt;0,O9*197.82,0)+IF(P9&gt;0,P9*244.09,0)+IF(Q9&gt;0,Q9*315.35,0)+IF(R9&gt;0,R9*1067.3,0)+IF(T9&gt;0,T9*567.47,0)+IF(U9&gt;0,U9*151.63,0)+IF(V9&gt;0,V9*197.84,0)+IF(W9&gt;0,W9*470.51,0)+IF(X9&gt;0,X9*701.69,0)+IF(Z9&gt;0,Z9*151.63,0)+IF(AA9&gt;0,AA9*197.84)+IF(AB9&gt;0,AB9*308.4,0)+IF(AC9&gt;0,AC9*496.16,0)</f>
        <v/>
      </c>
    </row>
    <row r="10" hidden="1">
      <c r="A10" s="59" t="inlineStr">
        <is>
          <t>SIM</t>
        </is>
      </c>
      <c r="B10" s="59">
        <f>IF(H10&lt;$B$1,"VENCIDO","NA VALIDADE")</f>
        <v/>
      </c>
      <c r="C10" s="60" t="inlineStr">
        <is>
          <t>N/A</t>
        </is>
      </c>
      <c r="D10" t="inlineStr">
        <is>
          <t>CALANGO VI (AEROGERADORES)</t>
        </is>
      </c>
      <c r="E10" s="75" t="n"/>
      <c r="F10" s="60" t="inlineStr">
        <is>
          <t>RN</t>
        </is>
      </c>
      <c r="G10" s="60" t="inlineStr">
        <is>
          <t>NATAL</t>
        </is>
      </c>
      <c r="H10" s="119" t="n">
        <v>44682</v>
      </c>
      <c r="I10" s="119">
        <f>H10-180</f>
        <v/>
      </c>
      <c r="J10" s="60">
        <f>SUM(L10:AE10)</f>
        <v/>
      </c>
      <c r="K10" s="60">
        <f>SUM(AF10:AJ10)</f>
        <v/>
      </c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>
        <v>30</v>
      </c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120">
        <f>IF(L10&gt;0,L10*(82.29+8.15),0)+IF(M10&gt;0,M10*(8.15+339.97),0)+IF(N10&gt;0,N10*151.63,0)+IF(O10&gt;0,O10*197.82,0)+IF(P10&gt;0,P10*244.09,0)+IF(Q10&gt;0,Q10*315.35,0)+IF(R10&gt;0,R10*1067.3,0)+IF(T10&gt;0,T10*567.47,0)+IF(U10&gt;0,U10*151.63,0)+IF(V10&gt;0,V10*197.84,0)+IF(W10&gt;0,W10*470.51,0)+IF(X10&gt;0,X10*701.69,0)+IF(Z10&gt;0,Z10*151.63,0)+IF(AA10&gt;0,AA10*197.84)+IF(AB10&gt;0,AB10*308.4,0)+IF(AC10&gt;0,AC10*496.16,0)</f>
        <v/>
      </c>
    </row>
    <row r="11" hidden="1">
      <c r="A11" s="59" t="inlineStr">
        <is>
          <t>SIM</t>
        </is>
      </c>
      <c r="B11" s="59">
        <f>IF(H11&lt;$B$1,"VENCIDO","NA VALIDADE")</f>
        <v/>
      </c>
      <c r="C11" s="60" t="inlineStr">
        <is>
          <t>SUBESTAÇÃO</t>
        </is>
      </c>
      <c r="D11" s="61" t="inlineStr">
        <is>
          <t>SE PQ EÓLICO RIO DO FOGO ( ENERBRASIL)</t>
        </is>
      </c>
      <c r="E11" s="86" t="inlineStr">
        <is>
          <t>RIO DO FOGO</t>
        </is>
      </c>
      <c r="F11" s="60" t="inlineStr">
        <is>
          <t>RN</t>
        </is>
      </c>
      <c r="G11" s="60" t="inlineStr">
        <is>
          <t>NATAL</t>
        </is>
      </c>
      <c r="H11" s="119" t="n">
        <v>45323</v>
      </c>
      <c r="I11" s="119" t="n">
        <v>45323</v>
      </c>
      <c r="J11" s="60">
        <f>SUM(L11:AE11)</f>
        <v/>
      </c>
      <c r="K11" s="60">
        <f>SUM(AF11:AJ11)</f>
        <v/>
      </c>
      <c r="L11" s="60" t="n">
        <v>4</v>
      </c>
      <c r="M11" s="60" t="n"/>
      <c r="N11" s="60" t="n">
        <v>1</v>
      </c>
      <c r="O11" s="60" t="n">
        <v>7</v>
      </c>
      <c r="P11" s="60" t="n"/>
      <c r="Q11" s="60" t="n"/>
      <c r="R11" s="60" t="n"/>
      <c r="S11" s="60" t="n"/>
      <c r="T11" s="60" t="n">
        <v>1</v>
      </c>
      <c r="U11" s="60" t="n"/>
      <c r="V11" s="60" t="n"/>
      <c r="W11" s="60" t="n"/>
      <c r="X11" s="60" t="n"/>
      <c r="Y11" s="60" t="n"/>
      <c r="Z11" s="60" t="n"/>
      <c r="AA11" s="60" t="n">
        <v>10</v>
      </c>
      <c r="AB11" s="60" t="n"/>
      <c r="AC11" s="60" t="n"/>
      <c r="AD11" s="60" t="n"/>
      <c r="AE11" s="60" t="n"/>
      <c r="AF11" s="60" t="n"/>
      <c r="AG11" s="60" t="n"/>
      <c r="AH11" s="60" t="n"/>
      <c r="AI11" s="60" t="n"/>
      <c r="AJ11" s="60" t="n"/>
      <c r="AK11" s="120">
        <f>IF(L11&gt;0,L11*(82.29+8.15),0)+IF(M11&gt;0,M11*(8.15+339.97),0)+IF(N11&gt;0,N11*151.63,0)+IF(O11&gt;0,O11*197.82,0)+IF(P11&gt;0,P11*244.09,0)+IF(Q11&gt;0,Q11*315.35,0)+IF(R11&gt;0,R11*1067.3,0)+IF(T11&gt;0,T11*567.47,0)+IF(U11&gt;0,U11*151.63,0)+IF(V11&gt;0,V11*197.84,0)+IF(W11&gt;0,W11*470.51,0)+IF(X11&gt;0,X11*701.69,0)+IF(Z11&gt;0,Z11*151.63,0)+IF(AA11&gt;0,AA11*197.84)+IF(AB11&gt;0,AB11*308.4,0)+IF(AC11&gt;0,AC11*496.16,0)</f>
        <v/>
      </c>
    </row>
    <row r="12" hidden="1">
      <c r="A12" s="59" t="inlineStr">
        <is>
          <t>SIM</t>
        </is>
      </c>
      <c r="B12" s="59">
        <f>IF(H12&lt;$B$1,"VENCIDO","NA VALIDADE")</f>
        <v/>
      </c>
      <c r="C12" s="60" t="inlineStr">
        <is>
          <t>N/A</t>
        </is>
      </c>
      <c r="D12" s="61" t="inlineStr">
        <is>
          <t>CHAFARIZ I,II,III,IV,V,VI,VII (AEROGERADOR)</t>
        </is>
      </c>
      <c r="E12" s="75" t="n"/>
      <c r="F12" s="60" t="inlineStr">
        <is>
          <t>RN</t>
        </is>
      </c>
      <c r="G12" s="60" t="inlineStr">
        <is>
          <t>NATAL</t>
        </is>
      </c>
      <c r="H12" s="119" t="n">
        <v>45073</v>
      </c>
      <c r="I12" s="119">
        <f>H12-180</f>
        <v/>
      </c>
      <c r="J12" s="60">
        <f>SUM(L12:AE12)</f>
        <v/>
      </c>
      <c r="K12" s="60">
        <f>SUM(AF12:AJ12)</f>
        <v/>
      </c>
      <c r="L12" s="60" t="n"/>
      <c r="M12" s="60" t="n"/>
      <c r="N12" s="60" t="n"/>
      <c r="O12" s="60" t="n"/>
      <c r="P12" s="60" t="n"/>
      <c r="Q12" s="60" t="n"/>
      <c r="R12" s="60" t="n"/>
      <c r="S12" s="60" t="n"/>
      <c r="T12" s="60" t="n"/>
      <c r="U12" s="60" t="n"/>
      <c r="V12" s="60" t="n"/>
      <c r="W12" s="60" t="n"/>
      <c r="X12" s="60" t="n"/>
      <c r="Y12" s="60" t="n"/>
      <c r="Z12" s="60" t="n"/>
      <c r="AA12" s="60" t="n">
        <v>138</v>
      </c>
      <c r="AB12" s="60" t="n"/>
      <c r="AC12" s="60" t="n"/>
      <c r="AD12" s="60" t="n"/>
      <c r="AE12" s="60" t="n"/>
      <c r="AF12" s="60" t="n"/>
      <c r="AG12" s="60" t="n"/>
      <c r="AH12" s="60" t="n"/>
      <c r="AI12" s="60" t="n"/>
      <c r="AJ12" s="60" t="n"/>
      <c r="AK12" s="120">
        <f>IF(L12&gt;0,L12*(82.29+8.15),0)+IF(M12&gt;0,M12*(8.15+339.97),0)+IF(N12&gt;0,N12*151.63,0)+IF(O12&gt;0,O12*197.82,0)+IF(P12&gt;0,P12*244.09,0)+IF(Q12&gt;0,Q12*315.35,0)+IF(R12&gt;0,R12*1067.3,0)+IF(T12&gt;0,T12*567.47,0)+IF(U12&gt;0,U12*151.63,0)+IF(V12&gt;0,V12*197.84,0)+IF(W12&gt;0,W12*470.51,0)+IF(X12&gt;0,X12*701.69,0)+IF(Z12&gt;0,Z12*151.63,0)+IF(AA12&gt;0,AA12*197.84)+IF(AB12&gt;0,AB12*308.4,0)+IF(AC12&gt;0,AC12*496.16,0)</f>
        <v/>
      </c>
    </row>
    <row r="13" hidden="1">
      <c r="A13" s="59" t="inlineStr">
        <is>
          <t>SIM</t>
        </is>
      </c>
      <c r="B13" s="59">
        <f>IF(H13&lt;$B$1,"VENCIDO","NA VALIDADE")</f>
        <v/>
      </c>
      <c r="C13" s="60" t="inlineStr">
        <is>
          <t>N/A</t>
        </is>
      </c>
      <c r="D13" s="61" t="inlineStr">
        <is>
          <t>IGAPORÃ (SUBESTAÇÃO da chesf com Bay de entrada nosso)</t>
        </is>
      </c>
      <c r="E13" s="75" t="n"/>
      <c r="F13" s="60" t="inlineStr">
        <is>
          <t>BA</t>
        </is>
      </c>
      <c r="G13" s="60" t="inlineStr">
        <is>
          <t>VITÓRIA DA CONQUISTA</t>
        </is>
      </c>
      <c r="H13" s="119" t="n">
        <v>44927</v>
      </c>
      <c r="I13" s="119">
        <f>H13-180</f>
        <v/>
      </c>
      <c r="J13" s="60">
        <f>SUM(L13:AE13)</f>
        <v/>
      </c>
      <c r="K13" s="60">
        <f>SUM(AF13:AJ13)</f>
        <v/>
      </c>
      <c r="L13" s="60" t="n"/>
      <c r="M13" s="60" t="n"/>
      <c r="N13" s="60" t="n"/>
      <c r="O13" s="60" t="n">
        <v>1</v>
      </c>
      <c r="P13" s="60" t="n"/>
      <c r="Q13" s="60" t="n">
        <v>3</v>
      </c>
      <c r="R13" s="60" t="n"/>
      <c r="S13" s="60" t="n"/>
      <c r="T13" s="60" t="n"/>
      <c r="U13" s="60" t="n"/>
      <c r="V13" s="60" t="n"/>
      <c r="W13" s="60" t="n"/>
      <c r="X13" s="60" t="n"/>
      <c r="Y13" s="60" t="n"/>
      <c r="Z13" s="60" t="n"/>
      <c r="AA13" s="60" t="n"/>
      <c r="AB13" s="60" t="n"/>
      <c r="AC13" s="60" t="n"/>
      <c r="AD13" s="60" t="n"/>
      <c r="AE13" s="60" t="n"/>
      <c r="AF13" s="60" t="n"/>
      <c r="AG13" s="60" t="n"/>
      <c r="AH13" s="60" t="n"/>
      <c r="AI13" s="60" t="n"/>
      <c r="AJ13" s="60" t="n"/>
      <c r="AK13" s="120">
        <f>IF(L13&gt;0,L13*(82.29+8.15),0)+IF(M13&gt;0,M13*(8.15+339.97),0)+IF(N13&gt;0,N13*151.63,0)+IF(O13&gt;0,O13*197.82,0)+IF(P13&gt;0,P13*244.09,0)+IF(Q13&gt;0,Q13*315.35,0)+IF(R13&gt;0,R13*1067.3,0)+IF(T13&gt;0,T13*567.47,0)+IF(U13&gt;0,U13*151.63,0)+IF(V13&gt;0,V13*197.84,0)+IF(W13&gt;0,W13*470.51,0)+IF(X13&gt;0,X13*701.69,0)+IF(Z13&gt;0,Z13*151.63,0)+IF(AA13&gt;0,AA13*197.84)+IF(AB13&gt;0,AB13*308.4,0)+IF(AC13&gt;0,AC13*496.16,0)</f>
        <v/>
      </c>
    </row>
    <row r="14" hidden="1">
      <c r="A14" s="59" t="inlineStr">
        <is>
          <t>SIM</t>
        </is>
      </c>
      <c r="B14" s="59">
        <f>IF(H14&lt;$B$1,"VENCIDO","NA VALIDADE")</f>
        <v/>
      </c>
      <c r="C14" s="60" t="inlineStr">
        <is>
          <t>N/A</t>
        </is>
      </c>
      <c r="D14" s="61" t="inlineStr">
        <is>
          <t>LAGOA (SUBESTAÇÃO)</t>
        </is>
      </c>
      <c r="E14" s="75" t="n"/>
      <c r="F14" s="60" t="inlineStr">
        <is>
          <t>PB</t>
        </is>
      </c>
      <c r="G14" s="60" t="inlineStr">
        <is>
          <t>NATAL</t>
        </is>
      </c>
      <c r="H14" s="119" t="n">
        <v>44706</v>
      </c>
      <c r="I14" s="119">
        <f>H14-180</f>
        <v/>
      </c>
      <c r="J14" s="60">
        <f>SUM(L14:AE14)</f>
        <v/>
      </c>
      <c r="K14" s="60">
        <f>SUM(AF14:AJ14)</f>
        <v/>
      </c>
      <c r="L14" s="60" t="n"/>
      <c r="M14" s="60" t="n"/>
      <c r="N14" s="60" t="n"/>
      <c r="O14" s="60" t="n"/>
      <c r="P14" s="60" t="n"/>
      <c r="Q14" s="60" t="n"/>
      <c r="R14" s="60" t="n"/>
      <c r="S14" s="60" t="n"/>
      <c r="T14" s="60" t="n"/>
      <c r="U14" s="60" t="n"/>
      <c r="V14" s="60" t="n"/>
      <c r="W14" s="60" t="n"/>
      <c r="X14" s="60" t="n"/>
      <c r="Y14" s="60" t="n"/>
      <c r="Z14" s="60" t="n"/>
      <c r="AA14" s="60" t="n">
        <v>6</v>
      </c>
      <c r="AB14" s="60" t="n"/>
      <c r="AC14" s="60" t="n"/>
      <c r="AD14" s="60" t="n"/>
      <c r="AE14" s="60" t="n"/>
      <c r="AF14" s="60" t="n"/>
      <c r="AG14" s="60" t="n"/>
      <c r="AH14" s="60" t="n"/>
      <c r="AI14" s="60" t="n"/>
      <c r="AJ14" s="60" t="n"/>
      <c r="AK14" s="120">
        <f>IF(L14&gt;0,L14*(82.29+8.15),0)+IF(M14&gt;0,M14*(8.15+339.97),0)+IF(N14&gt;0,N14*151.63,0)+IF(O14&gt;0,O14*197.82,0)+IF(P14&gt;0,P14*244.09,0)+IF(Q14&gt;0,Q14*315.35,0)+IF(R14&gt;0,R14*1067.3,0)+IF(T14&gt;0,T14*567.47,0)+IF(U14&gt;0,U14*151.63,0)+IF(V14&gt;0,V14*197.84,0)+IF(W14&gt;0,W14*470.51,0)+IF(X14&gt;0,X14*701.69,0)+IF(Z14&gt;0,Z14*151.63,0)+IF(AA14&gt;0,AA14*197.84)+IF(AB14&gt;0,AB14*308.4,0)+IF(AC14&gt;0,AC14*496.16,0)</f>
        <v/>
      </c>
    </row>
    <row r="15" hidden="1">
      <c r="A15" s="59" t="n"/>
      <c r="B15" s="59">
        <f>IF(H15&lt;$B$1,"VENCIDO","NA VALIDADE")</f>
        <v/>
      </c>
      <c r="C15" s="60" t="inlineStr">
        <is>
          <t>N/A</t>
        </is>
      </c>
      <c r="D15" s="61" t="inlineStr">
        <is>
          <t xml:space="preserve">LAGOA (SUBESTAÇÃO) </t>
        </is>
      </c>
      <c r="E15" s="75" t="n"/>
      <c r="F15" s="60" t="inlineStr">
        <is>
          <t>PB</t>
        </is>
      </c>
      <c r="G15" s="60" t="inlineStr">
        <is>
          <t>NATAL</t>
        </is>
      </c>
      <c r="H15" s="119" t="n">
        <v>44706</v>
      </c>
      <c r="I15" s="119">
        <f>H15-180</f>
        <v/>
      </c>
      <c r="J15" s="60">
        <f>SUM(L15:AE15)</f>
        <v/>
      </c>
      <c r="K15" s="60">
        <f>SUM(AF15:AJ15)</f>
        <v/>
      </c>
      <c r="L15" s="60" t="n"/>
      <c r="M15" s="60" t="n"/>
      <c r="N15" s="60" t="n"/>
      <c r="O15" s="60" t="n"/>
      <c r="P15" s="60" t="n"/>
      <c r="Q15" s="60" t="n"/>
      <c r="R15" s="60" t="n"/>
      <c r="S15" s="60" t="n"/>
      <c r="T15" s="60" t="n">
        <v>4</v>
      </c>
      <c r="U15" s="60" t="n"/>
      <c r="V15" s="60" t="n"/>
      <c r="W15" s="60" t="n"/>
      <c r="X15" s="60" t="n"/>
      <c r="Y15" s="60" t="n"/>
      <c r="Z15" s="60" t="n"/>
      <c r="AA15" s="60" t="n"/>
      <c r="AB15" s="60" t="n"/>
      <c r="AC15" s="60" t="n"/>
      <c r="AD15" s="60" t="n"/>
      <c r="AE15" s="60" t="n"/>
      <c r="AF15" s="60" t="n"/>
      <c r="AG15" s="60" t="n"/>
      <c r="AH15" s="60" t="n"/>
      <c r="AI15" s="60" t="n"/>
      <c r="AJ15" s="60" t="n"/>
      <c r="AK15" s="120">
        <f>IF(L15&gt;0,L15*(82.29+8.15),0)+IF(M15&gt;0,M15*(8.15+339.97),0)+IF(N15&gt;0,N15*151.63,0)+IF(O15&gt;0,O15*197.82,0)+IF(P15&gt;0,P15*244.09,0)+IF(Q15&gt;0,Q15*315.35,0)+IF(R15&gt;0,R15*1067.3,0)+IF(T15&gt;0,T15*567.47,0)+IF(U15&gt;0,U15*151.63,0)+IF(V15&gt;0,V15*197.84,0)+IF(W15&gt;0,W15*470.51,0)+IF(X15&gt;0,X15*701.69,0)+IF(Z15&gt;0,Z15*151.63,0)+IF(AA15&gt;0,AA15*197.84)+IF(AB15&gt;0,AB15*308.4,0)+IF(AC15&gt;0,AC15*496.16,0)</f>
        <v/>
      </c>
    </row>
    <row r="16" hidden="1">
      <c r="A16" s="59" t="inlineStr">
        <is>
          <t>SIM</t>
        </is>
      </c>
      <c r="B16" s="59">
        <f>IF(H16&lt;$B$1,"VENCIDO","NA VALIDADE")</f>
        <v/>
      </c>
      <c r="C16" s="60" t="inlineStr">
        <is>
          <t>N/A</t>
        </is>
      </c>
      <c r="D16" s="61" t="inlineStr">
        <is>
          <t>LAGOA NOVA II (SUBESTAÇÃO BAY DA NEO, NA SUB CHESF)</t>
        </is>
      </c>
      <c r="E16" s="75" t="n"/>
      <c r="F16" s="60" t="inlineStr">
        <is>
          <t>RN</t>
        </is>
      </c>
      <c r="G16" s="60" t="inlineStr">
        <is>
          <t>NATAL</t>
        </is>
      </c>
      <c r="H16" s="119" t="n">
        <v>44682</v>
      </c>
      <c r="I16" s="119">
        <f>H16-180</f>
        <v/>
      </c>
      <c r="J16" s="60">
        <f>SUM(L16:AE16)</f>
        <v/>
      </c>
      <c r="K16" s="60">
        <f>SUM(AF16:AJ16)</f>
        <v/>
      </c>
      <c r="L16" s="60" t="n"/>
      <c r="M16" s="60" t="n"/>
      <c r="N16" s="60" t="n"/>
      <c r="O16" s="60" t="n"/>
      <c r="P16" s="60" t="n"/>
      <c r="Q16" s="60" t="n"/>
      <c r="R16" s="60" t="n"/>
      <c r="S16" s="60" t="n"/>
      <c r="T16" s="60" t="n"/>
      <c r="U16" s="60" t="n"/>
      <c r="V16" s="60" t="n"/>
      <c r="W16" s="60" t="n"/>
      <c r="X16" s="60" t="n"/>
      <c r="Y16" s="60" t="n"/>
      <c r="Z16" s="60" t="n"/>
      <c r="AA16" s="60" t="n">
        <v>1</v>
      </c>
      <c r="AB16" s="60" t="n"/>
      <c r="AC16" s="60" t="n"/>
      <c r="AD16" s="60" t="n"/>
      <c r="AE16" s="60" t="n"/>
      <c r="AF16" s="60" t="n"/>
      <c r="AG16" s="60" t="n"/>
      <c r="AH16" s="60" t="n"/>
      <c r="AI16" s="60" t="n"/>
      <c r="AJ16" s="60" t="n"/>
      <c r="AK16" s="120">
        <f>IF(L16&gt;0,L16*(82.29+8.15),0)+IF(M16&gt;0,M16*(8.15+339.97),0)+IF(N16&gt;0,N16*151.63,0)+IF(O16&gt;0,O16*197.82,0)+IF(P16&gt;0,P16*244.09,0)+IF(Q16&gt;0,Q16*315.35,0)+IF(R16&gt;0,R16*1067.3,0)+IF(T16&gt;0,T16*567.47,0)+IF(U16&gt;0,U16*151.63,0)+IF(V16&gt;0,V16*197.84,0)+IF(W16&gt;0,W16*470.51,0)+IF(X16&gt;0,X16*701.69,0)+IF(Z16&gt;0,Z16*151.63,0)+IF(AA16&gt;0,AA16*197.84)+IF(AB16&gt;0,AB16*308.4,0)+IF(AC16&gt;0,AC16*496.16,0)</f>
        <v/>
      </c>
    </row>
    <row r="17" hidden="1">
      <c r="A17" s="59" t="n"/>
      <c r="B17" s="59">
        <f>IF(H17&lt;$B$1,"VENCIDO","NA VALIDADE")</f>
        <v/>
      </c>
      <c r="C17" s="60" t="inlineStr">
        <is>
          <t>SUBESTAÇÃO</t>
        </is>
      </c>
      <c r="D17" s="61" t="inlineStr">
        <is>
          <t>SE PQ EÓLICO CAETITE</t>
        </is>
      </c>
      <c r="E17" s="87" t="inlineStr">
        <is>
          <t>CAETITE</t>
        </is>
      </c>
      <c r="F17" s="60" t="inlineStr">
        <is>
          <t>BA</t>
        </is>
      </c>
      <c r="G17" s="60" t="inlineStr">
        <is>
          <t>VITÓRIA DA CONQUISTA</t>
        </is>
      </c>
      <c r="H17" s="119" t="n">
        <v>45292</v>
      </c>
      <c r="I17" s="119" t="n">
        <v>45292</v>
      </c>
      <c r="J17" s="60">
        <f>SUM(L17:AE17)</f>
        <v/>
      </c>
      <c r="K17" s="60">
        <f>SUM(AF17:AJ17)</f>
        <v/>
      </c>
      <c r="L17" s="60" t="n"/>
      <c r="M17" s="60" t="n"/>
      <c r="N17" s="60" t="n"/>
      <c r="O17" s="60" t="n"/>
      <c r="P17" s="60" t="n"/>
      <c r="Q17" s="60" t="n"/>
      <c r="R17" s="60" t="n"/>
      <c r="S17" s="60" t="n"/>
      <c r="T17" s="60" t="n">
        <v>1</v>
      </c>
      <c r="U17" s="60" t="n"/>
      <c r="V17" s="60" t="n">
        <v>6</v>
      </c>
      <c r="W17" s="60" t="n"/>
      <c r="X17" s="60" t="n">
        <v>5</v>
      </c>
      <c r="Y17" s="60" t="n"/>
      <c r="Z17" s="60" t="n"/>
      <c r="AA17" s="60" t="n">
        <v>10</v>
      </c>
      <c r="AB17" s="60" t="n"/>
      <c r="AC17" s="60" t="n"/>
      <c r="AD17" s="60" t="n"/>
      <c r="AE17" s="60" t="n"/>
      <c r="AF17" s="60" t="n"/>
      <c r="AG17" s="60" t="n"/>
      <c r="AH17" s="60" t="n"/>
      <c r="AI17" s="60" t="n"/>
      <c r="AJ17" s="60" t="n"/>
      <c r="AK17" s="120">
        <f>IF(L17&gt;0,L17*(82.29+8.15),0)+IF(M17&gt;0,M17*(8.15+339.97),0)+IF(N17&gt;0,N17*151.63,0)+IF(O17&gt;0,O17*197.82,0)+IF(P17&gt;0,P17*244.09,0)+IF(Q17&gt;0,Q17*315.35,0)+IF(R17&gt;0,R17*1067.3,0)+IF(T17&gt;0,T17*567.47,0)+IF(U17&gt;0,U17*151.63,0)+IF(V17&gt;0,V17*197.84,0)+IF(W17&gt;0,W17*470.51,0)+IF(X17&gt;0,X17*701.69,0)+IF(Z17&gt;0,Z17*151.63,0)+IF(AA17&gt;0,AA17*197.84)+IF(AB17&gt;0,AB17*308.4,0)+IF(AC17&gt;0,AC17*496.16,0)</f>
        <v/>
      </c>
    </row>
    <row r="18" hidden="1">
      <c r="A18" s="59" t="n"/>
      <c r="B18" s="59">
        <f>IF(H18&lt;$B$1,"VENCIDO","NA VALIDADE")</f>
        <v/>
      </c>
      <c r="C18" s="60" t="inlineStr">
        <is>
          <t>SUBESTAÇÃO</t>
        </is>
      </c>
      <c r="D18" s="61" t="inlineStr">
        <is>
          <t>SE PQ EOLICO CALANGO I e II</t>
        </is>
      </c>
      <c r="E18" s="86" t="inlineStr">
        <is>
          <t>SANTANA DO MATOS</t>
        </is>
      </c>
      <c r="F18" s="60" t="inlineStr">
        <is>
          <t>RN</t>
        </is>
      </c>
      <c r="G18" s="60" t="inlineStr">
        <is>
          <t>NATAL</t>
        </is>
      </c>
      <c r="H18" s="119" t="n">
        <v>45383</v>
      </c>
      <c r="I18" s="119" t="n">
        <v>45383</v>
      </c>
      <c r="J18" s="60">
        <f>SUM(L18:AE18)</f>
        <v/>
      </c>
      <c r="K18" s="60">
        <f>SUM(AF18:AJ18)</f>
        <v/>
      </c>
      <c r="L18" s="60" t="n"/>
      <c r="M18" s="60" t="n"/>
      <c r="N18" s="60" t="n"/>
      <c r="O18" s="60" t="n"/>
      <c r="P18" s="60" t="n"/>
      <c r="Q18" s="60" t="n"/>
      <c r="R18" s="60" t="n"/>
      <c r="S18" s="60" t="n"/>
      <c r="T18" s="60" t="n">
        <v>1</v>
      </c>
      <c r="U18" s="60" t="n"/>
      <c r="V18" s="60" t="n"/>
      <c r="W18" s="60" t="n"/>
      <c r="X18" s="60" t="n"/>
      <c r="Y18" s="60" t="n"/>
      <c r="Z18" s="60" t="n"/>
      <c r="AA18" s="60" t="n">
        <v>10</v>
      </c>
      <c r="AB18" s="60" t="n"/>
      <c r="AC18" s="60" t="n"/>
      <c r="AD18" s="60" t="n"/>
      <c r="AE18" s="60" t="n"/>
      <c r="AF18" s="60" t="n"/>
      <c r="AG18" s="60" t="n"/>
      <c r="AH18" s="60" t="n"/>
      <c r="AI18" s="60" t="n"/>
      <c r="AJ18" s="60" t="n"/>
      <c r="AK18" s="120">
        <f>IF(L18&gt;0,L18*(82.29+8.15),0)+IF(M18&gt;0,M18*(8.15+339.97),0)+IF(N18&gt;0,N18*151.63,0)+IF(O18&gt;0,O18*197.82,0)+IF(P18&gt;0,P18*244.09,0)+IF(Q18&gt;0,Q18*315.35,0)+IF(R18&gt;0,R18*1067.3,0)+IF(T18&gt;0,T18*567.47,0)+IF(U18&gt;0,U18*151.63,0)+IF(V18&gt;0,V18*197.84,0)+IF(W18&gt;0,W18*470.51,0)+IF(X18&gt;0,X18*701.69,0)+IF(Z18&gt;0,Z18*151.63,0)+IF(AA18&gt;0,AA18*197.84)+IF(AB18&gt;0,AB18*308.4,0)+IF(AC18&gt;0,AC18*496.16,0)</f>
        <v/>
      </c>
    </row>
    <row r="19">
      <c r="A19" s="59" t="n"/>
      <c r="B19" s="59">
        <f>IF(H19&lt;$B$1,"VENCIDO","NA VALIDADE")</f>
        <v/>
      </c>
      <c r="C19" s="60" t="inlineStr">
        <is>
          <t>SUBESTAÇÃO</t>
        </is>
      </c>
      <c r="D19" s="61" t="inlineStr">
        <is>
          <t>SE PQ EOLICO OITIS</t>
        </is>
      </c>
      <c r="E19" s="86" t="inlineStr">
        <is>
          <t>DOM INOCÊNCIO</t>
        </is>
      </c>
      <c r="F19" s="60" t="inlineStr">
        <is>
          <t>PI</t>
        </is>
      </c>
      <c r="G19" s="60" t="inlineStr">
        <is>
          <t>FEIRA DE SANTANA</t>
        </is>
      </c>
      <c r="H19" s="119" t="n">
        <v>45536</v>
      </c>
      <c r="I19" s="119">
        <f>H19-180</f>
        <v/>
      </c>
      <c r="J19" s="60">
        <f>SUM(L19:AE19)</f>
        <v/>
      </c>
      <c r="K19" s="60">
        <f>SUM(AF19:AJ19)</f>
        <v/>
      </c>
      <c r="L19" s="60" t="n">
        <v>1</v>
      </c>
      <c r="M19" s="60" t="n"/>
      <c r="N19" s="60" t="n"/>
      <c r="O19" s="60" t="n"/>
      <c r="P19" s="60" t="n"/>
      <c r="Q19" s="60" t="n">
        <v>15</v>
      </c>
      <c r="R19" s="60" t="n">
        <v>2</v>
      </c>
      <c r="S19" s="60" t="n"/>
      <c r="T19" s="60" t="n">
        <v>4</v>
      </c>
      <c r="U19" s="60" t="n">
        <v>12</v>
      </c>
      <c r="V19" s="60" t="n">
        <v>2</v>
      </c>
      <c r="W19" s="60" t="n"/>
      <c r="X19" s="60" t="n"/>
      <c r="Y19" s="60" t="n"/>
      <c r="Z19" s="60" t="n"/>
      <c r="AA19" s="60" t="n">
        <v>6</v>
      </c>
      <c r="AB19" s="60" t="n"/>
      <c r="AC19" s="60" t="n"/>
      <c r="AD19" s="60" t="n"/>
      <c r="AE19" s="60" t="n"/>
      <c r="AF19" s="60" t="n"/>
      <c r="AG19" s="60" t="n"/>
      <c r="AH19" s="60" t="n"/>
      <c r="AI19" s="60" t="n"/>
      <c r="AJ19" s="60" t="n"/>
      <c r="AK19" s="120">
        <f>IF(L19&gt;0,L19*(82.29+8.15),0)+IF(M19&gt;0,M19*(8.15+339.97),0)+IF(N19&gt;0,N19*151.63,0)+IF(O19&gt;0,O19*197.82,0)+IF(P19&gt;0,P19*244.09,0)+IF(Q19&gt;0,Q19*315.35,0)+IF(R19&gt;0,R19*1067.3,0)+IF(T19&gt;0,T19*567.47,0)+IF(U19&gt;0,U19*151.63,0)+IF(V19&gt;0,V19*197.84,0)+IF(W19&gt;0,W19*470.51,0)+IF(X19&gt;0,X19*701.69,0)+IF(Z19&gt;0,Z19*151.63,0)+IF(AA19&gt;0,AA19*197.84)+IF(AB19&gt;0,AB19*308.4,0)+IF(AC19&gt;0,AC19*496.16,0)</f>
        <v/>
      </c>
    </row>
    <row r="20">
      <c r="A20" s="59" t="n"/>
      <c r="B20" s="59">
        <f>IF(H20&lt;$B$1,"VENCIDO","NA VALIDADE")</f>
        <v/>
      </c>
      <c r="C20" s="60" t="inlineStr">
        <is>
          <t>SUBESTAÇÃO</t>
        </is>
      </c>
      <c r="D20" s="61" t="inlineStr">
        <is>
          <t>SE QUEIMADAS NOVA II ( PIAUI)</t>
        </is>
      </c>
      <c r="E20" s="86" t="inlineStr">
        <is>
          <t>QUEIMADAS NOVA</t>
        </is>
      </c>
      <c r="F20" s="60" t="inlineStr">
        <is>
          <t>PI</t>
        </is>
      </c>
      <c r="G20" s="60" t="inlineStr">
        <is>
          <t>FEIRA DE SANTANA</t>
        </is>
      </c>
      <c r="H20" s="119" t="n">
        <v>45323</v>
      </c>
      <c r="I20" s="119" t="n">
        <v>45323</v>
      </c>
      <c r="J20" s="60">
        <f>SUM(L20:AE20)</f>
        <v/>
      </c>
      <c r="K20" s="60">
        <f>SUM(AF20:AJ20)</f>
        <v/>
      </c>
      <c r="L20" s="60" t="n"/>
      <c r="M20" s="60" t="n"/>
      <c r="N20" s="60" t="n"/>
      <c r="O20" s="60" t="n"/>
      <c r="P20" s="60" t="n"/>
      <c r="Q20" s="60" t="n">
        <v>2</v>
      </c>
      <c r="R20" s="60" t="n"/>
      <c r="S20" s="60" t="n"/>
      <c r="T20" s="60" t="n">
        <v>6</v>
      </c>
      <c r="U20" s="60" t="n">
        <v>1</v>
      </c>
      <c r="V20" s="60" t="n">
        <v>4</v>
      </c>
      <c r="W20" s="60" t="n"/>
      <c r="X20" s="60" t="n"/>
      <c r="Y20" s="60" t="n"/>
      <c r="Z20" s="60" t="n"/>
      <c r="AA20" s="60" t="n"/>
      <c r="AB20" s="60" t="n"/>
      <c r="AC20" s="60" t="n"/>
      <c r="AD20" s="60" t="n"/>
      <c r="AE20" s="60" t="n"/>
      <c r="AF20" s="60" t="n"/>
      <c r="AG20" s="60" t="n"/>
      <c r="AH20" s="60" t="n"/>
      <c r="AI20" s="60" t="n"/>
      <c r="AJ20" s="60" t="n"/>
      <c r="AK20" s="120">
        <f>IF(L20&gt;0,L20*(82.29+8.15),0)+IF(M20&gt;0,M20*(8.15+339.97),0)+IF(N20&gt;0,N20*151.63,0)+IF(O20&gt;0,O20*197.82,0)+IF(P20&gt;0,P20*244.09,0)+IF(Q20&gt;0,Q20*315.35,0)+IF(R20&gt;0,R20*1067.3,0)+IF(T20&gt;0,T20*567.47,0)+IF(U20&gt;0,U20*151.63,0)+IF(V20&gt;0,V20*197.84,0)+IF(W20&gt;0,W20*470.51,0)+IF(X20&gt;0,X20*701.69,0)+IF(Z20&gt;0,Z20*151.63,0)+IF(AA20&gt;0,AA20*197.84)+IF(AB20&gt;0,AB20*308.4,0)+IF(AC20&gt;0,AC20*496.16,0)</f>
        <v/>
      </c>
    </row>
    <row r="21" hidden="1">
      <c r="A21" s="59" t="inlineStr">
        <is>
          <t>SIM</t>
        </is>
      </c>
      <c r="B21" s="59">
        <f>IF(H21&lt;$B$1,"VENCIDO","NA VALIDADE")</f>
        <v/>
      </c>
      <c r="C21" s="60" t="inlineStr">
        <is>
          <t>SUBESTAÇÃO</t>
        </is>
      </c>
      <c r="D21" s="61" t="inlineStr">
        <is>
          <t>SE PQ EÓLICO CHAFARIZ (  SUL  II )</t>
        </is>
      </c>
      <c r="E21" s="86" t="inlineStr">
        <is>
          <t>SANTA LUZIA</t>
        </is>
      </c>
      <c r="F21" s="60" t="inlineStr">
        <is>
          <t>PB</t>
        </is>
      </c>
      <c r="G21" s="60" t="inlineStr">
        <is>
          <t>NATAL</t>
        </is>
      </c>
      <c r="H21" s="119" t="n">
        <v>45505</v>
      </c>
      <c r="I21" s="119">
        <f>H21-180</f>
        <v/>
      </c>
      <c r="J21" s="60">
        <f>SUM(L21:AE21)</f>
        <v/>
      </c>
      <c r="K21" s="60">
        <f>SUM(AF21:AJ21)</f>
        <v/>
      </c>
      <c r="L21" s="60" t="n"/>
      <c r="M21" s="60" t="n"/>
      <c r="N21" s="60" t="n"/>
      <c r="O21" s="60" t="n">
        <v>10</v>
      </c>
      <c r="P21" s="60" t="n"/>
      <c r="Q21" s="60" t="n"/>
      <c r="R21" s="60" t="n">
        <v>1</v>
      </c>
      <c r="S21" s="60" t="n"/>
      <c r="T21" s="60" t="n">
        <v>2</v>
      </c>
      <c r="U21" s="60" t="n"/>
      <c r="V21" s="60" t="n"/>
      <c r="W21" s="60" t="n"/>
      <c r="X21" s="60" t="n"/>
      <c r="Y21" s="60" t="n"/>
      <c r="Z21" s="60" t="n"/>
      <c r="AA21" s="60" t="n">
        <v>5</v>
      </c>
      <c r="AB21" s="60" t="n"/>
      <c r="AC21" s="60" t="n"/>
      <c r="AD21" s="60" t="n"/>
      <c r="AE21" s="60" t="n"/>
      <c r="AF21" s="60" t="n"/>
      <c r="AG21" s="60" t="n"/>
      <c r="AH21" s="60" t="n"/>
      <c r="AI21" s="60" t="n"/>
      <c r="AJ21" s="60" t="n"/>
      <c r="AK21" s="120">
        <f>IF(L21&gt;0,L21*(82.29+8.15),0)+IF(M21&gt;0,M21*(8.15+339.97),0)+IF(N21&gt;0,N21*151.63,0)+IF(O21&gt;0,O21*197.82,0)+IF(P21&gt;0,P21*244.09,0)+IF(Q21&gt;0,Q21*315.35,0)+IF(R21&gt;0,R21*1067.3,0)+IF(T21&gt;0,T21*567.47,0)+IF(U21&gt;0,U21*151.63,0)+IF(V21&gt;0,V21*197.84,0)+IF(W21&gt;0,W21*470.51,0)+IF(X21&gt;0,X21*701.69,0)+IF(Z21&gt;0,Z21*151.63,0)+IF(AA21&gt;0,AA21*197.84)+IF(AB21&gt;0,AB21*308.4,0)+IF(AC21&gt;0,AC21*496.16,0)</f>
        <v/>
      </c>
    </row>
    <row r="22" hidden="1">
      <c r="A22" s="59" t="inlineStr">
        <is>
          <t>SIM</t>
        </is>
      </c>
      <c r="B22" s="59">
        <f>IF(H22&lt;$B$1,"VENCIDO","NA VALIDADE")</f>
        <v/>
      </c>
      <c r="C22" s="60" t="inlineStr">
        <is>
          <t>SUBESTAÇÃO</t>
        </is>
      </c>
      <c r="D22" s="61" t="inlineStr">
        <is>
          <t xml:space="preserve">SE PQ EÓLICO LUZIA II </t>
        </is>
      </c>
      <c r="E22" s="86" t="inlineStr">
        <is>
          <t>SANTA LUZIA</t>
        </is>
      </c>
      <c r="F22" s="60" t="inlineStr">
        <is>
          <t>PB</t>
        </is>
      </c>
      <c r="G22" s="60" t="inlineStr">
        <is>
          <t>NATAL</t>
        </is>
      </c>
      <c r="H22" s="119" t="n">
        <v>45536</v>
      </c>
      <c r="I22" s="119">
        <f>H22-180</f>
        <v/>
      </c>
      <c r="J22" s="60">
        <f>SUM(L22:AE22)</f>
        <v/>
      </c>
      <c r="K22" s="60">
        <f>SUM(AF22:AJ22)</f>
        <v/>
      </c>
      <c r="L22" s="60" t="n"/>
      <c r="M22" s="60" t="n"/>
      <c r="N22" s="60" t="n">
        <v>1</v>
      </c>
      <c r="O22" s="60" t="n"/>
      <c r="P22" s="60" t="n"/>
      <c r="Q22" s="60" t="n">
        <v>4</v>
      </c>
      <c r="R22" s="60" t="n"/>
      <c r="S22" s="60" t="n"/>
      <c r="T22" s="60" t="n">
        <v>2</v>
      </c>
      <c r="U22" s="60" t="n"/>
      <c r="V22" s="60" t="n"/>
      <c r="W22" s="60" t="n"/>
      <c r="X22" s="60" t="n"/>
      <c r="Y22" s="60" t="n"/>
      <c r="Z22" s="60" t="n"/>
      <c r="AA22" s="60" t="n">
        <v>1</v>
      </c>
      <c r="AB22" s="60" t="n"/>
      <c r="AC22" s="60" t="n"/>
      <c r="AD22" s="60" t="n"/>
      <c r="AE22" s="60" t="n"/>
      <c r="AF22" s="60" t="n"/>
      <c r="AG22" s="60" t="n"/>
      <c r="AH22" s="60" t="n"/>
      <c r="AI22" s="60" t="n"/>
      <c r="AJ22" s="60" t="n"/>
      <c r="AK22" s="120">
        <f>IF(L22&gt;0,L22*(82.29+8.15),0)+IF(M22&gt;0,M22*(8.15+339.97),0)+IF(N22&gt;0,N22*151.63,0)+IF(O22&gt;0,O22*197.82,0)+IF(P22&gt;0,P22*244.09,0)+IF(Q22&gt;0,Q22*315.35,0)+IF(R22&gt;0,R22*1067.3,0)+IF(T22&gt;0,T22*567.47,0)+IF(U22&gt;0,U22*151.63,0)+IF(V22&gt;0,V22*197.84,0)+IF(W22&gt;0,W22*470.51,0)+IF(X22&gt;0,X22*701.69,0)+IF(Z22&gt;0,Z22*151.63,0)+IF(AA22&gt;0,AA22*197.84)+IF(AB22&gt;0,AB22*308.4,0)+IF(AC22&gt;0,AC22*496.16,0)</f>
        <v/>
      </c>
    </row>
    <row r="23" hidden="1">
      <c r="A23" s="59" t="n"/>
      <c r="B23" s="59">
        <f>IF(H23&lt;$B$1,"VENCIDO","NA VALIDADE")</f>
        <v/>
      </c>
      <c r="C23" s="60" t="inlineStr">
        <is>
          <t>SUBESTAÇÃO</t>
        </is>
      </c>
      <c r="D23" s="61" t="inlineStr">
        <is>
          <t>SE PQ EÓLICO CHAFARIZ (  SUL  I )</t>
        </is>
      </c>
      <c r="E23" s="86" t="inlineStr">
        <is>
          <t>SANTA LUZIA</t>
        </is>
      </c>
      <c r="F23" s="60" t="inlineStr">
        <is>
          <t>PB</t>
        </is>
      </c>
      <c r="G23" s="60" t="inlineStr">
        <is>
          <t>NATAL</t>
        </is>
      </c>
      <c r="H23" s="119" t="n">
        <v>45505</v>
      </c>
      <c r="I23" s="119">
        <f>H23-180</f>
        <v/>
      </c>
      <c r="J23" s="60">
        <f>SUM(L23:AE23)</f>
        <v/>
      </c>
      <c r="K23" s="60">
        <f>SUM(AF23:AJ23)</f>
        <v/>
      </c>
      <c r="L23" s="60" t="n"/>
      <c r="M23" s="60" t="n"/>
      <c r="N23" s="60" t="n">
        <v>2</v>
      </c>
      <c r="O23" s="60" t="n">
        <v>6</v>
      </c>
      <c r="P23" s="60" t="n"/>
      <c r="Q23" s="60" t="n"/>
      <c r="R23" s="60" t="n"/>
      <c r="S23" s="60" t="n"/>
      <c r="T23" s="60" t="n">
        <v>2</v>
      </c>
      <c r="U23" s="60" t="n"/>
      <c r="V23" s="60" t="n"/>
      <c r="W23" s="60" t="n"/>
      <c r="X23" s="60" t="n"/>
      <c r="Y23" s="60" t="n"/>
      <c r="Z23" s="60" t="n"/>
      <c r="AA23" s="60" t="n">
        <v>5</v>
      </c>
      <c r="AB23" s="60" t="n"/>
      <c r="AC23" s="60" t="n"/>
      <c r="AD23" s="60" t="n"/>
      <c r="AE23" s="60" t="n"/>
      <c r="AF23" s="60" t="n"/>
      <c r="AG23" s="60" t="n"/>
      <c r="AH23" s="60" t="n"/>
      <c r="AI23" s="60" t="n"/>
      <c r="AJ23" s="60" t="n"/>
      <c r="AK23" s="120">
        <f>IF(L23&gt;0,L23*(82.29+8.15),0)+IF(M23&gt;0,M23*(8.15+339.97),0)+IF(N23&gt;0,N23*151.63,0)+IF(O23&gt;0,O23*197.82,0)+IF(P23&gt;0,P23*244.09,0)+IF(Q23&gt;0,Q23*315.35,0)+IF(R23&gt;0,R23*1067.3,0)+IF(T23&gt;0,T23*567.47,0)+IF(U23&gt;0,U23*151.63,0)+IF(V23&gt;0,V23*197.84,0)+IF(W23&gt;0,W23*470.51,0)+IF(X23&gt;0,X23*701.69,0)+IF(Z23&gt;0,Z23*151.63,0)+IF(AA23&gt;0,AA23*197.84)+IF(AB23&gt;0,AB23*308.4,0)+IF(AC23&gt;0,AC23*496.16,0)</f>
        <v/>
      </c>
    </row>
    <row r="24" hidden="1">
      <c r="A24" s="59" t="inlineStr">
        <is>
          <t>SIM</t>
        </is>
      </c>
      <c r="B24" s="59">
        <f>IF(H24&lt;$B$1,"VENCIDO","NA VALIDADE")</f>
        <v/>
      </c>
      <c r="C24" s="60" t="inlineStr">
        <is>
          <t>SUBESTAÇÃO</t>
        </is>
      </c>
      <c r="D24" s="61" t="inlineStr">
        <is>
          <t>SE PQ EÓLICO FOTOVOLTAICO (  SUL  I )</t>
        </is>
      </c>
      <c r="E24" s="86" t="inlineStr">
        <is>
          <t>SANTA LUZIA</t>
        </is>
      </c>
      <c r="F24" s="60" t="inlineStr">
        <is>
          <t>PB</t>
        </is>
      </c>
      <c r="G24" s="60" t="inlineStr">
        <is>
          <t>NATAL</t>
        </is>
      </c>
      <c r="H24" s="119" t="n">
        <v>45383</v>
      </c>
      <c r="I24" s="119" t="n">
        <v>45383</v>
      </c>
      <c r="J24" s="60">
        <f>SUM(L24:AE24)</f>
        <v/>
      </c>
      <c r="K24" s="60">
        <f>SUM(AF24:AJ24)</f>
        <v/>
      </c>
      <c r="L24" s="60" t="n"/>
      <c r="M24" s="60" t="n"/>
      <c r="N24" s="60" t="n"/>
      <c r="O24" s="60" t="n"/>
      <c r="P24" s="60" t="n"/>
      <c r="Q24" s="60" t="n">
        <v>2</v>
      </c>
      <c r="R24" s="60" t="n">
        <v>1</v>
      </c>
      <c r="S24" s="60" t="n"/>
      <c r="T24" s="60" t="n">
        <v>1</v>
      </c>
      <c r="U24" s="60" t="n"/>
      <c r="V24" s="60" t="n">
        <v>11</v>
      </c>
      <c r="W24" s="60" t="n"/>
      <c r="X24" s="60" t="n"/>
      <c r="Y24" s="60" t="n"/>
      <c r="Z24" s="60" t="n"/>
      <c r="AA24" s="60" t="n">
        <v>13</v>
      </c>
      <c r="AB24" s="60" t="n"/>
      <c r="AC24" s="60" t="n"/>
      <c r="AD24" s="60" t="n"/>
      <c r="AE24" s="60" t="n"/>
      <c r="AF24" s="60" t="n"/>
      <c r="AG24" s="60" t="n"/>
      <c r="AH24" s="60" t="n"/>
      <c r="AI24" s="60" t="n"/>
      <c r="AJ24" s="60" t="n"/>
      <c r="AK24" s="120">
        <f>IF(L24&gt;0,L24*(82.29+8.15),0)+IF(M24&gt;0,M24*(8.15+339.97),0)+IF(N24&gt;0,N24*151.63,0)+IF(O24&gt;0,O24*197.82,0)+IF(P24&gt;0,P24*244.09,0)+IF(Q24&gt;0,Q24*315.35,0)+IF(R24&gt;0,R24*1067.3,0)+IF(T24&gt;0,T24*567.47,0)+IF(U24&gt;0,U24*151.63,0)+IF(V24&gt;0,V24*197.84,0)+IF(W24&gt;0,W24*470.51,0)+IF(X24&gt;0,X24*701.69,0)+IF(Z24&gt;0,Z24*151.63,0)+IF(AA24&gt;0,AA24*197.84)+IF(AB24&gt;0,AB24*308.4,0)+IF(AC24&gt;0,AC24*496.16,0)</f>
        <v/>
      </c>
    </row>
    <row r="25" hidden="1">
      <c r="A25" s="59" t="inlineStr">
        <is>
          <t>SIM</t>
        </is>
      </c>
      <c r="B25" s="59">
        <f>IF(H25&lt;$B$1,"VENCIDO","NA VALIDADE")</f>
        <v/>
      </c>
      <c r="C25" s="60" t="inlineStr">
        <is>
          <t>SUBESTAÇÃO</t>
        </is>
      </c>
      <c r="D25" s="61" t="inlineStr">
        <is>
          <t>SE PQ EÓLICO CHAFARIZ ( NORTE)</t>
        </is>
      </c>
      <c r="E25" s="86" t="inlineStr">
        <is>
          <t>SANTA LUZIA</t>
        </is>
      </c>
      <c r="F25" s="60" t="inlineStr">
        <is>
          <t>PB</t>
        </is>
      </c>
      <c r="G25" s="60" t="inlineStr">
        <is>
          <t>NATAL</t>
        </is>
      </c>
      <c r="H25" s="119" t="n">
        <v>45505</v>
      </c>
      <c r="I25" s="119">
        <f>H25-180</f>
        <v/>
      </c>
      <c r="J25" s="60">
        <f>SUM(L25:AE25)</f>
        <v/>
      </c>
      <c r="K25" s="60">
        <f>SUM(AF25:AJ25)</f>
        <v/>
      </c>
      <c r="L25" s="60" t="n"/>
      <c r="M25" s="60" t="n"/>
      <c r="N25" s="60" t="n">
        <v>2</v>
      </c>
      <c r="O25" s="60" t="n">
        <v>5</v>
      </c>
      <c r="P25" s="60" t="n"/>
      <c r="Q25" s="60" t="n"/>
      <c r="R25" s="60" t="n"/>
      <c r="S25" s="60" t="n"/>
      <c r="T25" s="60" t="n">
        <v>2</v>
      </c>
      <c r="U25" s="60" t="n"/>
      <c r="V25" s="60" t="n"/>
      <c r="W25" s="60" t="n"/>
      <c r="X25" s="60" t="n"/>
      <c r="Y25" s="60" t="n"/>
      <c r="Z25" s="60" t="n"/>
      <c r="AA25" s="60" t="n">
        <v>5</v>
      </c>
      <c r="AB25" s="60" t="n"/>
      <c r="AC25" s="60" t="n"/>
      <c r="AD25" s="60" t="n"/>
      <c r="AE25" s="60" t="n"/>
      <c r="AF25" s="60" t="n"/>
      <c r="AG25" s="60" t="n"/>
      <c r="AH25" s="60" t="n"/>
      <c r="AI25" s="60" t="n"/>
      <c r="AJ25" s="60" t="n"/>
      <c r="AK25" s="120">
        <f>IF(L25&gt;0,L25*(82.29+8.15),0)+IF(M25&gt;0,M25*(8.15+339.97),0)+IF(N25&gt;0,N25*151.63,0)+IF(O25&gt;0,O25*197.82,0)+IF(P25&gt;0,P25*244.09,0)+IF(Q25&gt;0,Q25*315.35,0)+IF(R25&gt;0,R25*1067.3,0)+IF(T25&gt;0,T25*567.47,0)+IF(U25&gt;0,U25*151.63,0)+IF(V25&gt;0,V25*197.84,0)+IF(W25&gt;0,W25*470.51,0)+IF(X25&gt;0,X25*701.69,0)+IF(Z25&gt;0,Z25*151.63,0)+IF(AA25&gt;0,AA25*197.84)+IF(AB25&gt;0,AB25*308.4,0)+IF(AC25&gt;0,AC25*496.16,0)</f>
        <v/>
      </c>
    </row>
    <row r="26" hidden="1">
      <c r="A26" s="59" t="inlineStr">
        <is>
          <t>SIM</t>
        </is>
      </c>
      <c r="B26" s="59">
        <f>IF(H26&lt;$B$1,"VENCIDO","NA VALIDADE")</f>
        <v/>
      </c>
      <c r="C26" s="60" t="inlineStr">
        <is>
          <t>SUBESTAÇÃO</t>
        </is>
      </c>
      <c r="D26" s="61" t="inlineStr">
        <is>
          <t>SE PQ EÓLICO LAGOAS CANOAS I e II</t>
        </is>
      </c>
      <c r="E26" s="86" t="inlineStr">
        <is>
          <t>SANTA LUZIA</t>
        </is>
      </c>
      <c r="F26" s="60" t="inlineStr">
        <is>
          <t>PB</t>
        </is>
      </c>
      <c r="G26" s="60" t="inlineStr">
        <is>
          <t>NATAL</t>
        </is>
      </c>
      <c r="H26" s="119" t="n">
        <v>45536</v>
      </c>
      <c r="I26" s="119">
        <f>H26-180</f>
        <v/>
      </c>
      <c r="J26" s="60">
        <f>SUM(L26:AE26)</f>
        <v/>
      </c>
      <c r="K26" s="60">
        <f>SUM(AF26:AJ26)</f>
        <v/>
      </c>
      <c r="L26" s="60" t="n"/>
      <c r="M26" s="60" t="n"/>
      <c r="N26" s="60" t="n"/>
      <c r="O26" s="60" t="n"/>
      <c r="P26" s="60" t="n"/>
      <c r="Q26" s="60" t="n"/>
      <c r="R26" s="60" t="n"/>
      <c r="S26" s="60" t="n"/>
      <c r="T26" s="60" t="n"/>
      <c r="U26" s="60" t="n"/>
      <c r="V26" s="60" t="n"/>
      <c r="W26" s="60" t="n"/>
      <c r="X26" s="60" t="n"/>
      <c r="Y26" s="60" t="n">
        <v>4</v>
      </c>
      <c r="Z26" s="60" t="n"/>
      <c r="AA26" s="60" t="n">
        <v>7</v>
      </c>
      <c r="AB26" s="60" t="n"/>
      <c r="AC26" s="60" t="n"/>
      <c r="AD26" s="60" t="n"/>
      <c r="AE26" s="60" t="n"/>
      <c r="AF26" s="60" t="n"/>
      <c r="AG26" s="60" t="n"/>
      <c r="AH26" s="60" t="n"/>
      <c r="AI26" s="60" t="n"/>
      <c r="AJ26" s="60" t="n"/>
      <c r="AK26" s="120">
        <f>IF(L26&gt;0,L26*(82.29+8.15),0)+IF(M26&gt;0,M26*(8.15+339.97),0)+IF(N26&gt;0,N26*151.63,0)+IF(O26&gt;0,O26*197.82,0)+IF(P26&gt;0,P26*244.09,0)+IF(Q26&gt;0,Q26*315.35,0)+IF(R26&gt;0,R26*1067.3,0)+IF(T26&gt;0,T26*567.47,0)+IF(U26&gt;0,U26*151.63,0)+IF(V26&gt;0,V26*197.84,0)+IF(W26&gt;0,W26*470.51,0)+IF(X26&gt;0,X26*701.69,0)+IF(Z26&gt;0,Z26*151.63,0)+IF(AA26&gt;0,AA26*197.84)+IF(AB26&gt;0,AB26*308.4,0)+IF(AC26&gt;0,AC26*496.16,0)</f>
        <v/>
      </c>
    </row>
    <row r="27" hidden="1">
      <c r="A27" s="59" t="inlineStr">
        <is>
          <t>SIM</t>
        </is>
      </c>
      <c r="B27" s="59">
        <f>IF(H27&lt;$B$1,"VENCIDO","NA VALIDADE")</f>
        <v/>
      </c>
      <c r="C27" s="60" t="inlineStr">
        <is>
          <t>N/A</t>
        </is>
      </c>
      <c r="D27" s="61" t="inlineStr">
        <is>
          <t>RIO DO FOGO (PREDIO ADMINISTRATIVO E SALA DE APOIO SUBESTAÇÃO)</t>
        </is>
      </c>
      <c r="E27" s="75" t="inlineStr">
        <is>
          <t>RIO DO FOGO</t>
        </is>
      </c>
      <c r="F27" s="60" t="inlineStr">
        <is>
          <t>RN</t>
        </is>
      </c>
      <c r="G27" s="60" t="inlineStr">
        <is>
          <t>NATAL</t>
        </is>
      </c>
      <c r="H27" s="119" t="n">
        <v>44707</v>
      </c>
      <c r="I27" s="119">
        <f>H27-180</f>
        <v/>
      </c>
      <c r="J27" s="60">
        <f>SUM(L27:AE27)</f>
        <v/>
      </c>
      <c r="K27" s="60">
        <f>SUM(AF27:AJ27)</f>
        <v/>
      </c>
      <c r="L27" s="60" t="n"/>
      <c r="M27" s="60" t="n"/>
      <c r="N27" s="60" t="n">
        <v>2</v>
      </c>
      <c r="O27" s="60" t="n"/>
      <c r="P27" s="60" t="n"/>
      <c r="Q27" s="60" t="n"/>
      <c r="R27" s="60" t="n"/>
      <c r="S27" s="60" t="n"/>
      <c r="T27" s="60" t="n"/>
      <c r="U27" s="60" t="n"/>
      <c r="V27" s="60" t="n"/>
      <c r="W27" s="60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60" t="n"/>
      <c r="AH27" s="60" t="n"/>
      <c r="AI27" s="60" t="n"/>
      <c r="AJ27" s="60" t="n"/>
      <c r="AK27" s="120">
        <f>IF(L27&gt;0,L27*(82.29+8.15),0)+IF(M27&gt;0,M27*(8.15+339.97),0)+IF(N27&gt;0,N27*151.63,0)+IF(O27&gt;0,O27*197.82,0)+IF(P27&gt;0,P27*244.09,0)+IF(Q27&gt;0,Q27*315.35,0)+IF(R27&gt;0,R27*1067.3,0)+IF(T27&gt;0,T27*567.47,0)+IF(U27&gt;0,U27*151.63,0)+IF(V27&gt;0,V27*197.84,0)+IF(W27&gt;0,W27*470.51,0)+IF(X27&gt;0,X27*701.69,0)+IF(Z27&gt;0,Z27*151.63,0)+IF(AA27&gt;0,AA27*197.84)+IF(AB27&gt;0,AB27*308.4,0)+IF(AC27&gt;0,AC27*496.16,0)</f>
        <v/>
      </c>
    </row>
    <row r="28" hidden="1">
      <c r="A28" s="59" t="inlineStr">
        <is>
          <t>SIM</t>
        </is>
      </c>
      <c r="B28" s="59">
        <f>IF(H28&lt;$B$1,"VENCIDO","NA VALIDADE")</f>
        <v/>
      </c>
      <c r="C28" s="60" t="inlineStr">
        <is>
          <t>N/A</t>
        </is>
      </c>
      <c r="D28" s="61" t="inlineStr">
        <is>
          <t xml:space="preserve">RIO DO FOGO (PREDIO ADMINISTRATIVO, ALMOXARIFADO WOBBEN, CASA DE RESIDUO E QUIMICOS ) </t>
        </is>
      </c>
      <c r="E28" s="75" t="inlineStr">
        <is>
          <t>RIO DO FOGO</t>
        </is>
      </c>
      <c r="F28" s="60" t="inlineStr">
        <is>
          <t>RN</t>
        </is>
      </c>
      <c r="G28" s="60" t="inlineStr">
        <is>
          <t>NATAL</t>
        </is>
      </c>
      <c r="H28" s="119" t="n">
        <v>44707</v>
      </c>
      <c r="I28" s="119">
        <f>H28-180</f>
        <v/>
      </c>
      <c r="J28" s="60">
        <f>SUM(L28:AE28)</f>
        <v/>
      </c>
      <c r="K28" s="60">
        <f>SUM(AF28:AJ28)</f>
        <v/>
      </c>
      <c r="L28" s="60" t="n"/>
      <c r="M28" s="60" t="n"/>
      <c r="N28" s="60" t="n"/>
      <c r="O28" s="60" t="n">
        <v>7</v>
      </c>
      <c r="P28" s="60" t="n"/>
      <c r="Q28" s="60" t="n"/>
      <c r="R28" s="60" t="n"/>
      <c r="S28" s="60" t="n"/>
      <c r="T28" s="60" t="n"/>
      <c r="U28" s="60" t="n"/>
      <c r="V28" s="60" t="n"/>
      <c r="W28" s="60" t="n"/>
      <c r="X28" s="60" t="n"/>
      <c r="Y28" s="60" t="n"/>
      <c r="Z28" s="60" t="n"/>
      <c r="AA28" s="60" t="n"/>
      <c r="AB28" s="60" t="n"/>
      <c r="AC28" s="60" t="n"/>
      <c r="AD28" s="60" t="n"/>
      <c r="AE28" s="60" t="n"/>
      <c r="AF28" s="60" t="n"/>
      <c r="AG28" s="60" t="n"/>
      <c r="AH28" s="60" t="n"/>
      <c r="AI28" s="60" t="n"/>
      <c r="AJ28" s="60" t="n"/>
      <c r="AK28" s="120">
        <f>IF(L28&gt;0,L28*(82.29+8.15),0)+IF(M28&gt;0,M28*(8.15+339.97),0)+IF(N28&gt;0,N28*151.63,0)+IF(O28&gt;0,O28*197.82,0)+IF(P28&gt;0,P28*244.09,0)+IF(Q28&gt;0,Q28*315.35,0)+IF(R28&gt;0,R28*1067.3,0)+IF(T28&gt;0,T28*567.47,0)+IF(U28&gt;0,U28*151.63,0)+IF(V28&gt;0,V28*197.84,0)+IF(W28&gt;0,W28*470.51,0)+IF(X28&gt;0,X28*701.69,0)+IF(Z28&gt;0,Z28*151.63,0)+IF(AA28&gt;0,AA28*197.84)+IF(AB28&gt;0,AB28*308.4,0)+IF(AC28&gt;0,AC28*496.16,0)</f>
        <v/>
      </c>
    </row>
    <row r="29" hidden="1">
      <c r="A29" s="59" t="inlineStr">
        <is>
          <t>SIM</t>
        </is>
      </c>
      <c r="B29" s="59">
        <f>IF(H29&lt;$B$1,"VENCIDO","NA VALIDADE")</f>
        <v/>
      </c>
      <c r="C29" s="60" t="inlineStr">
        <is>
          <t>N/A</t>
        </is>
      </c>
      <c r="D29" s="61" t="inlineStr">
        <is>
          <t>SANTANA I (AEROGERADORES)</t>
        </is>
      </c>
      <c r="E29" s="75" t="n"/>
      <c r="F29" s="60" t="inlineStr">
        <is>
          <t>RN</t>
        </is>
      </c>
      <c r="G29" s="60" t="inlineStr">
        <is>
          <t>NATAL</t>
        </is>
      </c>
      <c r="H29" s="119" t="n">
        <v>44373</v>
      </c>
      <c r="I29" s="119">
        <f>H29-180</f>
        <v/>
      </c>
      <c r="J29" s="60">
        <f>SUM(L29:AE29)</f>
        <v/>
      </c>
      <c r="K29" s="60">
        <f>SUM(AF29:AJ29)</f>
        <v/>
      </c>
      <c r="L29" s="60" t="n"/>
      <c r="M29" s="60" t="n"/>
      <c r="N29" s="60" t="n"/>
      <c r="O29" s="60" t="n"/>
      <c r="P29" s="60" t="n"/>
      <c r="Q29" s="60" t="n"/>
      <c r="R29" s="60" t="n"/>
      <c r="S29" s="60" t="n"/>
      <c r="T29" s="60" t="n"/>
      <c r="U29" s="60" t="n"/>
      <c r="V29" s="60" t="n"/>
      <c r="W29" s="60" t="n"/>
      <c r="X29" s="60" t="n"/>
      <c r="Y29" s="60" t="n"/>
      <c r="Z29" s="60" t="n"/>
      <c r="AA29" s="60" t="n">
        <v>30</v>
      </c>
      <c r="AB29" s="60" t="n"/>
      <c r="AC29" s="60" t="n"/>
      <c r="AD29" s="60" t="n"/>
      <c r="AE29" s="60" t="n"/>
      <c r="AF29" s="60" t="n"/>
      <c r="AG29" s="60" t="n"/>
      <c r="AH29" s="60" t="n"/>
      <c r="AI29" s="60" t="n"/>
      <c r="AJ29" s="60" t="n"/>
      <c r="AK29" s="120">
        <f>IF(L29&gt;0,L29*(82.29+8.15),0)+IF(M29&gt;0,M29*(8.15+339.97),0)+IF(N29&gt;0,N29*151.63,0)+IF(O29&gt;0,O29*197.82,0)+IF(P29&gt;0,P29*244.09,0)+IF(Q29&gt;0,Q29*315.35,0)+IF(R29&gt;0,R29*1067.3,0)+IF(T29&gt;0,T29*567.47,0)+IF(U29&gt;0,U29*151.63,0)+IF(V29&gt;0,V29*197.84,0)+IF(W29&gt;0,W29*470.51,0)+IF(X29&gt;0,X29*701.69,0)+IF(Z29&gt;0,Z29*151.63,0)+IF(AA29&gt;0,AA29*197.84)+IF(AB29&gt;0,AB29*308.4,0)+IF(AC29&gt;0,AC29*496.16,0)</f>
        <v/>
      </c>
    </row>
    <row r="30" hidden="1">
      <c r="A30" s="59" t="inlineStr">
        <is>
          <t>SIM</t>
        </is>
      </c>
      <c r="B30" s="59">
        <f>IF(H30&lt;$B$1,"VENCIDO","NA VALIDADE")</f>
        <v/>
      </c>
      <c r="C30" s="60" t="inlineStr">
        <is>
          <t>N/A</t>
        </is>
      </c>
      <c r="D30" s="61" t="inlineStr">
        <is>
          <t>SANTANA II (AEROGERADORES)</t>
        </is>
      </c>
      <c r="E30" s="75" t="n"/>
      <c r="F30" s="60" t="inlineStr">
        <is>
          <t>RN</t>
        </is>
      </c>
      <c r="G30" s="60" t="inlineStr">
        <is>
          <t>NATAL</t>
        </is>
      </c>
      <c r="H30" s="119" t="n">
        <v>44373</v>
      </c>
      <c r="I30" s="119">
        <f>H30-180</f>
        <v/>
      </c>
      <c r="J30" s="60">
        <f>SUM(L30:AE30)</f>
        <v/>
      </c>
      <c r="K30" s="60">
        <f>SUM(AF30:AJ30)</f>
        <v/>
      </c>
      <c r="L30" s="60" t="n"/>
      <c r="M30" s="60" t="n"/>
      <c r="N30" s="60" t="n"/>
      <c r="O30" s="60" t="n"/>
      <c r="P30" s="60" t="n"/>
      <c r="Q30" s="60" t="n"/>
      <c r="R30" s="60" t="n"/>
      <c r="S30" s="60" t="n"/>
      <c r="T30" s="60" t="n"/>
      <c r="U30" s="60" t="n"/>
      <c r="V30" s="60" t="n"/>
      <c r="W30" s="60" t="n"/>
      <c r="X30" s="60" t="n"/>
      <c r="Y30" s="60" t="n"/>
      <c r="Z30" s="60" t="n"/>
      <c r="AA30" s="60" t="n">
        <v>24</v>
      </c>
      <c r="AB30" s="60" t="n"/>
      <c r="AC30" s="60" t="n"/>
      <c r="AD30" s="60" t="n"/>
      <c r="AE30" s="60" t="n"/>
      <c r="AF30" s="60" t="n"/>
      <c r="AG30" s="60" t="n"/>
      <c r="AH30" s="60" t="n"/>
      <c r="AI30" s="60" t="n"/>
      <c r="AJ30" s="60" t="n"/>
      <c r="AK30" s="120">
        <f>IF(L30&gt;0,L30*(82.29+8.15),0)+IF(M30&gt;0,M30*(8.15+339.97),0)+IF(N30&gt;0,N30*151.63,0)+IF(O30&gt;0,O30*197.82,0)+IF(P30&gt;0,P30*244.09,0)+IF(Q30&gt;0,Q30*315.35,0)+IF(R30&gt;0,R30*1067.3,0)+IF(T30&gt;0,T30*567.47,0)+IF(U30&gt;0,U30*151.63,0)+IF(V30&gt;0,V30*197.84,0)+IF(W30&gt;0,W30*470.51,0)+IF(X30&gt;0,X30*701.69,0)+IF(Z30&gt;0,Z30*151.63,0)+IF(AA30&gt;0,AA30*197.84)+IF(AB30&gt;0,AB30*308.4,0)+IF(AC30&gt;0,AC30*496.16,0)</f>
        <v/>
      </c>
    </row>
    <row r="31" hidden="1">
      <c r="A31" s="59" t="n"/>
      <c r="B31" s="59">
        <f>IF(H31&lt;$B$1,"VENCIDO","NA VALIDADE")</f>
        <v/>
      </c>
      <c r="C31" s="60" t="inlineStr">
        <is>
          <t>N/A</t>
        </is>
      </c>
      <c r="D31" s="61" t="inlineStr">
        <is>
          <t>SLD (SUBESTAÇÃO Casa de comando)</t>
        </is>
      </c>
      <c r="E31" s="75" t="n"/>
      <c r="F31" s="60" t="inlineStr">
        <is>
          <t>RN</t>
        </is>
      </c>
      <c r="G31" s="60" t="inlineStr">
        <is>
          <t>NATAL</t>
        </is>
      </c>
      <c r="H31" s="119" t="n">
        <v>44616</v>
      </c>
      <c r="I31" s="119">
        <f>H31-180</f>
        <v/>
      </c>
      <c r="J31" s="60">
        <f>SUM(L31:AE31)</f>
        <v/>
      </c>
      <c r="K31" s="60">
        <f>SUM(AF31:AJ31)</f>
        <v/>
      </c>
      <c r="L31" s="60" t="n"/>
      <c r="M31" s="60" t="n"/>
      <c r="N31" s="60" t="n"/>
      <c r="O31" s="60" t="n"/>
      <c r="P31" s="60" t="n"/>
      <c r="Q31" s="60" t="n"/>
      <c r="R31" s="60" t="n"/>
      <c r="S31" s="60" t="n"/>
      <c r="T31" s="60" t="n"/>
      <c r="U31" s="60" t="n"/>
      <c r="V31" s="60" t="n"/>
      <c r="W31" s="60" t="n"/>
      <c r="X31" s="60" t="n"/>
      <c r="Y31" s="60" t="n"/>
      <c r="Z31" s="60" t="n"/>
      <c r="AA31" s="60" t="n">
        <v>1</v>
      </c>
      <c r="AB31" s="60" t="n"/>
      <c r="AC31" s="60" t="n"/>
      <c r="AD31" s="60" t="n"/>
      <c r="AE31" s="60" t="n"/>
      <c r="AF31" s="60" t="n"/>
      <c r="AG31" s="60" t="n"/>
      <c r="AH31" s="60" t="n"/>
      <c r="AI31" s="60" t="n"/>
      <c r="AJ31" s="60" t="n"/>
      <c r="AK31" s="120">
        <f>IF(L31&gt;0,L31*(82.29+8.15),0)+IF(M31&gt;0,M31*(8.15+339.97),0)+IF(N31&gt;0,N31*151.63,0)+IF(O31&gt;0,O31*197.82,0)+IF(P31&gt;0,P31*244.09,0)+IF(Q31&gt;0,Q31*315.35,0)+IF(R31&gt;0,R31*1067.3,0)+IF(T31&gt;0,T31*567.47,0)+IF(U31&gt;0,U31*151.63,0)+IF(V31&gt;0,V31*197.84,0)+IF(W31&gt;0,W31*470.51,0)+IF(X31&gt;0,X31*701.69,0)+IF(Z31&gt;0,Z31*151.63,0)+IF(AA31&gt;0,AA31*197.84)+IF(AB31&gt;0,AB31*308.4,0)+IF(AC31&gt;0,AC31*496.16,0)</f>
        <v/>
      </c>
    </row>
    <row r="32" hidden="1">
      <c r="A32" s="59" t="n"/>
      <c r="B32" s="59">
        <f>IF(H32&lt;$B$1,"VENCIDO","NA VALIDADE")</f>
        <v/>
      </c>
      <c r="C32" s="60" t="inlineStr">
        <is>
          <t>N/A</t>
        </is>
      </c>
      <c r="D32" s="61" t="inlineStr">
        <is>
          <t>SLD (SUBESTAÇÃO da EKTT com Bay de entrada nosso)</t>
        </is>
      </c>
      <c r="E32" s="75" t="n"/>
      <c r="F32" s="60" t="inlineStr">
        <is>
          <t>RN</t>
        </is>
      </c>
      <c r="G32" s="60" t="inlineStr">
        <is>
          <t>NATAL</t>
        </is>
      </c>
      <c r="H32" s="119" t="n">
        <v>44616</v>
      </c>
      <c r="I32" s="119">
        <f>H32-180</f>
        <v/>
      </c>
      <c r="J32" s="60">
        <f>SUM(L32:AE32)</f>
        <v/>
      </c>
      <c r="K32" s="60">
        <f>SUM(AF32:AJ32)</f>
        <v/>
      </c>
      <c r="L32" s="60" t="n"/>
      <c r="M32" s="60" t="n"/>
      <c r="N32" s="60" t="n"/>
      <c r="O32" s="60" t="n">
        <v>4</v>
      </c>
      <c r="P32" s="60" t="n"/>
      <c r="Q32" s="60" t="n"/>
      <c r="R32" s="60" t="n"/>
      <c r="S32" s="60" t="n"/>
      <c r="T32" s="60" t="n">
        <v>2</v>
      </c>
      <c r="U32" s="60" t="n"/>
      <c r="V32" s="60" t="n"/>
      <c r="W32" s="60" t="n"/>
      <c r="X32" s="60" t="n"/>
      <c r="Y32" s="60" t="n"/>
      <c r="Z32" s="60" t="n"/>
      <c r="AA32" s="60" t="n"/>
      <c r="AB32" s="60" t="n"/>
      <c r="AC32" s="60" t="n"/>
      <c r="AD32" s="60" t="n"/>
      <c r="AE32" s="60" t="n"/>
      <c r="AF32" s="60" t="n"/>
      <c r="AG32" s="60" t="n"/>
      <c r="AH32" s="60" t="n"/>
      <c r="AI32" s="60" t="n"/>
      <c r="AJ32" s="60" t="n"/>
      <c r="AK32" s="120">
        <f>IF(L32&gt;0,L32*(82.29+8.15),0)+IF(M32&gt;0,M32*(8.15+339.97),0)+IF(N32&gt;0,N32*151.63,0)+IF(O32&gt;0,O32*197.82,0)+IF(P32&gt;0,P32*244.09,0)+IF(Q32&gt;0,Q32*315.35,0)+IF(R32&gt;0,R32*1067.3,0)+IF(T32&gt;0,T32*567.47,0)+IF(U32&gt;0,U32*151.63,0)+IF(V32&gt;0,V32*197.84,0)+IF(W32&gt;0,W32*470.51,0)+IF(X32&gt;0,X32*701.69,0)+IF(Z32&gt;0,Z32*151.63,0)+IF(AA32&gt;0,AA32*197.84)+IF(AB32&gt;0,AB32*308.4,0)+IF(AC32&gt;0,AC32*496.16,0)</f>
        <v/>
      </c>
    </row>
    <row r="33" hidden="1">
      <c r="A33" s="59" t="n"/>
      <c r="B33" s="59">
        <f>IF(H33&lt;$B$1,"VENCIDO","NA VALIDADE")</f>
        <v/>
      </c>
      <c r="C33" s="60" t="inlineStr">
        <is>
          <t>N/A</t>
        </is>
      </c>
      <c r="D33" s="61" t="inlineStr">
        <is>
          <t>SUL l (SUBESTAÇÃO)</t>
        </is>
      </c>
      <c r="E33" s="75" t="n"/>
      <c r="F33" s="60" t="inlineStr">
        <is>
          <t>RN</t>
        </is>
      </c>
      <c r="G33" s="60" t="inlineStr">
        <is>
          <t>NATAL</t>
        </is>
      </c>
      <c r="H33" s="119" t="n">
        <v>44616</v>
      </c>
      <c r="I33" s="119">
        <f>H33-180</f>
        <v/>
      </c>
      <c r="J33" s="60">
        <f>SUM(L33:AE33)</f>
        <v/>
      </c>
      <c r="K33" s="60">
        <f>SUM(AF33:AJ33)</f>
        <v/>
      </c>
      <c r="L33" s="60" t="n"/>
      <c r="M33" s="60" t="n"/>
      <c r="N33" s="60" t="n"/>
      <c r="O33" s="60" t="n">
        <v>8</v>
      </c>
      <c r="P33" s="60" t="n"/>
      <c r="Q33" s="60" t="n"/>
      <c r="R33" s="60" t="n"/>
      <c r="S33" s="60" t="n"/>
      <c r="T33" s="60" t="n">
        <v>2</v>
      </c>
      <c r="U33" s="60" t="n"/>
      <c r="V33" s="60" t="n"/>
      <c r="W33" s="60" t="n"/>
      <c r="X33" s="60" t="n"/>
      <c r="Y33" s="60" t="n"/>
      <c r="Z33" s="60" t="n"/>
      <c r="AA33" s="60" t="n">
        <v>4</v>
      </c>
      <c r="AB33" s="60" t="n"/>
      <c r="AC33" s="60" t="n"/>
      <c r="AD33" s="60" t="n"/>
      <c r="AE33" s="60" t="n"/>
      <c r="AF33" s="60" t="n"/>
      <c r="AG33" s="60" t="n"/>
      <c r="AH33" s="60" t="n"/>
      <c r="AI33" s="60" t="n"/>
      <c r="AJ33" s="60" t="n"/>
      <c r="AK33" s="120">
        <f>IF(L33&gt;0,L33*(82.29+8.15),0)+IF(M33&gt;0,M33*(8.15+339.97),0)+IF(N33&gt;0,N33*151.63,0)+IF(O33&gt;0,O33*197.82,0)+IF(P33&gt;0,P33*244.09,0)+IF(Q33&gt;0,Q33*315.35,0)+IF(R33&gt;0,R33*1067.3,0)+IF(T33&gt;0,T33*567.47,0)+IF(U33&gt;0,U33*151.63,0)+IF(V33&gt;0,V33*197.84,0)+IF(W33&gt;0,W33*470.51,0)+IF(X33&gt;0,X33*701.69,0)+IF(Z33&gt;0,Z33*151.63,0)+IF(AA33&gt;0,AA33*197.84)+IF(AB33&gt;0,AB33*308.4,0)+IF(AC33&gt;0,AC33*496.16,0)</f>
        <v/>
      </c>
    </row>
    <row r="34" hidden="1">
      <c r="A34" s="59" t="n"/>
      <c r="B34" s="59">
        <f>IF(H34&lt;$B$1,"VENCIDO","NA VALIDADE")</f>
        <v/>
      </c>
      <c r="C34" s="60" t="inlineStr">
        <is>
          <t>N/A</t>
        </is>
      </c>
      <c r="D34" s="61" t="inlineStr">
        <is>
          <t>SUL ll (SUBESTAÇÃO)</t>
        </is>
      </c>
      <c r="E34" s="75" t="n"/>
      <c r="F34" s="60" t="inlineStr">
        <is>
          <t>RN</t>
        </is>
      </c>
      <c r="G34" s="60" t="inlineStr">
        <is>
          <t>NATAL</t>
        </is>
      </c>
      <c r="H34" s="119" t="n">
        <v>44616</v>
      </c>
      <c r="I34" s="119">
        <f>H34-180</f>
        <v/>
      </c>
      <c r="J34" s="60">
        <f>SUM(L34:AE34)</f>
        <v/>
      </c>
      <c r="K34" s="60">
        <f>SUM(AF34:AJ34)</f>
        <v/>
      </c>
      <c r="L34" s="60" t="n"/>
      <c r="M34" s="60" t="n"/>
      <c r="N34" s="60" t="n"/>
      <c r="O34" s="60" t="n">
        <v>9</v>
      </c>
      <c r="P34" s="60" t="n"/>
      <c r="Q34" s="60" t="n"/>
      <c r="R34" s="60" t="n"/>
      <c r="S34" s="60" t="n"/>
      <c r="T34" s="60" t="n">
        <v>4</v>
      </c>
      <c r="U34" s="60" t="n"/>
      <c r="V34" s="60" t="n"/>
      <c r="W34" s="60" t="n"/>
      <c r="X34" s="60" t="n"/>
      <c r="Y34" s="60" t="n"/>
      <c r="Z34" s="60" t="n"/>
      <c r="AA34" s="60" t="n">
        <v>2</v>
      </c>
      <c r="AB34" s="60" t="n"/>
      <c r="AC34" s="60" t="n"/>
      <c r="AD34" s="60" t="n"/>
      <c r="AE34" s="60" t="n"/>
      <c r="AF34" s="60" t="n"/>
      <c r="AG34" s="60" t="n"/>
      <c r="AH34" s="60" t="n"/>
      <c r="AI34" s="60" t="n"/>
      <c r="AJ34" s="60" t="n"/>
      <c r="AK34" s="120">
        <f>IF(L34&gt;0,L34*(82.29+8.15),0)+IF(M34&gt;0,M34*(8.15+339.97),0)+IF(N34&gt;0,N34*151.63,0)+IF(O34&gt;0,O34*197.82,0)+IF(P34&gt;0,P34*244.09,0)+IF(Q34&gt;0,Q34*315.35,0)+IF(R34&gt;0,R34*1067.3,0)+IF(T34&gt;0,T34*567.47,0)+IF(U34&gt;0,U34*151.63,0)+IF(V34&gt;0,V34*197.84,0)+IF(W34&gt;0,W34*470.51,0)+IF(X34&gt;0,X34*701.69,0)+IF(Z34&gt;0,Z34*151.63,0)+IF(AA34&gt;0,AA34*197.84)+IF(AB34&gt;0,AB34*308.4,0)+IF(AC34&gt;0,AC34*496.16,0)</f>
        <v/>
      </c>
    </row>
    <row r="35">
      <c r="A35" s="61" t="n"/>
      <c r="B35" s="61" t="n"/>
      <c r="C35" s="60" t="n"/>
      <c r="D35" s="61" t="n"/>
      <c r="E35" s="75" t="n"/>
      <c r="F35" s="60" t="n"/>
      <c r="G35" s="60" t="n"/>
      <c r="H35" s="119" t="n"/>
      <c r="I35" s="119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  <c r="X35" s="60" t="n"/>
      <c r="Y35" s="60" t="n"/>
      <c r="Z35" s="60" t="n"/>
      <c r="AA35" s="60" t="n"/>
      <c r="AB35" s="60" t="n"/>
      <c r="AC35" s="60" t="n"/>
      <c r="AD35" s="60" t="n"/>
      <c r="AE35" s="60" t="n"/>
      <c r="AF35" s="60" t="n"/>
      <c r="AG35" s="60" t="n"/>
      <c r="AH35" s="60" t="n"/>
      <c r="AI35" s="60" t="n"/>
      <c r="AJ35" s="60" t="n"/>
      <c r="AK35" s="60" t="n"/>
    </row>
    <row r="36" ht="15.75" customHeight="1">
      <c r="A36" s="61" t="n"/>
      <c r="B36" s="61" t="n"/>
      <c r="C36" s="61" t="n"/>
      <c r="D36" s="61" t="n"/>
      <c r="E36" s="61" t="n"/>
      <c r="F36" s="61" t="n"/>
      <c r="G36" s="61" t="n"/>
      <c r="H36" s="119" t="n"/>
      <c r="I36" s="124" t="inlineStr">
        <is>
          <t>TOTAL</t>
        </is>
      </c>
      <c r="J36" s="79">
        <f>SUBTOTAL(109,J3:J34)</f>
        <v/>
      </c>
      <c r="K36" s="79">
        <f>SUBTOTAL(109,K3:K34)</f>
        <v/>
      </c>
      <c r="L36" s="79">
        <f>SUBTOTAL(109,L3:L34)</f>
        <v/>
      </c>
      <c r="M36" s="79">
        <f>SUBTOTAL(109,M3:M34)</f>
        <v/>
      </c>
      <c r="N36" s="79">
        <f>SUBTOTAL(109,N3:N34)</f>
        <v/>
      </c>
      <c r="O36" s="79">
        <f>SUBTOTAL(109,O3:O34)</f>
        <v/>
      </c>
      <c r="P36" s="79">
        <f>SUBTOTAL(109,P3:P34)</f>
        <v/>
      </c>
      <c r="Q36" s="79">
        <f>SUBTOTAL(109,Q3:Q34)</f>
        <v/>
      </c>
      <c r="R36" s="79">
        <f>SUBTOTAL(109,R3:R34)</f>
        <v/>
      </c>
      <c r="S36" s="79" t="n"/>
      <c r="T36" s="79">
        <f>SUBTOTAL(109,T3:T34)</f>
        <v/>
      </c>
      <c r="U36" s="79">
        <f>SUBTOTAL(109,U3:U34)</f>
        <v/>
      </c>
      <c r="V36" s="79">
        <f>SUBTOTAL(109,V3:V34)</f>
        <v/>
      </c>
      <c r="W36" s="79">
        <f>SUBTOTAL(109,W3:W34)</f>
        <v/>
      </c>
      <c r="X36" s="79">
        <f>SUBTOTAL(109,X3:X34)</f>
        <v/>
      </c>
      <c r="Y36" s="79">
        <f>SUBTOTAL(109,Y3:Y34)</f>
        <v/>
      </c>
      <c r="Z36" s="79">
        <f>SUBTOTAL(109,Z3:Z34)</f>
        <v/>
      </c>
      <c r="AA36" s="79">
        <f>SUBTOTAL(109,AA3:AA34)</f>
        <v/>
      </c>
      <c r="AB36" s="79">
        <f>SUBTOTAL(109,AB3:AB34)</f>
        <v/>
      </c>
      <c r="AC36" s="79">
        <f>SUBTOTAL(109,AC3:AC34)</f>
        <v/>
      </c>
      <c r="AD36" s="79">
        <f>SUBTOTAL(109,AD3:AD34)</f>
        <v/>
      </c>
      <c r="AE36" s="79">
        <f>SUBTOTAL(109,AE3:AE34)</f>
        <v/>
      </c>
      <c r="AF36" s="79">
        <f>SUBTOTAL(109,AF3:AF34)</f>
        <v/>
      </c>
      <c r="AG36" s="79">
        <f>SUBTOTAL(109,AG3:AG34)</f>
        <v/>
      </c>
      <c r="AH36" s="79">
        <f>SUBTOTAL(109,AH3:AH34)</f>
        <v/>
      </c>
      <c r="AI36" s="79">
        <f>SUBTOTAL(109,AI3:AI34)</f>
        <v/>
      </c>
      <c r="AJ36" s="79" t="n"/>
      <c r="AK36" s="125">
        <f>SUBTOTAL(109,AK3:AK34)</f>
        <v/>
      </c>
    </row>
  </sheetData>
  <autoFilter ref="A2:AK34">
    <filterColumn colId="6" hiddenButton="0" showButton="1">
      <filters>
        <filter val="FEIRA DE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36">
    <cfRule type="cellIs" priority="5" operator="equal" dxfId="4">
      <formula>"SIM"</formula>
    </cfRule>
  </conditionalFormatting>
  <conditionalFormatting sqref="A3:A26 A27:B34">
    <cfRule type="containsText" priority="6" operator="containsText" dxfId="3" text="NA VALIDADE">
      <formula>NOT(ISERROR(SEARCH("NA VALIDADE",A3)))</formula>
    </cfRule>
    <cfRule type="containsText" priority="7" operator="containsText" dxfId="2" text="VENCIDO">
      <formula>NOT(ISERROR(SEARCH("VENCIDO",A3)))</formula>
    </cfRule>
  </conditionalFormatting>
  <conditionalFormatting sqref="A2:B2">
    <cfRule type="containsText" priority="8" operator="containsText" dxfId="8" text="ENVIADO">
      <formula>NOT(ISERROR(SEARCH("ENVIADO",A2)))</formula>
    </cfRule>
    <cfRule type="cellIs" priority="9" operator="equal" dxfId="7">
      <formula>#REF!</formula>
    </cfRule>
    <cfRule type="cellIs" priority="10" operator="equal" dxfId="6">
      <formula>#REF!</formula>
    </cfRule>
    <cfRule type="cellIs" priority="11" operator="equal" dxfId="5">
      <formula>#REF!</formula>
    </cfRule>
    <cfRule type="cellIs" priority="12" operator="equal" dxfId="4">
      <formula>#REF!</formula>
    </cfRule>
  </conditionalFormatting>
  <conditionalFormatting sqref="B3:B26">
    <cfRule type="containsText" priority="3" operator="containsText" dxfId="3" text="NA VALIDADE">
      <formula>NOT(ISERROR(SEARCH("NA VALIDADE",B3)))</formula>
    </cfRule>
    <cfRule type="containsText" priority="4" operator="containsText" dxfId="2" text="VENCIDO">
      <formula>NOT(ISERROR(SEARCH("VENCIDO",B3)))</formula>
    </cfRule>
  </conditionalFormatting>
  <conditionalFormatting sqref="J3:AK35">
    <cfRule type="cellIs" priority="2" operator="greaterThan" dxfId="1">
      <formula>0</formula>
    </cfRule>
  </conditionalFormatting>
  <conditionalFormatting sqref="J36:AK36">
    <cfRule type="cellIs" priority="13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0" fitToHeight="0" horizontalDpi="300" verticalDpi="300"/>
  <drawing r:id="rIdDrw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7">
    <tabColor rgb="FFC55A11"/>
    <outlinePr summaryBelow="1" summaryRight="1"/>
    <pageSetUpPr fitToPage="1"/>
  </sheetPr>
  <dimension ref="A1:AK7"/>
  <sheetViews>
    <sheetView view="pageBreakPreview" zoomScale="80" zoomScaleNormal="100" zoomScalePageLayoutView="80" workbookViewId="0">
      <selection activeCell="AG15" sqref="AG15"/>
    </sheetView>
  </sheetViews>
  <sheetFormatPr baseColWidth="8" defaultColWidth="8.7109375" defaultRowHeight="15"/>
  <cols>
    <col width="12.42578125" customWidth="1" min="1" max="1"/>
    <col width="11.5703125" customWidth="1" min="2" max="2"/>
    <col width="10.85546875" customWidth="1" min="3" max="3"/>
    <col width="25.42578125" customWidth="1" min="4" max="4"/>
    <col width="8" customWidth="1" min="5" max="5"/>
    <col width="3.85546875" customWidth="1" min="6" max="6"/>
    <col width="28.5703125" customWidth="1" min="7" max="7"/>
    <col width="13.42578125" customWidth="1" min="8" max="8"/>
    <col width="13.5703125" customWidth="1" min="9" max="9"/>
    <col width="11.85546875" customWidth="1" min="36" max="36"/>
    <col hidden="1" width="14.42578125" customWidth="1" min="37" max="37"/>
  </cols>
  <sheetData>
    <row r="1" ht="50.25" customHeight="1">
      <c r="A1" s="122">
        <f>TODAY()</f>
        <v/>
      </c>
      <c r="B1" s="122">
        <f>TODAY()</f>
        <v/>
      </c>
      <c r="C1" s="48" t="n"/>
      <c r="D1" s="49">
        <f>SUBTOTAL(3,D3:D517)</f>
        <v/>
      </c>
      <c r="E1" s="51" t="inlineStr">
        <is>
          <t>MAPA:</t>
        </is>
      </c>
      <c r="F1" s="48" t="n"/>
      <c r="G1" s="48" t="n"/>
      <c r="H1" s="88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4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UF</t>
        </is>
      </c>
      <c r="G2" s="54" t="inlineStr">
        <is>
          <t>BASE DE ATENDIMENTO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30Kg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>
      <c r="A3" s="59" t="inlineStr">
        <is>
          <t>SIM</t>
        </is>
      </c>
      <c r="B3" s="59">
        <f>IF(H3&lt;$B$1,"VENCIDO","NA VALIDADE")</f>
        <v/>
      </c>
      <c r="C3" s="60" t="inlineStr">
        <is>
          <t>USH</t>
        </is>
      </c>
      <c r="D3" s="61" t="inlineStr">
        <is>
          <t>FERNANDO DE NORONHA</t>
        </is>
      </c>
      <c r="E3" s="75" t="inlineStr">
        <is>
          <t>RECIFE</t>
        </is>
      </c>
      <c r="F3" s="60" t="inlineStr">
        <is>
          <t>PE</t>
        </is>
      </c>
      <c r="G3" s="75" t="inlineStr">
        <is>
          <t>CABO DE SANTO AGOSTINHO</t>
        </is>
      </c>
      <c r="H3" s="119" t="n">
        <v>45413</v>
      </c>
      <c r="I3" s="119">
        <f>H3-180</f>
        <v/>
      </c>
      <c r="J3" s="60">
        <f>SUM(L3:AE3)</f>
        <v/>
      </c>
      <c r="K3" s="60">
        <f>SUM(AF3:AJ3)</f>
        <v/>
      </c>
      <c r="L3" s="60" t="n">
        <v>10</v>
      </c>
      <c r="M3" s="60" t="n"/>
      <c r="N3" s="60" t="n"/>
      <c r="O3" s="60" t="n">
        <v>1</v>
      </c>
      <c r="P3" s="60" t="n"/>
      <c r="Q3" s="60" t="n">
        <v>14</v>
      </c>
      <c r="R3" s="60" t="n"/>
      <c r="S3" s="60" t="n"/>
      <c r="T3" s="60" t="n">
        <v>5</v>
      </c>
      <c r="U3" s="60" t="n"/>
      <c r="V3" s="60" t="n"/>
      <c r="W3" s="60" t="n"/>
      <c r="X3" s="60" t="n"/>
      <c r="Y3" s="60" t="n"/>
      <c r="Z3" s="60" t="n"/>
      <c r="AA3" s="60" t="n">
        <v>15</v>
      </c>
      <c r="AB3" s="60" t="n"/>
      <c r="AC3" s="60" t="n"/>
      <c r="AD3" s="60" t="n"/>
      <c r="AE3" s="60" t="n"/>
      <c r="AF3" s="60" t="n"/>
      <c r="AG3" s="60" t="n"/>
      <c r="AH3" s="60" t="n">
        <v>29</v>
      </c>
      <c r="AI3" s="60" t="n"/>
      <c r="AJ3" s="60" t="n"/>
      <c r="AK3" s="120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>
      <c r="A4" s="59" t="inlineStr">
        <is>
          <t>SIM</t>
        </is>
      </c>
      <c r="B4" s="59">
        <f>IF(H4&lt;$B$1,"VENCIDO","NA VALIDADE")</f>
        <v/>
      </c>
      <c r="C4" s="60" t="inlineStr">
        <is>
          <t>USH</t>
        </is>
      </c>
      <c r="D4" s="61" t="inlineStr">
        <is>
          <t>ITAPEBI</t>
        </is>
      </c>
      <c r="E4" s="75" t="inlineStr">
        <is>
          <t>ITAPEBI</t>
        </is>
      </c>
      <c r="F4" s="60" t="inlineStr">
        <is>
          <t>BA</t>
        </is>
      </c>
      <c r="G4" s="75" t="inlineStr">
        <is>
          <t>ILHEUS</t>
        </is>
      </c>
      <c r="H4" s="119" t="n">
        <v>45292</v>
      </c>
      <c r="I4" s="119" t="n">
        <v>45292</v>
      </c>
      <c r="J4" s="60">
        <f>SUM(L4:AE4)</f>
        <v/>
      </c>
      <c r="K4" s="60">
        <f>SUM(AF4:AJ4)</f>
        <v/>
      </c>
      <c r="L4" s="60" t="n">
        <v>6</v>
      </c>
      <c r="M4" s="60" t="n"/>
      <c r="N4" s="60" t="n">
        <v>2</v>
      </c>
      <c r="O4" s="60" t="n">
        <v>33</v>
      </c>
      <c r="P4" s="60" t="n">
        <v>4</v>
      </c>
      <c r="Q4" s="60" t="n">
        <v>27</v>
      </c>
      <c r="R4" s="60" t="n"/>
      <c r="S4" s="60" t="n"/>
      <c r="T4" s="60" t="n">
        <v>4</v>
      </c>
      <c r="U4" s="60" t="n"/>
      <c r="V4" s="60" t="n">
        <v>20</v>
      </c>
      <c r="W4" s="60" t="n"/>
      <c r="X4" s="60" t="n"/>
      <c r="Y4" s="60" t="n"/>
      <c r="Z4" s="60" t="n"/>
      <c r="AA4" s="60" t="n">
        <v>56</v>
      </c>
      <c r="AB4" s="60" t="n"/>
      <c r="AC4" s="60" t="n"/>
      <c r="AD4" s="60" t="n"/>
      <c r="AE4" s="60" t="n"/>
      <c r="AF4" s="60" t="n">
        <v>22</v>
      </c>
      <c r="AG4" s="60" t="n"/>
      <c r="AH4" s="60" t="n">
        <v>16</v>
      </c>
      <c r="AI4" s="60" t="n"/>
      <c r="AJ4" s="60" t="n"/>
      <c r="AK4" s="120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/>
      </c>
    </row>
    <row r="5">
      <c r="A5" s="59" t="inlineStr">
        <is>
          <t>SIM</t>
        </is>
      </c>
      <c r="B5" s="59">
        <f>IF(H5&lt;$B$1,"VENCIDO","NA VALIDADE")</f>
        <v/>
      </c>
      <c r="C5" s="60" t="inlineStr">
        <is>
          <t>USH</t>
        </is>
      </c>
      <c r="D5" s="61" t="inlineStr">
        <is>
          <t>TERMOPE</t>
        </is>
      </c>
      <c r="E5" s="75" t="inlineStr">
        <is>
          <t>RECIFE</t>
        </is>
      </c>
      <c r="F5" s="60" t="inlineStr">
        <is>
          <t>PE</t>
        </is>
      </c>
      <c r="G5" s="75" t="inlineStr">
        <is>
          <t>CABO DE SANTO AGOSTINHO</t>
        </is>
      </c>
      <c r="H5" s="119" t="n">
        <v>45292</v>
      </c>
      <c r="I5" s="119" t="n">
        <v>45293</v>
      </c>
      <c r="J5" s="60">
        <f>SUM(L5:AE5)</f>
        <v/>
      </c>
      <c r="K5" s="60">
        <f>SUM(AF5:AJ5)</f>
        <v/>
      </c>
      <c r="L5" s="60" t="n">
        <v>8</v>
      </c>
      <c r="M5" s="60" t="n"/>
      <c r="N5" s="60" t="n"/>
      <c r="O5" s="60" t="n">
        <v>1</v>
      </c>
      <c r="P5" s="60" t="n">
        <v>10</v>
      </c>
      <c r="Q5" s="60" t="n">
        <v>28</v>
      </c>
      <c r="R5" s="60" t="n"/>
      <c r="S5" s="60" t="n"/>
      <c r="T5" s="60" t="n">
        <v>8</v>
      </c>
      <c r="U5" s="60" t="n"/>
      <c r="V5" s="60" t="n"/>
      <c r="W5" s="60" t="n"/>
      <c r="X5" s="60" t="n">
        <v>3</v>
      </c>
      <c r="Y5" s="60" t="n"/>
      <c r="Z5" s="60" t="n"/>
      <c r="AA5" s="60" t="n">
        <v>52</v>
      </c>
      <c r="AB5" s="60" t="n"/>
      <c r="AC5" s="60" t="n"/>
      <c r="AD5" s="60" t="n"/>
      <c r="AE5" s="60" t="n"/>
      <c r="AF5" s="60" t="n"/>
      <c r="AG5" s="60" t="n"/>
      <c r="AH5" s="60" t="n">
        <v>189</v>
      </c>
      <c r="AI5" s="60" t="n"/>
      <c r="AJ5" s="60" t="n"/>
      <c r="AK5" s="120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/>
      </c>
    </row>
    <row r="6">
      <c r="A6" s="89" t="n"/>
      <c r="B6" s="89" t="n"/>
      <c r="C6" s="90" t="n"/>
      <c r="D6" s="91" t="n"/>
      <c r="E6" s="90" t="n"/>
      <c r="F6" s="90" t="n"/>
      <c r="G6" s="90" t="n"/>
      <c r="H6" s="126" t="n"/>
      <c r="I6" s="126" t="n"/>
      <c r="J6" s="90" t="n"/>
      <c r="K6" s="90" t="n"/>
      <c r="L6" s="90" t="n"/>
      <c r="M6" s="90" t="n"/>
      <c r="N6" s="90" t="n"/>
      <c r="O6" s="90" t="n"/>
      <c r="P6" s="90" t="n"/>
      <c r="Q6" s="90" t="n"/>
      <c r="R6" s="90" t="n"/>
      <c r="S6" s="90" t="n"/>
      <c r="T6" s="90" t="n"/>
      <c r="U6" s="90" t="n"/>
      <c r="V6" s="90" t="n"/>
      <c r="W6" s="90" t="n"/>
      <c r="X6" s="90" t="n"/>
      <c r="Y6" s="90" t="n"/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</row>
    <row r="7" ht="15.75" customHeight="1">
      <c r="A7" s="61" t="n"/>
      <c r="B7" s="61" t="n"/>
      <c r="C7" s="61" t="n"/>
      <c r="D7" s="61" t="n"/>
      <c r="E7" s="61" t="n"/>
      <c r="F7" s="61" t="n"/>
      <c r="G7" s="61" t="n"/>
      <c r="H7" s="119" t="n"/>
      <c r="I7" s="124" t="inlineStr">
        <is>
          <t>TOTAL</t>
        </is>
      </c>
      <c r="J7" s="79">
        <f>SUBTOTAL(109,J3:J5)</f>
        <v/>
      </c>
      <c r="K7" s="79">
        <f>SUBTOTAL(109,K3:K5)</f>
        <v/>
      </c>
      <c r="L7" s="79">
        <f>SUBTOTAL(109,L3:L5)</f>
        <v/>
      </c>
      <c r="M7" s="79">
        <f>SUBTOTAL(109,M3:M5)</f>
        <v/>
      </c>
      <c r="N7" s="79">
        <f>SUBTOTAL(109,N3:N5)</f>
        <v/>
      </c>
      <c r="O7" s="79">
        <f>SUBTOTAL(109,O3:O5)</f>
        <v/>
      </c>
      <c r="P7" s="79">
        <f>SUBTOTAL(109,P3:P5)</f>
        <v/>
      </c>
      <c r="Q7" s="79">
        <f>SUBTOTAL(109,Q3:Q5)</f>
        <v/>
      </c>
      <c r="R7" s="79">
        <f>SUBTOTAL(109,R3:R5)</f>
        <v/>
      </c>
      <c r="S7" s="79" t="n"/>
      <c r="T7" s="79">
        <f>SUBTOTAL(109,T3:T5)</f>
        <v/>
      </c>
      <c r="U7" s="79">
        <f>SUBTOTAL(109,U3:U5)</f>
        <v/>
      </c>
      <c r="V7" s="79">
        <f>SUBTOTAL(109,V3:V5)</f>
        <v/>
      </c>
      <c r="W7" s="79">
        <f>SUBTOTAL(109,W3:W5)</f>
        <v/>
      </c>
      <c r="X7" s="79">
        <f>SUBTOTAL(109,X3:X5)</f>
        <v/>
      </c>
      <c r="Y7" s="79">
        <f>SUBTOTAL(109,Y3:Y5)</f>
        <v/>
      </c>
      <c r="Z7" s="79">
        <f>SUBTOTAL(109,Z3:Z5)</f>
        <v/>
      </c>
      <c r="AA7" s="79">
        <f>SUBTOTAL(109,AA3:AA5)</f>
        <v/>
      </c>
      <c r="AB7" s="79">
        <f>SUBTOTAL(109,AB3:AB5)</f>
        <v/>
      </c>
      <c r="AC7" s="79">
        <f>SUBTOTAL(109,AC3:AC5)</f>
        <v/>
      </c>
      <c r="AD7" s="79">
        <f>SUBTOTAL(109,AD3:AD5)</f>
        <v/>
      </c>
      <c r="AE7" s="79">
        <f>SUBTOTAL(109,AE3:AE5)</f>
        <v/>
      </c>
      <c r="AF7" s="79">
        <f>SUBTOTAL(109,AF3:AF5)</f>
        <v/>
      </c>
      <c r="AG7" s="79">
        <f>SUBTOTAL(109,AG3:AG5)</f>
        <v/>
      </c>
      <c r="AH7" s="79">
        <f>SUBTOTAL(109,AH3:AH5)</f>
        <v/>
      </c>
      <c r="AI7" s="79">
        <f>SUBTOTAL(109,AI3:AI5)</f>
        <v/>
      </c>
      <c r="AJ7" s="79" t="n"/>
      <c r="AK7" s="79">
        <f>SUBTOTAL(109,AK3:AK5)</f>
        <v/>
      </c>
    </row>
  </sheetData>
  <autoFilter ref="A2:AK5"/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7">
    <cfRule type="cellIs" priority="5" operator="equal" dxfId="4">
      <formula>"SIM"</formula>
    </cfRule>
  </conditionalFormatting>
  <conditionalFormatting sqref="A3:A5">
    <cfRule type="containsText" priority="6" operator="containsText" dxfId="3" text="NA VALIDADE">
      <formula>NOT(ISERROR(SEARCH("NA VALIDADE",A3)))</formula>
    </cfRule>
    <cfRule type="containsText" priority="7" operator="containsText" dxfId="2" text="VENCIDO">
      <formula>NOT(ISERROR(SEARCH("VENCIDO",A3)))</formula>
    </cfRule>
  </conditionalFormatting>
  <conditionalFormatting sqref="A2:B2">
    <cfRule type="containsText" priority="8" operator="containsText" dxfId="8" text="ENVIADO">
      <formula>NOT(ISERROR(SEARCH("ENVIADO",A2)))</formula>
    </cfRule>
    <cfRule type="cellIs" priority="9" operator="equal" dxfId="7">
      <formula>#REF!</formula>
    </cfRule>
    <cfRule type="cellIs" priority="10" operator="equal" dxfId="6">
      <formula>#REF!</formula>
    </cfRule>
    <cfRule type="cellIs" priority="11" operator="equal" dxfId="5">
      <formula>#REF!</formula>
    </cfRule>
    <cfRule type="cellIs" priority="12" operator="equal" dxfId="4">
      <formula>#REF!</formula>
    </cfRule>
  </conditionalFormatting>
  <conditionalFormatting sqref="B3:B5">
    <cfRule type="containsText" priority="3" operator="containsText" dxfId="3" text="NA VALIDADE">
      <formula>NOT(ISERROR(SEARCH("NA VALIDADE",B3)))</formula>
    </cfRule>
    <cfRule type="containsText" priority="4" operator="containsText" dxfId="2" text="VENCIDO">
      <formula>NOT(ISERROR(SEARCH("VENCIDO",B3)))</formula>
    </cfRule>
  </conditionalFormatting>
  <conditionalFormatting sqref="J3:AK6">
    <cfRule type="cellIs" priority="2" operator="greaterThan" dxfId="1">
      <formula>0</formula>
    </cfRule>
  </conditionalFormatting>
  <conditionalFormatting sqref="J7:AK7">
    <cfRule type="cellIs" priority="13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5" fitToHeight="0" horizontalDpi="300" verticalDpi="300"/>
  <drawing r:id="rIdDrw1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8" filterMode="1">
    <tabColor rgb="FFC55A11"/>
    <outlinePr summaryBelow="1" summaryRight="1"/>
    <pageSetUpPr fitToPage="1"/>
  </sheetPr>
  <dimension ref="A1:AK12"/>
  <sheetViews>
    <sheetView view="pageBreakPreview" zoomScale="80" zoomScaleNormal="110" zoomScalePageLayoutView="80" workbookViewId="0">
      <selection activeCell="AG15" sqref="AG15"/>
    </sheetView>
  </sheetViews>
  <sheetFormatPr baseColWidth="8" defaultColWidth="8.7109375" defaultRowHeight="15"/>
  <cols>
    <col width="12.42578125" customWidth="1" min="1" max="1"/>
    <col width="11.5703125" customWidth="1" min="2" max="2"/>
    <col width="13.140625" customWidth="1" min="3" max="3"/>
    <col width="40.42578125" customWidth="1" min="4" max="4"/>
    <col width="29.42578125" customWidth="1" min="5" max="5"/>
    <col width="3.85546875" customWidth="1" min="6" max="6"/>
    <col width="28.5703125" customWidth="1" min="7" max="7"/>
    <col width="13.5703125" customWidth="1" min="8" max="8"/>
    <col width="12.85546875" customWidth="1" min="9" max="9"/>
    <col width="11.85546875" customWidth="1" min="36" max="36"/>
    <col hidden="1" width="15.5703125" customWidth="1" min="37" max="37"/>
  </cols>
  <sheetData>
    <row r="1" ht="48.75" customHeight="1">
      <c r="A1" s="122">
        <f>TODAY()</f>
        <v/>
      </c>
      <c r="B1" s="122">
        <f>TODAY()</f>
        <v/>
      </c>
      <c r="C1" s="48" t="n"/>
      <c r="D1" s="49">
        <f>SUBTOTAL(3,D3:D515)</f>
        <v/>
      </c>
      <c r="E1" s="51" t="inlineStr">
        <is>
          <t>MAPA:</t>
        </is>
      </c>
      <c r="F1" s="48" t="n"/>
      <c r="G1" s="48" t="n"/>
      <c r="H1" s="88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4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UF</t>
        </is>
      </c>
      <c r="G2" s="54" t="inlineStr">
        <is>
          <t>BASE DE ATENDIMENTO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30Kg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 hidden="1">
      <c r="A3" s="59" t="inlineStr">
        <is>
          <t>SIM</t>
        </is>
      </c>
      <c r="B3" s="59" t="inlineStr">
        <is>
          <t>NA VALIDADE</t>
        </is>
      </c>
      <c r="C3" s="60" t="inlineStr">
        <is>
          <t>SUBESTAÇÃO</t>
        </is>
      </c>
      <c r="D3" s="61" t="inlineStr">
        <is>
          <t>AFLUENTE T – SE BRUMADO II</t>
        </is>
      </c>
      <c r="E3" s="93" t="inlineStr">
        <is>
          <t>BRUMADO</t>
        </is>
      </c>
      <c r="F3" s="60" t="inlineStr">
        <is>
          <t>BA</t>
        </is>
      </c>
      <c r="G3" s="75" t="inlineStr">
        <is>
          <t>VITÓRIA DA CONQUISTA</t>
        </is>
      </c>
      <c r="H3" s="119" t="n">
        <v>45597</v>
      </c>
      <c r="I3" s="119" t="n">
        <v>45417</v>
      </c>
      <c r="J3" s="60" t="n">
        <v>17</v>
      </c>
      <c r="K3" s="60" t="n">
        <v>0</v>
      </c>
      <c r="L3" s="60" t="n"/>
      <c r="M3" s="60" t="n"/>
      <c r="N3" s="60" t="n"/>
      <c r="O3" s="60" t="n">
        <v>2</v>
      </c>
      <c r="P3" s="60" t="n"/>
      <c r="Q3" s="60" t="n">
        <v>6</v>
      </c>
      <c r="R3" s="60" t="n">
        <v>1</v>
      </c>
      <c r="S3" s="60" t="n"/>
      <c r="T3" s="60" t="n">
        <v>2</v>
      </c>
      <c r="U3" s="60" t="n"/>
      <c r="V3" s="60" t="n"/>
      <c r="W3" s="60" t="n"/>
      <c r="X3" s="60" t="n"/>
      <c r="Y3" s="60" t="n"/>
      <c r="Z3" s="60" t="n"/>
      <c r="AA3" s="60" t="n">
        <v>4</v>
      </c>
      <c r="AB3" s="60" t="n">
        <v>2</v>
      </c>
      <c r="AC3" s="60" t="n"/>
      <c r="AD3" s="60" t="n"/>
      <c r="AE3" s="60" t="n"/>
      <c r="AF3" s="60" t="n"/>
      <c r="AG3" s="60" t="n"/>
      <c r="AH3" s="60" t="n"/>
      <c r="AI3" s="60" t="n"/>
      <c r="AJ3" s="60" t="n"/>
      <c r="AK3" s="120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 hidden="1">
      <c r="A4" s="59" t="n"/>
      <c r="B4" s="59" t="inlineStr">
        <is>
          <t>NA VALIDADE</t>
        </is>
      </c>
      <c r="C4" s="60" t="inlineStr">
        <is>
          <t>SUBESTAÇÃO</t>
        </is>
      </c>
      <c r="D4" s="61" t="inlineStr">
        <is>
          <t>AFLUENTE T – SE ITAGIBÁ</t>
        </is>
      </c>
      <c r="E4" s="93" t="inlineStr">
        <is>
          <t>ITAGIBÁ</t>
        </is>
      </c>
      <c r="F4" s="60" t="inlineStr">
        <is>
          <t>BA</t>
        </is>
      </c>
      <c r="G4" s="75" t="inlineStr">
        <is>
          <t>ILHÉUS</t>
        </is>
      </c>
      <c r="H4" s="119" t="n">
        <v>45536</v>
      </c>
      <c r="I4" s="119" t="n">
        <v>45356</v>
      </c>
      <c r="J4" s="60" t="n">
        <v>9</v>
      </c>
      <c r="K4" s="60" t="n">
        <v>0</v>
      </c>
      <c r="L4" s="60" t="n"/>
      <c r="M4" s="60" t="n"/>
      <c r="N4" s="60" t="n"/>
      <c r="O4" s="60" t="n"/>
      <c r="P4" s="60" t="n"/>
      <c r="Q4" s="60" t="n"/>
      <c r="R4" s="60" t="n"/>
      <c r="S4" s="60" t="n"/>
      <c r="T4" s="60" t="n"/>
      <c r="U4" s="60" t="n"/>
      <c r="V4" s="60" t="n">
        <v>3</v>
      </c>
      <c r="W4" s="60" t="n"/>
      <c r="X4" s="60" t="n"/>
      <c r="Y4" s="60" t="n"/>
      <c r="Z4" s="60" t="n"/>
      <c r="AA4" s="60" t="n">
        <v>2</v>
      </c>
      <c r="AB4" s="60" t="n"/>
      <c r="AC4" s="60" t="n">
        <v>4</v>
      </c>
      <c r="AD4" s="60" t="n"/>
      <c r="AE4" s="60" t="n"/>
      <c r="AF4" s="60" t="n"/>
      <c r="AG4" s="60" t="n"/>
      <c r="AH4" s="60" t="n"/>
      <c r="AI4" s="60" t="n"/>
      <c r="AJ4" s="60" t="n"/>
      <c r="AK4" s="120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/>
      </c>
    </row>
    <row r="5">
      <c r="A5" s="59" t="n"/>
      <c r="B5" s="59" t="inlineStr">
        <is>
          <t>NA VALIDADE</t>
        </is>
      </c>
      <c r="C5" s="60" t="inlineStr">
        <is>
          <t>SUBESTAÇÃO</t>
        </is>
      </c>
      <c r="D5" s="61" t="inlineStr">
        <is>
          <t>AFLUENTE T – SE TOMBA</t>
        </is>
      </c>
      <c r="E5" s="93" t="inlineStr">
        <is>
          <t>FEIRA DE SANTANA</t>
        </is>
      </c>
      <c r="F5" s="60" t="inlineStr">
        <is>
          <t>BA</t>
        </is>
      </c>
      <c r="G5" s="75" t="inlineStr">
        <is>
          <t>FEIRA DE  SANTANA</t>
        </is>
      </c>
      <c r="H5" s="119" t="n">
        <v>45413</v>
      </c>
      <c r="I5" s="119" t="n">
        <v>45413</v>
      </c>
      <c r="J5" s="60" t="n">
        <v>18</v>
      </c>
      <c r="K5" s="60" t="n">
        <v>0</v>
      </c>
      <c r="L5" s="60" t="n"/>
      <c r="M5" s="60" t="n"/>
      <c r="N5" s="60" t="n"/>
      <c r="O5" s="60" t="n">
        <v>3</v>
      </c>
      <c r="P5" s="60" t="n"/>
      <c r="Q5" s="60" t="n">
        <v>3</v>
      </c>
      <c r="R5" s="60" t="n"/>
      <c r="S5" s="60" t="n"/>
      <c r="T5" s="60" t="n"/>
      <c r="U5" s="60" t="n"/>
      <c r="V5" s="60" t="n">
        <v>2</v>
      </c>
      <c r="W5" s="60" t="n"/>
      <c r="X5" s="60" t="n"/>
      <c r="Y5" s="60" t="n"/>
      <c r="Z5" s="60" t="n"/>
      <c r="AA5" s="60" t="n">
        <v>10</v>
      </c>
      <c r="AB5" s="60" t="n"/>
      <c r="AC5" s="60" t="n"/>
      <c r="AD5" s="60" t="n"/>
      <c r="AE5" s="60" t="n"/>
      <c r="AF5" s="60" t="n"/>
      <c r="AG5" s="60" t="n"/>
      <c r="AH5" s="60" t="n"/>
      <c r="AI5" s="60" t="n"/>
      <c r="AJ5" s="60" t="n"/>
      <c r="AK5" s="120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/>
      </c>
    </row>
    <row r="6">
      <c r="A6" s="59" t="n"/>
      <c r="B6" s="59" t="inlineStr">
        <is>
          <t>NA VALIDADE</t>
        </is>
      </c>
      <c r="C6" s="60" t="inlineStr">
        <is>
          <t>SUBESTAÇÃO</t>
        </is>
      </c>
      <c r="D6" s="61" t="inlineStr">
        <is>
          <t>AFLUENTE T – SE FORD</t>
        </is>
      </c>
      <c r="E6" s="93" t="inlineStr">
        <is>
          <t>FEIRA DE SANTANA</t>
        </is>
      </c>
      <c r="F6" s="60" t="inlineStr">
        <is>
          <t>BA</t>
        </is>
      </c>
      <c r="G6" s="75" t="inlineStr">
        <is>
          <t>FEIRA DE  SANTANA</t>
        </is>
      </c>
      <c r="H6" s="119" t="n">
        <v>45352</v>
      </c>
      <c r="I6" s="119" t="n">
        <v>45352</v>
      </c>
      <c r="J6" s="60" t="n">
        <v>2</v>
      </c>
      <c r="K6" s="60" t="n">
        <v>0</v>
      </c>
      <c r="L6" s="60" t="n"/>
      <c r="M6" s="60" t="n"/>
      <c r="N6" s="60" t="n"/>
      <c r="O6" s="60" t="n"/>
      <c r="P6" s="60" t="n"/>
      <c r="Q6" s="60" t="n">
        <v>1</v>
      </c>
      <c r="R6" s="60" t="n"/>
      <c r="S6" s="60" t="n"/>
      <c r="T6" s="60" t="n"/>
      <c r="U6" s="60" t="n"/>
      <c r="V6" s="60" t="n"/>
      <c r="W6" s="60" t="n"/>
      <c r="X6" s="60" t="n"/>
      <c r="Y6" s="60" t="n"/>
      <c r="Z6" s="60" t="n"/>
      <c r="AA6" s="60" t="n">
        <v>1</v>
      </c>
      <c r="AB6" s="60" t="n"/>
      <c r="AC6" s="60" t="n"/>
      <c r="AD6" s="60" t="n"/>
      <c r="AE6" s="60" t="n"/>
      <c r="AF6" s="60" t="n"/>
      <c r="AG6" s="60" t="n"/>
      <c r="AH6" s="60" t="n"/>
      <c r="AI6" s="60" t="n"/>
      <c r="AJ6" s="60" t="n"/>
      <c r="AK6" s="120">
        <f>IF(L6&gt;0,L6*(82.29+8.15),0)+IF(M6&gt;0,M6*(8.15+339.97),0)+IF(N6&gt;0,N6*151.63,0)+IF(O6&gt;0,O6*197.82,0)+IF(P6&gt;0,P6*244.09,0)+IF(Q6&gt;0,Q6*315.35,0)+IF(R6&gt;0,R6*1067.3,0)+IF(T6&gt;0,T6*567.47,0)+IF(U6&gt;0,U6*151.63,0)+IF(V6&gt;0,V6*197.84,0)+IF(W6&gt;0,W6*470.51,0)+IF(X6&gt;0,X6*701.69,0)+IF(Z6&gt;0,Z6*151.63,0)+IF(AA6&gt;0,AA6*197.84)+IF(AB6&gt;0,AB6*308.4,0)+IF(AC6&gt;0,AC6*496.16,0)</f>
        <v/>
      </c>
    </row>
    <row r="7" hidden="1">
      <c r="A7" s="59" t="inlineStr">
        <is>
          <t>SIM</t>
        </is>
      </c>
      <c r="B7" s="59" t="inlineStr">
        <is>
          <t>NA VALIDADE</t>
        </is>
      </c>
      <c r="C7" s="60" t="inlineStr">
        <is>
          <t>SUBESTAÇÃO</t>
        </is>
      </c>
      <c r="D7" s="61" t="inlineStr">
        <is>
          <t>NARANDIBA – SE EXTREMOZ II</t>
        </is>
      </c>
      <c r="E7" s="93" t="inlineStr">
        <is>
          <t>SÃO GONÇALO DO AMARANTE</t>
        </is>
      </c>
      <c r="F7" s="60" t="inlineStr">
        <is>
          <t>RN</t>
        </is>
      </c>
      <c r="G7" s="75" t="inlineStr">
        <is>
          <t>NATAL</t>
        </is>
      </c>
      <c r="H7" s="119" t="n">
        <v>45323</v>
      </c>
      <c r="I7" s="119" t="n">
        <v>45323</v>
      </c>
      <c r="J7" s="60" t="n">
        <v>11</v>
      </c>
      <c r="K7" s="60" t="n">
        <v>0</v>
      </c>
      <c r="L7" s="60" t="n">
        <v>1</v>
      </c>
      <c r="M7" s="60" t="n"/>
      <c r="N7" s="60" t="n">
        <v>1</v>
      </c>
      <c r="O7" s="60" t="n">
        <v>1</v>
      </c>
      <c r="P7" s="60" t="n"/>
      <c r="Q7" s="60" t="n"/>
      <c r="R7" s="60" t="n"/>
      <c r="S7" s="60" t="n"/>
      <c r="T7" s="60" t="n">
        <v>4</v>
      </c>
      <c r="U7" s="60" t="n"/>
      <c r="V7" s="60" t="n">
        <v>3</v>
      </c>
      <c r="W7" s="60" t="n"/>
      <c r="X7" s="60" t="n"/>
      <c r="Y7" s="60" t="n"/>
      <c r="Z7" s="60" t="n"/>
      <c r="AA7" s="60" t="n">
        <v>1</v>
      </c>
      <c r="AB7" s="60" t="n"/>
      <c r="AC7" s="60" t="n"/>
      <c r="AD7" s="60" t="n"/>
      <c r="AE7" s="60" t="n"/>
      <c r="AF7" s="60" t="n"/>
      <c r="AG7" s="60" t="n"/>
      <c r="AH7" s="60" t="n"/>
      <c r="AI7" s="60" t="n"/>
      <c r="AJ7" s="60" t="n"/>
      <c r="AK7" s="120">
        <f>IF(L7&gt;0,L7*(82.29+8.15),0)+IF(M7&gt;0,M7*(8.15+339.97),0)+IF(N7&gt;0,N7*151.63,0)+IF(O7&gt;0,O7*197.82,0)+IF(P7&gt;0,P7*244.09,0)+IF(Q7&gt;0,Q7*315.35,0)+IF(R7&gt;0,R7*1067.3,0)+IF(T7&gt;0,T7*567.47,0)+IF(U7&gt;0,U7*151.63,0)+IF(V7&gt;0,V7*197.84,0)+IF(W7&gt;0,W7*470.51,0)+IF(X7&gt;0,X7*701.69,0)+IF(Z7&gt;0,Z7*151.63,0)+IF(AA7&gt;0,AA7*197.84)+IF(AB7&gt;0,AB7*308.4,0)+IF(AC7&gt;0,AC7*496.16,0)</f>
        <v/>
      </c>
    </row>
    <row r="8">
      <c r="A8" s="59" t="n"/>
      <c r="B8" s="59" t="inlineStr">
        <is>
          <t>NA VALIDADE</t>
        </is>
      </c>
      <c r="C8" s="60" t="inlineStr">
        <is>
          <t>SUBESTAÇÃO</t>
        </is>
      </c>
      <c r="D8" s="61" t="inlineStr">
        <is>
          <t>NARANDIBA – SE NARANDIBA</t>
        </is>
      </c>
      <c r="E8" s="93" t="inlineStr">
        <is>
          <t>SALVADOR</t>
        </is>
      </c>
      <c r="F8" s="60" t="inlineStr">
        <is>
          <t>BA</t>
        </is>
      </c>
      <c r="G8" s="75" t="inlineStr">
        <is>
          <t>FEIRA DE  SANTANA</t>
        </is>
      </c>
      <c r="H8" s="119" t="n">
        <v>45323</v>
      </c>
      <c r="I8" s="119" t="n">
        <v>45323</v>
      </c>
      <c r="J8" s="60" t="n">
        <v>12</v>
      </c>
      <c r="K8" s="60" t="n">
        <v>0</v>
      </c>
      <c r="L8" s="60" t="n"/>
      <c r="M8" s="60" t="n"/>
      <c r="N8" s="60" t="n"/>
      <c r="O8" s="60" t="n"/>
      <c r="P8" s="60" t="n">
        <v>1</v>
      </c>
      <c r="Q8" s="60" t="n">
        <v>3</v>
      </c>
      <c r="R8" s="60" t="n"/>
      <c r="S8" s="60" t="n"/>
      <c r="T8" s="60" t="n">
        <v>2</v>
      </c>
      <c r="U8" s="60" t="n"/>
      <c r="V8" s="60" t="n"/>
      <c r="W8" s="60" t="n"/>
      <c r="X8" s="60" t="n"/>
      <c r="Y8" s="60" t="n"/>
      <c r="Z8" s="60" t="n">
        <v>4</v>
      </c>
      <c r="AA8" s="60" t="n">
        <v>2</v>
      </c>
      <c r="AB8" s="60" t="n"/>
      <c r="AC8" s="60" t="n"/>
      <c r="AD8" s="60" t="n"/>
      <c r="AE8" s="60" t="n"/>
      <c r="AF8" s="60" t="n"/>
      <c r="AG8" s="60" t="n"/>
      <c r="AH8" s="60" t="n"/>
      <c r="AI8" s="60" t="n"/>
      <c r="AJ8" s="60" t="n"/>
      <c r="AK8" s="120">
        <f>IF(L8&gt;0,L8*(82.29+8.15),0)+IF(M8&gt;0,M8*(8.15+339.97),0)+IF(N8&gt;0,N8*151.63,0)+IF(O8&gt;0,O8*197.82,0)+IF(P8&gt;0,P8*244.09,0)+IF(Q8&gt;0,Q8*315.35,0)+IF(R8&gt;0,R8*1067.3,0)+IF(T8&gt;0,T8*567.47,0)+IF(U8&gt;0,U8*151.63,0)+IF(V8&gt;0,V8*197.84,0)+IF(W8&gt;0,W8*470.51,0)+IF(X8&gt;0,X8*701.69,0)+IF(Z8&gt;0,Z8*151.63,0)+IF(AA8&gt;0,AA8*197.84)+IF(AB8&gt;0,AB8*308.4,0)+IF(AC8&gt;0,AC8*496.16,0)</f>
        <v/>
      </c>
    </row>
    <row r="9" hidden="1">
      <c r="A9" s="59" t="n"/>
      <c r="B9" s="59" t="inlineStr">
        <is>
          <t>VENCIDO</t>
        </is>
      </c>
      <c r="C9" s="60" t="inlineStr">
        <is>
          <t>SUBESTAÇÃO</t>
        </is>
      </c>
      <c r="D9" s="61" t="inlineStr">
        <is>
          <t>POTIGUAR SUL – SE CAMPINA GRANDE III</t>
        </is>
      </c>
      <c r="E9" s="93" t="inlineStr">
        <is>
          <t>CAMPINA GRANDE</t>
        </is>
      </c>
      <c r="F9" s="60" t="inlineStr">
        <is>
          <t>PB</t>
        </is>
      </c>
      <c r="G9" s="75" t="inlineStr">
        <is>
          <t>CABO DE SANTO AGOSTINHO</t>
        </is>
      </c>
      <c r="H9" s="119" t="n">
        <v>45292</v>
      </c>
      <c r="I9" s="119" t="n">
        <v>45292</v>
      </c>
      <c r="J9" s="60" t="n">
        <v>11</v>
      </c>
      <c r="K9" s="60" t="n">
        <v>0</v>
      </c>
      <c r="L9" s="60" t="n"/>
      <c r="M9" s="60" t="n"/>
      <c r="N9" s="60" t="n"/>
      <c r="O9" s="60" t="n"/>
      <c r="P9" s="60" t="n"/>
      <c r="Q9" s="60" t="n">
        <v>3</v>
      </c>
      <c r="R9" s="60" t="n"/>
      <c r="S9" s="60" t="n"/>
      <c r="T9" s="60" t="n">
        <v>3</v>
      </c>
      <c r="U9" s="60" t="n"/>
      <c r="V9" s="60" t="n">
        <v>1</v>
      </c>
      <c r="W9" s="60" t="n"/>
      <c r="X9" s="60" t="n"/>
      <c r="Y9" s="60" t="n"/>
      <c r="Z9" s="60" t="n"/>
      <c r="AA9" s="60" t="n">
        <v>4</v>
      </c>
      <c r="AB9" s="60" t="n"/>
      <c r="AC9" s="60" t="n"/>
      <c r="AD9" s="60" t="n"/>
      <c r="AE9" s="60" t="n"/>
      <c r="AF9" s="60" t="n"/>
      <c r="AG9" s="60" t="n"/>
      <c r="AH9" s="60" t="n"/>
      <c r="AI9" s="60" t="n"/>
      <c r="AJ9" s="60" t="n"/>
      <c r="AK9" s="120">
        <f>IF(L9&gt;0,L9*(82.29+8.15),0)+IF(M9&gt;0,M9*(8.15+339.97),0)+IF(N9&gt;0,N9*151.63,0)+IF(O9&gt;0,O9*197.82,0)+IF(P9&gt;0,P9*244.09,0)+IF(Q9&gt;0,Q9*315.35,0)+IF(R9&gt;0,R9*1067.3,0)+IF(T9&gt;0,T9*567.47,0)+IF(U9&gt;0,U9*151.63,0)+IF(V9&gt;0,V9*197.84,0)+IF(W9&gt;0,W9*470.51,0)+IF(X9&gt;0,X9*701.69,0)+IF(Z9&gt;0,Z9*151.63,0)+IF(AA9&gt;0,AA9*197.84)+IF(AB9&gt;0,AB9*308.4,0)+IF(AC9&gt;0,AC9*496.16,0)</f>
        <v/>
      </c>
    </row>
    <row r="10" hidden="1">
      <c r="A10" s="59" t="n"/>
      <c r="B10" s="59" t="inlineStr">
        <is>
          <t>NA VALIDADE</t>
        </is>
      </c>
      <c r="C10" s="60" t="inlineStr">
        <is>
          <t>SUBESTAÇÃO</t>
        </is>
      </c>
      <c r="D10" s="61" t="inlineStr">
        <is>
          <t>POTIGUAR SUL – SE CEARÁ MIRIM II</t>
        </is>
      </c>
      <c r="E10" s="93" t="inlineStr">
        <is>
          <t>SÃO GONÇALO DO AMARANTE</t>
        </is>
      </c>
      <c r="F10" s="60" t="inlineStr">
        <is>
          <t>RN</t>
        </is>
      </c>
      <c r="G10" s="75" t="inlineStr">
        <is>
          <t>NATAL</t>
        </is>
      </c>
      <c r="H10" s="119" t="n">
        <v>45383</v>
      </c>
      <c r="I10" s="119" t="n">
        <v>45383</v>
      </c>
      <c r="J10" s="60" t="n">
        <v>7</v>
      </c>
      <c r="K10" s="60" t="n">
        <v>0</v>
      </c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>
        <v>4</v>
      </c>
      <c r="U10" s="60" t="n"/>
      <c r="V10" s="60" t="n"/>
      <c r="W10" s="60" t="n"/>
      <c r="X10" s="60" t="n"/>
      <c r="Y10" s="60" t="n"/>
      <c r="Z10" s="60" t="n"/>
      <c r="AA10" s="60" t="n">
        <v>3</v>
      </c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120">
        <f>IF(L10&gt;0,L10*(82.29+8.15),0)+IF(M10&gt;0,M10*(8.15+339.97),0)+IF(N10&gt;0,N10*151.63,0)+IF(O10&gt;0,O10*197.82,0)+IF(P10&gt;0,P10*244.09,0)+IF(Q10&gt;0,Q10*315.35,0)+IF(R10&gt;0,R10*1067.3,0)+IF(T10&gt;0,T10*567.47,0)+IF(U10&gt;0,U10*151.63,0)+IF(V10&gt;0,V10*197.84,0)+IF(W10&gt;0,W10*470.51,0)+IF(X10&gt;0,X10*701.69,0)+IF(Z10&gt;0,Z10*151.63,0)+IF(AA10&gt;0,AA10*197.84)+IF(AB10&gt;0,AB10*308.4,0)+IF(AC10&gt;0,AC10*496.16,0)</f>
        <v/>
      </c>
    </row>
    <row r="11" hidden="1">
      <c r="A11" s="59" t="n"/>
      <c r="B11" s="59" t="inlineStr">
        <is>
          <t>VENCIDO</t>
        </is>
      </c>
      <c r="C11" s="60" t="inlineStr">
        <is>
          <t>SUBESTAÇÃO</t>
        </is>
      </c>
      <c r="D11" s="61" t="inlineStr">
        <is>
          <t>SUBESTAÇÃO SOBRAL III</t>
        </is>
      </c>
      <c r="E11" s="93" t="inlineStr">
        <is>
          <t>SOBRAL</t>
        </is>
      </c>
      <c r="F11" s="60" t="inlineStr">
        <is>
          <t>CE</t>
        </is>
      </c>
      <c r="G11" s="75" t="inlineStr">
        <is>
          <t>NATAL</t>
        </is>
      </c>
      <c r="H11" s="119" t="n">
        <v>45292</v>
      </c>
      <c r="I11" s="119" t="n">
        <v>45292</v>
      </c>
      <c r="J11" s="60" t="n">
        <v>16</v>
      </c>
      <c r="K11" s="60" t="n">
        <v>0</v>
      </c>
      <c r="L11" s="60" t="n"/>
      <c r="M11" s="60" t="n"/>
      <c r="N11" s="60" t="n"/>
      <c r="O11" s="60" t="n">
        <v>10</v>
      </c>
      <c r="P11" s="60" t="n"/>
      <c r="Q11" s="60" t="n"/>
      <c r="R11" s="60" t="n"/>
      <c r="S11" s="60" t="n"/>
      <c r="T11" s="60" t="n">
        <v>3</v>
      </c>
      <c r="U11" s="60" t="n"/>
      <c r="V11" s="60" t="n"/>
      <c r="W11" s="60" t="n"/>
      <c r="X11" s="60" t="n"/>
      <c r="Y11" s="60" t="n"/>
      <c r="Z11" s="60" t="n"/>
      <c r="AA11" s="60" t="n">
        <v>3</v>
      </c>
      <c r="AB11" s="60" t="n"/>
      <c r="AC11" s="60" t="n"/>
      <c r="AD11" s="60" t="n"/>
      <c r="AE11" s="60" t="n"/>
      <c r="AF11" s="60" t="n"/>
      <c r="AG11" s="60" t="n"/>
      <c r="AH11" s="60" t="n"/>
      <c r="AI11" s="60" t="n"/>
      <c r="AJ11" s="60" t="n"/>
      <c r="AK11" s="120">
        <f>IF(L11&gt;0,L11*(82.29+8.15),0)+IF(M11&gt;0,M11*(8.15+339.97),0)+IF(N11&gt;0,N11*151.63,0)+IF(O11&gt;0,O11*197.82,0)+IF(P11&gt;0,P11*244.09,0)+IF(Q11&gt;0,Q11*315.35,0)+IF(R11&gt;0,R11*1067.3,0)+IF(T11&gt;0,T11*567.47,0)+IF(U11&gt;0,U11*151.63,0)+IF(V11&gt;0,V11*197.84,0)+IF(W11&gt;0,W11*470.51,0)+IF(X11&gt;0,X11*701.69,0)+IF(Z11&gt;0,Z11*151.63,0)+IF(AA11&gt;0,AA11*197.84)+IF(AB11&gt;0,AB11*308.4,0)+IF(AC11&gt;0,AC11*496.16,0)</f>
        <v/>
      </c>
    </row>
    <row r="12" ht="15.75" customHeight="1">
      <c r="A12" s="61" t="n"/>
      <c r="B12" s="61" t="n"/>
      <c r="C12" s="61" t="n"/>
      <c r="D12" s="61" t="n"/>
      <c r="E12" s="61" t="n"/>
      <c r="F12" s="61" t="n"/>
      <c r="G12" s="61" t="n"/>
      <c r="H12" s="119" t="n"/>
      <c r="I12" s="124" t="inlineStr">
        <is>
          <t>TOTAL</t>
        </is>
      </c>
      <c r="J12" s="79">
        <f>SUBTOTAL(109,J3:J11)</f>
        <v/>
      </c>
      <c r="K12" s="79">
        <f>SUBTOTAL(109,K3:K11)</f>
        <v/>
      </c>
      <c r="L12" s="79">
        <f>SUBTOTAL(109,L3:L11)</f>
        <v/>
      </c>
      <c r="M12" s="79">
        <f>SUBTOTAL(109,M3:M11)</f>
        <v/>
      </c>
      <c r="N12" s="79">
        <f>SUBTOTAL(109,N3:N11)</f>
        <v/>
      </c>
      <c r="O12" s="79">
        <f>SUBTOTAL(109,O3:O11)</f>
        <v/>
      </c>
      <c r="P12" s="79">
        <f>SUBTOTAL(109,P3:P11)</f>
        <v/>
      </c>
      <c r="Q12" s="79">
        <f>SUBTOTAL(109,Q3:Q11)</f>
        <v/>
      </c>
      <c r="R12" s="79">
        <f>SUBTOTAL(109,R3:R11)</f>
        <v/>
      </c>
      <c r="S12" s="79" t="n"/>
      <c r="T12" s="79">
        <f>SUBTOTAL(109,T3:T11)</f>
        <v/>
      </c>
      <c r="U12" s="79">
        <f>SUBTOTAL(109,U3:U11)</f>
        <v/>
      </c>
      <c r="V12" s="79">
        <f>SUBTOTAL(109,V3:V11)</f>
        <v/>
      </c>
      <c r="W12" s="79">
        <f>SUBTOTAL(109,W3:W11)</f>
        <v/>
      </c>
      <c r="X12" s="79">
        <f>SUBTOTAL(109,X3:X11)</f>
        <v/>
      </c>
      <c r="Y12" s="79">
        <f>SUBTOTAL(109,Y3:Y11)</f>
        <v/>
      </c>
      <c r="Z12" s="79">
        <f>SUBTOTAL(109,Z3:Z11)</f>
        <v/>
      </c>
      <c r="AA12" s="79">
        <f>SUBTOTAL(109,AA3:AA11)</f>
        <v/>
      </c>
      <c r="AB12" s="79">
        <f>SUBTOTAL(109,AB3:AB11)</f>
        <v/>
      </c>
      <c r="AC12" s="79">
        <f>SUBTOTAL(109,AC3:AC11)</f>
        <v/>
      </c>
      <c r="AD12" s="79">
        <f>SUBTOTAL(109,AD3:AD11)</f>
        <v/>
      </c>
      <c r="AE12" s="79">
        <f>SUBTOTAL(109,AE3:AE11)</f>
        <v/>
      </c>
      <c r="AF12" s="79">
        <f>SUBTOTAL(109,AF3:AF11)</f>
        <v/>
      </c>
      <c r="AG12" s="79">
        <f>SUBTOTAL(109,AG3:AG11)</f>
        <v/>
      </c>
      <c r="AH12" s="79">
        <f>SUBTOTAL(109,AH3:AH11)</f>
        <v/>
      </c>
      <c r="AI12" s="79">
        <f>SUBTOTAL(109,AI3:AI11)</f>
        <v/>
      </c>
      <c r="AJ12" s="79" t="n"/>
      <c r="AK12" s="125">
        <f>SUBTOTAL(109,AK3:AK11)</f>
        <v/>
      </c>
    </row>
  </sheetData>
  <autoFilter ref="A2:AK11">
    <filterColumn colId="6" hiddenButton="0" showButton="1">
      <filters>
        <filter val="FEIRA DE  SANTANA"/>
      </filters>
    </filterColumn>
  </autoFilter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12">
    <cfRule type="cellIs" priority="6" operator="equal" dxfId="4">
      <formula>"SIM"</formula>
    </cfRule>
  </conditionalFormatting>
  <conditionalFormatting sqref="A3:A11">
    <cfRule type="containsText" priority="7" operator="containsText" dxfId="3" text="NA VALIDADE">
      <formula>NOT(ISERROR(SEARCH("NA VALIDADE",A3)))</formula>
    </cfRule>
    <cfRule type="containsText" priority="8" operator="containsText" dxfId="2" text="VENCIDO">
      <formula>NOT(ISERROR(SEARCH("VENCIDO",A3)))</formula>
    </cfRule>
  </conditionalFormatting>
  <conditionalFormatting sqref="A2:B2">
    <cfRule type="containsText" priority="9" operator="containsText" dxfId="8" text="ENVIADO">
      <formula>NOT(ISERROR(SEARCH("ENVIADO",A2)))</formula>
    </cfRule>
    <cfRule type="cellIs" priority="10" operator="equal" dxfId="7">
      <formula>#REF!</formula>
    </cfRule>
    <cfRule type="cellIs" priority="11" operator="equal" dxfId="6">
      <formula>#REF!</formula>
    </cfRule>
    <cfRule type="cellIs" priority="12" operator="equal" dxfId="5">
      <formula>#REF!</formula>
    </cfRule>
    <cfRule type="cellIs" priority="13" operator="equal" dxfId="4">
      <formula>#REF!</formula>
    </cfRule>
  </conditionalFormatting>
  <conditionalFormatting sqref="B3:B11">
    <cfRule type="containsText" priority="4" operator="containsText" dxfId="3" text="NA VALIDADE">
      <formula>NOT(ISERROR(SEARCH("NA VALIDADE",B3)))</formula>
    </cfRule>
    <cfRule type="containsText" priority="5" operator="containsText" dxfId="2" text="VENCIDO">
      <formula>NOT(ISERROR(SEARCH("VENCIDO",B3)))</formula>
    </cfRule>
  </conditionalFormatting>
  <conditionalFormatting sqref="J3:AK11">
    <cfRule type="cellIs" priority="2" operator="greaterThan" dxfId="1">
      <formula>0</formula>
    </cfRule>
  </conditionalFormatting>
  <conditionalFormatting sqref="J12:AK12">
    <cfRule type="cellIs" priority="3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2" fitToHeight="0" horizontalDpi="300" verticalDpi="300"/>
  <drawing r:id="rIdDrw1"/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9">
    <tabColor rgb="FFC55A11"/>
    <outlinePr summaryBelow="1" summaryRight="1"/>
    <pageSetUpPr fitToPage="1"/>
  </sheetPr>
  <dimension ref="A1:AK5"/>
  <sheetViews>
    <sheetView view="pageBreakPreview" zoomScale="80" zoomScaleNormal="100" zoomScalePageLayoutView="80" workbookViewId="0">
      <selection activeCell="AG15" sqref="AG15"/>
    </sheetView>
  </sheetViews>
  <sheetFormatPr baseColWidth="8" defaultColWidth="8.7109375" defaultRowHeight="15"/>
  <cols>
    <col width="12.42578125" customWidth="1" min="1" max="1"/>
    <col width="11.5703125" customWidth="1" min="2" max="2"/>
    <col width="10.85546875" customWidth="1" min="3" max="3"/>
    <col width="24.42578125" customWidth="1" min="4" max="4"/>
    <col width="16.42578125" customWidth="1" min="5" max="5"/>
    <col width="3.5703125" customWidth="1" min="6" max="6"/>
    <col width="23.5703125" customWidth="1" min="7" max="7"/>
    <col width="13.42578125" customWidth="1" min="8" max="8"/>
    <col width="13.5703125" customWidth="1" min="9" max="9"/>
    <col width="11.85546875" customWidth="1" min="36" max="36"/>
    <col hidden="1" width="15.5703125" customWidth="1" min="37" max="37"/>
  </cols>
  <sheetData>
    <row r="1" ht="48.75" customHeight="1">
      <c r="A1" s="122">
        <f>TODAY()</f>
        <v/>
      </c>
      <c r="B1" s="122">
        <f>TODAY()</f>
        <v/>
      </c>
      <c r="C1" s="48" t="n"/>
      <c r="D1" s="49">
        <f>SUBTOTAL(3,D3:D517)</f>
        <v/>
      </c>
      <c r="E1" s="51" t="inlineStr">
        <is>
          <t>MAPA:</t>
        </is>
      </c>
      <c r="F1" s="48" t="n"/>
      <c r="G1" s="48" t="n"/>
      <c r="H1" s="88" t="inlineStr">
        <is>
          <t>CLIENTE:</t>
        </is>
      </c>
      <c r="I1" s="53" t="n"/>
      <c r="J1" s="5" t="inlineStr">
        <is>
          <t>TOTAL</t>
        </is>
      </c>
      <c r="K1" s="117" t="n"/>
      <c r="L1" s="4" t="inlineStr">
        <is>
          <t xml:space="preserve">Extintor de Água </t>
        </is>
      </c>
      <c r="M1" s="117" t="n"/>
      <c r="N1" s="3" t="inlineStr">
        <is>
          <t>Extintor de Pó Quimico</t>
        </is>
      </c>
      <c r="O1" s="118" t="n"/>
      <c r="P1" s="118" t="n"/>
      <c r="Q1" s="118" t="n"/>
      <c r="R1" s="118" t="n"/>
      <c r="S1" s="118" t="n"/>
      <c r="T1" s="117" t="n"/>
      <c r="U1" s="2" t="inlineStr">
        <is>
          <t>Extintor ABC</t>
        </is>
      </c>
      <c r="V1" s="118" t="n"/>
      <c r="W1" s="118" t="n"/>
      <c r="X1" s="118" t="n"/>
      <c r="Y1" s="117" t="n"/>
      <c r="Z1" s="1" t="inlineStr">
        <is>
          <t>Extintor de CO2</t>
        </is>
      </c>
      <c r="AA1" s="118" t="n"/>
      <c r="AB1" s="118" t="n"/>
      <c r="AC1" s="117" t="n"/>
      <c r="AD1" s="98" t="inlineStr">
        <is>
          <t>ESPUMA</t>
        </is>
      </c>
      <c r="AE1" s="117" t="n"/>
      <c r="AF1" s="99" t="inlineStr">
        <is>
          <t>Mangueiras</t>
        </is>
      </c>
      <c r="AG1" s="118" t="n"/>
      <c r="AH1" s="118" t="n"/>
      <c r="AI1" s="118" t="n"/>
      <c r="AJ1" s="118" t="n"/>
      <c r="AK1" s="117" t="n"/>
    </row>
    <row r="2" ht="45" customHeight="1">
      <c r="A2" s="54" t="inlineStr">
        <is>
          <t>ATENDIDO ?</t>
        </is>
      </c>
      <c r="B2" s="54" t="inlineStr">
        <is>
          <t>STATUS</t>
        </is>
      </c>
      <c r="C2" s="54" t="inlineStr">
        <is>
          <t>ID CLIENTE</t>
        </is>
      </c>
      <c r="D2" s="54" t="inlineStr">
        <is>
          <t>SITE</t>
        </is>
      </c>
      <c r="E2" s="54" t="inlineStr">
        <is>
          <t>CIDADE</t>
        </is>
      </c>
      <c r="F2" s="54" t="inlineStr">
        <is>
          <t>UF</t>
        </is>
      </c>
      <c r="G2" s="54" t="inlineStr">
        <is>
          <t>BASE DE ATENDIMENTO</t>
        </is>
      </c>
      <c r="H2" s="54" t="inlineStr">
        <is>
          <t>VENCIMENTO</t>
        </is>
      </c>
      <c r="I2" s="54" t="inlineStr">
        <is>
          <t>PESAGEM</t>
        </is>
      </c>
      <c r="J2" s="55" t="inlineStr">
        <is>
          <t xml:space="preserve"> EXTINTORES</t>
        </is>
      </c>
      <c r="K2" s="55" t="inlineStr">
        <is>
          <t>MANGUEIRAS</t>
        </is>
      </c>
      <c r="L2" s="56" t="inlineStr">
        <is>
          <t>10L</t>
        </is>
      </c>
      <c r="M2" s="56" t="inlineStr">
        <is>
          <t>75L</t>
        </is>
      </c>
      <c r="N2" s="56" t="inlineStr">
        <is>
          <t>4Kg</t>
        </is>
      </c>
      <c r="O2" s="56" t="inlineStr">
        <is>
          <t>6Kg</t>
        </is>
      </c>
      <c r="P2" s="56" t="inlineStr">
        <is>
          <t>8Kg</t>
        </is>
      </c>
      <c r="Q2" s="56" t="inlineStr">
        <is>
          <t>12Kg</t>
        </is>
      </c>
      <c r="R2" s="56" t="inlineStr">
        <is>
          <t>20Kg</t>
        </is>
      </c>
      <c r="S2" s="56" t="inlineStr">
        <is>
          <t>30Kg</t>
        </is>
      </c>
      <c r="T2" s="56" t="inlineStr">
        <is>
          <t>50Kg</t>
        </is>
      </c>
      <c r="U2" s="56" t="inlineStr">
        <is>
          <t>4Kg</t>
        </is>
      </c>
      <c r="V2" s="56" t="inlineStr">
        <is>
          <t>6Kg</t>
        </is>
      </c>
      <c r="W2" s="56" t="inlineStr">
        <is>
          <t>8Kg</t>
        </is>
      </c>
      <c r="X2" s="56" t="inlineStr">
        <is>
          <t>12kg</t>
        </is>
      </c>
      <c r="Y2" s="56" t="inlineStr">
        <is>
          <t>20 KG</t>
        </is>
      </c>
      <c r="Z2" s="56" t="inlineStr">
        <is>
          <t>4Kg</t>
        </is>
      </c>
      <c r="AA2" s="56" t="inlineStr">
        <is>
          <t>6Kg</t>
        </is>
      </c>
      <c r="AB2" s="56" t="inlineStr">
        <is>
          <t>10Kg</t>
        </is>
      </c>
      <c r="AC2" s="56" t="inlineStr">
        <is>
          <t>25Kg</t>
        </is>
      </c>
      <c r="AD2" s="56" t="inlineStr">
        <is>
          <t>9 Lts</t>
        </is>
      </c>
      <c r="AE2" s="56" t="inlineStr">
        <is>
          <t>50 lts</t>
        </is>
      </c>
      <c r="AF2" s="57" t="inlineStr">
        <is>
          <t>1,5 15M</t>
        </is>
      </c>
      <c r="AG2" s="57" t="inlineStr">
        <is>
          <t>1,5 30M</t>
        </is>
      </c>
      <c r="AH2" s="57" t="inlineStr">
        <is>
          <t>2,5 15M</t>
        </is>
      </c>
      <c r="AI2" s="57" t="inlineStr">
        <is>
          <t>2,5 30M</t>
        </is>
      </c>
      <c r="AJ2" s="57" t="inlineStr">
        <is>
          <t>Mangotinho</t>
        </is>
      </c>
      <c r="AK2" s="57" t="inlineStr">
        <is>
          <t>Valor</t>
        </is>
      </c>
    </row>
    <row r="3">
      <c r="A3" s="59" t="inlineStr">
        <is>
          <t>SIM</t>
        </is>
      </c>
      <c r="B3" s="59">
        <f>IF(H3&lt;$B$1,"VENCIDO","NA VALIDADE")</f>
        <v/>
      </c>
      <c r="C3" s="60" t="inlineStr">
        <is>
          <t>EDIFICIO</t>
        </is>
      </c>
      <c r="D3" s="61" t="inlineStr">
        <is>
          <t>EDIFÍCIO SEDE HOLDING</t>
        </is>
      </c>
      <c r="E3" s="75" t="inlineStr">
        <is>
          <t>RIO DE JANEIRO</t>
        </is>
      </c>
      <c r="F3" s="60" t="inlineStr">
        <is>
          <t>RJ</t>
        </is>
      </c>
      <c r="G3" s="94" t="inlineStr">
        <is>
          <t>SEROPÉDICA</t>
        </is>
      </c>
      <c r="H3" s="119" t="n">
        <v>45352</v>
      </c>
      <c r="I3" s="119" t="n">
        <v>45352</v>
      </c>
      <c r="J3" s="60">
        <f>SUM(L3:AE3)</f>
        <v/>
      </c>
      <c r="K3" s="60">
        <f>SUM(AF3:AJ3)</f>
        <v/>
      </c>
      <c r="L3" s="60" t="n">
        <v>45</v>
      </c>
      <c r="M3" s="60" t="n"/>
      <c r="N3" s="60" t="n"/>
      <c r="O3" s="60" t="n">
        <v>23</v>
      </c>
      <c r="P3" s="60" t="n"/>
      <c r="Q3" s="60" t="n"/>
      <c r="R3" s="60" t="n"/>
      <c r="S3" s="60" t="n"/>
      <c r="T3" s="60" t="n"/>
      <c r="U3" s="60" t="n"/>
      <c r="V3" s="60" t="n">
        <v>3</v>
      </c>
      <c r="W3" s="60" t="n"/>
      <c r="X3" s="60" t="n"/>
      <c r="Y3" s="60" t="n"/>
      <c r="Z3" s="60" t="n"/>
      <c r="AA3" s="60" t="n">
        <v>44</v>
      </c>
      <c r="AB3" s="60" t="n"/>
      <c r="AC3" s="60" t="n"/>
      <c r="AD3" s="60" t="n"/>
      <c r="AE3" s="60" t="n"/>
      <c r="AF3" s="60" t="n">
        <v>39</v>
      </c>
      <c r="AG3" s="60" t="n"/>
      <c r="AH3" s="60" t="n"/>
      <c r="AI3" s="60" t="n"/>
      <c r="AJ3" s="60" t="n"/>
      <c r="AK3" s="120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/>
      </c>
    </row>
    <row r="4">
      <c r="A4" s="61" t="n"/>
      <c r="B4" s="61" t="n"/>
      <c r="C4" s="60" t="n"/>
      <c r="D4" s="61" t="n"/>
      <c r="E4" s="75" t="n"/>
      <c r="F4" s="60" t="n"/>
      <c r="G4" s="60" t="n"/>
      <c r="H4" s="119" t="n"/>
      <c r="I4" s="119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  <c r="S4" s="60" t="n"/>
      <c r="T4" s="60" t="n"/>
      <c r="U4" s="60" t="n"/>
      <c r="V4" s="60" t="n"/>
      <c r="W4" s="60" t="n"/>
      <c r="X4" s="60" t="n"/>
      <c r="Y4" s="60" t="n"/>
      <c r="Z4" s="60" t="n"/>
      <c r="AA4" s="60" t="n"/>
      <c r="AB4" s="60" t="n"/>
      <c r="AC4" s="60" t="n"/>
      <c r="AD4" s="60" t="n"/>
      <c r="AE4" s="60" t="n"/>
      <c r="AF4" s="60" t="n"/>
      <c r="AG4" s="60" t="n"/>
      <c r="AH4" s="60" t="n"/>
      <c r="AI4" s="60" t="n"/>
      <c r="AJ4" s="60" t="n"/>
      <c r="AK4" s="60" t="n"/>
    </row>
    <row r="5" ht="15.75" customHeight="1">
      <c r="A5" s="61" t="n"/>
      <c r="B5" s="61" t="n"/>
      <c r="C5" s="61" t="n"/>
      <c r="D5" s="61" t="n"/>
      <c r="E5" s="61" t="n"/>
      <c r="F5" s="61" t="n"/>
      <c r="G5" s="61" t="n"/>
      <c r="H5" s="119" t="n"/>
      <c r="I5" s="124" t="inlineStr">
        <is>
          <t>TOTAL</t>
        </is>
      </c>
      <c r="J5" s="79">
        <f>SUBTOTAL(109,J3)</f>
        <v/>
      </c>
      <c r="K5" s="79">
        <f>SUBTOTAL(109,K3)</f>
        <v/>
      </c>
      <c r="L5" s="79">
        <f>SUBTOTAL(109,L3)</f>
        <v/>
      </c>
      <c r="M5" s="79">
        <f>SUBTOTAL(109,M3)</f>
        <v/>
      </c>
      <c r="N5" s="79">
        <f>SUBTOTAL(109,N3)</f>
        <v/>
      </c>
      <c r="O5" s="79">
        <f>SUBTOTAL(109,O3)</f>
        <v/>
      </c>
      <c r="P5" s="79">
        <f>SUBTOTAL(109,P3)</f>
        <v/>
      </c>
      <c r="Q5" s="79">
        <f>SUBTOTAL(109,Q3)</f>
        <v/>
      </c>
      <c r="R5" s="79">
        <f>SUBTOTAL(109,R3)</f>
        <v/>
      </c>
      <c r="S5" s="79" t="n"/>
      <c r="T5" s="79">
        <f>SUBTOTAL(109,T3)</f>
        <v/>
      </c>
      <c r="U5" s="79">
        <f>SUBTOTAL(109,U3)</f>
        <v/>
      </c>
      <c r="V5" s="79">
        <f>SUBTOTAL(109,V3)</f>
        <v/>
      </c>
      <c r="W5" s="79">
        <f>SUBTOTAL(109,W3)</f>
        <v/>
      </c>
      <c r="X5" s="79">
        <f>SUBTOTAL(109,X3)</f>
        <v/>
      </c>
      <c r="Y5" s="79">
        <f>SUBTOTAL(109,Y3)</f>
        <v/>
      </c>
      <c r="Z5" s="79">
        <f>SUBTOTAL(109,Z3)</f>
        <v/>
      </c>
      <c r="AA5" s="79">
        <f>SUBTOTAL(109,AA3)</f>
        <v/>
      </c>
      <c r="AB5" s="79">
        <f>SUBTOTAL(109,AB3)</f>
        <v/>
      </c>
      <c r="AC5" s="79">
        <f>SUBTOTAL(109,AC3)</f>
        <v/>
      </c>
      <c r="AD5" s="79">
        <f>SUBTOTAL(109,AD3)</f>
        <v/>
      </c>
      <c r="AE5" s="79">
        <f>SUBTOTAL(109,AE3)</f>
        <v/>
      </c>
      <c r="AF5" s="79">
        <f>SUBTOTAL(109,AF3)</f>
        <v/>
      </c>
      <c r="AG5" s="79">
        <f>SUBTOTAL(109,AG3)</f>
        <v/>
      </c>
      <c r="AH5" s="79">
        <f>SUBTOTAL(109,AH3)</f>
        <v/>
      </c>
      <c r="AI5" s="79">
        <f>SUBTOTAL(109,AI3)</f>
        <v/>
      </c>
      <c r="AJ5" s="79" t="n"/>
      <c r="AK5" s="125">
        <f>SUBTOTAL(109,AK3)</f>
        <v/>
      </c>
    </row>
  </sheetData>
  <mergeCells count="7">
    <mergeCell ref="AF1:AK1"/>
    <mergeCell ref="AD1:AE1"/>
    <mergeCell ref="N1:T1"/>
    <mergeCell ref="L1:M1"/>
    <mergeCell ref="J1:K1"/>
    <mergeCell ref="U1:Y1"/>
    <mergeCell ref="Z1:AC1"/>
  </mergeCells>
  <conditionalFormatting sqref="A1:A5">
    <cfRule type="cellIs" priority="5" operator="equal" dxfId="4">
      <formula>"SIM"</formula>
    </cfRule>
  </conditionalFormatting>
  <conditionalFormatting sqref="A3">
    <cfRule type="containsText" priority="6" operator="containsText" dxfId="3" text="NA VALIDADE">
      <formula>NOT(ISERROR(SEARCH("NA VALIDADE",A3)))</formula>
    </cfRule>
    <cfRule type="containsText" priority="7" operator="containsText" dxfId="2" text="VENCIDO">
      <formula>NOT(ISERROR(SEARCH("VENCIDO",A3)))</formula>
    </cfRule>
  </conditionalFormatting>
  <conditionalFormatting sqref="A2:B2">
    <cfRule type="containsText" priority="8" operator="containsText" dxfId="8" text="ENVIADO">
      <formula>NOT(ISERROR(SEARCH("ENVIADO",A2)))</formula>
    </cfRule>
    <cfRule type="cellIs" priority="9" operator="equal" dxfId="7">
      <formula>#REF!</formula>
    </cfRule>
    <cfRule type="cellIs" priority="10" operator="equal" dxfId="6">
      <formula>#REF!</formula>
    </cfRule>
    <cfRule type="cellIs" priority="11" operator="equal" dxfId="5">
      <formula>#REF!</formula>
    </cfRule>
    <cfRule type="cellIs" priority="12" operator="equal" dxfId="4">
      <formula>#REF!</formula>
    </cfRule>
  </conditionalFormatting>
  <conditionalFormatting sqref="B3">
    <cfRule type="containsText" priority="3" operator="containsText" dxfId="3" text="NA VALIDADE">
      <formula>NOT(ISERROR(SEARCH("NA VALIDADE",B3)))</formula>
    </cfRule>
    <cfRule type="containsText" priority="4" operator="containsText" dxfId="2" text="VENCIDO">
      <formula>NOT(ISERROR(SEARCH("VENCIDO",B3)))</formula>
    </cfRule>
  </conditionalFormatting>
  <conditionalFormatting sqref="J3:AK4">
    <cfRule type="cellIs" priority="2" operator="greaterThan" dxfId="1">
      <formula>0</formula>
    </cfRule>
  </conditionalFormatting>
  <conditionalFormatting sqref="J5:AK5">
    <cfRule type="cellIs" priority="13" operator="greaterThan" dxfId="0">
      <formula>0</formula>
    </cfRule>
  </conditionalFormatting>
  <pageMargins left="0.511805555555556" right="0.511805555555556" top="0.7875" bottom="0.7875" header="0.511811023622047" footer="0.511811023622047"/>
  <pageSetup orientation="portrait" paperSize="9" scale="24" fitToHeight="0" horizontalDpi="300" verticalDpi="300"/>
  <drawing r:id="rIdDrw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Daniel Alves De Assis</dc:creator>
  <dc:language>en-US</dc:language>
  <dcterms:created xsi:type="dcterms:W3CDTF">2023-06-14T16:52:50Z</dcterms:created>
  <dcterms:modified xsi:type="dcterms:W3CDTF">2026-10-14T01:28:40Z</dcterms:modified>
  <cp:lastModifiedBy>Yuri Henrique Ludwig Fagundes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0x0101002F12499512027248B46A22702F9A2703</vt:lpwstr>
  </property>
</Properties>
</file>