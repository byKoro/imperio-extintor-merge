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claude excel\"/>
    </mc:Choice>
  </mc:AlternateContent>
  <xr:revisionPtr revIDLastSave="0" documentId="13_ncr:1_{A183B1D0-BA4F-4A7A-A051-5985D64EE16A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BASE TROCA" sheetId="2" r:id="rId1"/>
    <sheet name="PRODUTOS" sheetId="3" r:id="rId2"/>
    <sheet name="COELBA" sheetId="4" state="hidden" r:id="rId3"/>
    <sheet name="COSERN" sheetId="5" state="hidden" r:id="rId4"/>
    <sheet name="CELPE" sheetId="6" state="hidden" r:id="rId5"/>
    <sheet name="PQ EOLICO" sheetId="7" state="hidden" r:id="rId6"/>
    <sheet name="USINAS" sheetId="8" state="hidden" r:id="rId7"/>
    <sheet name="TRANSMISSÃO" sheetId="9" state="hidden" r:id="rId8"/>
    <sheet name="HOLDING" sheetId="10" state="hidden" r:id="rId9"/>
  </sheets>
  <definedNames>
    <definedName name="_xlnm._FilterDatabase" localSheetId="0" hidden="1">'BASE TROCA'!$A$5:$BG$455</definedName>
    <definedName name="_xlnm._FilterDatabase" localSheetId="4" hidden="1">CELPE!$A$2:$AJ$231</definedName>
    <definedName name="_xlnm._FilterDatabase" localSheetId="2" hidden="1">COELBA!$A$2:$AK$518</definedName>
    <definedName name="_xlnm._FilterDatabase" localSheetId="3" hidden="1">COSERN!$A$2:$AK$113</definedName>
    <definedName name="_xlnm._FilterDatabase" localSheetId="5" hidden="1">'PQ EOLICO'!$A$2:$AK$34</definedName>
    <definedName name="_xlnm._FilterDatabase" localSheetId="7" hidden="1">TRANSMISSÃO!$A$2:$AK$11</definedName>
    <definedName name="_xlnm._FilterDatabase" localSheetId="6" hidden="1">USINAS!$A$2:$AK$5</definedName>
    <definedName name="_xleta.T" hidden="1" xlm="1">#NAME?</definedName>
    <definedName name="_xlnm.Print_Area" localSheetId="0">'BASE TROCA'!$A$1:$BG$460</definedName>
    <definedName name="_xlnm.Print_Area" localSheetId="4">CELPE!$A$1:$AJ$232</definedName>
    <definedName name="_xlnm.Print_Area" localSheetId="2">COELBA!$A$1:$AK$518</definedName>
    <definedName name="_xlnm.Print_Area" localSheetId="3">COSERN!$A$1:$AK$115</definedName>
    <definedName name="_xlnm.Print_Area" localSheetId="5">'PQ EOLICO'!$A$1:$AK$36</definedName>
    <definedName name="_xlnm.Print_Area" localSheetId="1">PRODUTOS!$A$1:$E$74</definedName>
    <definedName name="_xlnm.Print_Area" localSheetId="7">TRANSMISSÃO!$A$1:$AK$12</definedName>
    <definedName name="_xlnm.Print_Area" localSheetId="6">USINAS!$A$1:$AK$7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N1" i="2" l="1"/>
  <c r="AN2" i="2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R5" i="10"/>
  <c r="Q5" i="10"/>
  <c r="P5" i="10"/>
  <c r="O5" i="10"/>
  <c r="N5" i="10"/>
  <c r="M5" i="10"/>
  <c r="L5" i="10"/>
  <c r="AK3" i="10"/>
  <c r="AK5" i="10" s="1"/>
  <c r="K3" i="10"/>
  <c r="K5" i="10" s="1"/>
  <c r="J3" i="10"/>
  <c r="J5" i="10" s="1"/>
  <c r="D1" i="10"/>
  <c r="B1" i="10"/>
  <c r="B3" i="10" s="1"/>
  <c r="A1" i="10"/>
  <c r="AI12" i="9"/>
  <c r="AH12" i="9"/>
  <c r="AG12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R12" i="9"/>
  <c r="Q12" i="9"/>
  <c r="P12" i="9"/>
  <c r="O12" i="9"/>
  <c r="N12" i="9"/>
  <c r="M12" i="9"/>
  <c r="L12" i="9"/>
  <c r="K12" i="9"/>
  <c r="J12" i="9"/>
  <c r="AK11" i="9"/>
  <c r="AK10" i="9"/>
  <c r="AK9" i="9"/>
  <c r="AK8" i="9"/>
  <c r="AK7" i="9"/>
  <c r="AK6" i="9"/>
  <c r="AK5" i="9"/>
  <c r="AK12" i="9" s="1"/>
  <c r="AK4" i="9"/>
  <c r="AK3" i="9"/>
  <c r="D1" i="9"/>
  <c r="B1" i="9"/>
  <c r="A1" i="9"/>
  <c r="AI7" i="8"/>
  <c r="AH7" i="8"/>
  <c r="AG7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R7" i="8"/>
  <c r="Q7" i="8"/>
  <c r="P7" i="8"/>
  <c r="O7" i="8"/>
  <c r="N7" i="8"/>
  <c r="M7" i="8"/>
  <c r="L7" i="8"/>
  <c r="AK5" i="8"/>
  <c r="K5" i="8"/>
  <c r="J5" i="8"/>
  <c r="AK4" i="8"/>
  <c r="K4" i="8"/>
  <c r="J4" i="8"/>
  <c r="AK3" i="8"/>
  <c r="AK7" i="8" s="1"/>
  <c r="K3" i="8"/>
  <c r="K7" i="8" s="1"/>
  <c r="J3" i="8"/>
  <c r="J7" i="8" s="1"/>
  <c r="I3" i="8"/>
  <c r="D1" i="8"/>
  <c r="B1" i="8"/>
  <c r="A1" i="8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R36" i="7"/>
  <c r="Q36" i="7"/>
  <c r="P36" i="7"/>
  <c r="O36" i="7"/>
  <c r="N36" i="7"/>
  <c r="M36" i="7"/>
  <c r="L36" i="7"/>
  <c r="AK34" i="7"/>
  <c r="K34" i="7"/>
  <c r="J34" i="7"/>
  <c r="I34" i="7"/>
  <c r="AK33" i="7"/>
  <c r="K33" i="7"/>
  <c r="J33" i="7"/>
  <c r="I33" i="7"/>
  <c r="AK32" i="7"/>
  <c r="K32" i="7"/>
  <c r="J32" i="7"/>
  <c r="I32" i="7"/>
  <c r="AK31" i="7"/>
  <c r="K31" i="7"/>
  <c r="J31" i="7"/>
  <c r="I31" i="7"/>
  <c r="AK30" i="7"/>
  <c r="K30" i="7"/>
  <c r="J30" i="7"/>
  <c r="I30" i="7"/>
  <c r="AK29" i="7"/>
  <c r="K29" i="7"/>
  <c r="J29" i="7"/>
  <c r="I29" i="7"/>
  <c r="AK28" i="7"/>
  <c r="K28" i="7"/>
  <c r="J28" i="7"/>
  <c r="I28" i="7"/>
  <c r="AK27" i="7"/>
  <c r="K27" i="7"/>
  <c r="J27" i="7"/>
  <c r="I27" i="7"/>
  <c r="AK26" i="7"/>
  <c r="K26" i="7"/>
  <c r="J26" i="7"/>
  <c r="I26" i="7"/>
  <c r="AK25" i="7"/>
  <c r="K25" i="7"/>
  <c r="J25" i="7"/>
  <c r="I25" i="7"/>
  <c r="AK24" i="7"/>
  <c r="K24" i="7"/>
  <c r="J24" i="7"/>
  <c r="AK23" i="7"/>
  <c r="K23" i="7"/>
  <c r="J23" i="7"/>
  <c r="I23" i="7"/>
  <c r="AK22" i="7"/>
  <c r="K22" i="7"/>
  <c r="J22" i="7"/>
  <c r="I22" i="7"/>
  <c r="AK21" i="7"/>
  <c r="K21" i="7"/>
  <c r="J21" i="7"/>
  <c r="I21" i="7"/>
  <c r="AK20" i="7"/>
  <c r="K20" i="7"/>
  <c r="J20" i="7"/>
  <c r="AK19" i="7"/>
  <c r="AK36" i="7" s="1"/>
  <c r="K19" i="7"/>
  <c r="K36" i="7" s="1"/>
  <c r="J19" i="7"/>
  <c r="J36" i="7" s="1"/>
  <c r="I19" i="7"/>
  <c r="AK18" i="7"/>
  <c r="K18" i="7"/>
  <c r="J18" i="7"/>
  <c r="AK17" i="7"/>
  <c r="K17" i="7"/>
  <c r="J17" i="7"/>
  <c r="AK16" i="7"/>
  <c r="K16" i="7"/>
  <c r="J16" i="7"/>
  <c r="I16" i="7"/>
  <c r="AK15" i="7"/>
  <c r="K15" i="7"/>
  <c r="J15" i="7"/>
  <c r="I15" i="7"/>
  <c r="AK14" i="7"/>
  <c r="K14" i="7"/>
  <c r="J14" i="7"/>
  <c r="I14" i="7"/>
  <c r="AK13" i="7"/>
  <c r="K13" i="7"/>
  <c r="J13" i="7"/>
  <c r="I13" i="7"/>
  <c r="AK12" i="7"/>
  <c r="K12" i="7"/>
  <c r="J12" i="7"/>
  <c r="I12" i="7"/>
  <c r="AK11" i="7"/>
  <c r="K11" i="7"/>
  <c r="J11" i="7"/>
  <c r="AK10" i="7"/>
  <c r="K10" i="7"/>
  <c r="J10" i="7"/>
  <c r="I10" i="7"/>
  <c r="AK9" i="7"/>
  <c r="K9" i="7"/>
  <c r="J9" i="7"/>
  <c r="I9" i="7"/>
  <c r="AK8" i="7"/>
  <c r="K8" i="7"/>
  <c r="J8" i="7"/>
  <c r="AK7" i="7"/>
  <c r="K7" i="7"/>
  <c r="J7" i="7"/>
  <c r="I7" i="7"/>
  <c r="AK6" i="7"/>
  <c r="K6" i="7"/>
  <c r="J6" i="7"/>
  <c r="I6" i="7"/>
  <c r="AK5" i="7"/>
  <c r="K5" i="7"/>
  <c r="J5" i="7"/>
  <c r="I5" i="7"/>
  <c r="AK4" i="7"/>
  <c r="K4" i="7"/>
  <c r="J4" i="7"/>
  <c r="I4" i="7"/>
  <c r="AK3" i="7"/>
  <c r="K3" i="7"/>
  <c r="J3" i="7"/>
  <c r="I3" i="7"/>
  <c r="D1" i="7"/>
  <c r="B1" i="7"/>
  <c r="A1" i="7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Q232" i="6"/>
  <c r="P232" i="6"/>
  <c r="O232" i="6"/>
  <c r="N232" i="6"/>
  <c r="M232" i="6"/>
  <c r="L232" i="6"/>
  <c r="K232" i="6"/>
  <c r="AJ231" i="6"/>
  <c r="J231" i="6"/>
  <c r="I231" i="6"/>
  <c r="H231" i="6"/>
  <c r="AJ230" i="6"/>
  <c r="J230" i="6"/>
  <c r="I230" i="6"/>
  <c r="H230" i="6"/>
  <c r="AJ229" i="6"/>
  <c r="J229" i="6"/>
  <c r="I229" i="6"/>
  <c r="H229" i="6"/>
  <c r="AJ228" i="6"/>
  <c r="J228" i="6"/>
  <c r="I228" i="6"/>
  <c r="H228" i="6"/>
  <c r="AJ227" i="6"/>
  <c r="J227" i="6"/>
  <c r="I227" i="6"/>
  <c r="AJ226" i="6"/>
  <c r="J226" i="6"/>
  <c r="I226" i="6"/>
  <c r="H226" i="6"/>
  <c r="AJ225" i="6"/>
  <c r="J225" i="6"/>
  <c r="I225" i="6"/>
  <c r="H225" i="6"/>
  <c r="AJ224" i="6"/>
  <c r="J224" i="6"/>
  <c r="I224" i="6"/>
  <c r="H224" i="6"/>
  <c r="AJ223" i="6"/>
  <c r="J223" i="6"/>
  <c r="I223" i="6"/>
  <c r="H223" i="6"/>
  <c r="AJ222" i="6"/>
  <c r="J222" i="6"/>
  <c r="I222" i="6"/>
  <c r="H222" i="6"/>
  <c r="AJ221" i="6"/>
  <c r="J221" i="6"/>
  <c r="I221" i="6"/>
  <c r="H221" i="6"/>
  <c r="AJ220" i="6"/>
  <c r="J220" i="6"/>
  <c r="I220" i="6"/>
  <c r="AJ219" i="6"/>
  <c r="J219" i="6"/>
  <c r="I219" i="6"/>
  <c r="H219" i="6"/>
  <c r="AJ218" i="6"/>
  <c r="J218" i="6"/>
  <c r="J232" i="6" s="1"/>
  <c r="I218" i="6"/>
  <c r="I232" i="6" s="1"/>
  <c r="H218" i="6"/>
  <c r="AJ217" i="6"/>
  <c r="J217" i="6"/>
  <c r="I217" i="6"/>
  <c r="H217" i="6"/>
  <c r="AJ216" i="6"/>
  <c r="J216" i="6"/>
  <c r="I216" i="6"/>
  <c r="AJ215" i="6"/>
  <c r="J215" i="6"/>
  <c r="I215" i="6"/>
  <c r="H215" i="6"/>
  <c r="AJ214" i="6"/>
  <c r="J214" i="6"/>
  <c r="I214" i="6"/>
  <c r="H214" i="6"/>
  <c r="AJ213" i="6"/>
  <c r="J213" i="6"/>
  <c r="I213" i="6"/>
  <c r="AJ212" i="6"/>
  <c r="J212" i="6"/>
  <c r="I212" i="6"/>
  <c r="AJ211" i="6"/>
  <c r="J211" i="6"/>
  <c r="I211" i="6"/>
  <c r="AJ210" i="6"/>
  <c r="J210" i="6"/>
  <c r="I210" i="6"/>
  <c r="H210" i="6"/>
  <c r="AJ209" i="6"/>
  <c r="J209" i="6"/>
  <c r="I209" i="6"/>
  <c r="AJ208" i="6"/>
  <c r="J208" i="6"/>
  <c r="I208" i="6"/>
  <c r="AJ207" i="6"/>
  <c r="J207" i="6"/>
  <c r="I207" i="6"/>
  <c r="AJ206" i="6"/>
  <c r="J206" i="6"/>
  <c r="I206" i="6"/>
  <c r="AJ205" i="6"/>
  <c r="J205" i="6"/>
  <c r="I205" i="6"/>
  <c r="H205" i="6"/>
  <c r="AJ204" i="6"/>
  <c r="J204" i="6"/>
  <c r="I204" i="6"/>
  <c r="AJ203" i="6"/>
  <c r="J203" i="6"/>
  <c r="I203" i="6"/>
  <c r="H203" i="6"/>
  <c r="AJ202" i="6"/>
  <c r="J202" i="6"/>
  <c r="I202" i="6"/>
  <c r="H202" i="6"/>
  <c r="AJ201" i="6"/>
  <c r="J201" i="6"/>
  <c r="I201" i="6"/>
  <c r="AJ200" i="6"/>
  <c r="J200" i="6"/>
  <c r="I200" i="6"/>
  <c r="H200" i="6"/>
  <c r="AJ199" i="6"/>
  <c r="J199" i="6"/>
  <c r="I199" i="6"/>
  <c r="H199" i="6"/>
  <c r="AJ198" i="6"/>
  <c r="J198" i="6"/>
  <c r="I198" i="6"/>
  <c r="H198" i="6"/>
  <c r="AJ197" i="6"/>
  <c r="J197" i="6"/>
  <c r="I197" i="6"/>
  <c r="AJ196" i="6"/>
  <c r="J196" i="6"/>
  <c r="I196" i="6"/>
  <c r="H196" i="6"/>
  <c r="AJ195" i="6"/>
  <c r="J195" i="6"/>
  <c r="I195" i="6"/>
  <c r="AJ194" i="6"/>
  <c r="J194" i="6"/>
  <c r="I194" i="6"/>
  <c r="H194" i="6"/>
  <c r="AJ193" i="6"/>
  <c r="J193" i="6"/>
  <c r="I193" i="6"/>
  <c r="AJ192" i="6"/>
  <c r="J192" i="6"/>
  <c r="I192" i="6"/>
  <c r="AJ191" i="6"/>
  <c r="J191" i="6"/>
  <c r="I191" i="6"/>
  <c r="AJ190" i="6"/>
  <c r="J190" i="6"/>
  <c r="I190" i="6"/>
  <c r="AJ189" i="6"/>
  <c r="J189" i="6"/>
  <c r="I189" i="6"/>
  <c r="H189" i="6"/>
  <c r="AJ188" i="6"/>
  <c r="J188" i="6"/>
  <c r="I188" i="6"/>
  <c r="AJ187" i="6"/>
  <c r="J187" i="6"/>
  <c r="I187" i="6"/>
  <c r="AJ186" i="6"/>
  <c r="J186" i="6"/>
  <c r="I186" i="6"/>
  <c r="H186" i="6"/>
  <c r="AJ185" i="6"/>
  <c r="J185" i="6"/>
  <c r="I185" i="6"/>
  <c r="AJ184" i="6"/>
  <c r="J184" i="6"/>
  <c r="I184" i="6"/>
  <c r="AJ183" i="6"/>
  <c r="J183" i="6"/>
  <c r="I183" i="6"/>
  <c r="H183" i="6"/>
  <c r="AJ182" i="6"/>
  <c r="J182" i="6"/>
  <c r="I182" i="6"/>
  <c r="H182" i="6"/>
  <c r="AJ181" i="6"/>
  <c r="J181" i="6"/>
  <c r="I181" i="6"/>
  <c r="AJ180" i="6"/>
  <c r="J180" i="6"/>
  <c r="I180" i="6"/>
  <c r="AJ179" i="6"/>
  <c r="J179" i="6"/>
  <c r="I179" i="6"/>
  <c r="H179" i="6"/>
  <c r="AJ178" i="6"/>
  <c r="J178" i="6"/>
  <c r="I178" i="6"/>
  <c r="H178" i="6"/>
  <c r="AJ177" i="6"/>
  <c r="J177" i="6"/>
  <c r="I177" i="6"/>
  <c r="AJ176" i="6"/>
  <c r="J176" i="6"/>
  <c r="I176" i="6"/>
  <c r="AJ175" i="6"/>
  <c r="J175" i="6"/>
  <c r="I175" i="6"/>
  <c r="AJ174" i="6"/>
  <c r="J174" i="6"/>
  <c r="I174" i="6"/>
  <c r="AJ173" i="6"/>
  <c r="J173" i="6"/>
  <c r="I173" i="6"/>
  <c r="H173" i="6"/>
  <c r="AJ172" i="6"/>
  <c r="J172" i="6"/>
  <c r="I172" i="6"/>
  <c r="AJ171" i="6"/>
  <c r="J171" i="6"/>
  <c r="I171" i="6"/>
  <c r="H171" i="6"/>
  <c r="AJ170" i="6"/>
  <c r="J170" i="6"/>
  <c r="I170" i="6"/>
  <c r="AJ169" i="6"/>
  <c r="J169" i="6"/>
  <c r="I169" i="6"/>
  <c r="H169" i="6"/>
  <c r="AJ168" i="6"/>
  <c r="J168" i="6"/>
  <c r="I168" i="6"/>
  <c r="H168" i="6"/>
  <c r="AJ167" i="6"/>
  <c r="J167" i="6"/>
  <c r="I167" i="6"/>
  <c r="H167" i="6"/>
  <c r="AJ166" i="6"/>
  <c r="J166" i="6"/>
  <c r="I166" i="6"/>
  <c r="AJ165" i="6"/>
  <c r="J165" i="6"/>
  <c r="I165" i="6"/>
  <c r="H165" i="6"/>
  <c r="AJ164" i="6"/>
  <c r="J164" i="6"/>
  <c r="I164" i="6"/>
  <c r="H164" i="6"/>
  <c r="AJ163" i="6"/>
  <c r="J163" i="6"/>
  <c r="I163" i="6"/>
  <c r="AJ162" i="6"/>
  <c r="J162" i="6"/>
  <c r="I162" i="6"/>
  <c r="H162" i="6"/>
  <c r="AJ161" i="6"/>
  <c r="J161" i="6"/>
  <c r="I161" i="6"/>
  <c r="AJ160" i="6"/>
  <c r="J160" i="6"/>
  <c r="I160" i="6"/>
  <c r="H160" i="6"/>
  <c r="AJ159" i="6"/>
  <c r="J159" i="6"/>
  <c r="I159" i="6"/>
  <c r="H159" i="6"/>
  <c r="AJ158" i="6"/>
  <c r="J158" i="6"/>
  <c r="I158" i="6"/>
  <c r="H158" i="6"/>
  <c r="AJ157" i="6"/>
  <c r="J157" i="6"/>
  <c r="I157" i="6"/>
  <c r="AJ156" i="6"/>
  <c r="J156" i="6"/>
  <c r="I156" i="6"/>
  <c r="AJ155" i="6"/>
  <c r="J155" i="6"/>
  <c r="I155" i="6"/>
  <c r="H155" i="6"/>
  <c r="AJ154" i="6"/>
  <c r="J154" i="6"/>
  <c r="I154" i="6"/>
  <c r="AJ153" i="6"/>
  <c r="J153" i="6"/>
  <c r="I153" i="6"/>
  <c r="H153" i="6"/>
  <c r="AJ152" i="6"/>
  <c r="J152" i="6"/>
  <c r="I152" i="6"/>
  <c r="H152" i="6"/>
  <c r="AJ151" i="6"/>
  <c r="J151" i="6"/>
  <c r="I151" i="6"/>
  <c r="H151" i="6"/>
  <c r="AJ150" i="6"/>
  <c r="J150" i="6"/>
  <c r="I150" i="6"/>
  <c r="AJ149" i="6"/>
  <c r="J149" i="6"/>
  <c r="I149" i="6"/>
  <c r="H149" i="6"/>
  <c r="AJ148" i="6"/>
  <c r="J148" i="6"/>
  <c r="I148" i="6"/>
  <c r="H148" i="6"/>
  <c r="AJ147" i="6"/>
  <c r="J147" i="6"/>
  <c r="I147" i="6"/>
  <c r="AJ146" i="6"/>
  <c r="J146" i="6"/>
  <c r="I146" i="6"/>
  <c r="H146" i="6"/>
  <c r="AJ145" i="6"/>
  <c r="J145" i="6"/>
  <c r="I145" i="6"/>
  <c r="AJ144" i="6"/>
  <c r="J144" i="6"/>
  <c r="I144" i="6"/>
  <c r="AJ143" i="6"/>
  <c r="J143" i="6"/>
  <c r="I143" i="6"/>
  <c r="AJ142" i="6"/>
  <c r="J142" i="6"/>
  <c r="I142" i="6"/>
  <c r="AJ141" i="6"/>
  <c r="J141" i="6"/>
  <c r="I141" i="6"/>
  <c r="AJ140" i="6"/>
  <c r="J140" i="6"/>
  <c r="I140" i="6"/>
  <c r="AJ139" i="6"/>
  <c r="J139" i="6"/>
  <c r="I139" i="6"/>
  <c r="H139" i="6"/>
  <c r="AJ138" i="6"/>
  <c r="J138" i="6"/>
  <c r="I138" i="6"/>
  <c r="AJ137" i="6"/>
  <c r="J137" i="6"/>
  <c r="I137" i="6"/>
  <c r="AJ136" i="6"/>
  <c r="J136" i="6"/>
  <c r="I136" i="6"/>
  <c r="H136" i="6"/>
  <c r="AJ135" i="6"/>
  <c r="J135" i="6"/>
  <c r="I135" i="6"/>
  <c r="H135" i="6"/>
  <c r="AJ134" i="6"/>
  <c r="J134" i="6"/>
  <c r="I134" i="6"/>
  <c r="H134" i="6"/>
  <c r="AJ133" i="6"/>
  <c r="J133" i="6"/>
  <c r="I133" i="6"/>
  <c r="AJ132" i="6"/>
  <c r="J132" i="6"/>
  <c r="I132" i="6"/>
  <c r="H132" i="6"/>
  <c r="AJ131" i="6"/>
  <c r="J131" i="6"/>
  <c r="I131" i="6"/>
  <c r="H131" i="6"/>
  <c r="AJ130" i="6"/>
  <c r="J130" i="6"/>
  <c r="I130" i="6"/>
  <c r="AJ129" i="6"/>
  <c r="J129" i="6"/>
  <c r="I129" i="6"/>
  <c r="H129" i="6"/>
  <c r="AJ128" i="6"/>
  <c r="J128" i="6"/>
  <c r="I128" i="6"/>
  <c r="AJ127" i="6"/>
  <c r="J127" i="6"/>
  <c r="I127" i="6"/>
  <c r="H127" i="6"/>
  <c r="AJ126" i="6"/>
  <c r="J126" i="6"/>
  <c r="I126" i="6"/>
  <c r="AJ125" i="6"/>
  <c r="J125" i="6"/>
  <c r="I125" i="6"/>
  <c r="AJ124" i="6"/>
  <c r="J124" i="6"/>
  <c r="I124" i="6"/>
  <c r="H124" i="6"/>
  <c r="AJ123" i="6"/>
  <c r="J123" i="6"/>
  <c r="I123" i="6"/>
  <c r="AJ122" i="6"/>
  <c r="J122" i="6"/>
  <c r="I122" i="6"/>
  <c r="AJ121" i="6"/>
  <c r="J121" i="6"/>
  <c r="I121" i="6"/>
  <c r="H121" i="6"/>
  <c r="AJ120" i="6"/>
  <c r="J120" i="6"/>
  <c r="I120" i="6"/>
  <c r="AJ119" i="6"/>
  <c r="J119" i="6"/>
  <c r="I119" i="6"/>
  <c r="H119" i="6"/>
  <c r="AJ118" i="6"/>
  <c r="J118" i="6"/>
  <c r="I118" i="6"/>
  <c r="H118" i="6"/>
  <c r="AJ117" i="6"/>
  <c r="J117" i="6"/>
  <c r="I117" i="6"/>
  <c r="AJ116" i="6"/>
  <c r="J116" i="6"/>
  <c r="I116" i="6"/>
  <c r="H116" i="6"/>
  <c r="AJ115" i="6"/>
  <c r="J115" i="6"/>
  <c r="I115" i="6"/>
  <c r="H115" i="6"/>
  <c r="AJ114" i="6"/>
  <c r="J114" i="6"/>
  <c r="I114" i="6"/>
  <c r="AJ113" i="6"/>
  <c r="J113" i="6"/>
  <c r="I113" i="6"/>
  <c r="H113" i="6"/>
  <c r="AJ112" i="6"/>
  <c r="J112" i="6"/>
  <c r="H112" i="6"/>
  <c r="AJ111" i="6"/>
  <c r="J111" i="6"/>
  <c r="I111" i="6"/>
  <c r="H111" i="6"/>
  <c r="AJ110" i="6"/>
  <c r="J110" i="6"/>
  <c r="I110" i="6"/>
  <c r="AJ109" i="6"/>
  <c r="J109" i="6"/>
  <c r="I109" i="6"/>
  <c r="H109" i="6"/>
  <c r="AJ108" i="6"/>
  <c r="J108" i="6"/>
  <c r="I108" i="6"/>
  <c r="AJ107" i="6"/>
  <c r="J107" i="6"/>
  <c r="I107" i="6"/>
  <c r="AJ106" i="6"/>
  <c r="J106" i="6"/>
  <c r="I106" i="6"/>
  <c r="H106" i="6"/>
  <c r="AJ105" i="6"/>
  <c r="J105" i="6"/>
  <c r="I105" i="6"/>
  <c r="H105" i="6"/>
  <c r="AJ104" i="6"/>
  <c r="J104" i="6"/>
  <c r="I104" i="6"/>
  <c r="AJ103" i="6"/>
  <c r="J103" i="6"/>
  <c r="I103" i="6"/>
  <c r="AJ102" i="6"/>
  <c r="J102" i="6"/>
  <c r="I102" i="6"/>
  <c r="H102" i="6"/>
  <c r="AJ101" i="6"/>
  <c r="J101" i="6"/>
  <c r="I101" i="6"/>
  <c r="H101" i="6"/>
  <c r="AJ100" i="6"/>
  <c r="J100" i="6"/>
  <c r="I100" i="6"/>
  <c r="AJ99" i="6"/>
  <c r="J99" i="6"/>
  <c r="I99" i="6"/>
  <c r="AJ98" i="6"/>
  <c r="J98" i="6"/>
  <c r="I98" i="6"/>
  <c r="H98" i="6"/>
  <c r="AJ97" i="6"/>
  <c r="J97" i="6"/>
  <c r="I97" i="6"/>
  <c r="H97" i="6"/>
  <c r="AJ96" i="6"/>
  <c r="J96" i="6"/>
  <c r="I96" i="6"/>
  <c r="AJ95" i="6"/>
  <c r="J95" i="6"/>
  <c r="I95" i="6"/>
  <c r="AJ94" i="6"/>
  <c r="J94" i="6"/>
  <c r="I94" i="6"/>
  <c r="AJ93" i="6"/>
  <c r="J93" i="6"/>
  <c r="I93" i="6"/>
  <c r="AJ92" i="6"/>
  <c r="J92" i="6"/>
  <c r="I92" i="6"/>
  <c r="AJ91" i="6"/>
  <c r="J91" i="6"/>
  <c r="I91" i="6"/>
  <c r="H91" i="6"/>
  <c r="AJ90" i="6"/>
  <c r="J90" i="6"/>
  <c r="I90" i="6"/>
  <c r="H90" i="6"/>
  <c r="AJ89" i="6"/>
  <c r="J89" i="6"/>
  <c r="I89" i="6"/>
  <c r="H89" i="6"/>
  <c r="AJ88" i="6"/>
  <c r="J88" i="6"/>
  <c r="I88" i="6"/>
  <c r="H88" i="6"/>
  <c r="AJ87" i="6"/>
  <c r="J87" i="6"/>
  <c r="I87" i="6"/>
  <c r="AJ86" i="6"/>
  <c r="J86" i="6"/>
  <c r="I86" i="6"/>
  <c r="H86" i="6"/>
  <c r="AJ85" i="6"/>
  <c r="J85" i="6"/>
  <c r="I85" i="6"/>
  <c r="H85" i="6"/>
  <c r="AJ84" i="6"/>
  <c r="J84" i="6"/>
  <c r="I84" i="6"/>
  <c r="H84" i="6"/>
  <c r="AJ83" i="6"/>
  <c r="J83" i="6"/>
  <c r="I83" i="6"/>
  <c r="H83" i="6"/>
  <c r="AJ82" i="6"/>
  <c r="J82" i="6"/>
  <c r="I82" i="6"/>
  <c r="H82" i="6"/>
  <c r="AJ81" i="6"/>
  <c r="J81" i="6"/>
  <c r="I81" i="6"/>
  <c r="H81" i="6"/>
  <c r="AJ80" i="6"/>
  <c r="J80" i="6"/>
  <c r="I80" i="6"/>
  <c r="H80" i="6"/>
  <c r="AJ79" i="6"/>
  <c r="J79" i="6"/>
  <c r="I79" i="6"/>
  <c r="H79" i="6"/>
  <c r="AJ78" i="6"/>
  <c r="J78" i="6"/>
  <c r="I78" i="6"/>
  <c r="H78" i="6"/>
  <c r="AJ77" i="6"/>
  <c r="J77" i="6"/>
  <c r="I77" i="6"/>
  <c r="AJ76" i="6"/>
  <c r="J76" i="6"/>
  <c r="I76" i="6"/>
  <c r="AJ75" i="6"/>
  <c r="J75" i="6"/>
  <c r="I75" i="6"/>
  <c r="AJ74" i="6"/>
  <c r="J74" i="6"/>
  <c r="I74" i="6"/>
  <c r="H74" i="6"/>
  <c r="AJ73" i="6"/>
  <c r="J73" i="6"/>
  <c r="I73" i="6"/>
  <c r="AJ72" i="6"/>
  <c r="J72" i="6"/>
  <c r="I72" i="6"/>
  <c r="AJ71" i="6"/>
  <c r="J71" i="6"/>
  <c r="I71" i="6"/>
  <c r="AJ70" i="6"/>
  <c r="J70" i="6"/>
  <c r="I70" i="6"/>
  <c r="AJ69" i="6"/>
  <c r="J69" i="6"/>
  <c r="I69" i="6"/>
  <c r="H69" i="6"/>
  <c r="AJ68" i="6"/>
  <c r="J68" i="6"/>
  <c r="I68" i="6"/>
  <c r="H68" i="6"/>
  <c r="AJ67" i="6"/>
  <c r="J67" i="6"/>
  <c r="I67" i="6"/>
  <c r="AJ66" i="6"/>
  <c r="J66" i="6"/>
  <c r="I66" i="6"/>
  <c r="AJ65" i="6"/>
  <c r="J65" i="6"/>
  <c r="I65" i="6"/>
  <c r="H65" i="6"/>
  <c r="AJ64" i="6"/>
  <c r="J64" i="6"/>
  <c r="I64" i="6"/>
  <c r="H64" i="6"/>
  <c r="AJ63" i="6"/>
  <c r="J63" i="6"/>
  <c r="I63" i="6"/>
  <c r="AJ62" i="6"/>
  <c r="J62" i="6"/>
  <c r="I62" i="6"/>
  <c r="AJ61" i="6"/>
  <c r="J61" i="6"/>
  <c r="I61" i="6"/>
  <c r="AJ60" i="6"/>
  <c r="J60" i="6"/>
  <c r="I60" i="6"/>
  <c r="H60" i="6"/>
  <c r="AJ59" i="6"/>
  <c r="J59" i="6"/>
  <c r="I59" i="6"/>
  <c r="H59" i="6"/>
  <c r="AJ58" i="6"/>
  <c r="J58" i="6"/>
  <c r="I58" i="6"/>
  <c r="H58" i="6"/>
  <c r="AJ57" i="6"/>
  <c r="J57" i="6"/>
  <c r="I57" i="6"/>
  <c r="H57" i="6"/>
  <c r="AJ56" i="6"/>
  <c r="J56" i="6"/>
  <c r="I56" i="6"/>
  <c r="AJ55" i="6"/>
  <c r="J55" i="6"/>
  <c r="I55" i="6"/>
  <c r="H55" i="6"/>
  <c r="AJ54" i="6"/>
  <c r="J54" i="6"/>
  <c r="I54" i="6"/>
  <c r="H54" i="6"/>
  <c r="AJ53" i="6"/>
  <c r="J53" i="6"/>
  <c r="I53" i="6"/>
  <c r="H53" i="6"/>
  <c r="AJ52" i="6"/>
  <c r="J52" i="6"/>
  <c r="I52" i="6"/>
  <c r="H52" i="6"/>
  <c r="AJ51" i="6"/>
  <c r="J51" i="6"/>
  <c r="I51" i="6"/>
  <c r="AJ50" i="6"/>
  <c r="J50" i="6"/>
  <c r="I50" i="6"/>
  <c r="AJ49" i="6"/>
  <c r="J49" i="6"/>
  <c r="I49" i="6"/>
  <c r="H49" i="6"/>
  <c r="AJ48" i="6"/>
  <c r="J48" i="6"/>
  <c r="I48" i="6"/>
  <c r="H48" i="6"/>
  <c r="AJ47" i="6"/>
  <c r="J47" i="6"/>
  <c r="I47" i="6"/>
  <c r="AJ46" i="6"/>
  <c r="J46" i="6"/>
  <c r="I46" i="6"/>
  <c r="H46" i="6"/>
  <c r="AJ45" i="6"/>
  <c r="J45" i="6"/>
  <c r="I45" i="6"/>
  <c r="H45" i="6"/>
  <c r="AJ44" i="6"/>
  <c r="J44" i="6"/>
  <c r="I44" i="6"/>
  <c r="H44" i="6"/>
  <c r="AJ43" i="6"/>
  <c r="J43" i="6"/>
  <c r="I43" i="6"/>
  <c r="AJ42" i="6"/>
  <c r="J42" i="6"/>
  <c r="I42" i="6"/>
  <c r="H42" i="6"/>
  <c r="AJ41" i="6"/>
  <c r="J41" i="6"/>
  <c r="I41" i="6"/>
  <c r="AJ40" i="6"/>
  <c r="J40" i="6"/>
  <c r="I40" i="6"/>
  <c r="H40" i="6"/>
  <c r="AJ39" i="6"/>
  <c r="J39" i="6"/>
  <c r="I39" i="6"/>
  <c r="H39" i="6"/>
  <c r="AJ38" i="6"/>
  <c r="J38" i="6"/>
  <c r="I38" i="6"/>
  <c r="H38" i="6"/>
  <c r="AJ37" i="6"/>
  <c r="J37" i="6"/>
  <c r="I37" i="6"/>
  <c r="H37" i="6"/>
  <c r="AJ36" i="6"/>
  <c r="J36" i="6"/>
  <c r="I36" i="6"/>
  <c r="H36" i="6"/>
  <c r="AJ35" i="6"/>
  <c r="J35" i="6"/>
  <c r="I35" i="6"/>
  <c r="AJ34" i="6"/>
  <c r="J34" i="6"/>
  <c r="I34" i="6"/>
  <c r="AJ33" i="6"/>
  <c r="J33" i="6"/>
  <c r="I33" i="6"/>
  <c r="AJ32" i="6"/>
  <c r="J32" i="6"/>
  <c r="I32" i="6"/>
  <c r="AJ31" i="6"/>
  <c r="J31" i="6"/>
  <c r="I31" i="6"/>
  <c r="H31" i="6"/>
  <c r="AJ30" i="6"/>
  <c r="J30" i="6"/>
  <c r="I30" i="6"/>
  <c r="AJ29" i="6"/>
  <c r="J29" i="6"/>
  <c r="I29" i="6"/>
  <c r="AJ28" i="6"/>
  <c r="J28" i="6"/>
  <c r="I28" i="6"/>
  <c r="H28" i="6"/>
  <c r="AJ27" i="6"/>
  <c r="J27" i="6"/>
  <c r="I27" i="6"/>
  <c r="H27" i="6"/>
  <c r="AJ26" i="6"/>
  <c r="J26" i="6"/>
  <c r="I26" i="6"/>
  <c r="AJ25" i="6"/>
  <c r="J25" i="6"/>
  <c r="I25" i="6"/>
  <c r="H25" i="6"/>
  <c r="AJ24" i="6"/>
  <c r="J24" i="6"/>
  <c r="I24" i="6"/>
  <c r="H24" i="6"/>
  <c r="AJ23" i="6"/>
  <c r="J23" i="6"/>
  <c r="I23" i="6"/>
  <c r="AJ22" i="6"/>
  <c r="J22" i="6"/>
  <c r="I22" i="6"/>
  <c r="H22" i="6"/>
  <c r="AJ21" i="6"/>
  <c r="J21" i="6"/>
  <c r="I21" i="6"/>
  <c r="H21" i="6"/>
  <c r="AJ20" i="6"/>
  <c r="J20" i="6"/>
  <c r="I20" i="6"/>
  <c r="AJ19" i="6"/>
  <c r="J19" i="6"/>
  <c r="I19" i="6"/>
  <c r="H19" i="6"/>
  <c r="AJ18" i="6"/>
  <c r="J18" i="6"/>
  <c r="I18" i="6"/>
  <c r="AJ17" i="6"/>
  <c r="J17" i="6"/>
  <c r="I17" i="6"/>
  <c r="H17" i="6"/>
  <c r="AJ16" i="6"/>
  <c r="J16" i="6"/>
  <c r="I16" i="6"/>
  <c r="AJ15" i="6"/>
  <c r="J15" i="6"/>
  <c r="I15" i="6"/>
  <c r="AJ14" i="6"/>
  <c r="J14" i="6"/>
  <c r="I14" i="6"/>
  <c r="AJ13" i="6"/>
  <c r="J13" i="6"/>
  <c r="I13" i="6"/>
  <c r="H13" i="6"/>
  <c r="AJ12" i="6"/>
  <c r="J12" i="6"/>
  <c r="I12" i="6"/>
  <c r="H12" i="6"/>
  <c r="AJ11" i="6"/>
  <c r="J11" i="6"/>
  <c r="I11" i="6"/>
  <c r="AJ10" i="6"/>
  <c r="J10" i="6"/>
  <c r="I10" i="6"/>
  <c r="AJ9" i="6"/>
  <c r="J9" i="6"/>
  <c r="I9" i="6"/>
  <c r="H9" i="6"/>
  <c r="AJ8" i="6"/>
  <c r="J8" i="6"/>
  <c r="I8" i="6"/>
  <c r="H8" i="6"/>
  <c r="AJ7" i="6"/>
  <c r="J7" i="6"/>
  <c r="I7" i="6"/>
  <c r="H7" i="6"/>
  <c r="AJ6" i="6"/>
  <c r="J6" i="6"/>
  <c r="I6" i="6"/>
  <c r="H6" i="6"/>
  <c r="AJ5" i="6"/>
  <c r="J5" i="6"/>
  <c r="I5" i="6"/>
  <c r="H5" i="6"/>
  <c r="AJ4" i="6"/>
  <c r="J4" i="6"/>
  <c r="I4" i="6"/>
  <c r="H4" i="6"/>
  <c r="AJ3" i="6"/>
  <c r="AJ232" i="6" s="1"/>
  <c r="J3" i="6"/>
  <c r="I3" i="6"/>
  <c r="H3" i="6"/>
  <c r="C1" i="6"/>
  <c r="A1" i="6"/>
  <c r="A230" i="6" s="1"/>
  <c r="AI115" i="5"/>
  <c r="AH115" i="5"/>
  <c r="AG115" i="5"/>
  <c r="AF115" i="5"/>
  <c r="AE115" i="5"/>
  <c r="AD115" i="5"/>
  <c r="AC115" i="5"/>
  <c r="AB115" i="5"/>
  <c r="AA115" i="5"/>
  <c r="Z115" i="5"/>
  <c r="Y115" i="5"/>
  <c r="X115" i="5"/>
  <c r="W115" i="5"/>
  <c r="V115" i="5"/>
  <c r="U115" i="5"/>
  <c r="T115" i="5"/>
  <c r="R115" i="5"/>
  <c r="Q115" i="5"/>
  <c r="P115" i="5"/>
  <c r="O115" i="5"/>
  <c r="N115" i="5"/>
  <c r="M115" i="5"/>
  <c r="L115" i="5"/>
  <c r="AK113" i="5"/>
  <c r="K113" i="5" s="1"/>
  <c r="J113" i="5"/>
  <c r="AK112" i="5"/>
  <c r="K112" i="5" s="1"/>
  <c r="J112" i="5"/>
  <c r="I112" i="5"/>
  <c r="AK111" i="5"/>
  <c r="K111" i="5" s="1"/>
  <c r="J111" i="5"/>
  <c r="I111" i="5"/>
  <c r="AK110" i="5"/>
  <c r="K110" i="5" s="1"/>
  <c r="J110" i="5"/>
  <c r="I110" i="5"/>
  <c r="AK109" i="5"/>
  <c r="K109" i="5" s="1"/>
  <c r="J109" i="5"/>
  <c r="AK108" i="5"/>
  <c r="K108" i="5" s="1"/>
  <c r="J108" i="5"/>
  <c r="I108" i="5"/>
  <c r="AK107" i="5"/>
  <c r="K107" i="5" s="1"/>
  <c r="J107" i="5"/>
  <c r="AK106" i="5"/>
  <c r="K106" i="5" s="1"/>
  <c r="J106" i="5"/>
  <c r="AK105" i="5"/>
  <c r="K105" i="5" s="1"/>
  <c r="I105" i="5"/>
  <c r="AK104" i="5"/>
  <c r="K104" i="5" s="1"/>
  <c r="J104" i="5"/>
  <c r="AK103" i="5"/>
  <c r="K103" i="5" s="1"/>
  <c r="J103" i="5"/>
  <c r="AK102" i="5"/>
  <c r="K102" i="5" s="1"/>
  <c r="J102" i="5"/>
  <c r="AK101" i="5"/>
  <c r="K101" i="5" s="1"/>
  <c r="J101" i="5"/>
  <c r="AK100" i="5"/>
  <c r="K100" i="5" s="1"/>
  <c r="J100" i="5"/>
  <c r="AK99" i="5"/>
  <c r="K99" i="5" s="1"/>
  <c r="J99" i="5"/>
  <c r="I99" i="5"/>
  <c r="AK98" i="5"/>
  <c r="K98" i="5" s="1"/>
  <c r="J98" i="5"/>
  <c r="AK97" i="5"/>
  <c r="K97" i="5" s="1"/>
  <c r="J97" i="5"/>
  <c r="I97" i="5"/>
  <c r="AK96" i="5"/>
  <c r="K96" i="5" s="1"/>
  <c r="J96" i="5"/>
  <c r="I96" i="5"/>
  <c r="AK95" i="5"/>
  <c r="K95" i="5" s="1"/>
  <c r="J95" i="5"/>
  <c r="AK94" i="5"/>
  <c r="K94" i="5" s="1"/>
  <c r="J94" i="5"/>
  <c r="AK93" i="5"/>
  <c r="K93" i="5" s="1"/>
  <c r="J93" i="5"/>
  <c r="AK92" i="5"/>
  <c r="K92" i="5" s="1"/>
  <c r="J92" i="5"/>
  <c r="AK91" i="5"/>
  <c r="K91" i="5" s="1"/>
  <c r="J91" i="5"/>
  <c r="I91" i="5"/>
  <c r="AK90" i="5"/>
  <c r="K90" i="5" s="1"/>
  <c r="J90" i="5"/>
  <c r="I90" i="5"/>
  <c r="AK89" i="5"/>
  <c r="K89" i="5" s="1"/>
  <c r="J89" i="5"/>
  <c r="AK88" i="5"/>
  <c r="K88" i="5" s="1"/>
  <c r="J88" i="5"/>
  <c r="I88" i="5"/>
  <c r="AK87" i="5"/>
  <c r="K87" i="5" s="1"/>
  <c r="J87" i="5"/>
  <c r="AK86" i="5"/>
  <c r="K86" i="5" s="1"/>
  <c r="J86" i="5"/>
  <c r="AK85" i="5"/>
  <c r="K85" i="5" s="1"/>
  <c r="J85" i="5"/>
  <c r="AK84" i="5"/>
  <c r="K84" i="5" s="1"/>
  <c r="J84" i="5"/>
  <c r="I84" i="5"/>
  <c r="AK83" i="5"/>
  <c r="K83" i="5" s="1"/>
  <c r="J83" i="5"/>
  <c r="I83" i="5"/>
  <c r="AK82" i="5"/>
  <c r="K82" i="5" s="1"/>
  <c r="J82" i="5"/>
  <c r="AK81" i="5"/>
  <c r="K81" i="5" s="1"/>
  <c r="J81" i="5"/>
  <c r="I81" i="5"/>
  <c r="AK80" i="5"/>
  <c r="K80" i="5" s="1"/>
  <c r="J80" i="5"/>
  <c r="AK79" i="5"/>
  <c r="K79" i="5" s="1"/>
  <c r="J79" i="5"/>
  <c r="I79" i="5"/>
  <c r="AK78" i="5"/>
  <c r="K78" i="5" s="1"/>
  <c r="J78" i="5"/>
  <c r="AK77" i="5"/>
  <c r="K77" i="5" s="1"/>
  <c r="J77" i="5"/>
  <c r="I77" i="5"/>
  <c r="AK76" i="5"/>
  <c r="K76" i="5" s="1"/>
  <c r="J76" i="5"/>
  <c r="AK75" i="5"/>
  <c r="K75" i="5" s="1"/>
  <c r="J75" i="5"/>
  <c r="I75" i="5"/>
  <c r="AK74" i="5"/>
  <c r="K74" i="5" s="1"/>
  <c r="J74" i="5"/>
  <c r="AK73" i="5"/>
  <c r="K73" i="5" s="1"/>
  <c r="J73" i="5"/>
  <c r="I73" i="5"/>
  <c r="AK72" i="5"/>
  <c r="K72" i="5" s="1"/>
  <c r="J72" i="5"/>
  <c r="AK71" i="5"/>
  <c r="K71" i="5" s="1"/>
  <c r="J71" i="5"/>
  <c r="AK70" i="5"/>
  <c r="K70" i="5" s="1"/>
  <c r="J70" i="5"/>
  <c r="AK69" i="5"/>
  <c r="K69" i="5" s="1"/>
  <c r="J69" i="5"/>
  <c r="I69" i="5"/>
  <c r="AK68" i="5"/>
  <c r="K68" i="5" s="1"/>
  <c r="J68" i="5"/>
  <c r="AK67" i="5"/>
  <c r="K67" i="5" s="1"/>
  <c r="J67" i="5"/>
  <c r="I67" i="5"/>
  <c r="AK66" i="5"/>
  <c r="K66" i="5" s="1"/>
  <c r="J66" i="5"/>
  <c r="I66" i="5"/>
  <c r="AK65" i="5"/>
  <c r="K65" i="5" s="1"/>
  <c r="J65" i="5"/>
  <c r="AK64" i="5"/>
  <c r="K64" i="5" s="1"/>
  <c r="J64" i="5"/>
  <c r="I64" i="5"/>
  <c r="AK63" i="5"/>
  <c r="K63" i="5" s="1"/>
  <c r="J63" i="5"/>
  <c r="AK62" i="5"/>
  <c r="J62" i="5"/>
  <c r="I62" i="5"/>
  <c r="AK61" i="5"/>
  <c r="K61" i="5" s="1"/>
  <c r="J61" i="5"/>
  <c r="I61" i="5"/>
  <c r="AK60" i="5"/>
  <c r="K60" i="5" s="1"/>
  <c r="J60" i="5"/>
  <c r="AK59" i="5"/>
  <c r="K59" i="5" s="1"/>
  <c r="J59" i="5"/>
  <c r="I59" i="5"/>
  <c r="AK58" i="5"/>
  <c r="K58" i="5"/>
  <c r="J58" i="5"/>
  <c r="I58" i="5"/>
  <c r="AK57" i="5"/>
  <c r="K57" i="5" s="1"/>
  <c r="J57" i="5"/>
  <c r="AK56" i="5"/>
  <c r="K56" i="5" s="1"/>
  <c r="J56" i="5"/>
  <c r="I56" i="5"/>
  <c r="AK55" i="5"/>
  <c r="K55" i="5" s="1"/>
  <c r="J55" i="5"/>
  <c r="I55" i="5"/>
  <c r="AK54" i="5"/>
  <c r="K54" i="5" s="1"/>
  <c r="J54" i="5"/>
  <c r="I54" i="5"/>
  <c r="AK53" i="5"/>
  <c r="K53" i="5" s="1"/>
  <c r="J53" i="5"/>
  <c r="AK52" i="5"/>
  <c r="K52" i="5" s="1"/>
  <c r="J52" i="5"/>
  <c r="I52" i="5"/>
  <c r="AK51" i="5"/>
  <c r="K51" i="5" s="1"/>
  <c r="J51" i="5"/>
  <c r="I51" i="5"/>
  <c r="AK50" i="5"/>
  <c r="K50" i="5" s="1"/>
  <c r="J50" i="5"/>
  <c r="I50" i="5"/>
  <c r="AK49" i="5"/>
  <c r="K49" i="5" s="1"/>
  <c r="J49" i="5"/>
  <c r="AK48" i="5"/>
  <c r="K48" i="5" s="1"/>
  <c r="J48" i="5"/>
  <c r="I48" i="5"/>
  <c r="AK47" i="5"/>
  <c r="K47" i="5" s="1"/>
  <c r="J47" i="5"/>
  <c r="I47" i="5"/>
  <c r="AK46" i="5"/>
  <c r="K46" i="5" s="1"/>
  <c r="J46" i="5"/>
  <c r="AK45" i="5"/>
  <c r="K45" i="5" s="1"/>
  <c r="J45" i="5"/>
  <c r="AK44" i="5"/>
  <c r="K44" i="5" s="1"/>
  <c r="J44" i="5"/>
  <c r="I44" i="5"/>
  <c r="AK43" i="5"/>
  <c r="K43" i="5" s="1"/>
  <c r="J43" i="5"/>
  <c r="AK42" i="5"/>
  <c r="K42" i="5" s="1"/>
  <c r="J42" i="5"/>
  <c r="I42" i="5"/>
  <c r="AK41" i="5"/>
  <c r="K41" i="5" s="1"/>
  <c r="J41" i="5"/>
  <c r="I41" i="5"/>
  <c r="AK40" i="5"/>
  <c r="K40" i="5" s="1"/>
  <c r="J40" i="5"/>
  <c r="AK39" i="5"/>
  <c r="K39" i="5" s="1"/>
  <c r="J39" i="5"/>
  <c r="I39" i="5"/>
  <c r="AK38" i="5"/>
  <c r="K38" i="5" s="1"/>
  <c r="J38" i="5"/>
  <c r="AK37" i="5"/>
  <c r="K37" i="5" s="1"/>
  <c r="J37" i="5"/>
  <c r="I37" i="5"/>
  <c r="AK36" i="5"/>
  <c r="K36" i="5" s="1"/>
  <c r="J36" i="5"/>
  <c r="I36" i="5"/>
  <c r="AK35" i="5"/>
  <c r="K35" i="5" s="1"/>
  <c r="J35" i="5"/>
  <c r="I35" i="5"/>
  <c r="AK34" i="5"/>
  <c r="K34" i="5" s="1"/>
  <c r="J34" i="5"/>
  <c r="AK33" i="5"/>
  <c r="K33" i="5" s="1"/>
  <c r="J33" i="5"/>
  <c r="AK32" i="5"/>
  <c r="K32" i="5" s="1"/>
  <c r="J32" i="5"/>
  <c r="I32" i="5"/>
  <c r="AK31" i="5"/>
  <c r="K31" i="5" s="1"/>
  <c r="J31" i="5"/>
  <c r="AK30" i="5"/>
  <c r="K30" i="5" s="1"/>
  <c r="J30" i="5"/>
  <c r="I30" i="5"/>
  <c r="AK29" i="5"/>
  <c r="K29" i="5" s="1"/>
  <c r="J29" i="5"/>
  <c r="I29" i="5"/>
  <c r="AK28" i="5"/>
  <c r="K28" i="5" s="1"/>
  <c r="J28" i="5"/>
  <c r="AK27" i="5"/>
  <c r="K27" i="5" s="1"/>
  <c r="I27" i="5"/>
  <c r="AK26" i="5"/>
  <c r="K26" i="5" s="1"/>
  <c r="J26" i="5"/>
  <c r="AK25" i="5"/>
  <c r="K25" i="5" s="1"/>
  <c r="AK24" i="5"/>
  <c r="K24" i="5" s="1"/>
  <c r="J24" i="5"/>
  <c r="AK23" i="5"/>
  <c r="K23" i="5" s="1"/>
  <c r="J23" i="5"/>
  <c r="I23" i="5"/>
  <c r="AK22" i="5"/>
  <c r="K22" i="5" s="1"/>
  <c r="I22" i="5"/>
  <c r="AK21" i="5"/>
  <c r="K21" i="5" s="1"/>
  <c r="J21" i="5"/>
  <c r="AK20" i="5"/>
  <c r="K20" i="5" s="1"/>
  <c r="J20" i="5"/>
  <c r="I20" i="5"/>
  <c r="AK19" i="5"/>
  <c r="K19" i="5" s="1"/>
  <c r="J19" i="5"/>
  <c r="I19" i="5"/>
  <c r="AK18" i="5"/>
  <c r="K18" i="5" s="1"/>
  <c r="J18" i="5"/>
  <c r="AK17" i="5"/>
  <c r="K17" i="5" s="1"/>
  <c r="J17" i="5"/>
  <c r="I17" i="5"/>
  <c r="AK16" i="5"/>
  <c r="K16" i="5" s="1"/>
  <c r="J16" i="5"/>
  <c r="I16" i="5"/>
  <c r="AK15" i="5"/>
  <c r="K15" i="5" s="1"/>
  <c r="J15" i="5"/>
  <c r="I15" i="5"/>
  <c r="AK14" i="5"/>
  <c r="K14" i="5" s="1"/>
  <c r="J14" i="5"/>
  <c r="I14" i="5"/>
  <c r="AK13" i="5"/>
  <c r="K13" i="5" s="1"/>
  <c r="J13" i="5"/>
  <c r="AK12" i="5"/>
  <c r="K12" i="5" s="1"/>
  <c r="J12" i="5"/>
  <c r="I12" i="5"/>
  <c r="AK11" i="5"/>
  <c r="K11" i="5" s="1"/>
  <c r="J11" i="5"/>
  <c r="I11" i="5"/>
  <c r="AK10" i="5"/>
  <c r="K10" i="5" s="1"/>
  <c r="J10" i="5"/>
  <c r="I10" i="5"/>
  <c r="AK9" i="5"/>
  <c r="K9" i="5" s="1"/>
  <c r="J9" i="5"/>
  <c r="I9" i="5"/>
  <c r="AK8" i="5"/>
  <c r="K8" i="5" s="1"/>
  <c r="J8" i="5"/>
  <c r="I8" i="5"/>
  <c r="AK7" i="5"/>
  <c r="K7" i="5" s="1"/>
  <c r="J7" i="5"/>
  <c r="I7" i="5"/>
  <c r="AK6" i="5"/>
  <c r="K6" i="5" s="1"/>
  <c r="J6" i="5"/>
  <c r="I6" i="5"/>
  <c r="AK5" i="5"/>
  <c r="K5" i="5" s="1"/>
  <c r="J5" i="5"/>
  <c r="I5" i="5"/>
  <c r="AK4" i="5"/>
  <c r="K4" i="5" s="1"/>
  <c r="J4" i="5"/>
  <c r="I4" i="5"/>
  <c r="AK3" i="5"/>
  <c r="AK115" i="5" s="1"/>
  <c r="K3" i="5"/>
  <c r="K115" i="5" s="1"/>
  <c r="J3" i="5"/>
  <c r="J115" i="5" s="1"/>
  <c r="I3" i="5"/>
  <c r="D1" i="5"/>
  <c r="B1" i="5"/>
  <c r="A1" i="5"/>
  <c r="AK518" i="4"/>
  <c r="K518" i="4"/>
  <c r="J518" i="4"/>
  <c r="I518" i="4"/>
  <c r="AK517" i="4"/>
  <c r="K517" i="4"/>
  <c r="J517" i="4"/>
  <c r="I517" i="4"/>
  <c r="AK516" i="4"/>
  <c r="K516" i="4"/>
  <c r="J516" i="4"/>
  <c r="I516" i="4"/>
  <c r="AK515" i="4"/>
  <c r="K515" i="4"/>
  <c r="J515" i="4"/>
  <c r="I515" i="4"/>
  <c r="AK514" i="4"/>
  <c r="K514" i="4"/>
  <c r="J514" i="4"/>
  <c r="I514" i="4"/>
  <c r="AK513" i="4"/>
  <c r="K513" i="4"/>
  <c r="J513" i="4"/>
  <c r="I513" i="4"/>
  <c r="AK512" i="4"/>
  <c r="K512" i="4"/>
  <c r="J512" i="4"/>
  <c r="I512" i="4"/>
  <c r="AK511" i="4"/>
  <c r="K511" i="4"/>
  <c r="J511" i="4"/>
  <c r="I511" i="4"/>
  <c r="AK510" i="4"/>
  <c r="K510" i="4"/>
  <c r="J510" i="4"/>
  <c r="I510" i="4"/>
  <c r="AK509" i="4"/>
  <c r="K509" i="4"/>
  <c r="J509" i="4"/>
  <c r="I509" i="4"/>
  <c r="AK508" i="4"/>
  <c r="K508" i="4"/>
  <c r="J508" i="4"/>
  <c r="I508" i="4"/>
  <c r="AK507" i="4"/>
  <c r="K507" i="4"/>
  <c r="J507" i="4"/>
  <c r="I507" i="4"/>
  <c r="AK506" i="4"/>
  <c r="K506" i="4"/>
  <c r="J506" i="4"/>
  <c r="AK505" i="4"/>
  <c r="K505" i="4"/>
  <c r="J505" i="4"/>
  <c r="I505" i="4"/>
  <c r="AK504" i="4"/>
  <c r="K504" i="4"/>
  <c r="J504" i="4"/>
  <c r="AK503" i="4"/>
  <c r="K503" i="4"/>
  <c r="J503" i="4"/>
  <c r="I503" i="4"/>
  <c r="AK502" i="4"/>
  <c r="K502" i="4"/>
  <c r="J502" i="4"/>
  <c r="AK501" i="4"/>
  <c r="K501" i="4"/>
  <c r="J501" i="4"/>
  <c r="AK500" i="4"/>
  <c r="K500" i="4"/>
  <c r="J500" i="4"/>
  <c r="AK499" i="4"/>
  <c r="K499" i="4"/>
  <c r="J499" i="4"/>
  <c r="I499" i="4"/>
  <c r="AK498" i="4"/>
  <c r="K498" i="4"/>
  <c r="J498" i="4"/>
  <c r="I498" i="4"/>
  <c r="AK497" i="4"/>
  <c r="K497" i="4"/>
  <c r="J497" i="4"/>
  <c r="I497" i="4"/>
  <c r="AK496" i="4"/>
  <c r="K496" i="4"/>
  <c r="J496" i="4"/>
  <c r="AK495" i="4"/>
  <c r="K495" i="4"/>
  <c r="J495" i="4"/>
  <c r="I495" i="4"/>
  <c r="AK494" i="4"/>
  <c r="K494" i="4"/>
  <c r="J494" i="4"/>
  <c r="I494" i="4"/>
  <c r="AK493" i="4"/>
  <c r="K493" i="4"/>
  <c r="J493" i="4"/>
  <c r="I493" i="4"/>
  <c r="AK492" i="4"/>
  <c r="K492" i="4"/>
  <c r="J492" i="4"/>
  <c r="I492" i="4"/>
  <c r="AK491" i="4"/>
  <c r="K491" i="4"/>
  <c r="J491" i="4"/>
  <c r="I491" i="4"/>
  <c r="AK490" i="4"/>
  <c r="K490" i="4"/>
  <c r="J490" i="4"/>
  <c r="I490" i="4"/>
  <c r="AK489" i="4"/>
  <c r="K489" i="4"/>
  <c r="J489" i="4"/>
  <c r="I489" i="4"/>
  <c r="AK488" i="4"/>
  <c r="K488" i="4"/>
  <c r="J488" i="4"/>
  <c r="I488" i="4"/>
  <c r="AK487" i="4"/>
  <c r="K487" i="4"/>
  <c r="J487" i="4"/>
  <c r="I487" i="4"/>
  <c r="AK486" i="4"/>
  <c r="K486" i="4"/>
  <c r="J486" i="4"/>
  <c r="I486" i="4"/>
  <c r="AK485" i="4"/>
  <c r="K485" i="4"/>
  <c r="J485" i="4"/>
  <c r="I485" i="4"/>
  <c r="AK484" i="4"/>
  <c r="K484" i="4"/>
  <c r="J484" i="4"/>
  <c r="I484" i="4"/>
  <c r="AK483" i="4"/>
  <c r="K483" i="4"/>
  <c r="J483" i="4"/>
  <c r="I483" i="4"/>
  <c r="AK482" i="4"/>
  <c r="K482" i="4"/>
  <c r="J482" i="4"/>
  <c r="I482" i="4"/>
  <c r="AK481" i="4"/>
  <c r="K481" i="4"/>
  <c r="J481" i="4"/>
  <c r="I481" i="4"/>
  <c r="AK480" i="4"/>
  <c r="K480" i="4"/>
  <c r="J480" i="4"/>
  <c r="I480" i="4"/>
  <c r="AK479" i="4"/>
  <c r="K479" i="4"/>
  <c r="J479" i="4"/>
  <c r="I479" i="4"/>
  <c r="AK478" i="4"/>
  <c r="K478" i="4"/>
  <c r="J478" i="4"/>
  <c r="AK477" i="4"/>
  <c r="K477" i="4"/>
  <c r="J477" i="4"/>
  <c r="AK476" i="4"/>
  <c r="K476" i="4"/>
  <c r="J476" i="4"/>
  <c r="AK475" i="4"/>
  <c r="K475" i="4"/>
  <c r="J475" i="4"/>
  <c r="AK474" i="4"/>
  <c r="K474" i="4"/>
  <c r="J474" i="4"/>
  <c r="I474" i="4"/>
  <c r="AK473" i="4"/>
  <c r="K473" i="4"/>
  <c r="J473" i="4"/>
  <c r="I473" i="4"/>
  <c r="AK472" i="4"/>
  <c r="K472" i="4"/>
  <c r="J472" i="4"/>
  <c r="I472" i="4"/>
  <c r="AK471" i="4"/>
  <c r="K471" i="4"/>
  <c r="J471" i="4"/>
  <c r="AK470" i="4"/>
  <c r="K470" i="4"/>
  <c r="J470" i="4"/>
  <c r="I470" i="4"/>
  <c r="AK469" i="4"/>
  <c r="K469" i="4"/>
  <c r="J469" i="4"/>
  <c r="I469" i="4"/>
  <c r="AK468" i="4"/>
  <c r="K468" i="4"/>
  <c r="J468" i="4"/>
  <c r="AK467" i="4"/>
  <c r="K467" i="4"/>
  <c r="J467" i="4"/>
  <c r="AK466" i="4"/>
  <c r="K466" i="4"/>
  <c r="J466" i="4"/>
  <c r="I466" i="4"/>
  <c r="AK465" i="4"/>
  <c r="K465" i="4"/>
  <c r="J465" i="4"/>
  <c r="I465" i="4"/>
  <c r="AK464" i="4"/>
  <c r="K464" i="4"/>
  <c r="J464" i="4"/>
  <c r="I464" i="4"/>
  <c r="AK463" i="4"/>
  <c r="K463" i="4"/>
  <c r="J463" i="4"/>
  <c r="I463" i="4"/>
  <c r="AK462" i="4"/>
  <c r="K462" i="4"/>
  <c r="J462" i="4"/>
  <c r="AK461" i="4"/>
  <c r="K461" i="4"/>
  <c r="J461" i="4"/>
  <c r="I461" i="4"/>
  <c r="AK460" i="4"/>
  <c r="K460" i="4"/>
  <c r="J460" i="4"/>
  <c r="I460" i="4"/>
  <c r="AK459" i="4"/>
  <c r="K459" i="4"/>
  <c r="J459" i="4"/>
  <c r="I459" i="4"/>
  <c r="AK458" i="4"/>
  <c r="K458" i="4"/>
  <c r="J458" i="4"/>
  <c r="AK457" i="4"/>
  <c r="K457" i="4"/>
  <c r="J457" i="4"/>
  <c r="I457" i="4"/>
  <c r="AK456" i="4"/>
  <c r="K456" i="4"/>
  <c r="J456" i="4"/>
  <c r="AK455" i="4"/>
  <c r="K455" i="4"/>
  <c r="J455" i="4"/>
  <c r="AK454" i="4"/>
  <c r="K454" i="4"/>
  <c r="J454" i="4"/>
  <c r="I454" i="4"/>
  <c r="AK453" i="4"/>
  <c r="K453" i="4"/>
  <c r="J453" i="4"/>
  <c r="AK452" i="4"/>
  <c r="K452" i="4"/>
  <c r="J452" i="4"/>
  <c r="I452" i="4"/>
  <c r="AK451" i="4"/>
  <c r="K451" i="4"/>
  <c r="J451" i="4"/>
  <c r="AK450" i="4"/>
  <c r="K450" i="4"/>
  <c r="J450" i="4"/>
  <c r="I450" i="4"/>
  <c r="AK449" i="4"/>
  <c r="K449" i="4"/>
  <c r="J449" i="4"/>
  <c r="I449" i="4"/>
  <c r="AK448" i="4"/>
  <c r="K448" i="4"/>
  <c r="J448" i="4"/>
  <c r="I448" i="4"/>
  <c r="AK447" i="4"/>
  <c r="K447" i="4"/>
  <c r="J447" i="4"/>
  <c r="I447" i="4"/>
  <c r="AK446" i="4"/>
  <c r="K446" i="4"/>
  <c r="J446" i="4"/>
  <c r="I446" i="4"/>
  <c r="AK445" i="4"/>
  <c r="K445" i="4"/>
  <c r="J445" i="4"/>
  <c r="AK444" i="4"/>
  <c r="K444" i="4"/>
  <c r="J444" i="4"/>
  <c r="I444" i="4"/>
  <c r="AK443" i="4"/>
  <c r="K443" i="4"/>
  <c r="J443" i="4"/>
  <c r="I443" i="4"/>
  <c r="AK442" i="4"/>
  <c r="K442" i="4"/>
  <c r="J442" i="4"/>
  <c r="AK441" i="4"/>
  <c r="K441" i="4"/>
  <c r="J441" i="4"/>
  <c r="AK440" i="4"/>
  <c r="K440" i="4"/>
  <c r="J440" i="4"/>
  <c r="I440" i="4"/>
  <c r="AK439" i="4"/>
  <c r="K439" i="4"/>
  <c r="J439" i="4"/>
  <c r="AK438" i="4"/>
  <c r="K438" i="4"/>
  <c r="J438" i="4"/>
  <c r="I438" i="4"/>
  <c r="AK437" i="4"/>
  <c r="K437" i="4"/>
  <c r="J437" i="4"/>
  <c r="I437" i="4"/>
  <c r="AK436" i="4"/>
  <c r="K436" i="4"/>
  <c r="J436" i="4"/>
  <c r="I436" i="4"/>
  <c r="AK435" i="4"/>
  <c r="K435" i="4"/>
  <c r="J435" i="4"/>
  <c r="I435" i="4"/>
  <c r="AK434" i="4"/>
  <c r="K434" i="4"/>
  <c r="J434" i="4"/>
  <c r="AK433" i="4"/>
  <c r="K433" i="4"/>
  <c r="J433" i="4"/>
  <c r="I433" i="4"/>
  <c r="AK432" i="4"/>
  <c r="K432" i="4"/>
  <c r="J432" i="4"/>
  <c r="I432" i="4"/>
  <c r="AK431" i="4"/>
  <c r="K431" i="4"/>
  <c r="J431" i="4"/>
  <c r="AK430" i="4"/>
  <c r="K430" i="4"/>
  <c r="J430" i="4"/>
  <c r="AK429" i="4"/>
  <c r="K429" i="4"/>
  <c r="J429" i="4"/>
  <c r="I429" i="4"/>
  <c r="AK428" i="4"/>
  <c r="K428" i="4"/>
  <c r="J428" i="4"/>
  <c r="I428" i="4"/>
  <c r="AK427" i="4"/>
  <c r="K427" i="4"/>
  <c r="J427" i="4"/>
  <c r="I427" i="4"/>
  <c r="AK426" i="4"/>
  <c r="K426" i="4"/>
  <c r="J426" i="4"/>
  <c r="I426" i="4"/>
  <c r="AK425" i="4"/>
  <c r="K425" i="4"/>
  <c r="J425" i="4"/>
  <c r="AK424" i="4"/>
  <c r="K424" i="4"/>
  <c r="J424" i="4"/>
  <c r="I424" i="4"/>
  <c r="AK423" i="4"/>
  <c r="K423" i="4"/>
  <c r="J423" i="4"/>
  <c r="I423" i="4"/>
  <c r="AK422" i="4"/>
  <c r="K422" i="4"/>
  <c r="J422" i="4"/>
  <c r="AK421" i="4"/>
  <c r="K421" i="4"/>
  <c r="J421" i="4"/>
  <c r="I421" i="4"/>
  <c r="AK420" i="4"/>
  <c r="K420" i="4"/>
  <c r="J420" i="4"/>
  <c r="AK419" i="4"/>
  <c r="K419" i="4"/>
  <c r="J419" i="4"/>
  <c r="I419" i="4"/>
  <c r="AK418" i="4"/>
  <c r="K418" i="4"/>
  <c r="J418" i="4"/>
  <c r="I418" i="4"/>
  <c r="AK417" i="4"/>
  <c r="K417" i="4"/>
  <c r="J417" i="4"/>
  <c r="I417" i="4"/>
  <c r="AK416" i="4"/>
  <c r="K416" i="4"/>
  <c r="J416" i="4"/>
  <c r="I416" i="4"/>
  <c r="AK415" i="4"/>
  <c r="K415" i="4"/>
  <c r="J415" i="4"/>
  <c r="I415" i="4"/>
  <c r="AK414" i="4"/>
  <c r="K414" i="4"/>
  <c r="J414" i="4"/>
  <c r="I414" i="4"/>
  <c r="AK413" i="4"/>
  <c r="K413" i="4"/>
  <c r="J413" i="4"/>
  <c r="AK412" i="4"/>
  <c r="K412" i="4"/>
  <c r="J412" i="4"/>
  <c r="AK411" i="4"/>
  <c r="K411" i="4"/>
  <c r="J411" i="4"/>
  <c r="I411" i="4"/>
  <c r="AK410" i="4"/>
  <c r="K410" i="4"/>
  <c r="J410" i="4"/>
  <c r="I410" i="4"/>
  <c r="AK409" i="4"/>
  <c r="K409" i="4"/>
  <c r="J409" i="4"/>
  <c r="I409" i="4"/>
  <c r="AK408" i="4"/>
  <c r="K408" i="4"/>
  <c r="J408" i="4"/>
  <c r="I408" i="4"/>
  <c r="AK407" i="4"/>
  <c r="K407" i="4"/>
  <c r="J407" i="4"/>
  <c r="I407" i="4"/>
  <c r="AK406" i="4"/>
  <c r="K406" i="4"/>
  <c r="J406" i="4"/>
  <c r="I406" i="4"/>
  <c r="AK405" i="4"/>
  <c r="K405" i="4"/>
  <c r="J405" i="4"/>
  <c r="I405" i="4"/>
  <c r="AK404" i="4"/>
  <c r="K404" i="4"/>
  <c r="J404" i="4"/>
  <c r="I404" i="4"/>
  <c r="AK403" i="4"/>
  <c r="K403" i="4"/>
  <c r="J403" i="4"/>
  <c r="I403" i="4"/>
  <c r="AK402" i="4"/>
  <c r="K402" i="4"/>
  <c r="J402" i="4"/>
  <c r="I402" i="4"/>
  <c r="AK401" i="4"/>
  <c r="K401" i="4"/>
  <c r="J401" i="4"/>
  <c r="AK400" i="4"/>
  <c r="K400" i="4"/>
  <c r="J400" i="4"/>
  <c r="AK399" i="4"/>
  <c r="K399" i="4"/>
  <c r="J399" i="4"/>
  <c r="I399" i="4"/>
  <c r="AK398" i="4"/>
  <c r="K398" i="4"/>
  <c r="J398" i="4"/>
  <c r="I398" i="4"/>
  <c r="AK397" i="4"/>
  <c r="K397" i="4"/>
  <c r="J397" i="4"/>
  <c r="I397" i="4"/>
  <c r="AK396" i="4"/>
  <c r="K396" i="4"/>
  <c r="J396" i="4"/>
  <c r="I396" i="4"/>
  <c r="AK395" i="4"/>
  <c r="K395" i="4"/>
  <c r="J395" i="4"/>
  <c r="I395" i="4"/>
  <c r="AK394" i="4"/>
  <c r="K394" i="4"/>
  <c r="J394" i="4"/>
  <c r="AK393" i="4"/>
  <c r="K393" i="4"/>
  <c r="J393" i="4"/>
  <c r="I393" i="4"/>
  <c r="AK392" i="4"/>
  <c r="K392" i="4"/>
  <c r="J392" i="4"/>
  <c r="I392" i="4"/>
  <c r="AK391" i="4"/>
  <c r="K391" i="4"/>
  <c r="J391" i="4"/>
  <c r="AK390" i="4"/>
  <c r="K390" i="4"/>
  <c r="J390" i="4"/>
  <c r="I390" i="4"/>
  <c r="AK389" i="4"/>
  <c r="K389" i="4"/>
  <c r="J389" i="4"/>
  <c r="I389" i="4"/>
  <c r="AK388" i="4"/>
  <c r="K388" i="4"/>
  <c r="J388" i="4"/>
  <c r="I388" i="4"/>
  <c r="AK387" i="4"/>
  <c r="K387" i="4"/>
  <c r="J387" i="4"/>
  <c r="AK386" i="4"/>
  <c r="K386" i="4"/>
  <c r="J386" i="4"/>
  <c r="AK385" i="4"/>
  <c r="K385" i="4"/>
  <c r="J385" i="4"/>
  <c r="AK384" i="4"/>
  <c r="K384" i="4"/>
  <c r="J384" i="4"/>
  <c r="AK383" i="4"/>
  <c r="K383" i="4"/>
  <c r="J383" i="4"/>
  <c r="I383" i="4"/>
  <c r="AK382" i="4"/>
  <c r="K382" i="4"/>
  <c r="J382" i="4"/>
  <c r="AK381" i="4"/>
  <c r="K381" i="4"/>
  <c r="J381" i="4"/>
  <c r="I381" i="4"/>
  <c r="AK380" i="4"/>
  <c r="K380" i="4"/>
  <c r="J380" i="4"/>
  <c r="AK379" i="4"/>
  <c r="K379" i="4"/>
  <c r="J379" i="4"/>
  <c r="AK378" i="4"/>
  <c r="K378" i="4"/>
  <c r="J378" i="4"/>
  <c r="I378" i="4"/>
  <c r="AK377" i="4"/>
  <c r="K377" i="4"/>
  <c r="J377" i="4"/>
  <c r="I377" i="4"/>
  <c r="AK376" i="4"/>
  <c r="K376" i="4"/>
  <c r="J376" i="4"/>
  <c r="AK375" i="4"/>
  <c r="K375" i="4"/>
  <c r="J375" i="4"/>
  <c r="I375" i="4"/>
  <c r="AK374" i="4"/>
  <c r="K374" i="4"/>
  <c r="J374" i="4"/>
  <c r="AK373" i="4"/>
  <c r="K373" i="4"/>
  <c r="J373" i="4"/>
  <c r="AK372" i="4"/>
  <c r="K372" i="4"/>
  <c r="J372" i="4"/>
  <c r="I372" i="4"/>
  <c r="AK371" i="4"/>
  <c r="K371" i="4"/>
  <c r="J371" i="4"/>
  <c r="I371" i="4"/>
  <c r="AK370" i="4"/>
  <c r="K370" i="4"/>
  <c r="J370" i="4"/>
  <c r="I370" i="4"/>
  <c r="AK369" i="4"/>
  <c r="K369" i="4"/>
  <c r="J369" i="4"/>
  <c r="I369" i="4"/>
  <c r="AK368" i="4"/>
  <c r="K368" i="4"/>
  <c r="J368" i="4"/>
  <c r="AK367" i="4"/>
  <c r="K367" i="4"/>
  <c r="J367" i="4"/>
  <c r="AK366" i="4"/>
  <c r="K366" i="4"/>
  <c r="J366" i="4"/>
  <c r="I366" i="4"/>
  <c r="AK365" i="4"/>
  <c r="K365" i="4"/>
  <c r="J365" i="4"/>
  <c r="AK364" i="4"/>
  <c r="K364" i="4"/>
  <c r="J364" i="4"/>
  <c r="I364" i="4"/>
  <c r="AK363" i="4"/>
  <c r="K363" i="4"/>
  <c r="J363" i="4"/>
  <c r="I363" i="4"/>
  <c r="AK362" i="4"/>
  <c r="K362" i="4"/>
  <c r="J362" i="4"/>
  <c r="I362" i="4"/>
  <c r="AK361" i="4"/>
  <c r="K361" i="4"/>
  <c r="J361" i="4"/>
  <c r="I361" i="4"/>
  <c r="AK360" i="4"/>
  <c r="K360" i="4"/>
  <c r="J360" i="4"/>
  <c r="I360" i="4"/>
  <c r="AK359" i="4"/>
  <c r="K359" i="4"/>
  <c r="J359" i="4"/>
  <c r="AK358" i="4"/>
  <c r="K358" i="4"/>
  <c r="J358" i="4"/>
  <c r="I358" i="4"/>
  <c r="AK357" i="4"/>
  <c r="K357" i="4"/>
  <c r="J357" i="4"/>
  <c r="I357" i="4"/>
  <c r="AK356" i="4"/>
  <c r="K356" i="4"/>
  <c r="J356" i="4"/>
  <c r="I356" i="4"/>
  <c r="AK355" i="4"/>
  <c r="K355" i="4"/>
  <c r="J355" i="4"/>
  <c r="AK354" i="4"/>
  <c r="K354" i="4"/>
  <c r="J354" i="4"/>
  <c r="I354" i="4"/>
  <c r="AK353" i="4"/>
  <c r="K353" i="4"/>
  <c r="J353" i="4"/>
  <c r="AK352" i="4"/>
  <c r="K352" i="4"/>
  <c r="J352" i="4"/>
  <c r="I352" i="4"/>
  <c r="AK351" i="4"/>
  <c r="K351" i="4"/>
  <c r="J351" i="4"/>
  <c r="I351" i="4"/>
  <c r="AK350" i="4"/>
  <c r="K350" i="4"/>
  <c r="J350" i="4"/>
  <c r="AK349" i="4"/>
  <c r="K349" i="4"/>
  <c r="J349" i="4"/>
  <c r="AK348" i="4"/>
  <c r="K348" i="4"/>
  <c r="J348" i="4"/>
  <c r="I348" i="4"/>
  <c r="AK347" i="4"/>
  <c r="K347" i="4"/>
  <c r="J347" i="4"/>
  <c r="AK346" i="4"/>
  <c r="K346" i="4"/>
  <c r="J346" i="4"/>
  <c r="I346" i="4"/>
  <c r="AK345" i="4"/>
  <c r="K345" i="4"/>
  <c r="J345" i="4"/>
  <c r="AK344" i="4"/>
  <c r="K344" i="4"/>
  <c r="J344" i="4"/>
  <c r="AK343" i="4"/>
  <c r="K343" i="4"/>
  <c r="J343" i="4"/>
  <c r="AK342" i="4"/>
  <c r="K342" i="4"/>
  <c r="J342" i="4"/>
  <c r="I342" i="4"/>
  <c r="AK341" i="4"/>
  <c r="K341" i="4"/>
  <c r="J341" i="4"/>
  <c r="AK340" i="4"/>
  <c r="K340" i="4"/>
  <c r="J340" i="4"/>
  <c r="I340" i="4"/>
  <c r="AK339" i="4"/>
  <c r="K339" i="4"/>
  <c r="J339" i="4"/>
  <c r="AK338" i="4"/>
  <c r="K338" i="4"/>
  <c r="J338" i="4"/>
  <c r="AK337" i="4"/>
  <c r="K337" i="4"/>
  <c r="J337" i="4"/>
  <c r="AK336" i="4"/>
  <c r="K336" i="4"/>
  <c r="J336" i="4"/>
  <c r="I336" i="4"/>
  <c r="AK335" i="4"/>
  <c r="K335" i="4"/>
  <c r="J335" i="4"/>
  <c r="I335" i="4"/>
  <c r="AK334" i="4"/>
  <c r="K334" i="4"/>
  <c r="J334" i="4"/>
  <c r="AK333" i="4"/>
  <c r="K333" i="4"/>
  <c r="J333" i="4"/>
  <c r="AK332" i="4"/>
  <c r="K332" i="4"/>
  <c r="J332" i="4"/>
  <c r="AK331" i="4"/>
  <c r="K331" i="4"/>
  <c r="J331" i="4"/>
  <c r="I331" i="4"/>
  <c r="AK330" i="4"/>
  <c r="K330" i="4"/>
  <c r="J330" i="4"/>
  <c r="AK329" i="4"/>
  <c r="K329" i="4"/>
  <c r="J329" i="4"/>
  <c r="AK328" i="4"/>
  <c r="K328" i="4"/>
  <c r="J328" i="4"/>
  <c r="I328" i="4"/>
  <c r="AK327" i="4"/>
  <c r="K327" i="4"/>
  <c r="J327" i="4"/>
  <c r="AK326" i="4"/>
  <c r="K326" i="4"/>
  <c r="J326" i="4"/>
  <c r="AK325" i="4"/>
  <c r="K325" i="4"/>
  <c r="J325" i="4"/>
  <c r="AK324" i="4"/>
  <c r="K324" i="4"/>
  <c r="J324" i="4"/>
  <c r="AK323" i="4"/>
  <c r="K323" i="4"/>
  <c r="J323" i="4"/>
  <c r="I323" i="4"/>
  <c r="AK322" i="4"/>
  <c r="K322" i="4"/>
  <c r="J322" i="4"/>
  <c r="AK321" i="4"/>
  <c r="K321" i="4"/>
  <c r="J321" i="4"/>
  <c r="I321" i="4"/>
  <c r="AK320" i="4"/>
  <c r="K320" i="4"/>
  <c r="J320" i="4"/>
  <c r="I320" i="4"/>
  <c r="AK319" i="4"/>
  <c r="K319" i="4"/>
  <c r="J319" i="4"/>
  <c r="AK318" i="4"/>
  <c r="K318" i="4"/>
  <c r="J318" i="4"/>
  <c r="AK317" i="4"/>
  <c r="K317" i="4"/>
  <c r="J317" i="4"/>
  <c r="AK316" i="4"/>
  <c r="K316" i="4"/>
  <c r="J316" i="4"/>
  <c r="I316" i="4"/>
  <c r="AK315" i="4"/>
  <c r="K315" i="4"/>
  <c r="J315" i="4"/>
  <c r="I315" i="4"/>
  <c r="AK314" i="4"/>
  <c r="K314" i="4"/>
  <c r="J314" i="4"/>
  <c r="I314" i="4"/>
  <c r="AK313" i="4"/>
  <c r="K313" i="4"/>
  <c r="J313" i="4"/>
  <c r="I313" i="4"/>
  <c r="AK312" i="4"/>
  <c r="K312" i="4"/>
  <c r="J312" i="4"/>
  <c r="I312" i="4"/>
  <c r="AK311" i="4"/>
  <c r="K311" i="4"/>
  <c r="J311" i="4"/>
  <c r="I311" i="4"/>
  <c r="AK310" i="4"/>
  <c r="K310" i="4"/>
  <c r="J310" i="4"/>
  <c r="AK309" i="4"/>
  <c r="K309" i="4"/>
  <c r="J309" i="4"/>
  <c r="AK308" i="4"/>
  <c r="K308" i="4"/>
  <c r="J308" i="4"/>
  <c r="AK307" i="4"/>
  <c r="K307" i="4"/>
  <c r="J307" i="4"/>
  <c r="AK306" i="4"/>
  <c r="K306" i="4"/>
  <c r="J306" i="4"/>
  <c r="I306" i="4"/>
  <c r="AK305" i="4"/>
  <c r="K305" i="4"/>
  <c r="J305" i="4"/>
  <c r="AK304" i="4"/>
  <c r="K304" i="4"/>
  <c r="J304" i="4"/>
  <c r="AK303" i="4"/>
  <c r="K303" i="4"/>
  <c r="J303" i="4"/>
  <c r="I303" i="4"/>
  <c r="AK302" i="4"/>
  <c r="K302" i="4"/>
  <c r="J302" i="4"/>
  <c r="I302" i="4"/>
  <c r="AK301" i="4"/>
  <c r="K301" i="4"/>
  <c r="J301" i="4"/>
  <c r="AK300" i="4"/>
  <c r="K300" i="4"/>
  <c r="J300" i="4"/>
  <c r="AK299" i="4"/>
  <c r="K299" i="4"/>
  <c r="J299" i="4"/>
  <c r="I299" i="4"/>
  <c r="AK298" i="4"/>
  <c r="K298" i="4"/>
  <c r="J298" i="4"/>
  <c r="AK297" i="4"/>
  <c r="K297" i="4"/>
  <c r="J297" i="4"/>
  <c r="AK296" i="4"/>
  <c r="K296" i="4"/>
  <c r="J296" i="4"/>
  <c r="I296" i="4"/>
  <c r="AK295" i="4"/>
  <c r="K295" i="4"/>
  <c r="J295" i="4"/>
  <c r="AK294" i="4"/>
  <c r="K294" i="4"/>
  <c r="J294" i="4"/>
  <c r="I294" i="4"/>
  <c r="AK293" i="4"/>
  <c r="K293" i="4"/>
  <c r="J293" i="4"/>
  <c r="I293" i="4"/>
  <c r="AK292" i="4"/>
  <c r="K292" i="4"/>
  <c r="J292" i="4"/>
  <c r="AK291" i="4"/>
  <c r="K291" i="4"/>
  <c r="J291" i="4"/>
  <c r="AK290" i="4"/>
  <c r="K290" i="4"/>
  <c r="J290" i="4"/>
  <c r="AK289" i="4"/>
  <c r="K289" i="4"/>
  <c r="J289" i="4"/>
  <c r="I289" i="4"/>
  <c r="AK288" i="4"/>
  <c r="K288" i="4"/>
  <c r="J288" i="4"/>
  <c r="I288" i="4"/>
  <c r="AK287" i="4"/>
  <c r="K287" i="4"/>
  <c r="J287" i="4"/>
  <c r="I287" i="4"/>
  <c r="AK286" i="4"/>
  <c r="K286" i="4"/>
  <c r="J286" i="4"/>
  <c r="AK285" i="4"/>
  <c r="K285" i="4"/>
  <c r="J285" i="4"/>
  <c r="AK284" i="4"/>
  <c r="K284" i="4"/>
  <c r="J284" i="4"/>
  <c r="I284" i="4"/>
  <c r="AK283" i="4"/>
  <c r="K283" i="4"/>
  <c r="J283" i="4"/>
  <c r="AK282" i="4"/>
  <c r="K282" i="4"/>
  <c r="J282" i="4"/>
  <c r="AK281" i="4"/>
  <c r="K281" i="4"/>
  <c r="J281" i="4"/>
  <c r="I281" i="4"/>
  <c r="AK280" i="4"/>
  <c r="K280" i="4"/>
  <c r="J280" i="4"/>
  <c r="I280" i="4"/>
  <c r="AK279" i="4"/>
  <c r="K279" i="4"/>
  <c r="J279" i="4"/>
  <c r="AK278" i="4"/>
  <c r="K278" i="4"/>
  <c r="J278" i="4"/>
  <c r="AK277" i="4"/>
  <c r="K277" i="4"/>
  <c r="J277" i="4"/>
  <c r="I277" i="4"/>
  <c r="AK276" i="4"/>
  <c r="K276" i="4"/>
  <c r="J276" i="4"/>
  <c r="I276" i="4"/>
  <c r="AK275" i="4"/>
  <c r="K275" i="4"/>
  <c r="J275" i="4"/>
  <c r="I275" i="4"/>
  <c r="AK274" i="4"/>
  <c r="K274" i="4"/>
  <c r="J274" i="4"/>
  <c r="AK273" i="4"/>
  <c r="K273" i="4"/>
  <c r="J273" i="4"/>
  <c r="I273" i="4"/>
  <c r="AK272" i="4"/>
  <c r="K272" i="4"/>
  <c r="J272" i="4"/>
  <c r="I272" i="4"/>
  <c r="AK271" i="4"/>
  <c r="K271" i="4"/>
  <c r="J271" i="4"/>
  <c r="AK270" i="4"/>
  <c r="K270" i="4"/>
  <c r="J270" i="4"/>
  <c r="I270" i="4"/>
  <c r="AK269" i="4"/>
  <c r="K269" i="4"/>
  <c r="J269" i="4"/>
  <c r="I269" i="4"/>
  <c r="AK268" i="4"/>
  <c r="K268" i="4"/>
  <c r="J268" i="4"/>
  <c r="I268" i="4"/>
  <c r="AK267" i="4"/>
  <c r="K267" i="4"/>
  <c r="J267" i="4"/>
  <c r="I267" i="4"/>
  <c r="AK266" i="4"/>
  <c r="K266" i="4"/>
  <c r="J266" i="4"/>
  <c r="I266" i="4"/>
  <c r="AK265" i="4"/>
  <c r="K265" i="4"/>
  <c r="J265" i="4"/>
  <c r="AK264" i="4"/>
  <c r="K264" i="4"/>
  <c r="J264" i="4"/>
  <c r="AK263" i="4"/>
  <c r="K263" i="4"/>
  <c r="J263" i="4"/>
  <c r="I263" i="4"/>
  <c r="AK262" i="4"/>
  <c r="K262" i="4"/>
  <c r="J262" i="4"/>
  <c r="AK261" i="4"/>
  <c r="K261" i="4"/>
  <c r="J261" i="4"/>
  <c r="I261" i="4"/>
  <c r="AK260" i="4"/>
  <c r="K260" i="4"/>
  <c r="J260" i="4"/>
  <c r="I260" i="4"/>
  <c r="AK259" i="4"/>
  <c r="K259" i="4"/>
  <c r="J259" i="4"/>
  <c r="I259" i="4"/>
  <c r="AK258" i="4"/>
  <c r="K258" i="4"/>
  <c r="J258" i="4"/>
  <c r="I258" i="4"/>
  <c r="AK257" i="4"/>
  <c r="K257" i="4"/>
  <c r="J257" i="4"/>
  <c r="I257" i="4"/>
  <c r="AK256" i="4"/>
  <c r="K256" i="4"/>
  <c r="J256" i="4"/>
  <c r="AK255" i="4"/>
  <c r="K255" i="4"/>
  <c r="J255" i="4"/>
  <c r="AK254" i="4"/>
  <c r="K254" i="4"/>
  <c r="J254" i="4"/>
  <c r="I254" i="4"/>
  <c r="AK253" i="4"/>
  <c r="K253" i="4"/>
  <c r="J253" i="4"/>
  <c r="I253" i="4"/>
  <c r="AK252" i="4"/>
  <c r="K252" i="4"/>
  <c r="J252" i="4"/>
  <c r="AK251" i="4"/>
  <c r="K251" i="4"/>
  <c r="J251" i="4"/>
  <c r="I251" i="4"/>
  <c r="AK250" i="4"/>
  <c r="K250" i="4"/>
  <c r="J250" i="4"/>
  <c r="I250" i="4"/>
  <c r="AK249" i="4"/>
  <c r="K249" i="4"/>
  <c r="J249" i="4"/>
  <c r="I249" i="4"/>
  <c r="AK248" i="4"/>
  <c r="K248" i="4"/>
  <c r="J248" i="4"/>
  <c r="AK247" i="4"/>
  <c r="K247" i="4"/>
  <c r="J247" i="4"/>
  <c r="AK246" i="4"/>
  <c r="K246" i="4"/>
  <c r="J246" i="4"/>
  <c r="I246" i="4"/>
  <c r="AK245" i="4"/>
  <c r="K245" i="4"/>
  <c r="J245" i="4"/>
  <c r="AK244" i="4"/>
  <c r="K244" i="4"/>
  <c r="J244" i="4"/>
  <c r="I244" i="4"/>
  <c r="AK243" i="4"/>
  <c r="K243" i="4"/>
  <c r="J243" i="4"/>
  <c r="I243" i="4"/>
  <c r="AK242" i="4"/>
  <c r="K242" i="4"/>
  <c r="J242" i="4"/>
  <c r="I242" i="4"/>
  <c r="AK241" i="4"/>
  <c r="K241" i="4"/>
  <c r="J241" i="4"/>
  <c r="AK240" i="4"/>
  <c r="K240" i="4"/>
  <c r="J240" i="4"/>
  <c r="I240" i="4"/>
  <c r="AK239" i="4"/>
  <c r="K239" i="4"/>
  <c r="J239" i="4"/>
  <c r="I239" i="4"/>
  <c r="AK238" i="4"/>
  <c r="K238" i="4"/>
  <c r="J238" i="4"/>
  <c r="AK237" i="4"/>
  <c r="K237" i="4"/>
  <c r="J237" i="4"/>
  <c r="AK236" i="4"/>
  <c r="K236" i="4"/>
  <c r="J236" i="4"/>
  <c r="AK235" i="4"/>
  <c r="K235" i="4"/>
  <c r="J235" i="4"/>
  <c r="AK234" i="4"/>
  <c r="K234" i="4"/>
  <c r="J234" i="4"/>
  <c r="AK233" i="4"/>
  <c r="K233" i="4"/>
  <c r="J233" i="4"/>
  <c r="I233" i="4"/>
  <c r="AK232" i="4"/>
  <c r="K232" i="4"/>
  <c r="J232" i="4"/>
  <c r="I232" i="4"/>
  <c r="AK231" i="4"/>
  <c r="K231" i="4"/>
  <c r="J231" i="4"/>
  <c r="AK230" i="4"/>
  <c r="K230" i="4"/>
  <c r="J230" i="4"/>
  <c r="AK229" i="4"/>
  <c r="K229" i="4"/>
  <c r="J229" i="4"/>
  <c r="I229" i="4"/>
  <c r="AK228" i="4"/>
  <c r="K228" i="4"/>
  <c r="J228" i="4"/>
  <c r="AK227" i="4"/>
  <c r="K227" i="4"/>
  <c r="J227" i="4"/>
  <c r="AK226" i="4"/>
  <c r="K226" i="4"/>
  <c r="J226" i="4"/>
  <c r="I226" i="4"/>
  <c r="AK225" i="4"/>
  <c r="K225" i="4"/>
  <c r="J225" i="4"/>
  <c r="I225" i="4"/>
  <c r="AK224" i="4"/>
  <c r="K224" i="4"/>
  <c r="J224" i="4"/>
  <c r="I224" i="4"/>
  <c r="AK223" i="4"/>
  <c r="K223" i="4"/>
  <c r="J223" i="4"/>
  <c r="I223" i="4"/>
  <c r="AK222" i="4"/>
  <c r="K222" i="4"/>
  <c r="J222" i="4"/>
  <c r="I222" i="4"/>
  <c r="AK221" i="4"/>
  <c r="K221" i="4"/>
  <c r="J221" i="4"/>
  <c r="I221" i="4"/>
  <c r="AK220" i="4"/>
  <c r="K220" i="4"/>
  <c r="J220" i="4"/>
  <c r="AK219" i="4"/>
  <c r="K219" i="4"/>
  <c r="J219" i="4"/>
  <c r="I219" i="4"/>
  <c r="AK218" i="4"/>
  <c r="K218" i="4"/>
  <c r="J218" i="4"/>
  <c r="AK217" i="4"/>
  <c r="K217" i="4"/>
  <c r="J217" i="4"/>
  <c r="I217" i="4"/>
  <c r="AK216" i="4"/>
  <c r="K216" i="4"/>
  <c r="J216" i="4"/>
  <c r="I216" i="4"/>
  <c r="AK215" i="4"/>
  <c r="K215" i="4"/>
  <c r="J215" i="4"/>
  <c r="I215" i="4"/>
  <c r="AK214" i="4"/>
  <c r="K214" i="4"/>
  <c r="J214" i="4"/>
  <c r="I214" i="4"/>
  <c r="AK213" i="4"/>
  <c r="K213" i="4"/>
  <c r="J213" i="4"/>
  <c r="I213" i="4"/>
  <c r="AK212" i="4"/>
  <c r="K212" i="4"/>
  <c r="J212" i="4"/>
  <c r="AK211" i="4"/>
  <c r="K211" i="4"/>
  <c r="J211" i="4"/>
  <c r="I211" i="4"/>
  <c r="AK210" i="4"/>
  <c r="K210" i="4"/>
  <c r="J210" i="4"/>
  <c r="AK209" i="4"/>
  <c r="K209" i="4"/>
  <c r="J209" i="4"/>
  <c r="AK208" i="4"/>
  <c r="K208" i="4"/>
  <c r="J208" i="4"/>
  <c r="AK207" i="4"/>
  <c r="K207" i="4"/>
  <c r="J207" i="4"/>
  <c r="I207" i="4"/>
  <c r="AK206" i="4"/>
  <c r="K206" i="4"/>
  <c r="J206" i="4"/>
  <c r="AK205" i="4"/>
  <c r="K205" i="4"/>
  <c r="J205" i="4"/>
  <c r="I205" i="4"/>
  <c r="AK204" i="4"/>
  <c r="K204" i="4"/>
  <c r="J204" i="4"/>
  <c r="AK203" i="4"/>
  <c r="K203" i="4"/>
  <c r="J203" i="4"/>
  <c r="AK202" i="4"/>
  <c r="K202" i="4"/>
  <c r="J202" i="4"/>
  <c r="AK201" i="4"/>
  <c r="K201" i="4"/>
  <c r="J201" i="4"/>
  <c r="AK200" i="4"/>
  <c r="K200" i="4"/>
  <c r="J200" i="4"/>
  <c r="AK199" i="4"/>
  <c r="K199" i="4"/>
  <c r="J199" i="4"/>
  <c r="I199" i="4"/>
  <c r="AK198" i="4"/>
  <c r="K198" i="4"/>
  <c r="J198" i="4"/>
  <c r="AK197" i="4"/>
  <c r="K197" i="4"/>
  <c r="J197" i="4"/>
  <c r="AK196" i="4"/>
  <c r="K196" i="4"/>
  <c r="J196" i="4"/>
  <c r="AK195" i="4"/>
  <c r="K195" i="4"/>
  <c r="J195" i="4"/>
  <c r="AK194" i="4"/>
  <c r="K194" i="4"/>
  <c r="J194" i="4"/>
  <c r="I194" i="4"/>
  <c r="AK193" i="4"/>
  <c r="K193" i="4"/>
  <c r="J193" i="4"/>
  <c r="AK192" i="4"/>
  <c r="K192" i="4"/>
  <c r="J192" i="4"/>
  <c r="AK191" i="4"/>
  <c r="K191" i="4"/>
  <c r="J191" i="4"/>
  <c r="AK190" i="4"/>
  <c r="K190" i="4"/>
  <c r="J190" i="4"/>
  <c r="I190" i="4"/>
  <c r="AK189" i="4"/>
  <c r="K189" i="4"/>
  <c r="J189" i="4"/>
  <c r="I189" i="4"/>
  <c r="AK188" i="4"/>
  <c r="K188" i="4"/>
  <c r="J188" i="4"/>
  <c r="AK187" i="4"/>
  <c r="K187" i="4"/>
  <c r="J187" i="4"/>
  <c r="AK186" i="4"/>
  <c r="K186" i="4"/>
  <c r="J186" i="4"/>
  <c r="AK185" i="4"/>
  <c r="K185" i="4"/>
  <c r="J185" i="4"/>
  <c r="AK184" i="4"/>
  <c r="K184" i="4"/>
  <c r="J184" i="4"/>
  <c r="I184" i="4"/>
  <c r="AK183" i="4"/>
  <c r="K183" i="4"/>
  <c r="J183" i="4"/>
  <c r="AK182" i="4"/>
  <c r="K182" i="4"/>
  <c r="J182" i="4"/>
  <c r="I182" i="4"/>
  <c r="AK181" i="4"/>
  <c r="K181" i="4"/>
  <c r="J181" i="4"/>
  <c r="I181" i="4"/>
  <c r="AK180" i="4"/>
  <c r="K180" i="4"/>
  <c r="J180" i="4"/>
  <c r="I180" i="4"/>
  <c r="AK179" i="4"/>
  <c r="K179" i="4"/>
  <c r="J179" i="4"/>
  <c r="AK178" i="4"/>
  <c r="K178" i="4"/>
  <c r="J178" i="4"/>
  <c r="I178" i="4"/>
  <c r="AK177" i="4"/>
  <c r="K177" i="4"/>
  <c r="J177" i="4"/>
  <c r="AK176" i="4"/>
  <c r="K176" i="4"/>
  <c r="J176" i="4"/>
  <c r="I176" i="4"/>
  <c r="AK175" i="4"/>
  <c r="K175" i="4"/>
  <c r="J175" i="4"/>
  <c r="AK174" i="4"/>
  <c r="K174" i="4"/>
  <c r="J174" i="4"/>
  <c r="I174" i="4"/>
  <c r="AK173" i="4"/>
  <c r="K173" i="4"/>
  <c r="J173" i="4"/>
  <c r="AK172" i="4"/>
  <c r="K172" i="4"/>
  <c r="J172" i="4"/>
  <c r="I172" i="4"/>
  <c r="AK171" i="4"/>
  <c r="K171" i="4"/>
  <c r="J171" i="4"/>
  <c r="I171" i="4"/>
  <c r="AK170" i="4"/>
  <c r="K170" i="4"/>
  <c r="J170" i="4"/>
  <c r="AK169" i="4"/>
  <c r="K169" i="4"/>
  <c r="J169" i="4"/>
  <c r="I169" i="4"/>
  <c r="AK168" i="4"/>
  <c r="K168" i="4"/>
  <c r="J168" i="4"/>
  <c r="I168" i="4"/>
  <c r="AK167" i="4"/>
  <c r="K167" i="4"/>
  <c r="J167" i="4"/>
  <c r="I167" i="4"/>
  <c r="AK166" i="4"/>
  <c r="K166" i="4"/>
  <c r="J166" i="4"/>
  <c r="I166" i="4"/>
  <c r="AK165" i="4"/>
  <c r="K165" i="4"/>
  <c r="J165" i="4"/>
  <c r="AK164" i="4"/>
  <c r="K164" i="4"/>
  <c r="J164" i="4"/>
  <c r="AK163" i="4"/>
  <c r="K163" i="4"/>
  <c r="AK162" i="4"/>
  <c r="K162" i="4"/>
  <c r="J162" i="4"/>
  <c r="I162" i="4"/>
  <c r="AK161" i="4"/>
  <c r="K161" i="4"/>
  <c r="J161" i="4"/>
  <c r="I161" i="4"/>
  <c r="AK160" i="4"/>
  <c r="K160" i="4"/>
  <c r="J160" i="4"/>
  <c r="I160" i="4"/>
  <c r="AK159" i="4"/>
  <c r="K159" i="4"/>
  <c r="J159" i="4"/>
  <c r="I159" i="4"/>
  <c r="AK158" i="4"/>
  <c r="K158" i="4"/>
  <c r="J158" i="4"/>
  <c r="AK157" i="4"/>
  <c r="K157" i="4"/>
  <c r="J157" i="4"/>
  <c r="AK156" i="4"/>
  <c r="K156" i="4"/>
  <c r="J156" i="4"/>
  <c r="I156" i="4"/>
  <c r="AK155" i="4"/>
  <c r="K155" i="4"/>
  <c r="J155" i="4"/>
  <c r="I155" i="4"/>
  <c r="AK154" i="4"/>
  <c r="K154" i="4"/>
  <c r="J154" i="4"/>
  <c r="AK153" i="4"/>
  <c r="K153" i="4"/>
  <c r="J153" i="4"/>
  <c r="I153" i="4"/>
  <c r="AK152" i="4"/>
  <c r="K152" i="4"/>
  <c r="J152" i="4"/>
  <c r="I152" i="4"/>
  <c r="AK151" i="4"/>
  <c r="K151" i="4"/>
  <c r="J151" i="4"/>
  <c r="I151" i="4"/>
  <c r="AK150" i="4"/>
  <c r="K150" i="4"/>
  <c r="I150" i="4"/>
  <c r="AK149" i="4"/>
  <c r="K149" i="4"/>
  <c r="J149" i="4"/>
  <c r="AK148" i="4"/>
  <c r="K148" i="4"/>
  <c r="J148" i="4"/>
  <c r="I148" i="4"/>
  <c r="AK147" i="4"/>
  <c r="K147" i="4"/>
  <c r="J147" i="4"/>
  <c r="AK146" i="4"/>
  <c r="K146" i="4"/>
  <c r="J146" i="4"/>
  <c r="I146" i="4"/>
  <c r="AK145" i="4"/>
  <c r="K145" i="4"/>
  <c r="J145" i="4"/>
  <c r="I145" i="4"/>
  <c r="AK144" i="4"/>
  <c r="K144" i="4"/>
  <c r="J144" i="4"/>
  <c r="I144" i="4"/>
  <c r="AK143" i="4"/>
  <c r="K143" i="4"/>
  <c r="J143" i="4"/>
  <c r="I143" i="4"/>
  <c r="AK142" i="4"/>
  <c r="K142" i="4"/>
  <c r="J142" i="4"/>
  <c r="I142" i="4"/>
  <c r="AK141" i="4"/>
  <c r="K141" i="4"/>
  <c r="J141" i="4"/>
  <c r="I141" i="4"/>
  <c r="AK140" i="4"/>
  <c r="K140" i="4"/>
  <c r="J140" i="4"/>
  <c r="I140" i="4"/>
  <c r="AK139" i="4"/>
  <c r="K139" i="4"/>
  <c r="J139" i="4"/>
  <c r="AK138" i="4"/>
  <c r="K138" i="4"/>
  <c r="J138" i="4"/>
  <c r="I138" i="4"/>
  <c r="AK137" i="4"/>
  <c r="K137" i="4"/>
  <c r="AK136" i="4"/>
  <c r="K136" i="4"/>
  <c r="J136" i="4"/>
  <c r="AK135" i="4"/>
  <c r="K135" i="4"/>
  <c r="J135" i="4"/>
  <c r="I135" i="4"/>
  <c r="AK134" i="4"/>
  <c r="K134" i="4"/>
  <c r="J134" i="4"/>
  <c r="I134" i="4"/>
  <c r="AK133" i="4"/>
  <c r="K133" i="4"/>
  <c r="J133" i="4"/>
  <c r="I133" i="4"/>
  <c r="AK132" i="4"/>
  <c r="K132" i="4"/>
  <c r="J132" i="4"/>
  <c r="I132" i="4"/>
  <c r="AK131" i="4"/>
  <c r="K131" i="4"/>
  <c r="J131" i="4"/>
  <c r="I131" i="4"/>
  <c r="AK130" i="4"/>
  <c r="K130" i="4"/>
  <c r="J130" i="4"/>
  <c r="I130" i="4"/>
  <c r="AK129" i="4"/>
  <c r="K129" i="4"/>
  <c r="J129" i="4"/>
  <c r="I129" i="4"/>
  <c r="AK128" i="4"/>
  <c r="K128" i="4"/>
  <c r="J128" i="4"/>
  <c r="I128" i="4"/>
  <c r="AK127" i="4"/>
  <c r="K127" i="4"/>
  <c r="J127" i="4"/>
  <c r="I127" i="4"/>
  <c r="AK126" i="4"/>
  <c r="K126" i="4"/>
  <c r="J126" i="4"/>
  <c r="I126" i="4"/>
  <c r="AK125" i="4"/>
  <c r="K125" i="4"/>
  <c r="J125" i="4"/>
  <c r="I125" i="4"/>
  <c r="AK124" i="4"/>
  <c r="K124" i="4"/>
  <c r="J124" i="4"/>
  <c r="I124" i="4"/>
  <c r="AK123" i="4"/>
  <c r="K123" i="4"/>
  <c r="J123" i="4"/>
  <c r="I123" i="4"/>
  <c r="AK122" i="4"/>
  <c r="K122" i="4"/>
  <c r="J122" i="4"/>
  <c r="I122" i="4"/>
  <c r="AK121" i="4"/>
  <c r="K121" i="4"/>
  <c r="J121" i="4"/>
  <c r="I121" i="4"/>
  <c r="AK120" i="4"/>
  <c r="K120" i="4"/>
  <c r="J120" i="4"/>
  <c r="I120" i="4"/>
  <c r="AK119" i="4"/>
  <c r="K119" i="4"/>
  <c r="J119" i="4"/>
  <c r="I119" i="4"/>
  <c r="AK118" i="4"/>
  <c r="K118" i="4"/>
  <c r="J118" i="4"/>
  <c r="I118" i="4"/>
  <c r="AK117" i="4"/>
  <c r="K117" i="4"/>
  <c r="J117" i="4"/>
  <c r="I117" i="4"/>
  <c r="AK116" i="4"/>
  <c r="K116" i="4"/>
  <c r="J116" i="4"/>
  <c r="I116" i="4"/>
  <c r="AK115" i="4"/>
  <c r="K115" i="4"/>
  <c r="J115" i="4"/>
  <c r="I115" i="4"/>
  <c r="AK114" i="4"/>
  <c r="K114" i="4"/>
  <c r="J114" i="4"/>
  <c r="I114" i="4"/>
  <c r="AK113" i="4"/>
  <c r="K113" i="4"/>
  <c r="J113" i="4"/>
  <c r="I113" i="4"/>
  <c r="AK112" i="4"/>
  <c r="K112" i="4"/>
  <c r="J112" i="4"/>
  <c r="I112" i="4"/>
  <c r="AK111" i="4"/>
  <c r="K111" i="4"/>
  <c r="J111" i="4"/>
  <c r="I111" i="4"/>
  <c r="AK110" i="4"/>
  <c r="K110" i="4"/>
  <c r="J110" i="4"/>
  <c r="I110" i="4"/>
  <c r="AK109" i="4"/>
  <c r="K109" i="4"/>
  <c r="J109" i="4"/>
  <c r="I109" i="4"/>
  <c r="AK108" i="4"/>
  <c r="K108" i="4"/>
  <c r="J108" i="4"/>
  <c r="I108" i="4"/>
  <c r="AK107" i="4"/>
  <c r="K107" i="4"/>
  <c r="J107" i="4"/>
  <c r="I107" i="4"/>
  <c r="AK106" i="4"/>
  <c r="K106" i="4"/>
  <c r="J106" i="4"/>
  <c r="I106" i="4"/>
  <c r="AK105" i="4"/>
  <c r="K105" i="4"/>
  <c r="J105" i="4"/>
  <c r="I105" i="4"/>
  <c r="AK104" i="4"/>
  <c r="K104" i="4"/>
  <c r="J104" i="4"/>
  <c r="I104" i="4"/>
  <c r="AK103" i="4"/>
  <c r="K103" i="4"/>
  <c r="J103" i="4"/>
  <c r="I103" i="4"/>
  <c r="AK102" i="4"/>
  <c r="K102" i="4"/>
  <c r="J102" i="4"/>
  <c r="I102" i="4"/>
  <c r="AK101" i="4"/>
  <c r="K101" i="4"/>
  <c r="J101" i="4"/>
  <c r="I101" i="4"/>
  <c r="AK100" i="4"/>
  <c r="K100" i="4"/>
  <c r="J100" i="4"/>
  <c r="I100" i="4"/>
  <c r="AK99" i="4"/>
  <c r="K99" i="4"/>
  <c r="J99" i="4"/>
  <c r="I99" i="4"/>
  <c r="AK98" i="4"/>
  <c r="K98" i="4"/>
  <c r="J98" i="4"/>
  <c r="I98" i="4"/>
  <c r="AK97" i="4"/>
  <c r="K97" i="4"/>
  <c r="J97" i="4"/>
  <c r="I97" i="4"/>
  <c r="AK96" i="4"/>
  <c r="K96" i="4"/>
  <c r="J96" i="4"/>
  <c r="I96" i="4"/>
  <c r="AK95" i="4"/>
  <c r="K95" i="4"/>
  <c r="J95" i="4"/>
  <c r="I95" i="4"/>
  <c r="AK94" i="4"/>
  <c r="K94" i="4"/>
  <c r="J94" i="4"/>
  <c r="I94" i="4"/>
  <c r="AK93" i="4"/>
  <c r="K93" i="4"/>
  <c r="J93" i="4"/>
  <c r="I93" i="4"/>
  <c r="AK92" i="4"/>
  <c r="K92" i="4"/>
  <c r="J92" i="4"/>
  <c r="I92" i="4"/>
  <c r="AK91" i="4"/>
  <c r="K91" i="4"/>
  <c r="J91" i="4"/>
  <c r="I91" i="4"/>
  <c r="AK90" i="4"/>
  <c r="K90" i="4"/>
  <c r="J90" i="4"/>
  <c r="I90" i="4"/>
  <c r="AK89" i="4"/>
  <c r="K89" i="4"/>
  <c r="J89" i="4"/>
  <c r="I89" i="4"/>
  <c r="AK88" i="4"/>
  <c r="K88" i="4"/>
  <c r="J88" i="4"/>
  <c r="AK87" i="4"/>
  <c r="K87" i="4"/>
  <c r="J87" i="4"/>
  <c r="I87" i="4"/>
  <c r="AK86" i="4"/>
  <c r="K86" i="4"/>
  <c r="J86" i="4"/>
  <c r="I86" i="4"/>
  <c r="AK85" i="4"/>
  <c r="K85" i="4"/>
  <c r="J85" i="4"/>
  <c r="I85" i="4"/>
  <c r="AK84" i="4"/>
  <c r="K84" i="4"/>
  <c r="J84" i="4"/>
  <c r="I84" i="4"/>
  <c r="AK83" i="4"/>
  <c r="K83" i="4"/>
  <c r="J83" i="4"/>
  <c r="I83" i="4"/>
  <c r="AK82" i="4"/>
  <c r="K82" i="4"/>
  <c r="J82" i="4"/>
  <c r="I82" i="4"/>
  <c r="AK81" i="4"/>
  <c r="K81" i="4"/>
  <c r="J81" i="4"/>
  <c r="I81" i="4"/>
  <c r="AK80" i="4"/>
  <c r="K80" i="4"/>
  <c r="J80" i="4"/>
  <c r="I80" i="4"/>
  <c r="AK79" i="4"/>
  <c r="K79" i="4"/>
  <c r="J79" i="4"/>
  <c r="I79" i="4"/>
  <c r="AK78" i="4"/>
  <c r="K78" i="4"/>
  <c r="J78" i="4"/>
  <c r="I78" i="4"/>
  <c r="AK77" i="4"/>
  <c r="K77" i="4"/>
  <c r="J77" i="4"/>
  <c r="I77" i="4"/>
  <c r="AK76" i="4"/>
  <c r="K76" i="4"/>
  <c r="I76" i="4"/>
  <c r="AK75" i="4"/>
  <c r="K75" i="4"/>
  <c r="J75" i="4"/>
  <c r="I75" i="4"/>
  <c r="AK74" i="4"/>
  <c r="K74" i="4"/>
  <c r="J74" i="4"/>
  <c r="I74" i="4"/>
  <c r="AK73" i="4"/>
  <c r="K73" i="4"/>
  <c r="J73" i="4"/>
  <c r="I73" i="4"/>
  <c r="AK72" i="4"/>
  <c r="K72" i="4"/>
  <c r="J72" i="4"/>
  <c r="I72" i="4"/>
  <c r="AK71" i="4"/>
  <c r="K71" i="4"/>
  <c r="J71" i="4"/>
  <c r="AK70" i="4"/>
  <c r="K70" i="4"/>
  <c r="J70" i="4"/>
  <c r="I70" i="4"/>
  <c r="AK69" i="4"/>
  <c r="K69" i="4"/>
  <c r="J69" i="4"/>
  <c r="I69" i="4"/>
  <c r="AK68" i="4"/>
  <c r="K68" i="4"/>
  <c r="J68" i="4"/>
  <c r="I68" i="4"/>
  <c r="AK67" i="4"/>
  <c r="K67" i="4"/>
  <c r="J67" i="4"/>
  <c r="I67" i="4"/>
  <c r="AK66" i="4"/>
  <c r="K66" i="4"/>
  <c r="J66" i="4"/>
  <c r="AK65" i="4"/>
  <c r="K65" i="4"/>
  <c r="J65" i="4"/>
  <c r="I65" i="4"/>
  <c r="AK64" i="4"/>
  <c r="K64" i="4"/>
  <c r="J64" i="4"/>
  <c r="I64" i="4"/>
  <c r="AK63" i="4"/>
  <c r="K63" i="4"/>
  <c r="I63" i="4"/>
  <c r="AK62" i="4"/>
  <c r="K62" i="4"/>
  <c r="J62" i="4"/>
  <c r="I62" i="4"/>
  <c r="AK61" i="4"/>
  <c r="K61" i="4"/>
  <c r="J61" i="4"/>
  <c r="I61" i="4"/>
  <c r="AK60" i="4"/>
  <c r="K60" i="4"/>
  <c r="J60" i="4"/>
  <c r="AK59" i="4"/>
  <c r="K59" i="4"/>
  <c r="J59" i="4"/>
  <c r="I59" i="4"/>
  <c r="AK58" i="4"/>
  <c r="K58" i="4"/>
  <c r="J58" i="4"/>
  <c r="I58" i="4"/>
  <c r="AK57" i="4"/>
  <c r="K57" i="4"/>
  <c r="J57" i="4"/>
  <c r="I57" i="4"/>
  <c r="AK56" i="4"/>
  <c r="K56" i="4"/>
  <c r="J56" i="4"/>
  <c r="I56" i="4"/>
  <c r="AK55" i="4"/>
  <c r="K55" i="4"/>
  <c r="J55" i="4"/>
  <c r="I55" i="4"/>
  <c r="AK54" i="4"/>
  <c r="K54" i="4"/>
  <c r="J54" i="4"/>
  <c r="I54" i="4"/>
  <c r="AK53" i="4"/>
  <c r="K53" i="4"/>
  <c r="J53" i="4"/>
  <c r="I53" i="4"/>
  <c r="AK52" i="4"/>
  <c r="K52" i="4"/>
  <c r="J52" i="4"/>
  <c r="I52" i="4"/>
  <c r="AK51" i="4"/>
  <c r="K51" i="4"/>
  <c r="J51" i="4"/>
  <c r="I51" i="4"/>
  <c r="AK50" i="4"/>
  <c r="K50" i="4"/>
  <c r="J50" i="4"/>
  <c r="I50" i="4"/>
  <c r="AK49" i="4"/>
  <c r="K49" i="4"/>
  <c r="J49" i="4"/>
  <c r="I49" i="4"/>
  <c r="AK48" i="4"/>
  <c r="K48" i="4"/>
  <c r="J48" i="4"/>
  <c r="I48" i="4"/>
  <c r="AK47" i="4"/>
  <c r="K47" i="4"/>
  <c r="J47" i="4"/>
  <c r="I47" i="4"/>
  <c r="AK46" i="4"/>
  <c r="K46" i="4"/>
  <c r="J46" i="4"/>
  <c r="I46" i="4"/>
  <c r="AK45" i="4"/>
  <c r="K45" i="4"/>
  <c r="J45" i="4"/>
  <c r="I45" i="4"/>
  <c r="AK44" i="4"/>
  <c r="K44" i="4"/>
  <c r="J44" i="4"/>
  <c r="I44" i="4"/>
  <c r="AK43" i="4"/>
  <c r="K43" i="4"/>
  <c r="J43" i="4"/>
  <c r="I43" i="4"/>
  <c r="AK42" i="4"/>
  <c r="K42" i="4"/>
  <c r="J42" i="4"/>
  <c r="I42" i="4"/>
  <c r="AK41" i="4"/>
  <c r="K41" i="4"/>
  <c r="J41" i="4"/>
  <c r="I41" i="4"/>
  <c r="AK40" i="4"/>
  <c r="K40" i="4"/>
  <c r="J40" i="4"/>
  <c r="I40" i="4"/>
  <c r="AK39" i="4"/>
  <c r="K39" i="4"/>
  <c r="J39" i="4"/>
  <c r="I39" i="4"/>
  <c r="AK38" i="4"/>
  <c r="K38" i="4"/>
  <c r="J38" i="4"/>
  <c r="I38" i="4"/>
  <c r="AK37" i="4"/>
  <c r="K37" i="4"/>
  <c r="J37" i="4"/>
  <c r="AK36" i="4"/>
  <c r="K36" i="4"/>
  <c r="J36" i="4"/>
  <c r="I36" i="4"/>
  <c r="AK35" i="4"/>
  <c r="K35" i="4"/>
  <c r="J35" i="4"/>
  <c r="I35" i="4"/>
  <c r="AK34" i="4"/>
  <c r="K34" i="4"/>
  <c r="J34" i="4"/>
  <c r="I34" i="4"/>
  <c r="AK33" i="4"/>
  <c r="K33" i="4"/>
  <c r="J33" i="4"/>
  <c r="I33" i="4"/>
  <c r="AK32" i="4"/>
  <c r="K32" i="4"/>
  <c r="J32" i="4"/>
  <c r="I32" i="4"/>
  <c r="AK31" i="4"/>
  <c r="K31" i="4"/>
  <c r="J31" i="4"/>
  <c r="AK30" i="4"/>
  <c r="K30" i="4"/>
  <c r="J30" i="4"/>
  <c r="AK29" i="4"/>
  <c r="K29" i="4"/>
  <c r="J29" i="4"/>
  <c r="I29" i="4"/>
  <c r="AK28" i="4"/>
  <c r="K28" i="4"/>
  <c r="J28" i="4"/>
  <c r="I28" i="4"/>
  <c r="AK27" i="4"/>
  <c r="K27" i="4"/>
  <c r="J27" i="4"/>
  <c r="I27" i="4"/>
  <c r="AK26" i="4"/>
  <c r="K26" i="4"/>
  <c r="J26" i="4"/>
  <c r="I26" i="4"/>
  <c r="AK25" i="4"/>
  <c r="K25" i="4"/>
  <c r="J25" i="4"/>
  <c r="I25" i="4"/>
  <c r="AK24" i="4"/>
  <c r="K24" i="4"/>
  <c r="J24" i="4"/>
  <c r="I24" i="4"/>
  <c r="AK23" i="4"/>
  <c r="K23" i="4"/>
  <c r="J23" i="4"/>
  <c r="I23" i="4"/>
  <c r="AK22" i="4"/>
  <c r="K22" i="4"/>
  <c r="J22" i="4"/>
  <c r="AK21" i="4"/>
  <c r="K21" i="4"/>
  <c r="J21" i="4"/>
  <c r="I21" i="4"/>
  <c r="AK20" i="4"/>
  <c r="K20" i="4"/>
  <c r="J20" i="4"/>
  <c r="AK19" i="4"/>
  <c r="K19" i="4"/>
  <c r="J19" i="4"/>
  <c r="I19" i="4"/>
  <c r="AK18" i="4"/>
  <c r="K18" i="4"/>
  <c r="J18" i="4"/>
  <c r="I18" i="4"/>
  <c r="AK17" i="4"/>
  <c r="K17" i="4"/>
  <c r="J17" i="4"/>
  <c r="AK16" i="4"/>
  <c r="K16" i="4"/>
  <c r="J16" i="4"/>
  <c r="I16" i="4"/>
  <c r="AK15" i="4"/>
  <c r="K15" i="4"/>
  <c r="J15" i="4"/>
  <c r="I15" i="4"/>
  <c r="AK14" i="4"/>
  <c r="K14" i="4"/>
  <c r="J14" i="4"/>
  <c r="I14" i="4"/>
  <c r="AK13" i="4"/>
  <c r="K13" i="4"/>
  <c r="J13" i="4"/>
  <c r="I13" i="4"/>
  <c r="AK12" i="4"/>
  <c r="K12" i="4"/>
  <c r="J12" i="4"/>
  <c r="I12" i="4"/>
  <c r="AK11" i="4"/>
  <c r="K11" i="4"/>
  <c r="J11" i="4"/>
  <c r="I11" i="4"/>
  <c r="AK10" i="4"/>
  <c r="K10" i="4"/>
  <c r="J10" i="4"/>
  <c r="I10" i="4"/>
  <c r="AK9" i="4"/>
  <c r="K9" i="4"/>
  <c r="J9" i="4"/>
  <c r="I9" i="4"/>
  <c r="AK8" i="4"/>
  <c r="K8" i="4"/>
  <c r="J8" i="4"/>
  <c r="AK7" i="4"/>
  <c r="K7" i="4"/>
  <c r="J7" i="4"/>
  <c r="AK6" i="4"/>
  <c r="K6" i="4"/>
  <c r="J6" i="4"/>
  <c r="AK5" i="4"/>
  <c r="K5" i="4"/>
  <c r="J5" i="4"/>
  <c r="I5" i="4"/>
  <c r="AK4" i="4"/>
  <c r="K4" i="4"/>
  <c r="J4" i="4"/>
  <c r="I4" i="4"/>
  <c r="AK3" i="4"/>
  <c r="K3" i="4"/>
  <c r="J3" i="4"/>
  <c r="I3" i="4"/>
  <c r="D1" i="4"/>
  <c r="B1" i="4"/>
  <c r="A1" i="4"/>
  <c r="J1000" i="2"/>
  <c r="I1000" i="2"/>
  <c r="H1000" i="2"/>
  <c r="J999" i="2"/>
  <c r="I999" i="2"/>
  <c r="H999" i="2"/>
  <c r="J998" i="2"/>
  <c r="I998" i="2"/>
  <c r="H998" i="2"/>
  <c r="J997" i="2"/>
  <c r="I997" i="2"/>
  <c r="H997" i="2"/>
  <c r="J996" i="2"/>
  <c r="I996" i="2"/>
  <c r="H996" i="2"/>
  <c r="J995" i="2"/>
  <c r="I995" i="2"/>
  <c r="H995" i="2"/>
  <c r="J994" i="2"/>
  <c r="I994" i="2"/>
  <c r="H994" i="2"/>
  <c r="J993" i="2"/>
  <c r="I993" i="2"/>
  <c r="H993" i="2"/>
  <c r="J992" i="2"/>
  <c r="I992" i="2"/>
  <c r="H992" i="2"/>
  <c r="J991" i="2"/>
  <c r="I991" i="2"/>
  <c r="H991" i="2"/>
  <c r="J990" i="2"/>
  <c r="I990" i="2"/>
  <c r="H990" i="2"/>
  <c r="J989" i="2"/>
  <c r="I989" i="2"/>
  <c r="H989" i="2"/>
  <c r="J988" i="2"/>
  <c r="I988" i="2"/>
  <c r="H988" i="2"/>
  <c r="J987" i="2"/>
  <c r="I987" i="2"/>
  <c r="H987" i="2"/>
  <c r="J986" i="2"/>
  <c r="I986" i="2"/>
  <c r="H986" i="2"/>
  <c r="J985" i="2"/>
  <c r="I985" i="2"/>
  <c r="H985" i="2"/>
  <c r="J984" i="2"/>
  <c r="I984" i="2"/>
  <c r="H984" i="2"/>
  <c r="J983" i="2"/>
  <c r="I983" i="2"/>
  <c r="H983" i="2"/>
  <c r="J982" i="2"/>
  <c r="I982" i="2"/>
  <c r="H982" i="2"/>
  <c r="J981" i="2"/>
  <c r="I981" i="2"/>
  <c r="H981" i="2"/>
  <c r="J980" i="2"/>
  <c r="I980" i="2"/>
  <c r="H980" i="2"/>
  <c r="J979" i="2"/>
  <c r="I979" i="2"/>
  <c r="H979" i="2"/>
  <c r="J978" i="2"/>
  <c r="I978" i="2"/>
  <c r="H978" i="2"/>
  <c r="J977" i="2"/>
  <c r="I977" i="2"/>
  <c r="H977" i="2"/>
  <c r="J976" i="2"/>
  <c r="I976" i="2"/>
  <c r="H976" i="2"/>
  <c r="J975" i="2"/>
  <c r="I975" i="2"/>
  <c r="H975" i="2"/>
  <c r="J974" i="2"/>
  <c r="I974" i="2"/>
  <c r="H974" i="2"/>
  <c r="J973" i="2"/>
  <c r="I973" i="2"/>
  <c r="H973" i="2"/>
  <c r="J972" i="2"/>
  <c r="I972" i="2"/>
  <c r="H972" i="2"/>
  <c r="J971" i="2"/>
  <c r="I971" i="2"/>
  <c r="H971" i="2"/>
  <c r="J970" i="2"/>
  <c r="I970" i="2"/>
  <c r="H970" i="2"/>
  <c r="J969" i="2"/>
  <c r="I969" i="2"/>
  <c r="H969" i="2"/>
  <c r="J968" i="2"/>
  <c r="I968" i="2"/>
  <c r="H968" i="2"/>
  <c r="J967" i="2"/>
  <c r="I967" i="2"/>
  <c r="H967" i="2"/>
  <c r="J966" i="2"/>
  <c r="I966" i="2"/>
  <c r="H966" i="2"/>
  <c r="J965" i="2"/>
  <c r="I965" i="2"/>
  <c r="H965" i="2"/>
  <c r="J964" i="2"/>
  <c r="I964" i="2"/>
  <c r="H964" i="2"/>
  <c r="J963" i="2"/>
  <c r="I963" i="2"/>
  <c r="H963" i="2"/>
  <c r="J962" i="2"/>
  <c r="I962" i="2"/>
  <c r="H962" i="2"/>
  <c r="J961" i="2"/>
  <c r="I961" i="2"/>
  <c r="H961" i="2"/>
  <c r="J960" i="2"/>
  <c r="I960" i="2"/>
  <c r="H960" i="2"/>
  <c r="J959" i="2"/>
  <c r="I959" i="2"/>
  <c r="H959" i="2"/>
  <c r="J958" i="2"/>
  <c r="I958" i="2"/>
  <c r="H958" i="2"/>
  <c r="J957" i="2"/>
  <c r="I957" i="2"/>
  <c r="H957" i="2"/>
  <c r="J956" i="2"/>
  <c r="I956" i="2"/>
  <c r="H956" i="2"/>
  <c r="J955" i="2"/>
  <c r="I955" i="2"/>
  <c r="H955" i="2"/>
  <c r="J954" i="2"/>
  <c r="I954" i="2"/>
  <c r="H954" i="2"/>
  <c r="J953" i="2"/>
  <c r="I953" i="2"/>
  <c r="H953" i="2"/>
  <c r="J952" i="2"/>
  <c r="I952" i="2"/>
  <c r="H952" i="2"/>
  <c r="J951" i="2"/>
  <c r="I951" i="2"/>
  <c r="H951" i="2"/>
  <c r="J950" i="2"/>
  <c r="I950" i="2"/>
  <c r="H950" i="2"/>
  <c r="J949" i="2"/>
  <c r="I949" i="2"/>
  <c r="H949" i="2"/>
  <c r="J948" i="2"/>
  <c r="I948" i="2"/>
  <c r="H948" i="2"/>
  <c r="J947" i="2"/>
  <c r="I947" i="2"/>
  <c r="H947" i="2"/>
  <c r="J946" i="2"/>
  <c r="I946" i="2"/>
  <c r="H946" i="2"/>
  <c r="J945" i="2"/>
  <c r="I945" i="2"/>
  <c r="H945" i="2"/>
  <c r="J944" i="2"/>
  <c r="I944" i="2"/>
  <c r="H944" i="2"/>
  <c r="J943" i="2"/>
  <c r="I943" i="2"/>
  <c r="H943" i="2"/>
  <c r="J942" i="2"/>
  <c r="I942" i="2"/>
  <c r="H942" i="2"/>
  <c r="J941" i="2"/>
  <c r="I941" i="2"/>
  <c r="H941" i="2"/>
  <c r="J940" i="2"/>
  <c r="I940" i="2"/>
  <c r="H940" i="2"/>
  <c r="J939" i="2"/>
  <c r="I939" i="2"/>
  <c r="H939" i="2"/>
  <c r="J938" i="2"/>
  <c r="I938" i="2"/>
  <c r="H938" i="2"/>
  <c r="J937" i="2"/>
  <c r="I937" i="2"/>
  <c r="H937" i="2"/>
  <c r="J936" i="2"/>
  <c r="I936" i="2"/>
  <c r="H936" i="2"/>
  <c r="J935" i="2"/>
  <c r="I935" i="2"/>
  <c r="H935" i="2"/>
  <c r="J934" i="2"/>
  <c r="I934" i="2"/>
  <c r="H934" i="2"/>
  <c r="J933" i="2"/>
  <c r="I933" i="2"/>
  <c r="H933" i="2"/>
  <c r="J932" i="2"/>
  <c r="I932" i="2"/>
  <c r="H932" i="2"/>
  <c r="J931" i="2"/>
  <c r="I931" i="2"/>
  <c r="H931" i="2"/>
  <c r="J930" i="2"/>
  <c r="I930" i="2"/>
  <c r="H930" i="2"/>
  <c r="J929" i="2"/>
  <c r="I929" i="2"/>
  <c r="H929" i="2"/>
  <c r="J928" i="2"/>
  <c r="I928" i="2"/>
  <c r="H928" i="2"/>
  <c r="J927" i="2"/>
  <c r="I927" i="2"/>
  <c r="H927" i="2"/>
  <c r="J926" i="2"/>
  <c r="I926" i="2"/>
  <c r="H926" i="2"/>
  <c r="J925" i="2"/>
  <c r="I925" i="2"/>
  <c r="H925" i="2"/>
  <c r="J924" i="2"/>
  <c r="I924" i="2"/>
  <c r="H924" i="2"/>
  <c r="J923" i="2"/>
  <c r="I923" i="2"/>
  <c r="H923" i="2"/>
  <c r="J922" i="2"/>
  <c r="I922" i="2"/>
  <c r="H922" i="2"/>
  <c r="J921" i="2"/>
  <c r="I921" i="2"/>
  <c r="H921" i="2"/>
  <c r="J920" i="2"/>
  <c r="I920" i="2"/>
  <c r="H920" i="2"/>
  <c r="J919" i="2"/>
  <c r="I919" i="2"/>
  <c r="H919" i="2"/>
  <c r="J918" i="2"/>
  <c r="I918" i="2"/>
  <c r="H918" i="2"/>
  <c r="J917" i="2"/>
  <c r="I917" i="2"/>
  <c r="H917" i="2"/>
  <c r="J916" i="2"/>
  <c r="I916" i="2"/>
  <c r="H916" i="2"/>
  <c r="J915" i="2"/>
  <c r="I915" i="2"/>
  <c r="H915" i="2"/>
  <c r="J914" i="2"/>
  <c r="I914" i="2"/>
  <c r="H914" i="2"/>
  <c r="J913" i="2"/>
  <c r="I913" i="2"/>
  <c r="H913" i="2"/>
  <c r="J912" i="2"/>
  <c r="I912" i="2"/>
  <c r="H912" i="2"/>
  <c r="J911" i="2"/>
  <c r="I911" i="2"/>
  <c r="H911" i="2"/>
  <c r="J910" i="2"/>
  <c r="I910" i="2"/>
  <c r="H910" i="2"/>
  <c r="J909" i="2"/>
  <c r="I909" i="2"/>
  <c r="H909" i="2"/>
  <c r="J908" i="2"/>
  <c r="I908" i="2"/>
  <c r="H908" i="2"/>
  <c r="J907" i="2"/>
  <c r="I907" i="2"/>
  <c r="H907" i="2"/>
  <c r="J906" i="2"/>
  <c r="I906" i="2"/>
  <c r="H906" i="2"/>
  <c r="J905" i="2"/>
  <c r="I905" i="2"/>
  <c r="H905" i="2"/>
  <c r="J904" i="2"/>
  <c r="I904" i="2"/>
  <c r="H904" i="2"/>
  <c r="J903" i="2"/>
  <c r="I903" i="2"/>
  <c r="H903" i="2"/>
  <c r="J902" i="2"/>
  <c r="I902" i="2"/>
  <c r="H902" i="2"/>
  <c r="J901" i="2"/>
  <c r="I901" i="2"/>
  <c r="H901" i="2"/>
  <c r="J900" i="2"/>
  <c r="I900" i="2"/>
  <c r="H900" i="2"/>
  <c r="J899" i="2"/>
  <c r="I899" i="2"/>
  <c r="H899" i="2"/>
  <c r="J898" i="2"/>
  <c r="I898" i="2"/>
  <c r="H898" i="2"/>
  <c r="J897" i="2"/>
  <c r="I897" i="2"/>
  <c r="H897" i="2"/>
  <c r="J896" i="2"/>
  <c r="I896" i="2"/>
  <c r="H896" i="2"/>
  <c r="J895" i="2"/>
  <c r="I895" i="2"/>
  <c r="H895" i="2"/>
  <c r="J894" i="2"/>
  <c r="I894" i="2"/>
  <c r="H894" i="2"/>
  <c r="J893" i="2"/>
  <c r="I893" i="2"/>
  <c r="H893" i="2"/>
  <c r="J892" i="2"/>
  <c r="I892" i="2"/>
  <c r="H892" i="2"/>
  <c r="J891" i="2"/>
  <c r="I891" i="2"/>
  <c r="H891" i="2"/>
  <c r="J890" i="2"/>
  <c r="I890" i="2"/>
  <c r="H890" i="2"/>
  <c r="J889" i="2"/>
  <c r="I889" i="2"/>
  <c r="H889" i="2"/>
  <c r="J888" i="2"/>
  <c r="I888" i="2"/>
  <c r="H888" i="2"/>
  <c r="J887" i="2"/>
  <c r="I887" i="2"/>
  <c r="H887" i="2"/>
  <c r="J886" i="2"/>
  <c r="I886" i="2"/>
  <c r="H886" i="2"/>
  <c r="J885" i="2"/>
  <c r="I885" i="2"/>
  <c r="H885" i="2"/>
  <c r="J884" i="2"/>
  <c r="I884" i="2"/>
  <c r="H884" i="2"/>
  <c r="J883" i="2"/>
  <c r="I883" i="2"/>
  <c r="H883" i="2"/>
  <c r="J882" i="2"/>
  <c r="I882" i="2"/>
  <c r="H882" i="2"/>
  <c r="J881" i="2"/>
  <c r="I881" i="2"/>
  <c r="H881" i="2"/>
  <c r="J880" i="2"/>
  <c r="I880" i="2"/>
  <c r="H880" i="2"/>
  <c r="J879" i="2"/>
  <c r="I879" i="2"/>
  <c r="H879" i="2"/>
  <c r="J878" i="2"/>
  <c r="I878" i="2"/>
  <c r="H878" i="2"/>
  <c r="J877" i="2"/>
  <c r="I877" i="2"/>
  <c r="H877" i="2"/>
  <c r="J876" i="2"/>
  <c r="I876" i="2"/>
  <c r="H876" i="2"/>
  <c r="J875" i="2"/>
  <c r="I875" i="2"/>
  <c r="H875" i="2"/>
  <c r="J874" i="2"/>
  <c r="I874" i="2"/>
  <c r="H874" i="2"/>
  <c r="J873" i="2"/>
  <c r="I873" i="2"/>
  <c r="H873" i="2"/>
  <c r="J872" i="2"/>
  <c r="I872" i="2"/>
  <c r="H872" i="2"/>
  <c r="J871" i="2"/>
  <c r="I871" i="2"/>
  <c r="H871" i="2"/>
  <c r="J870" i="2"/>
  <c r="I870" i="2"/>
  <c r="H870" i="2"/>
  <c r="J869" i="2"/>
  <c r="I869" i="2"/>
  <c r="H869" i="2"/>
  <c r="J868" i="2"/>
  <c r="I868" i="2"/>
  <c r="H868" i="2"/>
  <c r="J867" i="2"/>
  <c r="I867" i="2"/>
  <c r="H867" i="2"/>
  <c r="J866" i="2"/>
  <c r="I866" i="2"/>
  <c r="H866" i="2"/>
  <c r="J865" i="2"/>
  <c r="I865" i="2"/>
  <c r="H865" i="2"/>
  <c r="J864" i="2"/>
  <c r="I864" i="2"/>
  <c r="H864" i="2"/>
  <c r="J863" i="2"/>
  <c r="I863" i="2"/>
  <c r="H863" i="2"/>
  <c r="J862" i="2"/>
  <c r="I862" i="2"/>
  <c r="H862" i="2"/>
  <c r="J861" i="2"/>
  <c r="I861" i="2"/>
  <c r="H861" i="2"/>
  <c r="J860" i="2"/>
  <c r="I860" i="2"/>
  <c r="H860" i="2"/>
  <c r="J859" i="2"/>
  <c r="I859" i="2"/>
  <c r="H859" i="2"/>
  <c r="J858" i="2"/>
  <c r="I858" i="2"/>
  <c r="H858" i="2"/>
  <c r="J857" i="2"/>
  <c r="I857" i="2"/>
  <c r="H857" i="2"/>
  <c r="J856" i="2"/>
  <c r="I856" i="2"/>
  <c r="H856" i="2"/>
  <c r="J855" i="2"/>
  <c r="I855" i="2"/>
  <c r="H855" i="2"/>
  <c r="J854" i="2"/>
  <c r="I854" i="2"/>
  <c r="H854" i="2"/>
  <c r="J853" i="2"/>
  <c r="I853" i="2"/>
  <c r="H853" i="2"/>
  <c r="J852" i="2"/>
  <c r="I852" i="2"/>
  <c r="H852" i="2"/>
  <c r="J851" i="2"/>
  <c r="I851" i="2"/>
  <c r="H851" i="2"/>
  <c r="J850" i="2"/>
  <c r="I850" i="2"/>
  <c r="H850" i="2"/>
  <c r="J849" i="2"/>
  <c r="I849" i="2"/>
  <c r="H849" i="2"/>
  <c r="J848" i="2"/>
  <c r="I848" i="2"/>
  <c r="H848" i="2"/>
  <c r="J847" i="2"/>
  <c r="I847" i="2"/>
  <c r="H847" i="2"/>
  <c r="J846" i="2"/>
  <c r="I846" i="2"/>
  <c r="H846" i="2"/>
  <c r="J845" i="2"/>
  <c r="I845" i="2"/>
  <c r="H845" i="2"/>
  <c r="J844" i="2"/>
  <c r="I844" i="2"/>
  <c r="H844" i="2"/>
  <c r="J843" i="2"/>
  <c r="I843" i="2"/>
  <c r="H843" i="2"/>
  <c r="J842" i="2"/>
  <c r="I842" i="2"/>
  <c r="H842" i="2"/>
  <c r="J841" i="2"/>
  <c r="I841" i="2"/>
  <c r="H841" i="2"/>
  <c r="J840" i="2"/>
  <c r="I840" i="2"/>
  <c r="H840" i="2"/>
  <c r="J839" i="2"/>
  <c r="I839" i="2"/>
  <c r="H839" i="2"/>
  <c r="J838" i="2"/>
  <c r="I838" i="2"/>
  <c r="H838" i="2"/>
  <c r="J837" i="2"/>
  <c r="I837" i="2"/>
  <c r="H837" i="2"/>
  <c r="J836" i="2"/>
  <c r="I836" i="2"/>
  <c r="H836" i="2"/>
  <c r="J835" i="2"/>
  <c r="I835" i="2"/>
  <c r="H835" i="2"/>
  <c r="J834" i="2"/>
  <c r="I834" i="2"/>
  <c r="H834" i="2"/>
  <c r="J833" i="2"/>
  <c r="I833" i="2"/>
  <c r="H833" i="2"/>
  <c r="J832" i="2"/>
  <c r="I832" i="2"/>
  <c r="H832" i="2"/>
  <c r="J831" i="2"/>
  <c r="I831" i="2"/>
  <c r="H831" i="2"/>
  <c r="J830" i="2"/>
  <c r="I830" i="2"/>
  <c r="H830" i="2"/>
  <c r="J829" i="2"/>
  <c r="I829" i="2"/>
  <c r="H829" i="2"/>
  <c r="J828" i="2"/>
  <c r="I828" i="2"/>
  <c r="H828" i="2"/>
  <c r="J827" i="2"/>
  <c r="I827" i="2"/>
  <c r="H827" i="2"/>
  <c r="J826" i="2"/>
  <c r="I826" i="2"/>
  <c r="H826" i="2"/>
  <c r="J825" i="2"/>
  <c r="I825" i="2"/>
  <c r="H825" i="2"/>
  <c r="J824" i="2"/>
  <c r="I824" i="2"/>
  <c r="H824" i="2"/>
  <c r="J823" i="2"/>
  <c r="I823" i="2"/>
  <c r="H823" i="2"/>
  <c r="J822" i="2"/>
  <c r="I822" i="2"/>
  <c r="H822" i="2"/>
  <c r="J821" i="2"/>
  <c r="I821" i="2"/>
  <c r="H821" i="2"/>
  <c r="J820" i="2"/>
  <c r="I820" i="2"/>
  <c r="H820" i="2"/>
  <c r="J819" i="2"/>
  <c r="I819" i="2"/>
  <c r="H819" i="2"/>
  <c r="J818" i="2"/>
  <c r="I818" i="2"/>
  <c r="H818" i="2"/>
  <c r="J817" i="2"/>
  <c r="I817" i="2"/>
  <c r="H817" i="2"/>
  <c r="J816" i="2"/>
  <c r="I816" i="2"/>
  <c r="H816" i="2"/>
  <c r="J815" i="2"/>
  <c r="I815" i="2"/>
  <c r="H815" i="2"/>
  <c r="J814" i="2"/>
  <c r="I814" i="2"/>
  <c r="H814" i="2"/>
  <c r="J813" i="2"/>
  <c r="I813" i="2"/>
  <c r="H813" i="2"/>
  <c r="J812" i="2"/>
  <c r="I812" i="2"/>
  <c r="H812" i="2"/>
  <c r="J811" i="2"/>
  <c r="I811" i="2"/>
  <c r="H811" i="2"/>
  <c r="J810" i="2"/>
  <c r="I810" i="2"/>
  <c r="H810" i="2"/>
  <c r="J809" i="2"/>
  <c r="I809" i="2"/>
  <c r="H809" i="2"/>
  <c r="J808" i="2"/>
  <c r="I808" i="2"/>
  <c r="H808" i="2"/>
  <c r="J807" i="2"/>
  <c r="I807" i="2"/>
  <c r="H807" i="2"/>
  <c r="J806" i="2"/>
  <c r="I806" i="2"/>
  <c r="H806" i="2"/>
  <c r="J805" i="2"/>
  <c r="I805" i="2"/>
  <c r="H805" i="2"/>
  <c r="J804" i="2"/>
  <c r="I804" i="2"/>
  <c r="H804" i="2"/>
  <c r="J803" i="2"/>
  <c r="I803" i="2"/>
  <c r="H803" i="2"/>
  <c r="J802" i="2"/>
  <c r="I802" i="2"/>
  <c r="H802" i="2"/>
  <c r="J801" i="2"/>
  <c r="I801" i="2"/>
  <c r="H801" i="2"/>
  <c r="J800" i="2"/>
  <c r="I800" i="2"/>
  <c r="H800" i="2"/>
  <c r="J799" i="2"/>
  <c r="I799" i="2"/>
  <c r="H799" i="2"/>
  <c r="J798" i="2"/>
  <c r="I798" i="2"/>
  <c r="H798" i="2"/>
  <c r="J797" i="2"/>
  <c r="I797" i="2"/>
  <c r="H797" i="2"/>
  <c r="J796" i="2"/>
  <c r="I796" i="2"/>
  <c r="H796" i="2"/>
  <c r="J795" i="2"/>
  <c r="I795" i="2"/>
  <c r="H795" i="2"/>
  <c r="J794" i="2"/>
  <c r="I794" i="2"/>
  <c r="H794" i="2"/>
  <c r="J793" i="2"/>
  <c r="I793" i="2"/>
  <c r="H793" i="2"/>
  <c r="J792" i="2"/>
  <c r="I792" i="2"/>
  <c r="H792" i="2"/>
  <c r="J791" i="2"/>
  <c r="I791" i="2"/>
  <c r="H791" i="2"/>
  <c r="J790" i="2"/>
  <c r="I790" i="2"/>
  <c r="H790" i="2"/>
  <c r="J789" i="2"/>
  <c r="I789" i="2"/>
  <c r="H789" i="2"/>
  <c r="J788" i="2"/>
  <c r="I788" i="2"/>
  <c r="H788" i="2"/>
  <c r="J787" i="2"/>
  <c r="I787" i="2"/>
  <c r="H787" i="2"/>
  <c r="J786" i="2"/>
  <c r="I786" i="2"/>
  <c r="H786" i="2"/>
  <c r="J785" i="2"/>
  <c r="I785" i="2"/>
  <c r="H785" i="2"/>
  <c r="J784" i="2"/>
  <c r="I784" i="2"/>
  <c r="H784" i="2"/>
  <c r="J783" i="2"/>
  <c r="I783" i="2"/>
  <c r="H783" i="2"/>
  <c r="J782" i="2"/>
  <c r="I782" i="2"/>
  <c r="H782" i="2"/>
  <c r="J781" i="2"/>
  <c r="I781" i="2"/>
  <c r="H781" i="2"/>
  <c r="J780" i="2"/>
  <c r="I780" i="2"/>
  <c r="H780" i="2"/>
  <c r="J779" i="2"/>
  <c r="I779" i="2"/>
  <c r="H779" i="2"/>
  <c r="J778" i="2"/>
  <c r="I778" i="2"/>
  <c r="H778" i="2"/>
  <c r="J777" i="2"/>
  <c r="I777" i="2"/>
  <c r="H777" i="2"/>
  <c r="J776" i="2"/>
  <c r="I776" i="2"/>
  <c r="H776" i="2"/>
  <c r="J775" i="2"/>
  <c r="I775" i="2"/>
  <c r="H775" i="2"/>
  <c r="J774" i="2"/>
  <c r="I774" i="2"/>
  <c r="H774" i="2"/>
  <c r="J773" i="2"/>
  <c r="I773" i="2"/>
  <c r="H773" i="2"/>
  <c r="J772" i="2"/>
  <c r="I772" i="2"/>
  <c r="H772" i="2"/>
  <c r="J771" i="2"/>
  <c r="I771" i="2"/>
  <c r="H771" i="2"/>
  <c r="J770" i="2"/>
  <c r="I770" i="2"/>
  <c r="H770" i="2"/>
  <c r="J769" i="2"/>
  <c r="I769" i="2"/>
  <c r="H769" i="2"/>
  <c r="J768" i="2"/>
  <c r="I768" i="2"/>
  <c r="H768" i="2"/>
  <c r="J767" i="2"/>
  <c r="I767" i="2"/>
  <c r="H767" i="2"/>
  <c r="J766" i="2"/>
  <c r="I766" i="2"/>
  <c r="H766" i="2"/>
  <c r="J765" i="2"/>
  <c r="I765" i="2"/>
  <c r="H765" i="2"/>
  <c r="J764" i="2"/>
  <c r="I764" i="2"/>
  <c r="H764" i="2"/>
  <c r="J763" i="2"/>
  <c r="I763" i="2"/>
  <c r="H763" i="2"/>
  <c r="J762" i="2"/>
  <c r="I762" i="2"/>
  <c r="H762" i="2"/>
  <c r="J761" i="2"/>
  <c r="I761" i="2"/>
  <c r="H761" i="2"/>
  <c r="J760" i="2"/>
  <c r="I760" i="2"/>
  <c r="H760" i="2"/>
  <c r="J759" i="2"/>
  <c r="I759" i="2"/>
  <c r="H759" i="2"/>
  <c r="J758" i="2"/>
  <c r="I758" i="2"/>
  <c r="H758" i="2"/>
  <c r="J757" i="2"/>
  <c r="I757" i="2"/>
  <c r="H757" i="2"/>
  <c r="J756" i="2"/>
  <c r="I756" i="2"/>
  <c r="H756" i="2"/>
  <c r="J755" i="2"/>
  <c r="I755" i="2"/>
  <c r="H755" i="2"/>
  <c r="J754" i="2"/>
  <c r="I754" i="2"/>
  <c r="H754" i="2"/>
  <c r="J753" i="2"/>
  <c r="I753" i="2"/>
  <c r="H753" i="2"/>
  <c r="J752" i="2"/>
  <c r="I752" i="2"/>
  <c r="H752" i="2"/>
  <c r="J751" i="2"/>
  <c r="I751" i="2"/>
  <c r="H751" i="2"/>
  <c r="J750" i="2"/>
  <c r="I750" i="2"/>
  <c r="H750" i="2"/>
  <c r="J749" i="2"/>
  <c r="I749" i="2"/>
  <c r="H749" i="2"/>
  <c r="J748" i="2"/>
  <c r="I748" i="2"/>
  <c r="H748" i="2"/>
  <c r="J747" i="2"/>
  <c r="I747" i="2"/>
  <c r="H747" i="2"/>
  <c r="J746" i="2"/>
  <c r="I746" i="2"/>
  <c r="H746" i="2"/>
  <c r="J745" i="2"/>
  <c r="I745" i="2"/>
  <c r="H745" i="2"/>
  <c r="J744" i="2"/>
  <c r="I744" i="2"/>
  <c r="H744" i="2"/>
  <c r="J743" i="2"/>
  <c r="I743" i="2"/>
  <c r="H743" i="2"/>
  <c r="J742" i="2"/>
  <c r="I742" i="2"/>
  <c r="H742" i="2"/>
  <c r="J741" i="2"/>
  <c r="I741" i="2"/>
  <c r="H741" i="2"/>
  <c r="J740" i="2"/>
  <c r="I740" i="2"/>
  <c r="H740" i="2"/>
  <c r="J739" i="2"/>
  <c r="I739" i="2"/>
  <c r="H739" i="2"/>
  <c r="J738" i="2"/>
  <c r="I738" i="2"/>
  <c r="H738" i="2"/>
  <c r="J737" i="2"/>
  <c r="I737" i="2"/>
  <c r="H737" i="2"/>
  <c r="J736" i="2"/>
  <c r="I736" i="2"/>
  <c r="H736" i="2"/>
  <c r="J735" i="2"/>
  <c r="I735" i="2"/>
  <c r="H735" i="2"/>
  <c r="J734" i="2"/>
  <c r="I734" i="2"/>
  <c r="H734" i="2"/>
  <c r="J733" i="2"/>
  <c r="I733" i="2"/>
  <c r="H733" i="2"/>
  <c r="J732" i="2"/>
  <c r="I732" i="2"/>
  <c r="H732" i="2"/>
  <c r="J731" i="2"/>
  <c r="I731" i="2"/>
  <c r="H731" i="2"/>
  <c r="J730" i="2"/>
  <c r="I730" i="2"/>
  <c r="H730" i="2"/>
  <c r="J729" i="2"/>
  <c r="I729" i="2"/>
  <c r="H729" i="2"/>
  <c r="J728" i="2"/>
  <c r="I728" i="2"/>
  <c r="H728" i="2"/>
  <c r="J727" i="2"/>
  <c r="I727" i="2"/>
  <c r="H727" i="2"/>
  <c r="J726" i="2"/>
  <c r="I726" i="2"/>
  <c r="H726" i="2"/>
  <c r="J725" i="2"/>
  <c r="I725" i="2"/>
  <c r="H725" i="2"/>
  <c r="J724" i="2"/>
  <c r="I724" i="2"/>
  <c r="H724" i="2"/>
  <c r="J723" i="2"/>
  <c r="I723" i="2"/>
  <c r="H723" i="2"/>
  <c r="J722" i="2"/>
  <c r="I722" i="2"/>
  <c r="H722" i="2"/>
  <c r="J721" i="2"/>
  <c r="I721" i="2"/>
  <c r="H721" i="2"/>
  <c r="J720" i="2"/>
  <c r="I720" i="2"/>
  <c r="H720" i="2"/>
  <c r="J719" i="2"/>
  <c r="I719" i="2"/>
  <c r="H719" i="2"/>
  <c r="J718" i="2"/>
  <c r="I718" i="2"/>
  <c r="H718" i="2"/>
  <c r="J717" i="2"/>
  <c r="I717" i="2"/>
  <c r="H717" i="2"/>
  <c r="J716" i="2"/>
  <c r="I716" i="2"/>
  <c r="H716" i="2"/>
  <c r="J715" i="2"/>
  <c r="I715" i="2"/>
  <c r="H715" i="2"/>
  <c r="J714" i="2"/>
  <c r="I714" i="2"/>
  <c r="H714" i="2"/>
  <c r="J713" i="2"/>
  <c r="I713" i="2"/>
  <c r="H713" i="2"/>
  <c r="J712" i="2"/>
  <c r="I712" i="2"/>
  <c r="H712" i="2"/>
  <c r="J711" i="2"/>
  <c r="I711" i="2"/>
  <c r="H711" i="2"/>
  <c r="J710" i="2"/>
  <c r="I710" i="2"/>
  <c r="H710" i="2"/>
  <c r="J709" i="2"/>
  <c r="I709" i="2"/>
  <c r="H709" i="2"/>
  <c r="J708" i="2"/>
  <c r="I708" i="2"/>
  <c r="H708" i="2"/>
  <c r="J707" i="2"/>
  <c r="I707" i="2"/>
  <c r="H707" i="2"/>
  <c r="J706" i="2"/>
  <c r="I706" i="2"/>
  <c r="H706" i="2"/>
  <c r="J705" i="2"/>
  <c r="I705" i="2"/>
  <c r="H705" i="2"/>
  <c r="J704" i="2"/>
  <c r="I704" i="2"/>
  <c r="H704" i="2"/>
  <c r="J703" i="2"/>
  <c r="I703" i="2"/>
  <c r="H703" i="2"/>
  <c r="J702" i="2"/>
  <c r="I702" i="2"/>
  <c r="H702" i="2"/>
  <c r="J701" i="2"/>
  <c r="I701" i="2"/>
  <c r="H701" i="2"/>
  <c r="J700" i="2"/>
  <c r="I700" i="2"/>
  <c r="H700" i="2"/>
  <c r="J699" i="2"/>
  <c r="I699" i="2"/>
  <c r="H699" i="2"/>
  <c r="J698" i="2"/>
  <c r="I698" i="2"/>
  <c r="H698" i="2"/>
  <c r="J697" i="2"/>
  <c r="I697" i="2"/>
  <c r="H697" i="2"/>
  <c r="J696" i="2"/>
  <c r="I696" i="2"/>
  <c r="H696" i="2"/>
  <c r="J695" i="2"/>
  <c r="I695" i="2"/>
  <c r="H695" i="2"/>
  <c r="J694" i="2"/>
  <c r="I694" i="2"/>
  <c r="H694" i="2"/>
  <c r="J693" i="2"/>
  <c r="I693" i="2"/>
  <c r="H693" i="2"/>
  <c r="J692" i="2"/>
  <c r="I692" i="2"/>
  <c r="H692" i="2"/>
  <c r="J691" i="2"/>
  <c r="I691" i="2"/>
  <c r="H691" i="2"/>
  <c r="J690" i="2"/>
  <c r="I690" i="2"/>
  <c r="H690" i="2"/>
  <c r="J689" i="2"/>
  <c r="I689" i="2"/>
  <c r="H689" i="2"/>
  <c r="J688" i="2"/>
  <c r="I688" i="2"/>
  <c r="H688" i="2"/>
  <c r="J687" i="2"/>
  <c r="I687" i="2"/>
  <c r="H687" i="2"/>
  <c r="J686" i="2"/>
  <c r="I686" i="2"/>
  <c r="H686" i="2"/>
  <c r="J685" i="2"/>
  <c r="I685" i="2"/>
  <c r="H685" i="2"/>
  <c r="J684" i="2"/>
  <c r="I684" i="2"/>
  <c r="H684" i="2"/>
  <c r="J683" i="2"/>
  <c r="I683" i="2"/>
  <c r="H683" i="2"/>
  <c r="J682" i="2"/>
  <c r="I682" i="2"/>
  <c r="H682" i="2"/>
  <c r="J681" i="2"/>
  <c r="I681" i="2"/>
  <c r="H681" i="2"/>
  <c r="J680" i="2"/>
  <c r="I680" i="2"/>
  <c r="H680" i="2"/>
  <c r="J679" i="2"/>
  <c r="I679" i="2"/>
  <c r="H679" i="2"/>
  <c r="J678" i="2"/>
  <c r="I678" i="2"/>
  <c r="H678" i="2"/>
  <c r="J677" i="2"/>
  <c r="I677" i="2"/>
  <c r="H677" i="2"/>
  <c r="J676" i="2"/>
  <c r="I676" i="2"/>
  <c r="H676" i="2"/>
  <c r="J675" i="2"/>
  <c r="I675" i="2"/>
  <c r="H675" i="2"/>
  <c r="J674" i="2"/>
  <c r="I674" i="2"/>
  <c r="H674" i="2"/>
  <c r="J673" i="2"/>
  <c r="I673" i="2"/>
  <c r="H673" i="2"/>
  <c r="J672" i="2"/>
  <c r="I672" i="2"/>
  <c r="H672" i="2"/>
  <c r="J671" i="2"/>
  <c r="I671" i="2"/>
  <c r="H671" i="2"/>
  <c r="J670" i="2"/>
  <c r="I670" i="2"/>
  <c r="H670" i="2"/>
  <c r="J669" i="2"/>
  <c r="I669" i="2"/>
  <c r="H669" i="2"/>
  <c r="J668" i="2"/>
  <c r="I668" i="2"/>
  <c r="H668" i="2"/>
  <c r="J667" i="2"/>
  <c r="I667" i="2"/>
  <c r="H667" i="2"/>
  <c r="J666" i="2"/>
  <c r="I666" i="2"/>
  <c r="H666" i="2"/>
  <c r="J665" i="2"/>
  <c r="I665" i="2"/>
  <c r="H665" i="2"/>
  <c r="J664" i="2"/>
  <c r="I664" i="2"/>
  <c r="H664" i="2"/>
  <c r="J663" i="2"/>
  <c r="I663" i="2"/>
  <c r="H663" i="2"/>
  <c r="J662" i="2"/>
  <c r="I662" i="2"/>
  <c r="H662" i="2"/>
  <c r="J661" i="2"/>
  <c r="I661" i="2"/>
  <c r="H661" i="2"/>
  <c r="J660" i="2"/>
  <c r="I660" i="2"/>
  <c r="H660" i="2"/>
  <c r="J659" i="2"/>
  <c r="I659" i="2"/>
  <c r="H659" i="2"/>
  <c r="J658" i="2"/>
  <c r="I658" i="2"/>
  <c r="H658" i="2"/>
  <c r="J657" i="2"/>
  <c r="I657" i="2"/>
  <c r="H657" i="2"/>
  <c r="J656" i="2"/>
  <c r="I656" i="2"/>
  <c r="H656" i="2"/>
  <c r="J655" i="2"/>
  <c r="I655" i="2"/>
  <c r="H655" i="2"/>
  <c r="J654" i="2"/>
  <c r="I654" i="2"/>
  <c r="H654" i="2"/>
  <c r="J653" i="2"/>
  <c r="I653" i="2"/>
  <c r="H653" i="2"/>
  <c r="J652" i="2"/>
  <c r="I652" i="2"/>
  <c r="H652" i="2"/>
  <c r="J651" i="2"/>
  <c r="I651" i="2"/>
  <c r="H651" i="2"/>
  <c r="J650" i="2"/>
  <c r="I650" i="2"/>
  <c r="H650" i="2"/>
  <c r="J649" i="2"/>
  <c r="I649" i="2"/>
  <c r="H649" i="2"/>
  <c r="J648" i="2"/>
  <c r="I648" i="2"/>
  <c r="H648" i="2"/>
  <c r="J647" i="2"/>
  <c r="I647" i="2"/>
  <c r="H647" i="2"/>
  <c r="J646" i="2"/>
  <c r="I646" i="2"/>
  <c r="H646" i="2"/>
  <c r="J645" i="2"/>
  <c r="I645" i="2"/>
  <c r="H645" i="2"/>
  <c r="J644" i="2"/>
  <c r="I644" i="2"/>
  <c r="H644" i="2"/>
  <c r="J643" i="2"/>
  <c r="I643" i="2"/>
  <c r="H643" i="2"/>
  <c r="J642" i="2"/>
  <c r="I642" i="2"/>
  <c r="H642" i="2"/>
  <c r="J641" i="2"/>
  <c r="I641" i="2"/>
  <c r="H641" i="2"/>
  <c r="J640" i="2"/>
  <c r="I640" i="2"/>
  <c r="H640" i="2"/>
  <c r="J639" i="2"/>
  <c r="I639" i="2"/>
  <c r="H639" i="2"/>
  <c r="J638" i="2"/>
  <c r="I638" i="2"/>
  <c r="H638" i="2"/>
  <c r="J637" i="2"/>
  <c r="I637" i="2"/>
  <c r="H637" i="2"/>
  <c r="J636" i="2"/>
  <c r="I636" i="2"/>
  <c r="H636" i="2"/>
  <c r="J635" i="2"/>
  <c r="I635" i="2"/>
  <c r="H635" i="2"/>
  <c r="J634" i="2"/>
  <c r="I634" i="2"/>
  <c r="H634" i="2"/>
  <c r="J633" i="2"/>
  <c r="I633" i="2"/>
  <c r="H633" i="2"/>
  <c r="J632" i="2"/>
  <c r="I632" i="2"/>
  <c r="H632" i="2"/>
  <c r="J631" i="2"/>
  <c r="I631" i="2"/>
  <c r="H631" i="2"/>
  <c r="J630" i="2"/>
  <c r="I630" i="2"/>
  <c r="H630" i="2"/>
  <c r="J629" i="2"/>
  <c r="I629" i="2"/>
  <c r="H629" i="2"/>
  <c r="J628" i="2"/>
  <c r="I628" i="2"/>
  <c r="H628" i="2"/>
  <c r="J627" i="2"/>
  <c r="I627" i="2"/>
  <c r="H627" i="2"/>
  <c r="J626" i="2"/>
  <c r="I626" i="2"/>
  <c r="H626" i="2"/>
  <c r="J625" i="2"/>
  <c r="I625" i="2"/>
  <c r="H625" i="2"/>
  <c r="J624" i="2"/>
  <c r="I624" i="2"/>
  <c r="H624" i="2"/>
  <c r="J623" i="2"/>
  <c r="I623" i="2"/>
  <c r="H623" i="2"/>
  <c r="J622" i="2"/>
  <c r="I622" i="2"/>
  <c r="H622" i="2"/>
  <c r="J621" i="2"/>
  <c r="I621" i="2"/>
  <c r="H621" i="2"/>
  <c r="J620" i="2"/>
  <c r="I620" i="2"/>
  <c r="H620" i="2"/>
  <c r="J619" i="2"/>
  <c r="I619" i="2"/>
  <c r="H619" i="2"/>
  <c r="J618" i="2"/>
  <c r="I618" i="2"/>
  <c r="H618" i="2"/>
  <c r="J617" i="2"/>
  <c r="I617" i="2"/>
  <c r="H617" i="2"/>
  <c r="J616" i="2"/>
  <c r="I616" i="2"/>
  <c r="H616" i="2"/>
  <c r="J615" i="2"/>
  <c r="I615" i="2"/>
  <c r="H615" i="2"/>
  <c r="J614" i="2"/>
  <c r="I614" i="2"/>
  <c r="H614" i="2"/>
  <c r="J613" i="2"/>
  <c r="I613" i="2"/>
  <c r="H613" i="2"/>
  <c r="J612" i="2"/>
  <c r="I612" i="2"/>
  <c r="H612" i="2"/>
  <c r="J611" i="2"/>
  <c r="I611" i="2"/>
  <c r="H611" i="2"/>
  <c r="J610" i="2"/>
  <c r="I610" i="2"/>
  <c r="H610" i="2"/>
  <c r="J609" i="2"/>
  <c r="I609" i="2"/>
  <c r="H609" i="2"/>
  <c r="J608" i="2"/>
  <c r="I608" i="2"/>
  <c r="H608" i="2"/>
  <c r="J607" i="2"/>
  <c r="I607" i="2"/>
  <c r="H607" i="2"/>
  <c r="J606" i="2"/>
  <c r="I606" i="2"/>
  <c r="H606" i="2"/>
  <c r="J605" i="2"/>
  <c r="I605" i="2"/>
  <c r="H605" i="2"/>
  <c r="J604" i="2"/>
  <c r="I604" i="2"/>
  <c r="H604" i="2"/>
  <c r="J603" i="2"/>
  <c r="I603" i="2"/>
  <c r="H603" i="2"/>
  <c r="J602" i="2"/>
  <c r="I602" i="2"/>
  <c r="H602" i="2"/>
  <c r="J601" i="2"/>
  <c r="I601" i="2"/>
  <c r="H601" i="2"/>
  <c r="J600" i="2"/>
  <c r="I600" i="2"/>
  <c r="H600" i="2"/>
  <c r="J599" i="2"/>
  <c r="I599" i="2"/>
  <c r="H599" i="2"/>
  <c r="J598" i="2"/>
  <c r="I598" i="2"/>
  <c r="H598" i="2"/>
  <c r="J597" i="2"/>
  <c r="I597" i="2"/>
  <c r="H597" i="2"/>
  <c r="J596" i="2"/>
  <c r="I596" i="2"/>
  <c r="H596" i="2"/>
  <c r="J595" i="2"/>
  <c r="I595" i="2"/>
  <c r="H595" i="2"/>
  <c r="J594" i="2"/>
  <c r="I594" i="2"/>
  <c r="H594" i="2"/>
  <c r="J593" i="2"/>
  <c r="I593" i="2"/>
  <c r="H593" i="2"/>
  <c r="J592" i="2"/>
  <c r="I592" i="2"/>
  <c r="H592" i="2"/>
  <c r="J591" i="2"/>
  <c r="I591" i="2"/>
  <c r="H591" i="2"/>
  <c r="J590" i="2"/>
  <c r="I590" i="2"/>
  <c r="H590" i="2"/>
  <c r="J589" i="2"/>
  <c r="I589" i="2"/>
  <c r="H589" i="2"/>
  <c r="J588" i="2"/>
  <c r="I588" i="2"/>
  <c r="H588" i="2"/>
  <c r="J587" i="2"/>
  <c r="I587" i="2"/>
  <c r="H587" i="2"/>
  <c r="J586" i="2"/>
  <c r="I586" i="2"/>
  <c r="H586" i="2"/>
  <c r="J585" i="2"/>
  <c r="I585" i="2"/>
  <c r="H585" i="2"/>
  <c r="J584" i="2"/>
  <c r="I584" i="2"/>
  <c r="H584" i="2"/>
  <c r="J583" i="2"/>
  <c r="I583" i="2"/>
  <c r="H583" i="2"/>
  <c r="J582" i="2"/>
  <c r="I582" i="2"/>
  <c r="H582" i="2"/>
  <c r="J581" i="2"/>
  <c r="I581" i="2"/>
  <c r="H581" i="2"/>
  <c r="J580" i="2"/>
  <c r="I580" i="2"/>
  <c r="H580" i="2"/>
  <c r="J579" i="2"/>
  <c r="I579" i="2"/>
  <c r="H579" i="2"/>
  <c r="J578" i="2"/>
  <c r="I578" i="2"/>
  <c r="H578" i="2"/>
  <c r="J577" i="2"/>
  <c r="I577" i="2"/>
  <c r="H577" i="2"/>
  <c r="J576" i="2"/>
  <c r="I576" i="2"/>
  <c r="H576" i="2"/>
  <c r="J575" i="2"/>
  <c r="I575" i="2"/>
  <c r="H575" i="2"/>
  <c r="J574" i="2"/>
  <c r="I574" i="2"/>
  <c r="H574" i="2"/>
  <c r="J573" i="2"/>
  <c r="I573" i="2"/>
  <c r="H573" i="2"/>
  <c r="J572" i="2"/>
  <c r="I572" i="2"/>
  <c r="H572" i="2"/>
  <c r="J571" i="2"/>
  <c r="I571" i="2"/>
  <c r="H571" i="2"/>
  <c r="J570" i="2"/>
  <c r="I570" i="2"/>
  <c r="H570" i="2"/>
  <c r="J569" i="2"/>
  <c r="I569" i="2"/>
  <c r="H569" i="2"/>
  <c r="J568" i="2"/>
  <c r="I568" i="2"/>
  <c r="H568" i="2"/>
  <c r="J567" i="2"/>
  <c r="I567" i="2"/>
  <c r="H567" i="2"/>
  <c r="J566" i="2"/>
  <c r="I566" i="2"/>
  <c r="H566" i="2"/>
  <c r="J565" i="2"/>
  <c r="I565" i="2"/>
  <c r="H565" i="2"/>
  <c r="J564" i="2"/>
  <c r="I564" i="2"/>
  <c r="H564" i="2"/>
  <c r="J563" i="2"/>
  <c r="I563" i="2"/>
  <c r="H563" i="2"/>
  <c r="J562" i="2"/>
  <c r="I562" i="2"/>
  <c r="H562" i="2"/>
  <c r="J561" i="2"/>
  <c r="I561" i="2"/>
  <c r="H561" i="2"/>
  <c r="J560" i="2"/>
  <c r="I560" i="2"/>
  <c r="H560" i="2"/>
  <c r="J559" i="2"/>
  <c r="I559" i="2"/>
  <c r="H559" i="2"/>
  <c r="J558" i="2"/>
  <c r="I558" i="2"/>
  <c r="H558" i="2"/>
  <c r="J557" i="2"/>
  <c r="I557" i="2"/>
  <c r="H557" i="2"/>
  <c r="J556" i="2"/>
  <c r="I556" i="2"/>
  <c r="H556" i="2"/>
  <c r="J555" i="2"/>
  <c r="I555" i="2"/>
  <c r="H555" i="2"/>
  <c r="J554" i="2"/>
  <c r="I554" i="2"/>
  <c r="H554" i="2"/>
  <c r="J553" i="2"/>
  <c r="I553" i="2"/>
  <c r="H553" i="2"/>
  <c r="J552" i="2"/>
  <c r="I552" i="2"/>
  <c r="H552" i="2"/>
  <c r="J551" i="2"/>
  <c r="I551" i="2"/>
  <c r="H551" i="2"/>
  <c r="J550" i="2"/>
  <c r="I550" i="2"/>
  <c r="H550" i="2"/>
  <c r="J549" i="2"/>
  <c r="I549" i="2"/>
  <c r="H549" i="2"/>
  <c r="J548" i="2"/>
  <c r="I548" i="2"/>
  <c r="H548" i="2"/>
  <c r="J547" i="2"/>
  <c r="I547" i="2"/>
  <c r="H547" i="2"/>
  <c r="J546" i="2"/>
  <c r="I546" i="2"/>
  <c r="H546" i="2"/>
  <c r="J545" i="2"/>
  <c r="I545" i="2"/>
  <c r="H545" i="2"/>
  <c r="J544" i="2"/>
  <c r="I544" i="2"/>
  <c r="H544" i="2"/>
  <c r="J543" i="2"/>
  <c r="I543" i="2"/>
  <c r="H543" i="2"/>
  <c r="J542" i="2"/>
  <c r="I542" i="2"/>
  <c r="H542" i="2"/>
  <c r="J541" i="2"/>
  <c r="I541" i="2"/>
  <c r="H541" i="2"/>
  <c r="J540" i="2"/>
  <c r="I540" i="2"/>
  <c r="H540" i="2"/>
  <c r="J539" i="2"/>
  <c r="I539" i="2"/>
  <c r="H539" i="2"/>
  <c r="J538" i="2"/>
  <c r="I538" i="2"/>
  <c r="H538" i="2"/>
  <c r="J537" i="2"/>
  <c r="I537" i="2"/>
  <c r="H537" i="2"/>
  <c r="J536" i="2"/>
  <c r="I536" i="2"/>
  <c r="H536" i="2"/>
  <c r="J535" i="2"/>
  <c r="I535" i="2"/>
  <c r="H535" i="2"/>
  <c r="J534" i="2"/>
  <c r="I534" i="2"/>
  <c r="H534" i="2"/>
  <c r="J533" i="2"/>
  <c r="I533" i="2"/>
  <c r="H533" i="2"/>
  <c r="J532" i="2"/>
  <c r="I532" i="2"/>
  <c r="H532" i="2"/>
  <c r="J531" i="2"/>
  <c r="I531" i="2"/>
  <c r="H531" i="2"/>
  <c r="J530" i="2"/>
  <c r="I530" i="2"/>
  <c r="H530" i="2"/>
  <c r="J529" i="2"/>
  <c r="I529" i="2"/>
  <c r="H529" i="2"/>
  <c r="J528" i="2"/>
  <c r="I528" i="2"/>
  <c r="H528" i="2"/>
  <c r="J527" i="2"/>
  <c r="I527" i="2"/>
  <c r="H527" i="2"/>
  <c r="J526" i="2"/>
  <c r="I526" i="2"/>
  <c r="H526" i="2"/>
  <c r="J525" i="2"/>
  <c r="I525" i="2"/>
  <c r="H525" i="2"/>
  <c r="J524" i="2"/>
  <c r="I524" i="2"/>
  <c r="H524" i="2"/>
  <c r="J523" i="2"/>
  <c r="I523" i="2"/>
  <c r="H523" i="2"/>
  <c r="J522" i="2"/>
  <c r="I522" i="2"/>
  <c r="H522" i="2"/>
  <c r="J521" i="2"/>
  <c r="I521" i="2"/>
  <c r="H521" i="2"/>
  <c r="J520" i="2"/>
  <c r="I520" i="2"/>
  <c r="H520" i="2"/>
  <c r="J519" i="2"/>
  <c r="I519" i="2"/>
  <c r="H519" i="2"/>
  <c r="J518" i="2"/>
  <c r="I518" i="2"/>
  <c r="H518" i="2"/>
  <c r="J517" i="2"/>
  <c r="I517" i="2"/>
  <c r="H517" i="2"/>
  <c r="J516" i="2"/>
  <c r="I516" i="2"/>
  <c r="H516" i="2"/>
  <c r="J515" i="2"/>
  <c r="I515" i="2"/>
  <c r="H515" i="2"/>
  <c r="J514" i="2"/>
  <c r="I514" i="2"/>
  <c r="H514" i="2"/>
  <c r="J513" i="2"/>
  <c r="I513" i="2"/>
  <c r="H513" i="2"/>
  <c r="J512" i="2"/>
  <c r="I512" i="2"/>
  <c r="H512" i="2"/>
  <c r="J511" i="2"/>
  <c r="I511" i="2"/>
  <c r="H511" i="2"/>
  <c r="J510" i="2"/>
  <c r="I510" i="2"/>
  <c r="H510" i="2"/>
  <c r="J509" i="2"/>
  <c r="I509" i="2"/>
  <c r="H509" i="2"/>
  <c r="J508" i="2"/>
  <c r="I508" i="2"/>
  <c r="H508" i="2"/>
  <c r="J507" i="2"/>
  <c r="I507" i="2"/>
  <c r="H507" i="2"/>
  <c r="J506" i="2"/>
  <c r="I506" i="2"/>
  <c r="H506" i="2"/>
  <c r="J505" i="2"/>
  <c r="I505" i="2"/>
  <c r="H505" i="2"/>
  <c r="J504" i="2"/>
  <c r="I504" i="2"/>
  <c r="H504" i="2"/>
  <c r="J503" i="2"/>
  <c r="I503" i="2"/>
  <c r="H503" i="2"/>
  <c r="J502" i="2"/>
  <c r="I502" i="2"/>
  <c r="H502" i="2"/>
  <c r="J501" i="2"/>
  <c r="I501" i="2"/>
  <c r="H501" i="2"/>
  <c r="J500" i="2"/>
  <c r="I500" i="2"/>
  <c r="H500" i="2"/>
  <c r="J499" i="2"/>
  <c r="I499" i="2"/>
  <c r="H499" i="2"/>
  <c r="J498" i="2"/>
  <c r="I498" i="2"/>
  <c r="H498" i="2"/>
  <c r="J497" i="2"/>
  <c r="I497" i="2"/>
  <c r="H497" i="2"/>
  <c r="J496" i="2"/>
  <c r="I496" i="2"/>
  <c r="H496" i="2"/>
  <c r="J495" i="2"/>
  <c r="I495" i="2"/>
  <c r="H495" i="2"/>
  <c r="J494" i="2"/>
  <c r="I494" i="2"/>
  <c r="H494" i="2"/>
  <c r="J493" i="2"/>
  <c r="I493" i="2"/>
  <c r="H493" i="2"/>
  <c r="J492" i="2"/>
  <c r="I492" i="2"/>
  <c r="H492" i="2"/>
  <c r="J491" i="2"/>
  <c r="I491" i="2"/>
  <c r="H491" i="2"/>
  <c r="J490" i="2"/>
  <c r="I490" i="2"/>
  <c r="H490" i="2"/>
  <c r="J489" i="2"/>
  <c r="I489" i="2"/>
  <c r="H489" i="2"/>
  <c r="J488" i="2"/>
  <c r="I488" i="2"/>
  <c r="H488" i="2"/>
  <c r="J487" i="2"/>
  <c r="I487" i="2"/>
  <c r="H487" i="2"/>
  <c r="J486" i="2"/>
  <c r="I486" i="2"/>
  <c r="H486" i="2"/>
  <c r="J485" i="2"/>
  <c r="I485" i="2"/>
  <c r="H485" i="2"/>
  <c r="J484" i="2"/>
  <c r="I484" i="2"/>
  <c r="H484" i="2"/>
  <c r="J483" i="2"/>
  <c r="I483" i="2"/>
  <c r="H483" i="2"/>
  <c r="J482" i="2"/>
  <c r="I482" i="2"/>
  <c r="H482" i="2"/>
  <c r="J481" i="2"/>
  <c r="I481" i="2"/>
  <c r="H481" i="2"/>
  <c r="J480" i="2"/>
  <c r="I480" i="2"/>
  <c r="H480" i="2"/>
  <c r="J479" i="2"/>
  <c r="I479" i="2"/>
  <c r="H479" i="2"/>
  <c r="J478" i="2"/>
  <c r="I478" i="2"/>
  <c r="H478" i="2"/>
  <c r="J477" i="2"/>
  <c r="I477" i="2"/>
  <c r="H477" i="2"/>
  <c r="J476" i="2"/>
  <c r="I476" i="2"/>
  <c r="H476" i="2"/>
  <c r="J475" i="2"/>
  <c r="I475" i="2"/>
  <c r="H475" i="2"/>
  <c r="J474" i="2"/>
  <c r="I474" i="2"/>
  <c r="H474" i="2"/>
  <c r="J473" i="2"/>
  <c r="I473" i="2"/>
  <c r="H473" i="2"/>
  <c r="J472" i="2"/>
  <c r="I472" i="2"/>
  <c r="H472" i="2"/>
  <c r="J471" i="2"/>
  <c r="I471" i="2"/>
  <c r="H471" i="2"/>
  <c r="J470" i="2"/>
  <c r="I470" i="2"/>
  <c r="H470" i="2"/>
  <c r="J469" i="2"/>
  <c r="I469" i="2"/>
  <c r="H469" i="2"/>
  <c r="J468" i="2"/>
  <c r="I468" i="2"/>
  <c r="H468" i="2"/>
  <c r="J467" i="2"/>
  <c r="I467" i="2"/>
  <c r="H467" i="2"/>
  <c r="J466" i="2"/>
  <c r="I466" i="2"/>
  <c r="H466" i="2"/>
  <c r="J465" i="2"/>
  <c r="I465" i="2"/>
  <c r="H465" i="2"/>
  <c r="J464" i="2"/>
  <c r="I464" i="2"/>
  <c r="H464" i="2"/>
  <c r="J463" i="2"/>
  <c r="I463" i="2"/>
  <c r="H463" i="2"/>
  <c r="J462" i="2"/>
  <c r="I462" i="2"/>
  <c r="H462" i="2"/>
  <c r="J461" i="2"/>
  <c r="I461" i="2"/>
  <c r="H461" i="2"/>
  <c r="J460" i="2"/>
  <c r="I460" i="2"/>
  <c r="H460" i="2"/>
  <c r="J459" i="2"/>
  <c r="I459" i="2"/>
  <c r="H459" i="2"/>
  <c r="J458" i="2"/>
  <c r="I458" i="2"/>
  <c r="H458" i="2"/>
  <c r="J457" i="2"/>
  <c r="I457" i="2"/>
  <c r="H457" i="2"/>
  <c r="J456" i="2"/>
  <c r="I456" i="2"/>
  <c r="H456" i="2"/>
  <c r="I455" i="2"/>
  <c r="H455" i="2"/>
  <c r="I454" i="2"/>
  <c r="H454" i="2"/>
  <c r="I453" i="2"/>
  <c r="H453" i="2"/>
  <c r="I452" i="2"/>
  <c r="H452" i="2"/>
  <c r="I451" i="2"/>
  <c r="H451" i="2"/>
  <c r="I450" i="2"/>
  <c r="H450" i="2"/>
  <c r="I449" i="2"/>
  <c r="H449" i="2"/>
  <c r="I448" i="2"/>
  <c r="H448" i="2"/>
  <c r="I447" i="2"/>
  <c r="H447" i="2"/>
  <c r="I446" i="2"/>
  <c r="H446" i="2"/>
  <c r="I445" i="2"/>
  <c r="H445" i="2"/>
  <c r="I444" i="2"/>
  <c r="H444" i="2"/>
  <c r="I443" i="2"/>
  <c r="H443" i="2"/>
  <c r="I442" i="2"/>
  <c r="H442" i="2"/>
  <c r="I441" i="2"/>
  <c r="H441" i="2"/>
  <c r="I440" i="2"/>
  <c r="H440" i="2"/>
  <c r="I439" i="2"/>
  <c r="H439" i="2"/>
  <c r="I438" i="2"/>
  <c r="H438" i="2"/>
  <c r="I437" i="2"/>
  <c r="H437" i="2"/>
  <c r="I436" i="2"/>
  <c r="H436" i="2"/>
  <c r="I435" i="2"/>
  <c r="H435" i="2"/>
  <c r="I434" i="2"/>
  <c r="H434" i="2"/>
  <c r="I433" i="2"/>
  <c r="H433" i="2"/>
  <c r="I432" i="2"/>
  <c r="H432" i="2"/>
  <c r="I431" i="2"/>
  <c r="H431" i="2"/>
  <c r="I430" i="2"/>
  <c r="H430" i="2"/>
  <c r="I429" i="2"/>
  <c r="H429" i="2"/>
  <c r="I428" i="2"/>
  <c r="H428" i="2"/>
  <c r="I427" i="2"/>
  <c r="H427" i="2"/>
  <c r="I426" i="2"/>
  <c r="H426" i="2"/>
  <c r="I425" i="2"/>
  <c r="H425" i="2"/>
  <c r="I424" i="2"/>
  <c r="H424" i="2"/>
  <c r="I423" i="2"/>
  <c r="H423" i="2"/>
  <c r="I422" i="2"/>
  <c r="H422" i="2"/>
  <c r="I421" i="2"/>
  <c r="H421" i="2"/>
  <c r="I420" i="2"/>
  <c r="H420" i="2"/>
  <c r="I419" i="2"/>
  <c r="H419" i="2"/>
  <c r="I418" i="2"/>
  <c r="H418" i="2"/>
  <c r="I417" i="2"/>
  <c r="H417" i="2"/>
  <c r="I416" i="2"/>
  <c r="H416" i="2"/>
  <c r="I415" i="2"/>
  <c r="H415" i="2"/>
  <c r="I414" i="2"/>
  <c r="H414" i="2"/>
  <c r="I413" i="2"/>
  <c r="H413" i="2"/>
  <c r="I412" i="2"/>
  <c r="H412" i="2"/>
  <c r="I411" i="2"/>
  <c r="H411" i="2"/>
  <c r="I410" i="2"/>
  <c r="H410" i="2"/>
  <c r="I409" i="2"/>
  <c r="H409" i="2"/>
  <c r="I408" i="2"/>
  <c r="H408" i="2"/>
  <c r="I407" i="2"/>
  <c r="H407" i="2"/>
  <c r="I406" i="2"/>
  <c r="H406" i="2"/>
  <c r="I405" i="2"/>
  <c r="H405" i="2"/>
  <c r="I404" i="2"/>
  <c r="H404" i="2"/>
  <c r="I403" i="2"/>
  <c r="H403" i="2"/>
  <c r="I402" i="2"/>
  <c r="H402" i="2"/>
  <c r="I401" i="2"/>
  <c r="H401" i="2"/>
  <c r="I400" i="2"/>
  <c r="H400" i="2"/>
  <c r="I399" i="2"/>
  <c r="H399" i="2"/>
  <c r="I398" i="2"/>
  <c r="H398" i="2"/>
  <c r="I397" i="2"/>
  <c r="H397" i="2"/>
  <c r="I396" i="2"/>
  <c r="H396" i="2"/>
  <c r="I395" i="2"/>
  <c r="H395" i="2"/>
  <c r="I394" i="2"/>
  <c r="H394" i="2"/>
  <c r="I393" i="2"/>
  <c r="H393" i="2"/>
  <c r="I392" i="2"/>
  <c r="H392" i="2"/>
  <c r="I391" i="2"/>
  <c r="H391" i="2"/>
  <c r="I390" i="2"/>
  <c r="H390" i="2"/>
  <c r="I389" i="2"/>
  <c r="H389" i="2"/>
  <c r="I388" i="2"/>
  <c r="H388" i="2"/>
  <c r="I387" i="2"/>
  <c r="H387" i="2"/>
  <c r="I386" i="2"/>
  <c r="H386" i="2"/>
  <c r="I385" i="2"/>
  <c r="H385" i="2"/>
  <c r="I384" i="2"/>
  <c r="H384" i="2"/>
  <c r="I383" i="2"/>
  <c r="H383" i="2"/>
  <c r="I382" i="2"/>
  <c r="H382" i="2"/>
  <c r="I381" i="2"/>
  <c r="H381" i="2"/>
  <c r="I380" i="2"/>
  <c r="H380" i="2"/>
  <c r="I379" i="2"/>
  <c r="H379" i="2"/>
  <c r="I378" i="2"/>
  <c r="H378" i="2"/>
  <c r="I377" i="2"/>
  <c r="H377" i="2"/>
  <c r="I376" i="2"/>
  <c r="H376" i="2"/>
  <c r="I375" i="2"/>
  <c r="H375" i="2"/>
  <c r="I374" i="2"/>
  <c r="H374" i="2"/>
  <c r="I373" i="2"/>
  <c r="H373" i="2"/>
  <c r="I372" i="2"/>
  <c r="H372" i="2"/>
  <c r="I371" i="2"/>
  <c r="H371" i="2"/>
  <c r="I370" i="2"/>
  <c r="H370" i="2"/>
  <c r="I369" i="2"/>
  <c r="H369" i="2"/>
  <c r="I368" i="2"/>
  <c r="H368" i="2"/>
  <c r="I367" i="2"/>
  <c r="H367" i="2"/>
  <c r="I366" i="2"/>
  <c r="H366" i="2"/>
  <c r="I365" i="2"/>
  <c r="H365" i="2"/>
  <c r="I364" i="2"/>
  <c r="H364" i="2"/>
  <c r="I363" i="2"/>
  <c r="H363" i="2"/>
  <c r="I362" i="2"/>
  <c r="H362" i="2"/>
  <c r="I361" i="2"/>
  <c r="H361" i="2"/>
  <c r="I360" i="2"/>
  <c r="H360" i="2"/>
  <c r="I359" i="2"/>
  <c r="H359" i="2"/>
  <c r="I358" i="2"/>
  <c r="H358" i="2"/>
  <c r="I357" i="2"/>
  <c r="H357" i="2"/>
  <c r="I356" i="2"/>
  <c r="H356" i="2"/>
  <c r="I355" i="2"/>
  <c r="H355" i="2"/>
  <c r="I354" i="2"/>
  <c r="H354" i="2"/>
  <c r="I353" i="2"/>
  <c r="H353" i="2"/>
  <c r="I352" i="2"/>
  <c r="H352" i="2"/>
  <c r="I351" i="2"/>
  <c r="H351" i="2"/>
  <c r="I350" i="2"/>
  <c r="H350" i="2"/>
  <c r="I349" i="2"/>
  <c r="H349" i="2"/>
  <c r="I348" i="2"/>
  <c r="H348" i="2"/>
  <c r="I347" i="2"/>
  <c r="H347" i="2"/>
  <c r="I346" i="2"/>
  <c r="H346" i="2"/>
  <c r="I345" i="2"/>
  <c r="H345" i="2"/>
  <c r="I344" i="2"/>
  <c r="H344" i="2"/>
  <c r="I343" i="2"/>
  <c r="H343" i="2"/>
  <c r="I342" i="2"/>
  <c r="H342" i="2"/>
  <c r="I341" i="2"/>
  <c r="H341" i="2"/>
  <c r="I340" i="2"/>
  <c r="H340" i="2"/>
  <c r="I339" i="2"/>
  <c r="H339" i="2"/>
  <c r="I338" i="2"/>
  <c r="H338" i="2"/>
  <c r="I337" i="2"/>
  <c r="H337" i="2"/>
  <c r="I336" i="2"/>
  <c r="H336" i="2"/>
  <c r="I335" i="2"/>
  <c r="H335" i="2"/>
  <c r="I334" i="2"/>
  <c r="H334" i="2"/>
  <c r="I333" i="2"/>
  <c r="H333" i="2"/>
  <c r="I332" i="2"/>
  <c r="H332" i="2"/>
  <c r="I331" i="2"/>
  <c r="H331" i="2"/>
  <c r="I330" i="2"/>
  <c r="H330" i="2"/>
  <c r="I329" i="2"/>
  <c r="H329" i="2"/>
  <c r="I328" i="2"/>
  <c r="H328" i="2"/>
  <c r="I327" i="2"/>
  <c r="H327" i="2"/>
  <c r="I326" i="2"/>
  <c r="H326" i="2"/>
  <c r="I325" i="2"/>
  <c r="H325" i="2"/>
  <c r="I324" i="2"/>
  <c r="H324" i="2"/>
  <c r="I323" i="2"/>
  <c r="H323" i="2"/>
  <c r="I322" i="2"/>
  <c r="H322" i="2"/>
  <c r="I321" i="2"/>
  <c r="H321" i="2"/>
  <c r="I320" i="2"/>
  <c r="H320" i="2"/>
  <c r="I319" i="2"/>
  <c r="H319" i="2"/>
  <c r="I318" i="2"/>
  <c r="H318" i="2"/>
  <c r="I317" i="2"/>
  <c r="H317" i="2"/>
  <c r="I316" i="2"/>
  <c r="H316" i="2"/>
  <c r="I315" i="2"/>
  <c r="H315" i="2"/>
  <c r="I314" i="2"/>
  <c r="H314" i="2"/>
  <c r="I313" i="2"/>
  <c r="H313" i="2"/>
  <c r="I312" i="2"/>
  <c r="H312" i="2"/>
  <c r="I311" i="2"/>
  <c r="H311" i="2"/>
  <c r="I310" i="2"/>
  <c r="H310" i="2"/>
  <c r="I309" i="2"/>
  <c r="H309" i="2"/>
  <c r="I308" i="2"/>
  <c r="H308" i="2"/>
  <c r="I307" i="2"/>
  <c r="H307" i="2"/>
  <c r="I306" i="2"/>
  <c r="H306" i="2"/>
  <c r="I305" i="2"/>
  <c r="H305" i="2"/>
  <c r="I304" i="2"/>
  <c r="H304" i="2"/>
  <c r="I303" i="2"/>
  <c r="H303" i="2"/>
  <c r="I302" i="2"/>
  <c r="H302" i="2"/>
  <c r="I301" i="2"/>
  <c r="H301" i="2"/>
  <c r="I300" i="2"/>
  <c r="H300" i="2"/>
  <c r="I299" i="2"/>
  <c r="H299" i="2"/>
  <c r="I298" i="2"/>
  <c r="H298" i="2"/>
  <c r="I297" i="2"/>
  <c r="H297" i="2"/>
  <c r="I296" i="2"/>
  <c r="H296" i="2"/>
  <c r="I295" i="2"/>
  <c r="H295" i="2"/>
  <c r="I294" i="2"/>
  <c r="H294" i="2"/>
  <c r="I293" i="2"/>
  <c r="H293" i="2"/>
  <c r="I292" i="2"/>
  <c r="H292" i="2"/>
  <c r="I291" i="2"/>
  <c r="H291" i="2"/>
  <c r="I290" i="2"/>
  <c r="H290" i="2"/>
  <c r="I289" i="2"/>
  <c r="H289" i="2"/>
  <c r="I288" i="2"/>
  <c r="H288" i="2"/>
  <c r="I287" i="2"/>
  <c r="H287" i="2"/>
  <c r="I286" i="2"/>
  <c r="H286" i="2"/>
  <c r="I285" i="2"/>
  <c r="H285" i="2"/>
  <c r="I284" i="2"/>
  <c r="H284" i="2"/>
  <c r="I283" i="2"/>
  <c r="H283" i="2"/>
  <c r="I282" i="2"/>
  <c r="H282" i="2"/>
  <c r="I281" i="2"/>
  <c r="H281" i="2"/>
  <c r="I280" i="2"/>
  <c r="H280" i="2"/>
  <c r="I279" i="2"/>
  <c r="H279" i="2"/>
  <c r="I278" i="2"/>
  <c r="H278" i="2"/>
  <c r="I277" i="2"/>
  <c r="H277" i="2"/>
  <c r="I276" i="2"/>
  <c r="H276" i="2"/>
  <c r="I275" i="2"/>
  <c r="H275" i="2"/>
  <c r="I274" i="2"/>
  <c r="H274" i="2"/>
  <c r="I273" i="2"/>
  <c r="H273" i="2"/>
  <c r="I272" i="2"/>
  <c r="H272" i="2"/>
  <c r="I271" i="2"/>
  <c r="H271" i="2"/>
  <c r="I270" i="2"/>
  <c r="H270" i="2"/>
  <c r="I269" i="2"/>
  <c r="H269" i="2"/>
  <c r="I268" i="2"/>
  <c r="H268" i="2"/>
  <c r="I267" i="2"/>
  <c r="H267" i="2"/>
  <c r="I266" i="2"/>
  <c r="H266" i="2"/>
  <c r="I265" i="2"/>
  <c r="H265" i="2"/>
  <c r="I264" i="2"/>
  <c r="H264" i="2"/>
  <c r="I263" i="2"/>
  <c r="H263" i="2"/>
  <c r="I262" i="2"/>
  <c r="H262" i="2"/>
  <c r="I261" i="2"/>
  <c r="H261" i="2"/>
  <c r="I260" i="2"/>
  <c r="H260" i="2"/>
  <c r="I259" i="2"/>
  <c r="H259" i="2"/>
  <c r="I258" i="2"/>
  <c r="H258" i="2"/>
  <c r="I257" i="2"/>
  <c r="H257" i="2"/>
  <c r="I256" i="2"/>
  <c r="H256" i="2"/>
  <c r="I255" i="2"/>
  <c r="H255" i="2"/>
  <c r="I254" i="2"/>
  <c r="H254" i="2"/>
  <c r="I253" i="2"/>
  <c r="H253" i="2"/>
  <c r="I252" i="2"/>
  <c r="H252" i="2"/>
  <c r="I251" i="2"/>
  <c r="H251" i="2"/>
  <c r="I250" i="2"/>
  <c r="H250" i="2"/>
  <c r="I249" i="2"/>
  <c r="H249" i="2"/>
  <c r="I248" i="2"/>
  <c r="H248" i="2"/>
  <c r="I247" i="2"/>
  <c r="H247" i="2"/>
  <c r="I246" i="2"/>
  <c r="H246" i="2"/>
  <c r="I245" i="2"/>
  <c r="H245" i="2"/>
  <c r="I244" i="2"/>
  <c r="H244" i="2"/>
  <c r="I243" i="2"/>
  <c r="H243" i="2"/>
  <c r="I242" i="2"/>
  <c r="H242" i="2"/>
  <c r="I241" i="2"/>
  <c r="H241" i="2"/>
  <c r="I240" i="2"/>
  <c r="H240" i="2"/>
  <c r="I239" i="2"/>
  <c r="H239" i="2"/>
  <c r="I238" i="2"/>
  <c r="H238" i="2"/>
  <c r="I237" i="2"/>
  <c r="H237" i="2"/>
  <c r="I236" i="2"/>
  <c r="H236" i="2"/>
  <c r="I235" i="2"/>
  <c r="H235" i="2"/>
  <c r="I234" i="2"/>
  <c r="H234" i="2"/>
  <c r="I233" i="2"/>
  <c r="H233" i="2"/>
  <c r="I232" i="2"/>
  <c r="H232" i="2"/>
  <c r="I231" i="2"/>
  <c r="H231" i="2"/>
  <c r="I230" i="2"/>
  <c r="H230" i="2"/>
  <c r="I229" i="2"/>
  <c r="H229" i="2"/>
  <c r="I228" i="2"/>
  <c r="H228" i="2"/>
  <c r="I227" i="2"/>
  <c r="H227" i="2"/>
  <c r="I226" i="2"/>
  <c r="H226" i="2"/>
  <c r="I225" i="2"/>
  <c r="H225" i="2"/>
  <c r="I224" i="2"/>
  <c r="H224" i="2"/>
  <c r="I223" i="2"/>
  <c r="H223" i="2"/>
  <c r="I222" i="2"/>
  <c r="H222" i="2"/>
  <c r="I221" i="2"/>
  <c r="H221" i="2"/>
  <c r="I220" i="2"/>
  <c r="H220" i="2"/>
  <c r="I219" i="2"/>
  <c r="H219" i="2"/>
  <c r="I218" i="2"/>
  <c r="H218" i="2"/>
  <c r="I217" i="2"/>
  <c r="H217" i="2"/>
  <c r="I216" i="2"/>
  <c r="H216" i="2"/>
  <c r="I215" i="2"/>
  <c r="H215" i="2"/>
  <c r="I214" i="2"/>
  <c r="H214" i="2"/>
  <c r="I213" i="2"/>
  <c r="H213" i="2"/>
  <c r="I212" i="2"/>
  <c r="H212" i="2"/>
  <c r="I211" i="2"/>
  <c r="H211" i="2"/>
  <c r="I210" i="2"/>
  <c r="H210" i="2"/>
  <c r="I209" i="2"/>
  <c r="H209" i="2"/>
  <c r="I208" i="2"/>
  <c r="H208" i="2"/>
  <c r="I207" i="2"/>
  <c r="H207" i="2"/>
  <c r="I206" i="2"/>
  <c r="H206" i="2"/>
  <c r="I205" i="2"/>
  <c r="H205" i="2"/>
  <c r="I204" i="2"/>
  <c r="H204" i="2"/>
  <c r="I203" i="2"/>
  <c r="H203" i="2"/>
  <c r="I202" i="2"/>
  <c r="H202" i="2"/>
  <c r="I201" i="2"/>
  <c r="H201" i="2"/>
  <c r="I200" i="2"/>
  <c r="H200" i="2"/>
  <c r="I199" i="2"/>
  <c r="H199" i="2"/>
  <c r="I198" i="2"/>
  <c r="H198" i="2"/>
  <c r="I197" i="2"/>
  <c r="H197" i="2"/>
  <c r="I196" i="2"/>
  <c r="H196" i="2"/>
  <c r="I195" i="2"/>
  <c r="H195" i="2"/>
  <c r="I194" i="2"/>
  <c r="H194" i="2"/>
  <c r="I193" i="2"/>
  <c r="H193" i="2"/>
  <c r="I192" i="2"/>
  <c r="H192" i="2"/>
  <c r="I191" i="2"/>
  <c r="H191" i="2"/>
  <c r="I190" i="2"/>
  <c r="H190" i="2"/>
  <c r="I189" i="2"/>
  <c r="H189" i="2"/>
  <c r="I188" i="2"/>
  <c r="H188" i="2"/>
  <c r="I187" i="2"/>
  <c r="H187" i="2"/>
  <c r="I186" i="2"/>
  <c r="H186" i="2"/>
  <c r="I185" i="2"/>
  <c r="H185" i="2"/>
  <c r="I184" i="2"/>
  <c r="H184" i="2"/>
  <c r="I183" i="2"/>
  <c r="H183" i="2"/>
  <c r="I182" i="2"/>
  <c r="H182" i="2"/>
  <c r="I181" i="2"/>
  <c r="H181" i="2"/>
  <c r="I180" i="2"/>
  <c r="H180" i="2"/>
  <c r="I179" i="2"/>
  <c r="H179" i="2"/>
  <c r="I178" i="2"/>
  <c r="H178" i="2"/>
  <c r="I177" i="2"/>
  <c r="H177" i="2"/>
  <c r="I176" i="2"/>
  <c r="H176" i="2"/>
  <c r="I175" i="2"/>
  <c r="H175" i="2"/>
  <c r="I174" i="2"/>
  <c r="H174" i="2"/>
  <c r="I173" i="2"/>
  <c r="H173" i="2"/>
  <c r="I172" i="2"/>
  <c r="H172" i="2"/>
  <c r="I171" i="2"/>
  <c r="H171" i="2"/>
  <c r="I170" i="2"/>
  <c r="H170" i="2"/>
  <c r="I169" i="2"/>
  <c r="H169" i="2"/>
  <c r="I168" i="2"/>
  <c r="H168" i="2"/>
  <c r="I167" i="2"/>
  <c r="H167" i="2"/>
  <c r="I166" i="2"/>
  <c r="H166" i="2"/>
  <c r="I165" i="2"/>
  <c r="H165" i="2"/>
  <c r="I164" i="2"/>
  <c r="H164" i="2"/>
  <c r="I163" i="2"/>
  <c r="H163" i="2"/>
  <c r="I162" i="2"/>
  <c r="H162" i="2"/>
  <c r="I161" i="2"/>
  <c r="H161" i="2"/>
  <c r="I160" i="2"/>
  <c r="H160" i="2"/>
  <c r="I159" i="2"/>
  <c r="H159" i="2"/>
  <c r="I158" i="2"/>
  <c r="H158" i="2"/>
  <c r="I157" i="2"/>
  <c r="H157" i="2"/>
  <c r="I156" i="2"/>
  <c r="H156" i="2"/>
  <c r="I155" i="2"/>
  <c r="H155" i="2"/>
  <c r="I154" i="2"/>
  <c r="H154" i="2"/>
  <c r="I153" i="2"/>
  <c r="H153" i="2"/>
  <c r="I152" i="2"/>
  <c r="H152" i="2"/>
  <c r="I151" i="2"/>
  <c r="H151" i="2"/>
  <c r="I150" i="2"/>
  <c r="H150" i="2"/>
  <c r="I149" i="2"/>
  <c r="H149" i="2"/>
  <c r="I148" i="2"/>
  <c r="H148" i="2"/>
  <c r="I147" i="2"/>
  <c r="H147" i="2"/>
  <c r="I146" i="2"/>
  <c r="H146" i="2"/>
  <c r="I145" i="2"/>
  <c r="H145" i="2"/>
  <c r="I144" i="2"/>
  <c r="H144" i="2"/>
  <c r="I143" i="2"/>
  <c r="H143" i="2"/>
  <c r="I142" i="2"/>
  <c r="H142" i="2"/>
  <c r="I141" i="2"/>
  <c r="H141" i="2"/>
  <c r="I140" i="2"/>
  <c r="H140" i="2"/>
  <c r="I139" i="2"/>
  <c r="H139" i="2"/>
  <c r="I138" i="2"/>
  <c r="H138" i="2"/>
  <c r="I137" i="2"/>
  <c r="H137" i="2"/>
  <c r="I136" i="2"/>
  <c r="H136" i="2"/>
  <c r="I135" i="2"/>
  <c r="H135" i="2"/>
  <c r="I134" i="2"/>
  <c r="H134" i="2"/>
  <c r="I133" i="2"/>
  <c r="H133" i="2"/>
  <c r="I132" i="2"/>
  <c r="H132" i="2"/>
  <c r="I131" i="2"/>
  <c r="H131" i="2"/>
  <c r="I130" i="2"/>
  <c r="H130" i="2"/>
  <c r="I129" i="2"/>
  <c r="H129" i="2"/>
  <c r="I128" i="2"/>
  <c r="H128" i="2"/>
  <c r="I127" i="2"/>
  <c r="H127" i="2"/>
  <c r="I126" i="2"/>
  <c r="H126" i="2"/>
  <c r="I125" i="2"/>
  <c r="H125" i="2"/>
  <c r="I124" i="2"/>
  <c r="H124" i="2"/>
  <c r="I123" i="2"/>
  <c r="H123" i="2"/>
  <c r="I122" i="2"/>
  <c r="H122" i="2"/>
  <c r="I121" i="2"/>
  <c r="H121" i="2"/>
  <c r="I120" i="2"/>
  <c r="H120" i="2"/>
  <c r="I119" i="2"/>
  <c r="H119" i="2"/>
  <c r="I118" i="2"/>
  <c r="H118" i="2"/>
  <c r="I117" i="2"/>
  <c r="H117" i="2"/>
  <c r="I116" i="2"/>
  <c r="H116" i="2"/>
  <c r="I115" i="2"/>
  <c r="H115" i="2"/>
  <c r="I114" i="2"/>
  <c r="H114" i="2"/>
  <c r="I113" i="2"/>
  <c r="H113" i="2"/>
  <c r="I112" i="2"/>
  <c r="H112" i="2"/>
  <c r="I111" i="2"/>
  <c r="H111" i="2"/>
  <c r="I110" i="2"/>
  <c r="H110" i="2"/>
  <c r="I109" i="2"/>
  <c r="H109" i="2"/>
  <c r="I108" i="2"/>
  <c r="H108" i="2"/>
  <c r="I107" i="2"/>
  <c r="H107" i="2"/>
  <c r="I106" i="2"/>
  <c r="H106" i="2"/>
  <c r="I105" i="2"/>
  <c r="H105" i="2"/>
  <c r="I104" i="2"/>
  <c r="H104" i="2"/>
  <c r="I103" i="2"/>
  <c r="H103" i="2"/>
  <c r="I102" i="2"/>
  <c r="H102" i="2"/>
  <c r="I101" i="2"/>
  <c r="H101" i="2"/>
  <c r="I100" i="2"/>
  <c r="H100" i="2"/>
  <c r="I99" i="2"/>
  <c r="H99" i="2"/>
  <c r="I98" i="2"/>
  <c r="H98" i="2"/>
  <c r="I97" i="2"/>
  <c r="H97" i="2"/>
  <c r="I96" i="2"/>
  <c r="H96" i="2"/>
  <c r="I95" i="2"/>
  <c r="H95" i="2"/>
  <c r="I94" i="2"/>
  <c r="H94" i="2"/>
  <c r="I93" i="2"/>
  <c r="H93" i="2"/>
  <c r="I92" i="2"/>
  <c r="H92" i="2"/>
  <c r="I91" i="2"/>
  <c r="H91" i="2"/>
  <c r="I90" i="2"/>
  <c r="H90" i="2"/>
  <c r="I89" i="2"/>
  <c r="H89" i="2"/>
  <c r="I88" i="2"/>
  <c r="H88" i="2"/>
  <c r="I87" i="2"/>
  <c r="H87" i="2"/>
  <c r="I86" i="2"/>
  <c r="H86" i="2"/>
  <c r="I85" i="2"/>
  <c r="H85" i="2"/>
  <c r="I84" i="2"/>
  <c r="H84" i="2"/>
  <c r="I83" i="2"/>
  <c r="H83" i="2"/>
  <c r="I82" i="2"/>
  <c r="H82" i="2"/>
  <c r="I81" i="2"/>
  <c r="H81" i="2"/>
  <c r="I80" i="2"/>
  <c r="H80" i="2"/>
  <c r="I79" i="2"/>
  <c r="H79" i="2"/>
  <c r="I78" i="2"/>
  <c r="H78" i="2"/>
  <c r="I77" i="2"/>
  <c r="H77" i="2"/>
  <c r="I76" i="2"/>
  <c r="H76" i="2"/>
  <c r="I75" i="2"/>
  <c r="H75" i="2"/>
  <c r="I74" i="2"/>
  <c r="H74" i="2"/>
  <c r="I73" i="2"/>
  <c r="H73" i="2"/>
  <c r="I72" i="2"/>
  <c r="H72" i="2"/>
  <c r="I71" i="2"/>
  <c r="H71" i="2"/>
  <c r="I70" i="2"/>
  <c r="H70" i="2"/>
  <c r="I69" i="2"/>
  <c r="H69" i="2"/>
  <c r="I68" i="2"/>
  <c r="H68" i="2"/>
  <c r="I67" i="2"/>
  <c r="H67" i="2"/>
  <c r="I66" i="2"/>
  <c r="H66" i="2"/>
  <c r="I65" i="2"/>
  <c r="H65" i="2"/>
  <c r="I64" i="2"/>
  <c r="H64" i="2"/>
  <c r="I63" i="2"/>
  <c r="H63" i="2"/>
  <c r="I62" i="2"/>
  <c r="H62" i="2"/>
  <c r="I61" i="2"/>
  <c r="H61" i="2"/>
  <c r="I60" i="2"/>
  <c r="H60" i="2"/>
  <c r="I59" i="2"/>
  <c r="H59" i="2"/>
  <c r="I58" i="2"/>
  <c r="H58" i="2"/>
  <c r="I57" i="2"/>
  <c r="H57" i="2"/>
  <c r="I56" i="2"/>
  <c r="H56" i="2"/>
  <c r="I55" i="2"/>
  <c r="H55" i="2"/>
  <c r="I54" i="2"/>
  <c r="H54" i="2"/>
  <c r="I53" i="2"/>
  <c r="H53" i="2"/>
  <c r="I52" i="2"/>
  <c r="H52" i="2"/>
  <c r="I51" i="2"/>
  <c r="H51" i="2"/>
  <c r="I50" i="2"/>
  <c r="H50" i="2"/>
  <c r="I49" i="2"/>
  <c r="H49" i="2"/>
  <c r="I48" i="2"/>
  <c r="H48" i="2"/>
  <c r="I47" i="2"/>
  <c r="H47" i="2"/>
  <c r="I46" i="2"/>
  <c r="H46" i="2"/>
  <c r="I45" i="2"/>
  <c r="H45" i="2"/>
  <c r="I44" i="2"/>
  <c r="H44" i="2"/>
  <c r="I43" i="2"/>
  <c r="H43" i="2"/>
  <c r="I42" i="2"/>
  <c r="H42" i="2"/>
  <c r="I41" i="2"/>
  <c r="H41" i="2"/>
  <c r="I40" i="2"/>
  <c r="H40" i="2"/>
  <c r="I39" i="2"/>
  <c r="H39" i="2"/>
  <c r="I38" i="2"/>
  <c r="H38" i="2"/>
  <c r="I37" i="2"/>
  <c r="H37" i="2"/>
  <c r="I36" i="2"/>
  <c r="H36" i="2"/>
  <c r="I35" i="2"/>
  <c r="H35" i="2"/>
  <c r="I34" i="2"/>
  <c r="H34" i="2"/>
  <c r="I33" i="2"/>
  <c r="H33" i="2"/>
  <c r="I32" i="2"/>
  <c r="H32" i="2"/>
  <c r="I31" i="2"/>
  <c r="H31" i="2"/>
  <c r="I30" i="2"/>
  <c r="H30" i="2"/>
  <c r="I29" i="2"/>
  <c r="H29" i="2"/>
  <c r="I28" i="2"/>
  <c r="H28" i="2"/>
  <c r="I27" i="2"/>
  <c r="H27" i="2"/>
  <c r="I26" i="2"/>
  <c r="H26" i="2"/>
  <c r="I25" i="2"/>
  <c r="H25" i="2"/>
  <c r="I24" i="2"/>
  <c r="H24" i="2"/>
  <c r="I23" i="2"/>
  <c r="H23" i="2"/>
  <c r="I22" i="2"/>
  <c r="H22" i="2"/>
  <c r="I21" i="2"/>
  <c r="H21" i="2"/>
  <c r="I20" i="2"/>
  <c r="H20" i="2"/>
  <c r="I19" i="2"/>
  <c r="H19" i="2"/>
  <c r="I18" i="2"/>
  <c r="H18" i="2"/>
  <c r="I17" i="2"/>
  <c r="H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I1" i="2" l="1"/>
  <c r="A229" i="6"/>
  <c r="A231" i="6"/>
  <c r="H1" i="2"/>
  <c r="A228" i="6"/>
  <c r="A227" i="6"/>
  <c r="A226" i="6"/>
  <c r="A218" i="6"/>
  <c r="A219" i="6"/>
  <c r="A225" i="6"/>
  <c r="A224" i="6"/>
  <c r="A223" i="6"/>
  <c r="A222" i="6"/>
  <c r="A221" i="6"/>
  <c r="A220" i="6"/>
  <c r="B448" i="4"/>
  <c r="B275" i="4"/>
  <c r="B273" i="4"/>
  <c r="B269" i="4"/>
  <c r="B260" i="4"/>
  <c r="B259" i="4"/>
  <c r="B254" i="4"/>
  <c r="B250" i="4"/>
  <c r="B246" i="4"/>
  <c r="B245" i="4"/>
  <c r="B244" i="4"/>
  <c r="B237" i="4"/>
  <c r="B231" i="4"/>
  <c r="B230" i="4"/>
  <c r="B220" i="4"/>
  <c r="B217" i="4"/>
  <c r="B214" i="4"/>
  <c r="B205" i="4"/>
  <c r="B194" i="4"/>
  <c r="B193" i="4"/>
  <c r="B190" i="4"/>
  <c r="B189" i="4"/>
  <c r="B187" i="4"/>
  <c r="B181" i="4"/>
  <c r="B175" i="4"/>
  <c r="B171" i="4"/>
  <c r="B169" i="4"/>
  <c r="B165" i="4"/>
  <c r="B89" i="4"/>
  <c r="B499" i="4"/>
  <c r="B494" i="4"/>
  <c r="B490" i="4"/>
  <c r="B487" i="4"/>
  <c r="B484" i="4"/>
  <c r="B477" i="4"/>
  <c r="B473" i="4"/>
  <c r="B468" i="4"/>
  <c r="B463" i="4"/>
  <c r="B460" i="4"/>
  <c r="B457" i="4"/>
  <c r="B455" i="4"/>
  <c r="B452" i="4"/>
  <c r="B449" i="4"/>
  <c r="B447" i="4"/>
  <c r="B431" i="4"/>
  <c r="B428" i="4"/>
  <c r="B424" i="4"/>
  <c r="B279" i="4"/>
  <c r="B274" i="4"/>
  <c r="B270" i="4"/>
  <c r="B267" i="4"/>
  <c r="B265" i="4"/>
  <c r="B263" i="4"/>
  <c r="B256" i="4"/>
  <c r="B248" i="4"/>
  <c r="B243" i="4"/>
  <c r="B241" i="4"/>
  <c r="B235" i="4"/>
  <c r="B233" i="4"/>
  <c r="B221" i="4"/>
  <c r="B216" i="4"/>
  <c r="B215" i="4"/>
  <c r="B213" i="4"/>
  <c r="B209" i="4"/>
  <c r="B208" i="4"/>
  <c r="B206" i="4"/>
  <c r="B204" i="4"/>
  <c r="B202" i="4"/>
  <c r="B198" i="4"/>
  <c r="B192" i="4"/>
  <c r="B188" i="4"/>
  <c r="B182" i="4"/>
  <c r="B180" i="4"/>
  <c r="B179" i="4"/>
  <c r="B178" i="4"/>
  <c r="B176" i="4"/>
  <c r="B173" i="4"/>
  <c r="B167" i="4"/>
  <c r="B166" i="4"/>
  <c r="B90" i="4"/>
  <c r="B85" i="4"/>
  <c r="B517" i="4"/>
  <c r="B515" i="4"/>
  <c r="B513" i="4"/>
  <c r="B512" i="4"/>
  <c r="B509" i="4"/>
  <c r="B507" i="4"/>
  <c r="B504" i="4"/>
  <c r="B502" i="4"/>
  <c r="B500" i="4"/>
  <c r="B497" i="4"/>
  <c r="B495" i="4"/>
  <c r="B491" i="4"/>
  <c r="B488" i="4"/>
  <c r="B485" i="4"/>
  <c r="B483" i="4"/>
  <c r="B481" i="4"/>
  <c r="B478" i="4"/>
  <c r="B472" i="4"/>
  <c r="B466" i="4"/>
  <c r="B464" i="4"/>
  <c r="B461" i="4"/>
  <c r="B459" i="4"/>
  <c r="B454" i="4"/>
  <c r="B451" i="4"/>
  <c r="B433" i="4"/>
  <c r="B426" i="4"/>
  <c r="B277" i="4"/>
  <c r="B272" i="4"/>
  <c r="B266" i="4"/>
  <c r="B262" i="4"/>
  <c r="B258" i="4"/>
  <c r="B252" i="4"/>
  <c r="B239" i="4"/>
  <c r="B236" i="4"/>
  <c r="B227" i="4"/>
  <c r="B223" i="4"/>
  <c r="B212" i="4"/>
  <c r="B201" i="4"/>
  <c r="B197" i="4"/>
  <c r="B186" i="4"/>
  <c r="B172" i="4"/>
  <c r="B168" i="4"/>
  <c r="B92" i="4"/>
  <c r="B518" i="4"/>
  <c r="B516" i="4"/>
  <c r="B514" i="4"/>
  <c r="B511" i="4"/>
  <c r="B510" i="4"/>
  <c r="B508" i="4"/>
  <c r="B506" i="4"/>
  <c r="B503" i="4"/>
  <c r="B501" i="4"/>
  <c r="B498" i="4"/>
  <c r="B496" i="4"/>
  <c r="B493" i="4"/>
  <c r="B489" i="4"/>
  <c r="B486" i="4"/>
  <c r="B482" i="4"/>
  <c r="B479" i="4"/>
  <c r="B476" i="4"/>
  <c r="B474" i="4"/>
  <c r="B471" i="4"/>
  <c r="B469" i="4"/>
  <c r="B462" i="4"/>
  <c r="B458" i="4"/>
  <c r="B453" i="4"/>
  <c r="B450" i="4"/>
  <c r="B446" i="4"/>
  <c r="B432" i="4"/>
  <c r="B429" i="4"/>
  <c r="B427" i="4"/>
  <c r="B278" i="4"/>
  <c r="B271" i="4"/>
  <c r="B268" i="4"/>
  <c r="B261" i="4"/>
  <c r="B257" i="4"/>
  <c r="B255" i="4"/>
  <c r="B253" i="4"/>
  <c r="B249" i="4"/>
  <c r="B247" i="4"/>
  <c r="B242" i="4"/>
  <c r="B238" i="4"/>
  <c r="B229" i="4"/>
  <c r="B228" i="4"/>
  <c r="B222" i="4"/>
  <c r="B218" i="4"/>
  <c r="B207" i="4"/>
  <c r="B203" i="4"/>
  <c r="B199" i="4"/>
  <c r="B195" i="4"/>
  <c r="B183" i="4"/>
  <c r="B170" i="4"/>
  <c r="B87" i="4"/>
  <c r="B84" i="4"/>
  <c r="B505" i="4"/>
  <c r="B480" i="4"/>
  <c r="B470" i="4"/>
  <c r="B465" i="4"/>
  <c r="B456" i="4"/>
  <c r="B234" i="4"/>
  <c r="B225" i="4"/>
  <c r="B211" i="4"/>
  <c r="B191" i="4"/>
  <c r="B185" i="4"/>
  <c r="B492" i="4"/>
  <c r="B475" i="4"/>
  <c r="B467" i="4"/>
  <c r="B240" i="4"/>
  <c r="B210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0" i="4"/>
  <c r="B425" i="4"/>
  <c r="B226" i="4"/>
  <c r="B224" i="4"/>
  <c r="B196" i="4"/>
  <c r="B174" i="4"/>
  <c r="B283" i="4"/>
  <c r="B282" i="4"/>
  <c r="B281" i="4"/>
  <c r="B280" i="4"/>
  <c r="B276" i="4"/>
  <c r="B264" i="4"/>
  <c r="B232" i="4"/>
  <c r="B219" i="4"/>
  <c r="B200" i="4"/>
  <c r="B184" i="4"/>
  <c r="B177" i="4"/>
  <c r="B91" i="4"/>
  <c r="B86" i="4"/>
  <c r="B5" i="8"/>
  <c r="B4" i="8"/>
  <c r="B3" i="8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A70" i="6"/>
  <c r="A69" i="6"/>
  <c r="A66" i="6"/>
  <c r="A65" i="6"/>
  <c r="A63" i="6"/>
  <c r="A61" i="6"/>
  <c r="A56" i="6"/>
  <c r="A53" i="6"/>
  <c r="A51" i="6"/>
  <c r="A49" i="6"/>
  <c r="A47" i="6"/>
  <c r="A163" i="6"/>
  <c r="A45" i="6"/>
  <c r="A32" i="6"/>
  <c r="A31" i="6"/>
  <c r="A26" i="6"/>
  <c r="A25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24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4" i="6"/>
  <c r="A103" i="6"/>
  <c r="A102" i="6"/>
  <c r="A99" i="6"/>
  <c r="A97" i="6"/>
  <c r="A95" i="6"/>
  <c r="A94" i="6"/>
  <c r="A92" i="6"/>
  <c r="A90" i="6"/>
  <c r="A88" i="6"/>
  <c r="A86" i="6"/>
  <c r="A83" i="6"/>
  <c r="A81" i="6"/>
  <c r="A79" i="6"/>
  <c r="A77" i="6"/>
  <c r="A75" i="6"/>
  <c r="A73" i="6"/>
  <c r="A71" i="6"/>
  <c r="A68" i="6"/>
  <c r="A67" i="6"/>
  <c r="A64" i="6"/>
  <c r="A62" i="6"/>
  <c r="A60" i="6"/>
  <c r="A59" i="6"/>
  <c r="A57" i="6"/>
  <c r="A55" i="6"/>
  <c r="A54" i="6"/>
  <c r="A52" i="6"/>
  <c r="A50" i="6"/>
  <c r="A48" i="6"/>
  <c r="A46" i="6"/>
  <c r="A34" i="6"/>
  <c r="A30" i="6"/>
  <c r="A27" i="6"/>
  <c r="A22" i="6"/>
  <c r="A14" i="6"/>
  <c r="A12" i="6"/>
  <c r="A11" i="6"/>
  <c r="A10" i="6"/>
  <c r="A9" i="6"/>
  <c r="A7" i="6"/>
  <c r="A3" i="6"/>
  <c r="A21" i="6"/>
  <c r="A20" i="6"/>
  <c r="A19" i="6"/>
  <c r="A17" i="6"/>
  <c r="A16" i="6"/>
  <c r="A15" i="6"/>
  <c r="A8" i="6"/>
  <c r="A4" i="6"/>
  <c r="A44" i="6"/>
  <c r="A43" i="6"/>
  <c r="A42" i="6"/>
  <c r="A41" i="6"/>
  <c r="A40" i="6"/>
  <c r="A39" i="6"/>
  <c r="A38" i="6"/>
  <c r="A37" i="6"/>
  <c r="A36" i="6"/>
  <c r="A35" i="6"/>
  <c r="A33" i="6"/>
  <c r="A29" i="6"/>
  <c r="A28" i="6"/>
  <c r="A23" i="6"/>
  <c r="A18" i="6"/>
  <c r="A13" i="6"/>
  <c r="A6" i="6"/>
  <c r="A5" i="6"/>
  <c r="A58" i="6"/>
  <c r="A130" i="6"/>
  <c r="A107" i="6"/>
  <c r="A106" i="6"/>
  <c r="A105" i="6"/>
  <c r="A101" i="6"/>
  <c r="A100" i="6"/>
  <c r="A98" i="6"/>
  <c r="A96" i="6"/>
  <c r="A93" i="6"/>
  <c r="A91" i="6"/>
  <c r="A89" i="6"/>
  <c r="A87" i="6"/>
  <c r="A85" i="6"/>
  <c r="A84" i="6"/>
  <c r="A82" i="6"/>
  <c r="A80" i="6"/>
  <c r="A78" i="6"/>
  <c r="A76" i="6"/>
  <c r="A74" i="6"/>
  <c r="A72" i="6"/>
  <c r="B102" i="5"/>
  <c r="B101" i="5"/>
  <c r="B98" i="5"/>
  <c r="B97" i="5"/>
  <c r="B96" i="5"/>
  <c r="B93" i="5"/>
  <c r="B92" i="5"/>
  <c r="B89" i="5"/>
  <c r="B83" i="5"/>
  <c r="B80" i="5"/>
  <c r="B71" i="5"/>
  <c r="B69" i="5"/>
  <c r="B31" i="5"/>
  <c r="B30" i="5"/>
  <c r="B25" i="5"/>
  <c r="B23" i="5"/>
  <c r="B22" i="5"/>
  <c r="B21" i="5"/>
  <c r="B20" i="5"/>
  <c r="B16" i="5"/>
  <c r="B15" i="5"/>
  <c r="B14" i="5"/>
  <c r="B13" i="5"/>
  <c r="B9" i="5"/>
  <c r="B8" i="5"/>
  <c r="B7" i="5"/>
  <c r="B3" i="5"/>
  <c r="B37" i="5"/>
  <c r="B35" i="5"/>
  <c r="B48" i="5"/>
  <c r="B34" i="5"/>
  <c r="B47" i="5"/>
  <c r="B41" i="5"/>
  <c r="B33" i="5"/>
  <c r="B40" i="5"/>
  <c r="B27" i="5"/>
  <c r="B39" i="5"/>
  <c r="B32" i="5"/>
  <c r="B26" i="5"/>
  <c r="B17" i="5"/>
  <c r="B12" i="5"/>
  <c r="B19" i="5"/>
  <c r="B113" i="5"/>
  <c r="B109" i="5"/>
  <c r="B6" i="5"/>
  <c r="B104" i="5"/>
  <c r="B99" i="5"/>
  <c r="B112" i="5"/>
  <c r="B110" i="5"/>
  <c r="B108" i="5"/>
  <c r="B90" i="5"/>
  <c r="B107" i="5"/>
  <c r="B86" i="5"/>
  <c r="B100" i="5"/>
  <c r="B82" i="5"/>
  <c r="B81" i="5"/>
  <c r="B51" i="5"/>
  <c r="B95" i="5"/>
  <c r="B77" i="5"/>
  <c r="B94" i="5"/>
  <c r="B88" i="5"/>
  <c r="B52" i="5"/>
  <c r="B87" i="5"/>
  <c r="B85" i="5"/>
  <c r="B73" i="5"/>
  <c r="B84" i="5"/>
  <c r="B53" i="5"/>
  <c r="B54" i="5"/>
  <c r="B79" i="5"/>
  <c r="B70" i="5"/>
  <c r="B78" i="5"/>
  <c r="B76" i="5"/>
  <c r="B57" i="5"/>
  <c r="B75" i="5"/>
  <c r="B59" i="5"/>
  <c r="B74" i="5"/>
  <c r="B72" i="5"/>
  <c r="B61" i="5"/>
  <c r="B68" i="5"/>
  <c r="B58" i="5"/>
  <c r="B56" i="5"/>
  <c r="B5" i="5"/>
  <c r="B55" i="5"/>
  <c r="B4" i="5"/>
  <c r="B50" i="5"/>
  <c r="B67" i="5"/>
  <c r="B49" i="5"/>
  <c r="B66" i="5"/>
  <c r="B46" i="5"/>
  <c r="B65" i="5"/>
  <c r="B45" i="5"/>
  <c r="B64" i="5"/>
  <c r="B44" i="5"/>
  <c r="B38" i="5"/>
  <c r="B43" i="5"/>
  <c r="B63" i="5"/>
  <c r="B42" i="5"/>
  <c r="B36" i="5"/>
  <c r="B62" i="5"/>
  <c r="B60" i="5"/>
  <c r="B29" i="5"/>
  <c r="B91" i="5"/>
  <c r="B28" i="5"/>
  <c r="B111" i="5"/>
  <c r="B106" i="5"/>
  <c r="B24" i="5"/>
  <c r="B18" i="5"/>
  <c r="B105" i="5"/>
  <c r="B103" i="5"/>
  <c r="B11" i="5"/>
  <c r="B10" i="5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51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J221" i="2"/>
  <c r="BF221" i="2" s="1"/>
  <c r="J220" i="2"/>
  <c r="BF220" i="2" s="1"/>
  <c r="J216" i="2"/>
  <c r="BF216" i="2" s="1"/>
  <c r="J207" i="2"/>
  <c r="BF207" i="2" s="1"/>
  <c r="J198" i="2"/>
  <c r="BF198" i="2" s="1"/>
  <c r="J197" i="2"/>
  <c r="BF197" i="2" s="1"/>
  <c r="J196" i="2"/>
  <c r="BF196" i="2" s="1"/>
  <c r="J195" i="2"/>
  <c r="BF195" i="2" s="1"/>
  <c r="J193" i="2"/>
  <c r="BF193" i="2" s="1"/>
  <c r="J188" i="2"/>
  <c r="BF188" i="2" s="1"/>
  <c r="J186" i="2"/>
  <c r="BF186" i="2" s="1"/>
  <c r="J185" i="2"/>
  <c r="BF185" i="2" s="1"/>
  <c r="J175" i="2"/>
  <c r="BF175" i="2" s="1"/>
  <c r="J174" i="2"/>
  <c r="BF174" i="2" s="1"/>
  <c r="J164" i="2"/>
  <c r="BF164" i="2" s="1"/>
  <c r="J118" i="2"/>
  <c r="BF118" i="2" s="1"/>
  <c r="J116" i="2"/>
  <c r="BF116" i="2" s="1"/>
  <c r="J111" i="2"/>
  <c r="BF111" i="2" s="1"/>
  <c r="J106" i="2"/>
  <c r="BF106" i="2" s="1"/>
  <c r="J104" i="2"/>
  <c r="BF104" i="2" s="1"/>
  <c r="J98" i="2"/>
  <c r="BF98" i="2" s="1"/>
  <c r="J93" i="2"/>
  <c r="BF93" i="2" s="1"/>
  <c r="J91" i="2"/>
  <c r="BF91" i="2" s="1"/>
  <c r="J89" i="2"/>
  <c r="BF89" i="2" s="1"/>
  <c r="J88" i="2"/>
  <c r="BF88" i="2" s="1"/>
  <c r="J86" i="2"/>
  <c r="BF86" i="2" s="1"/>
  <c r="J81" i="2"/>
  <c r="BF81" i="2" s="1"/>
  <c r="J58" i="2"/>
  <c r="BF58" i="2" s="1"/>
  <c r="J48" i="2"/>
  <c r="BF48" i="2" s="1"/>
  <c r="J46" i="2"/>
  <c r="BF46" i="2" s="1"/>
  <c r="J39" i="2"/>
  <c r="BF39" i="2" s="1"/>
  <c r="J33" i="2"/>
  <c r="BF33" i="2" s="1"/>
  <c r="J12" i="2"/>
  <c r="BF12" i="2" s="1"/>
  <c r="J6" i="2"/>
  <c r="J169" i="2"/>
  <c r="BF169" i="2" s="1"/>
  <c r="J168" i="2"/>
  <c r="BF168" i="2" s="1"/>
  <c r="J160" i="2"/>
  <c r="BF160" i="2" s="1"/>
  <c r="J154" i="2"/>
  <c r="BF154" i="2" s="1"/>
  <c r="J146" i="2"/>
  <c r="BF146" i="2" s="1"/>
  <c r="J145" i="2"/>
  <c r="BF145" i="2" s="1"/>
  <c r="J144" i="2"/>
  <c r="BF144" i="2" s="1"/>
  <c r="J138" i="2"/>
  <c r="BF138" i="2" s="1"/>
  <c r="J137" i="2"/>
  <c r="BF137" i="2" s="1"/>
  <c r="J128" i="2"/>
  <c r="BF128" i="2" s="1"/>
  <c r="J127" i="2"/>
  <c r="BF127" i="2" s="1"/>
  <c r="J126" i="2"/>
  <c r="BF126" i="2" s="1"/>
  <c r="J121" i="2"/>
  <c r="BF121" i="2" s="1"/>
  <c r="J119" i="2"/>
  <c r="BF119" i="2" s="1"/>
  <c r="J113" i="2"/>
  <c r="BF113" i="2" s="1"/>
  <c r="J112" i="2"/>
  <c r="BF112" i="2" s="1"/>
  <c r="J103" i="2"/>
  <c r="BF103" i="2" s="1"/>
  <c r="J96" i="2"/>
  <c r="BF96" i="2" s="1"/>
  <c r="J90" i="2"/>
  <c r="BF90" i="2" s="1"/>
  <c r="J85" i="2"/>
  <c r="BF85" i="2" s="1"/>
  <c r="J55" i="2"/>
  <c r="BF55" i="2" s="1"/>
  <c r="J53" i="2"/>
  <c r="BF53" i="2" s="1"/>
  <c r="J52" i="2"/>
  <c r="BF52" i="2" s="1"/>
  <c r="J51" i="2"/>
  <c r="BF51" i="2" s="1"/>
  <c r="J49" i="2"/>
  <c r="BF49" i="2" s="1"/>
  <c r="J47" i="2"/>
  <c r="BF47" i="2" s="1"/>
  <c r="J45" i="2"/>
  <c r="BF45" i="2" s="1"/>
  <c r="J43" i="2"/>
  <c r="BF43" i="2" s="1"/>
  <c r="J34" i="2"/>
  <c r="BF34" i="2" s="1"/>
  <c r="J324" i="2"/>
  <c r="BF324" i="2" s="1"/>
  <c r="J320" i="2"/>
  <c r="BF320" i="2" s="1"/>
  <c r="J301" i="2"/>
  <c r="BF301" i="2" s="1"/>
  <c r="J294" i="2"/>
  <c r="BF294" i="2" s="1"/>
  <c r="J293" i="2"/>
  <c r="BF293" i="2" s="1"/>
  <c r="J291" i="2"/>
  <c r="BF291" i="2" s="1"/>
  <c r="J290" i="2"/>
  <c r="BF290" i="2" s="1"/>
  <c r="J289" i="2"/>
  <c r="BF289" i="2" s="1"/>
  <c r="J283" i="2"/>
  <c r="BF283" i="2" s="1"/>
  <c r="J281" i="2"/>
  <c r="BF281" i="2" s="1"/>
  <c r="J280" i="2"/>
  <c r="BF280" i="2" s="1"/>
  <c r="J279" i="2"/>
  <c r="BF279" i="2" s="1"/>
  <c r="J278" i="2"/>
  <c r="BF278" i="2" s="1"/>
  <c r="J254" i="2"/>
  <c r="BF254" i="2" s="1"/>
  <c r="J252" i="2"/>
  <c r="BF252" i="2" s="1"/>
  <c r="J247" i="2"/>
  <c r="BF247" i="2" s="1"/>
  <c r="J208" i="2"/>
  <c r="BF208" i="2" s="1"/>
  <c r="J202" i="2"/>
  <c r="BF202" i="2" s="1"/>
  <c r="J189" i="2"/>
  <c r="BF189" i="2" s="1"/>
  <c r="J176" i="2"/>
  <c r="BF176" i="2" s="1"/>
  <c r="J171" i="2"/>
  <c r="BF171" i="2" s="1"/>
  <c r="J170" i="2"/>
  <c r="BF170" i="2" s="1"/>
  <c r="J436" i="2"/>
  <c r="BF436" i="2" s="1"/>
  <c r="J435" i="2"/>
  <c r="BF435" i="2" s="1"/>
  <c r="J423" i="2"/>
  <c r="BF423" i="2" s="1"/>
  <c r="J417" i="2"/>
  <c r="BF417" i="2" s="1"/>
  <c r="J407" i="2"/>
  <c r="BF407" i="2" s="1"/>
  <c r="J406" i="2"/>
  <c r="BF406" i="2" s="1"/>
  <c r="J393" i="2"/>
  <c r="BF393" i="2" s="1"/>
  <c r="J392" i="2"/>
  <c r="BF392" i="2" s="1"/>
  <c r="J373" i="2"/>
  <c r="BF373" i="2" s="1"/>
  <c r="J370" i="2"/>
  <c r="BF370" i="2" s="1"/>
  <c r="J369" i="2"/>
  <c r="BF369" i="2" s="1"/>
  <c r="J352" i="2"/>
  <c r="BF352" i="2" s="1"/>
  <c r="J348" i="2"/>
  <c r="BF348" i="2" s="1"/>
  <c r="J334" i="2"/>
  <c r="BF334" i="2" s="1"/>
  <c r="J323" i="2"/>
  <c r="BF323" i="2" s="1"/>
  <c r="J318" i="2"/>
  <c r="BF318" i="2" s="1"/>
  <c r="J299" i="2"/>
  <c r="BF299" i="2" s="1"/>
  <c r="J298" i="2"/>
  <c r="BF298" i="2" s="1"/>
  <c r="J292" i="2"/>
  <c r="BF292" i="2" s="1"/>
  <c r="J277" i="2"/>
  <c r="BF277" i="2" s="1"/>
  <c r="J271" i="2"/>
  <c r="BF271" i="2" s="1"/>
  <c r="J269" i="2"/>
  <c r="BF269" i="2" s="1"/>
  <c r="J251" i="2"/>
  <c r="BF251" i="2" s="1"/>
  <c r="J250" i="2"/>
  <c r="BF250" i="2" s="1"/>
  <c r="J246" i="2"/>
  <c r="BF246" i="2" s="1"/>
  <c r="J227" i="2"/>
  <c r="BF227" i="2" s="1"/>
  <c r="J224" i="2"/>
  <c r="BF224" i="2" s="1"/>
  <c r="J223" i="2"/>
  <c r="BF223" i="2" s="1"/>
  <c r="J222" i="2"/>
  <c r="BF222" i="2" s="1"/>
  <c r="J439" i="2"/>
  <c r="BF439" i="2" s="1"/>
  <c r="J438" i="2"/>
  <c r="BF438" i="2" s="1"/>
  <c r="J437" i="2"/>
  <c r="BF437" i="2" s="1"/>
  <c r="J432" i="2"/>
  <c r="BF432" i="2" s="1"/>
  <c r="J429" i="2"/>
  <c r="BF429" i="2" s="1"/>
  <c r="J421" i="2"/>
  <c r="BF421" i="2" s="1"/>
  <c r="J408" i="2"/>
  <c r="BF408" i="2" s="1"/>
  <c r="J404" i="2"/>
  <c r="BF404" i="2" s="1"/>
  <c r="J403" i="2"/>
  <c r="BF403" i="2" s="1"/>
  <c r="J394" i="2"/>
  <c r="BF394" i="2" s="1"/>
  <c r="J380" i="2"/>
  <c r="BF380" i="2" s="1"/>
  <c r="J361" i="2"/>
  <c r="BF361" i="2" s="1"/>
  <c r="J360" i="2"/>
  <c r="BF360" i="2" s="1"/>
  <c r="J356" i="2"/>
  <c r="BF356" i="2" s="1"/>
  <c r="J351" i="2"/>
  <c r="BF351" i="2" s="1"/>
  <c r="J346" i="2"/>
  <c r="BF346" i="2" s="1"/>
  <c r="J342" i="2"/>
  <c r="BF342" i="2" s="1"/>
  <c r="J341" i="2"/>
  <c r="BF341" i="2" s="1"/>
  <c r="J340" i="2"/>
  <c r="BF340" i="2" s="1"/>
  <c r="J336" i="2"/>
  <c r="BF336" i="2" s="1"/>
  <c r="J331" i="2"/>
  <c r="BF331" i="2" s="1"/>
  <c r="J330" i="2"/>
  <c r="BF330" i="2" s="1"/>
  <c r="J329" i="2"/>
  <c r="BF329" i="2" s="1"/>
  <c r="J325" i="2"/>
  <c r="BF325" i="2" s="1"/>
  <c r="J321" i="2"/>
  <c r="BF321" i="2" s="1"/>
  <c r="J319" i="2"/>
  <c r="BF319" i="2" s="1"/>
  <c r="J313" i="2"/>
  <c r="BF313" i="2" s="1"/>
  <c r="J312" i="2"/>
  <c r="BF312" i="2" s="1"/>
  <c r="J307" i="2"/>
  <c r="BF307" i="2" s="1"/>
  <c r="J305" i="2"/>
  <c r="BF305" i="2" s="1"/>
  <c r="J304" i="2"/>
  <c r="BF304" i="2" s="1"/>
  <c r="J296" i="2"/>
  <c r="BF296" i="2" s="1"/>
  <c r="J295" i="2"/>
  <c r="BF295" i="2" s="1"/>
  <c r="J285" i="2"/>
  <c r="BF285" i="2" s="1"/>
  <c r="J284" i="2"/>
  <c r="BF284" i="2" s="1"/>
  <c r="J276" i="2"/>
  <c r="BF276" i="2" s="1"/>
  <c r="J274" i="2"/>
  <c r="BF274" i="2" s="1"/>
  <c r="J272" i="2"/>
  <c r="BF272" i="2" s="1"/>
  <c r="J263" i="2"/>
  <c r="BF263" i="2" s="1"/>
  <c r="J261" i="2"/>
  <c r="BF261" i="2" s="1"/>
  <c r="J260" i="2"/>
  <c r="BF260" i="2" s="1"/>
  <c r="J259" i="2"/>
  <c r="BF259" i="2" s="1"/>
  <c r="J258" i="2"/>
  <c r="BF258" i="2" s="1"/>
  <c r="J257" i="2"/>
  <c r="BF257" i="2" s="1"/>
  <c r="J256" i="2"/>
  <c r="BF256" i="2" s="1"/>
  <c r="J255" i="2"/>
  <c r="BF255" i="2" s="1"/>
  <c r="J245" i="2"/>
  <c r="BF245" i="2" s="1"/>
  <c r="J243" i="2"/>
  <c r="BF243" i="2" s="1"/>
  <c r="J242" i="2"/>
  <c r="BF242" i="2" s="1"/>
  <c r="J241" i="2"/>
  <c r="BF241" i="2" s="1"/>
  <c r="J120" i="2"/>
  <c r="BF120" i="2" s="1"/>
  <c r="J82" i="2"/>
  <c r="BF82" i="2" s="1"/>
  <c r="J42" i="2"/>
  <c r="BF42" i="2" s="1"/>
  <c r="J37" i="2"/>
  <c r="BF37" i="2" s="1"/>
  <c r="J450" i="2"/>
  <c r="BF450" i="2" s="1"/>
  <c r="J440" i="2"/>
  <c r="BF440" i="2" s="1"/>
  <c r="J434" i="2"/>
  <c r="BF434" i="2" s="1"/>
  <c r="J426" i="2"/>
  <c r="BF426" i="2" s="1"/>
  <c r="J425" i="2"/>
  <c r="BF425" i="2" s="1"/>
  <c r="J424" i="2"/>
  <c r="BF424" i="2" s="1"/>
  <c r="J399" i="2"/>
  <c r="BF399" i="2" s="1"/>
  <c r="J395" i="2"/>
  <c r="BF395" i="2" s="1"/>
  <c r="J382" i="2"/>
  <c r="BF382" i="2" s="1"/>
  <c r="J375" i="2"/>
  <c r="BF375" i="2" s="1"/>
  <c r="J372" i="2"/>
  <c r="BF372" i="2" s="1"/>
  <c r="J366" i="2"/>
  <c r="BF366" i="2" s="1"/>
  <c r="J363" i="2"/>
  <c r="BF363" i="2" s="1"/>
  <c r="J347" i="2"/>
  <c r="BF347" i="2" s="1"/>
  <c r="J345" i="2"/>
  <c r="BF345" i="2" s="1"/>
  <c r="J337" i="2"/>
  <c r="BF337" i="2" s="1"/>
  <c r="J335" i="2"/>
  <c r="BF335" i="2" s="1"/>
  <c r="J311" i="2"/>
  <c r="BF311" i="2" s="1"/>
  <c r="J308" i="2"/>
  <c r="BF308" i="2" s="1"/>
  <c r="J306" i="2"/>
  <c r="BF306" i="2" s="1"/>
  <c r="J303" i="2"/>
  <c r="BF303" i="2" s="1"/>
  <c r="J302" i="2"/>
  <c r="BF302" i="2" s="1"/>
  <c r="J270" i="2"/>
  <c r="BF270" i="2" s="1"/>
  <c r="J268" i="2"/>
  <c r="BF268" i="2" s="1"/>
  <c r="J453" i="2"/>
  <c r="BF453" i="2" s="1"/>
  <c r="J445" i="2"/>
  <c r="BF445" i="2" s="1"/>
  <c r="J444" i="2"/>
  <c r="BF444" i="2" s="1"/>
  <c r="J443" i="2"/>
  <c r="BF443" i="2" s="1"/>
  <c r="J433" i="2"/>
  <c r="BF433" i="2" s="1"/>
  <c r="J430" i="2"/>
  <c r="BF430" i="2" s="1"/>
  <c r="J428" i="2"/>
  <c r="BF428" i="2" s="1"/>
  <c r="J427" i="2"/>
  <c r="BF427" i="2" s="1"/>
  <c r="J405" i="2"/>
  <c r="BF405" i="2" s="1"/>
  <c r="J398" i="2"/>
  <c r="BF398" i="2" s="1"/>
  <c r="J365" i="2"/>
  <c r="BF365" i="2" s="1"/>
  <c r="J364" i="2"/>
  <c r="BF364" i="2" s="1"/>
  <c r="J359" i="2"/>
  <c r="BF359" i="2" s="1"/>
  <c r="J358" i="2"/>
  <c r="BF358" i="2" s="1"/>
  <c r="J357" i="2"/>
  <c r="BF357" i="2" s="1"/>
  <c r="J355" i="2"/>
  <c r="BF355" i="2" s="1"/>
  <c r="J350" i="2"/>
  <c r="BF350" i="2" s="1"/>
  <c r="J349" i="2"/>
  <c r="BF349" i="2" s="1"/>
  <c r="J339" i="2"/>
  <c r="BF339" i="2" s="1"/>
  <c r="J338" i="2"/>
  <c r="BF338" i="2" s="1"/>
  <c r="J333" i="2"/>
  <c r="BF333" i="2" s="1"/>
  <c r="J332" i="2"/>
  <c r="BF332" i="2" s="1"/>
  <c r="J328" i="2"/>
  <c r="BF328" i="2" s="1"/>
  <c r="J316" i="2"/>
  <c r="BF316" i="2" s="1"/>
  <c r="J310" i="2"/>
  <c r="BF310" i="2" s="1"/>
  <c r="J309" i="2"/>
  <c r="BF309" i="2" s="1"/>
  <c r="J297" i="2"/>
  <c r="BF297" i="2" s="1"/>
  <c r="J288" i="2"/>
  <c r="BF288" i="2" s="1"/>
  <c r="J286" i="2"/>
  <c r="BF286" i="2" s="1"/>
  <c r="J267" i="2"/>
  <c r="BF267" i="2" s="1"/>
  <c r="J253" i="2"/>
  <c r="BF253" i="2" s="1"/>
  <c r="J244" i="2"/>
  <c r="BF244" i="2" s="1"/>
  <c r="J239" i="2"/>
  <c r="BF239" i="2" s="1"/>
  <c r="J232" i="2"/>
  <c r="BF232" i="2" s="1"/>
  <c r="J230" i="2"/>
  <c r="BF230" i="2" s="1"/>
  <c r="J228" i="2"/>
  <c r="BF228" i="2" s="1"/>
  <c r="J218" i="2"/>
  <c r="BF218" i="2" s="1"/>
  <c r="J217" i="2"/>
  <c r="BF217" i="2" s="1"/>
  <c r="J194" i="2"/>
  <c r="BF194" i="2" s="1"/>
  <c r="J184" i="2"/>
  <c r="BF184" i="2" s="1"/>
  <c r="J182" i="2"/>
  <c r="BF182" i="2" s="1"/>
  <c r="J181" i="2"/>
  <c r="BF181" i="2" s="1"/>
  <c r="J180" i="2"/>
  <c r="BF180" i="2" s="1"/>
  <c r="J179" i="2"/>
  <c r="BF179" i="2" s="1"/>
  <c r="J162" i="2"/>
  <c r="BF162" i="2" s="1"/>
  <c r="J161" i="2"/>
  <c r="BF161" i="2" s="1"/>
  <c r="J157" i="2"/>
  <c r="BF157" i="2" s="1"/>
  <c r="J156" i="2"/>
  <c r="BF156" i="2" s="1"/>
  <c r="J155" i="2"/>
  <c r="BF155" i="2" s="1"/>
  <c r="J153" i="2"/>
  <c r="BF153" i="2" s="1"/>
  <c r="J143" i="2"/>
  <c r="BF143" i="2" s="1"/>
  <c r="J142" i="2"/>
  <c r="BF142" i="2" s="1"/>
  <c r="J122" i="2"/>
  <c r="BF122" i="2" s="1"/>
  <c r="J117" i="2"/>
  <c r="BF117" i="2" s="1"/>
  <c r="J100" i="2"/>
  <c r="BF100" i="2" s="1"/>
  <c r="J60" i="2"/>
  <c r="BF60" i="2" s="1"/>
  <c r="J41" i="2"/>
  <c r="BF41" i="2" s="1"/>
  <c r="J40" i="2"/>
  <c r="BF40" i="2" s="1"/>
  <c r="J38" i="2"/>
  <c r="BF38" i="2" s="1"/>
  <c r="J32" i="2"/>
  <c r="BF32" i="2" s="1"/>
  <c r="J27" i="2"/>
  <c r="BF27" i="2" s="1"/>
  <c r="J25" i="2"/>
  <c r="BF25" i="2" s="1"/>
  <c r="J23" i="2"/>
  <c r="BF23" i="2" s="1"/>
  <c r="J20" i="2"/>
  <c r="BF20" i="2" s="1"/>
  <c r="J8" i="2"/>
  <c r="BF8" i="2" s="1"/>
  <c r="J454" i="2"/>
  <c r="BF454" i="2" s="1"/>
  <c r="J452" i="2"/>
  <c r="BF452" i="2" s="1"/>
  <c r="J449" i="2"/>
  <c r="BF449" i="2" s="1"/>
  <c r="J447" i="2"/>
  <c r="BF447" i="2" s="1"/>
  <c r="J442" i="2"/>
  <c r="BF442" i="2" s="1"/>
  <c r="J441" i="2"/>
  <c r="BF441" i="2" s="1"/>
  <c r="J431" i="2"/>
  <c r="BF431" i="2" s="1"/>
  <c r="J416" i="2"/>
  <c r="BF416" i="2" s="1"/>
  <c r="J415" i="2"/>
  <c r="BF415" i="2" s="1"/>
  <c r="J414" i="2"/>
  <c r="BF414" i="2" s="1"/>
  <c r="J413" i="2"/>
  <c r="BF413" i="2" s="1"/>
  <c r="J412" i="2"/>
  <c r="BF412" i="2" s="1"/>
  <c r="J411" i="2"/>
  <c r="BF411" i="2" s="1"/>
  <c r="J410" i="2"/>
  <c r="BF410" i="2" s="1"/>
  <c r="J400" i="2"/>
  <c r="BF400" i="2" s="1"/>
  <c r="J396" i="2"/>
  <c r="BF396" i="2" s="1"/>
  <c r="J391" i="2"/>
  <c r="BF391" i="2" s="1"/>
  <c r="J390" i="2"/>
  <c r="BF390" i="2" s="1"/>
  <c r="J389" i="2"/>
  <c r="BF389" i="2" s="1"/>
  <c r="J388" i="2"/>
  <c r="BF388" i="2" s="1"/>
  <c r="J386" i="2"/>
  <c r="BF386" i="2" s="1"/>
  <c r="J377" i="2"/>
  <c r="BF377" i="2" s="1"/>
  <c r="J371" i="2"/>
  <c r="BF371" i="2" s="1"/>
  <c r="J368" i="2"/>
  <c r="BF368" i="2" s="1"/>
  <c r="J367" i="2"/>
  <c r="BF367" i="2" s="1"/>
  <c r="J362" i="2"/>
  <c r="BF362" i="2" s="1"/>
  <c r="J354" i="2"/>
  <c r="BF354" i="2" s="1"/>
  <c r="J353" i="2"/>
  <c r="BF353" i="2" s="1"/>
  <c r="J344" i="2"/>
  <c r="BF344" i="2" s="1"/>
  <c r="J343" i="2"/>
  <c r="BF343" i="2" s="1"/>
  <c r="J327" i="2"/>
  <c r="BF327" i="2" s="1"/>
  <c r="J326" i="2"/>
  <c r="BF326" i="2" s="1"/>
  <c r="J322" i="2"/>
  <c r="BF322" i="2" s="1"/>
  <c r="J317" i="2"/>
  <c r="BF317" i="2" s="1"/>
  <c r="J315" i="2"/>
  <c r="BF315" i="2" s="1"/>
  <c r="J314" i="2"/>
  <c r="BF314" i="2" s="1"/>
  <c r="J300" i="2"/>
  <c r="BF300" i="2" s="1"/>
  <c r="J287" i="2"/>
  <c r="BF287" i="2" s="1"/>
  <c r="J282" i="2"/>
  <c r="BF282" i="2" s="1"/>
  <c r="J275" i="2"/>
  <c r="BF275" i="2" s="1"/>
  <c r="J273" i="2"/>
  <c r="BF273" i="2" s="1"/>
  <c r="J266" i="2"/>
  <c r="BF266" i="2" s="1"/>
  <c r="J265" i="2"/>
  <c r="BF265" i="2" s="1"/>
  <c r="J264" i="2"/>
  <c r="BF264" i="2" s="1"/>
  <c r="J262" i="2"/>
  <c r="BF262" i="2" s="1"/>
  <c r="J249" i="2"/>
  <c r="BF249" i="2" s="1"/>
  <c r="J248" i="2"/>
  <c r="BF248" i="2" s="1"/>
  <c r="J240" i="2"/>
  <c r="BF240" i="2" s="1"/>
  <c r="J238" i="2"/>
  <c r="BF238" i="2" s="1"/>
  <c r="J237" i="2"/>
  <c r="BF237" i="2" s="1"/>
  <c r="J236" i="2"/>
  <c r="BF236" i="2" s="1"/>
  <c r="J235" i="2"/>
  <c r="BF235" i="2" s="1"/>
  <c r="J234" i="2"/>
  <c r="BF234" i="2" s="1"/>
  <c r="J233" i="2"/>
  <c r="BF233" i="2" s="1"/>
  <c r="J455" i="2"/>
  <c r="BF455" i="2" s="1"/>
  <c r="J451" i="2"/>
  <c r="BF451" i="2" s="1"/>
  <c r="J448" i="2"/>
  <c r="BF448" i="2" s="1"/>
  <c r="J446" i="2"/>
  <c r="BF446" i="2" s="1"/>
  <c r="J422" i="2"/>
  <c r="BF422" i="2" s="1"/>
  <c r="J420" i="2"/>
  <c r="BF420" i="2" s="1"/>
  <c r="J419" i="2"/>
  <c r="BF419" i="2" s="1"/>
  <c r="J418" i="2"/>
  <c r="BF418" i="2" s="1"/>
  <c r="J409" i="2"/>
  <c r="BF409" i="2" s="1"/>
  <c r="J402" i="2"/>
  <c r="BF402" i="2" s="1"/>
  <c r="J401" i="2"/>
  <c r="BF401" i="2" s="1"/>
  <c r="J397" i="2"/>
  <c r="BF397" i="2" s="1"/>
  <c r="J387" i="2"/>
  <c r="BF387" i="2" s="1"/>
  <c r="J385" i="2"/>
  <c r="BF385" i="2" s="1"/>
  <c r="J384" i="2"/>
  <c r="BF384" i="2" s="1"/>
  <c r="J383" i="2"/>
  <c r="BF383" i="2" s="1"/>
  <c r="J381" i="2"/>
  <c r="BF381" i="2" s="1"/>
  <c r="J379" i="2"/>
  <c r="BF379" i="2" s="1"/>
  <c r="J378" i="2"/>
  <c r="BF378" i="2" s="1"/>
  <c r="J376" i="2"/>
  <c r="BF376" i="2" s="1"/>
  <c r="J231" i="2"/>
  <c r="BF231" i="2" s="1"/>
  <c r="J229" i="2"/>
  <c r="BF229" i="2" s="1"/>
  <c r="J226" i="2"/>
  <c r="BF226" i="2" s="1"/>
  <c r="J225" i="2"/>
  <c r="BF225" i="2" s="1"/>
  <c r="J219" i="2"/>
  <c r="BF219" i="2" s="1"/>
  <c r="J215" i="2"/>
  <c r="BF215" i="2" s="1"/>
  <c r="J214" i="2"/>
  <c r="BF214" i="2" s="1"/>
  <c r="J213" i="2"/>
  <c r="BF213" i="2" s="1"/>
  <c r="J212" i="2"/>
  <c r="BF212" i="2" s="1"/>
  <c r="J211" i="2"/>
  <c r="BF211" i="2" s="1"/>
  <c r="J206" i="2"/>
  <c r="BF206" i="2" s="1"/>
  <c r="J204" i="2"/>
  <c r="BF204" i="2" s="1"/>
  <c r="J192" i="2"/>
  <c r="BF192" i="2" s="1"/>
  <c r="J191" i="2"/>
  <c r="BF191" i="2" s="1"/>
  <c r="J190" i="2"/>
  <c r="BF190" i="2" s="1"/>
  <c r="J183" i="2"/>
  <c r="BF183" i="2" s="1"/>
  <c r="J173" i="2"/>
  <c r="BF173" i="2" s="1"/>
  <c r="J165" i="2"/>
  <c r="BF165" i="2" s="1"/>
  <c r="J163" i="2"/>
  <c r="BF163" i="2" s="1"/>
  <c r="J159" i="2"/>
  <c r="BF159" i="2" s="1"/>
  <c r="J158" i="2"/>
  <c r="BF158" i="2" s="1"/>
  <c r="J151" i="2"/>
  <c r="BF151" i="2" s="1"/>
  <c r="J150" i="2"/>
  <c r="BF150" i="2" s="1"/>
  <c r="J149" i="2"/>
  <c r="BF149" i="2" s="1"/>
  <c r="J148" i="2"/>
  <c r="BF148" i="2" s="1"/>
  <c r="J140" i="2"/>
  <c r="BF140" i="2" s="1"/>
  <c r="J139" i="2"/>
  <c r="BF139" i="2" s="1"/>
  <c r="J131" i="2"/>
  <c r="BF131" i="2" s="1"/>
  <c r="J125" i="2"/>
  <c r="BF125" i="2" s="1"/>
  <c r="J124" i="2"/>
  <c r="BF124" i="2" s="1"/>
  <c r="J123" i="2"/>
  <c r="BF123" i="2" s="1"/>
  <c r="J110" i="2"/>
  <c r="BF110" i="2" s="1"/>
  <c r="J108" i="2"/>
  <c r="BF108" i="2" s="1"/>
  <c r="J107" i="2"/>
  <c r="BF107" i="2" s="1"/>
  <c r="J105" i="2"/>
  <c r="BF105" i="2" s="1"/>
  <c r="J84" i="2"/>
  <c r="BF84" i="2" s="1"/>
  <c r="J54" i="2"/>
  <c r="BF54" i="2" s="1"/>
  <c r="J36" i="2"/>
  <c r="BF36" i="2" s="1"/>
  <c r="J35" i="2"/>
  <c r="BF35" i="2" s="1"/>
  <c r="J29" i="2"/>
  <c r="BF29" i="2" s="1"/>
  <c r="J28" i="2"/>
  <c r="BF28" i="2" s="1"/>
  <c r="J17" i="2"/>
  <c r="BF17" i="2" s="1"/>
  <c r="J15" i="2"/>
  <c r="BF15" i="2" s="1"/>
  <c r="J14" i="2"/>
  <c r="BF14" i="2" s="1"/>
  <c r="J13" i="2"/>
  <c r="BF13" i="2" s="1"/>
  <c r="J11" i="2"/>
  <c r="BF11" i="2" s="1"/>
  <c r="J9" i="2"/>
  <c r="BF9" i="2" s="1"/>
  <c r="J7" i="2"/>
  <c r="J374" i="2"/>
  <c r="BF374" i="2" s="1"/>
  <c r="J210" i="2"/>
  <c r="BF210" i="2" s="1"/>
  <c r="J209" i="2"/>
  <c r="BF209" i="2" s="1"/>
  <c r="J205" i="2"/>
  <c r="BF205" i="2" s="1"/>
  <c r="J203" i="2"/>
  <c r="BF203" i="2" s="1"/>
  <c r="J201" i="2"/>
  <c r="BF201" i="2" s="1"/>
  <c r="J200" i="2"/>
  <c r="BF200" i="2" s="1"/>
  <c r="J199" i="2"/>
  <c r="BF199" i="2" s="1"/>
  <c r="J187" i="2"/>
  <c r="BF187" i="2" s="1"/>
  <c r="J178" i="2"/>
  <c r="BF178" i="2" s="1"/>
  <c r="J177" i="2"/>
  <c r="BF177" i="2" s="1"/>
  <c r="J172" i="2"/>
  <c r="BF172" i="2" s="1"/>
  <c r="J167" i="2"/>
  <c r="BF167" i="2" s="1"/>
  <c r="J166" i="2"/>
  <c r="BF166" i="2" s="1"/>
  <c r="J152" i="2"/>
  <c r="BF152" i="2" s="1"/>
  <c r="J147" i="2"/>
  <c r="BF147" i="2" s="1"/>
  <c r="J141" i="2"/>
  <c r="BF141" i="2" s="1"/>
  <c r="J136" i="2"/>
  <c r="BF136" i="2" s="1"/>
  <c r="J135" i="2"/>
  <c r="BF135" i="2" s="1"/>
  <c r="J134" i="2"/>
  <c r="BF134" i="2" s="1"/>
  <c r="J133" i="2"/>
  <c r="BF133" i="2" s="1"/>
  <c r="J132" i="2"/>
  <c r="BF132" i="2" s="1"/>
  <c r="J130" i="2"/>
  <c r="BF130" i="2" s="1"/>
  <c r="J129" i="2"/>
  <c r="BF129" i="2" s="1"/>
  <c r="J115" i="2"/>
  <c r="BF115" i="2" s="1"/>
  <c r="J114" i="2"/>
  <c r="BF114" i="2" s="1"/>
  <c r="J109" i="2"/>
  <c r="BF109" i="2" s="1"/>
  <c r="J102" i="2"/>
  <c r="BF102" i="2" s="1"/>
  <c r="J101" i="2"/>
  <c r="BF101" i="2" s="1"/>
  <c r="J99" i="2"/>
  <c r="BF99" i="2" s="1"/>
  <c r="J97" i="2"/>
  <c r="BF97" i="2" s="1"/>
  <c r="J95" i="2"/>
  <c r="BF95" i="2" s="1"/>
  <c r="J94" i="2"/>
  <c r="BF94" i="2" s="1"/>
  <c r="J61" i="2"/>
  <c r="BF61" i="2" s="1"/>
  <c r="J57" i="2"/>
  <c r="BF57" i="2" s="1"/>
  <c r="J56" i="2"/>
  <c r="BF56" i="2" s="1"/>
  <c r="J50" i="2"/>
  <c r="BF50" i="2" s="1"/>
  <c r="J44" i="2"/>
  <c r="BF44" i="2" s="1"/>
  <c r="J31" i="2"/>
  <c r="BF31" i="2" s="1"/>
  <c r="J26" i="2"/>
  <c r="BF26" i="2" s="1"/>
  <c r="J24" i="2"/>
  <c r="BF24" i="2" s="1"/>
  <c r="J22" i="2"/>
  <c r="BF22" i="2" s="1"/>
  <c r="J21" i="2"/>
  <c r="BF21" i="2" s="1"/>
  <c r="J19" i="2"/>
  <c r="BF19" i="2" s="1"/>
  <c r="J18" i="2"/>
  <c r="BF18" i="2" s="1"/>
  <c r="J16" i="2"/>
  <c r="BF16" i="2" s="1"/>
  <c r="J10" i="2"/>
  <c r="BF10" i="2" s="1"/>
  <c r="J92" i="2"/>
  <c r="BF92" i="2" s="1"/>
  <c r="J87" i="2"/>
  <c r="BF87" i="2" s="1"/>
  <c r="J83" i="2"/>
  <c r="BF83" i="2" s="1"/>
  <c r="J59" i="2"/>
  <c r="BF59" i="2" s="1"/>
  <c r="J30" i="2"/>
  <c r="BF30" i="2" s="1"/>
  <c r="J80" i="2"/>
  <c r="BF80" i="2" s="1"/>
  <c r="J79" i="2"/>
  <c r="BF79" i="2" s="1"/>
  <c r="J78" i="2"/>
  <c r="BF78" i="2" s="1"/>
  <c r="J77" i="2"/>
  <c r="BF77" i="2" s="1"/>
  <c r="J76" i="2"/>
  <c r="BF76" i="2" s="1"/>
  <c r="J75" i="2"/>
  <c r="BF75" i="2" s="1"/>
  <c r="J74" i="2"/>
  <c r="BF74" i="2" s="1"/>
  <c r="J73" i="2"/>
  <c r="BF73" i="2" s="1"/>
  <c r="J72" i="2"/>
  <c r="BF72" i="2" s="1"/>
  <c r="J71" i="2"/>
  <c r="BF71" i="2" s="1"/>
  <c r="J70" i="2"/>
  <c r="BF70" i="2" s="1"/>
  <c r="J69" i="2"/>
  <c r="BF69" i="2" s="1"/>
  <c r="J68" i="2"/>
  <c r="BF68" i="2" s="1"/>
  <c r="J67" i="2"/>
  <c r="BF67" i="2" s="1"/>
  <c r="J66" i="2"/>
  <c r="BF66" i="2" s="1"/>
  <c r="J65" i="2"/>
  <c r="BF65" i="2" s="1"/>
  <c r="J64" i="2"/>
  <c r="BF64" i="2" s="1"/>
  <c r="J63" i="2"/>
  <c r="BF63" i="2" s="1"/>
  <c r="J62" i="2"/>
  <c r="BF62" i="2" s="1"/>
  <c r="BF7" i="2" l="1"/>
  <c r="BF6" i="2"/>
  <c r="J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C37" authorId="0" shapeId="0" xr:uid="{00000000-0006-0000-0100-000001000000}">
      <text>
        <r>
          <rPr>
            <sz val="10"/>
            <rFont val="Arial"/>
            <family val="2"/>
          </rPr>
          <t>Descrição alterada de "1 ½ 30 MTS" (duplicada na linha 35) para "2 ½ 30 MTS". Confirme se o preço R$ 1.250 é deste produto.</t>
        </r>
      </text>
    </comment>
  </commentList>
</comments>
</file>

<file path=xl/sharedStrings.xml><?xml version="1.0" encoding="utf-8"?>
<sst xmlns="http://schemas.openxmlformats.org/spreadsheetml/2006/main" count="8232" uniqueCount="2056">
  <si>
    <t>RECARGA EXTINTOR AP 10 LTS</t>
  </si>
  <si>
    <t>RECARGA EXTINTOR PQS BC 4KG</t>
  </si>
  <si>
    <t>RECARGA EXTINTOR PQS BC 6 KG</t>
  </si>
  <si>
    <t>RECARGA EXTINTOR PQS BC 8 KG</t>
  </si>
  <si>
    <t>RECARGA EXTINTOR PQS BC 12 KG</t>
  </si>
  <si>
    <t>RECARGA EXTINTOR PQS BC 20 KG</t>
  </si>
  <si>
    <t>RECARGA EXTINTOR PQS BC 50 KG</t>
  </si>
  <si>
    <t>RECARGA EXTINTOR PQS ABC 4KG</t>
  </si>
  <si>
    <t>RECARGA EXTINTOR PQS ABC 6 KG</t>
  </si>
  <si>
    <t>RECARGA EXTINTOR PQS ABC 8 KG</t>
  </si>
  <si>
    <t>RECARGA EXTINTOR PQS ABC 12 KG</t>
  </si>
  <si>
    <t>RECARGA EXTINTOR CO2 4 KG</t>
  </si>
  <si>
    <t>RECARGA EXTINTOR CO2 6 KG</t>
  </si>
  <si>
    <t>RECARGA EXTINTOR CO2 10 KG</t>
  </si>
  <si>
    <t>RECARGA EXTINTOR CO2 25 KG</t>
  </si>
  <si>
    <t>RECARGA EXTINTOR ESPUMA 9 LTS</t>
  </si>
  <si>
    <t>RECARGA EXTINTOR ESPUMA 50 LTS</t>
  </si>
  <si>
    <t>MANGUEIRA INCÊNDIO 1 ½ 15 MTS TIPO 2</t>
  </si>
  <si>
    <t>MANGUEIRA INCÊNDIO 1 ½ 30 MTS TIPO 2</t>
  </si>
  <si>
    <t>MANGUEIRA INCÊNDIO 2 ½ 15 MTS TIPO 2</t>
  </si>
  <si>
    <t>MANGUEIRA INCÊNDIO 2 ½ 30 MTS TIPO 2</t>
  </si>
  <si>
    <t>ÁGUA (AP)</t>
  </si>
  <si>
    <t>EXTINTOR PÓ QUÍMICO BC</t>
  </si>
  <si>
    <t>EXTINTOR PÓ QUÍMICO ABC</t>
  </si>
  <si>
    <t>DIÓXIDO DE CARBONO (CO²)</t>
  </si>
  <si>
    <t>ESPUMA MECÂNICA</t>
  </si>
  <si>
    <t>MANGUEIRAS DE INCÊNDIO</t>
  </si>
  <si>
    <t>CARRETAS &amp; ESPECIAIS</t>
  </si>
  <si>
    <t>OUTROS / RESERVAS</t>
  </si>
  <si>
    <t>CLIENTE</t>
  </si>
  <si>
    <t>SITE</t>
  </si>
  <si>
    <t>ID</t>
  </si>
  <si>
    <t>CIDADE</t>
  </si>
  <si>
    <t>UF</t>
  </si>
  <si>
    <t>VENCIMENTO</t>
  </si>
  <si>
    <t>10L</t>
  </si>
  <si>
    <t>75L</t>
  </si>
  <si>
    <t>4Kg</t>
  </si>
  <si>
    <t>6Kg</t>
  </si>
  <si>
    <t>8Kg</t>
  </si>
  <si>
    <t>12Kg</t>
  </si>
  <si>
    <t>20Kg</t>
  </si>
  <si>
    <t>30Kg</t>
  </si>
  <si>
    <t>50Kg</t>
  </si>
  <si>
    <t>12kg</t>
  </si>
  <si>
    <t>20kg</t>
  </si>
  <si>
    <t>50kg</t>
  </si>
  <si>
    <t>10Kg</t>
  </si>
  <si>
    <t>25Kg</t>
  </si>
  <si>
    <t>9 Lts</t>
  </si>
  <si>
    <t>50 lts</t>
  </si>
  <si>
    <t>1,5 15M</t>
  </si>
  <si>
    <t>1,5 30M</t>
  </si>
  <si>
    <t>2,5 15M</t>
  </si>
  <si>
    <t>2,5 30M</t>
  </si>
  <si>
    <t>Mangotinho</t>
  </si>
  <si>
    <t>25 KG</t>
  </si>
  <si>
    <t>20KG</t>
  </si>
  <si>
    <t>50 KG</t>
  </si>
  <si>
    <t>DADOS CADASTRAIS DA LOJA</t>
  </si>
  <si>
    <t>TOTAL QUANTIDADES</t>
  </si>
  <si>
    <t>TOTAL EM REAIS (R$)</t>
  </si>
  <si>
    <t>STATUS</t>
  </si>
  <si>
    <t xml:space="preserve"> EXTINTORES</t>
  </si>
  <si>
    <t>MANGUEIRAS</t>
  </si>
  <si>
    <t>TOTAL (R$)</t>
  </si>
  <si>
    <t>TIPO</t>
  </si>
  <si>
    <t>Nº PEDIDO</t>
  </si>
  <si>
    <t>DATA DO LANÇAMENTO</t>
  </si>
  <si>
    <t>TOTAL DO PEDIDO (R$)</t>
  </si>
  <si>
    <t>SEQ AJUSTE</t>
  </si>
  <si>
    <t>RIACHUELO</t>
  </si>
  <si>
    <t>MATRIZ - BUTANTÃ</t>
  </si>
  <si>
    <t>SÃO PAULO</t>
  </si>
  <si>
    <t>SP</t>
  </si>
  <si>
    <t>ORIGINAL</t>
  </si>
  <si>
    <t>SÃO BERNARDO DO CAMPO CT</t>
  </si>
  <si>
    <t>SÃO BERNARDO DO CAMPO</t>
  </si>
  <si>
    <t>SERRAMAR PARQUE SHOPPING</t>
  </si>
  <si>
    <t>CARAGUATATUBA</t>
  </si>
  <si>
    <t>SANTOS CT</t>
  </si>
  <si>
    <t>SANTOS</t>
  </si>
  <si>
    <t>OSASCO PLAZA SH</t>
  </si>
  <si>
    <t>OSASCO</t>
  </si>
  <si>
    <t>SHOPPING SP. MARKET</t>
  </si>
  <si>
    <t>SHOPPING BRISAMAR</t>
  </si>
  <si>
    <t>SAO VICENTE</t>
  </si>
  <si>
    <t>SHOPPING UNIÃO DE OSASCO</t>
  </si>
  <si>
    <t>MOOCA PLAZA SHOPPING</t>
  </si>
  <si>
    <t>GUARATINGUETÁ CT</t>
  </si>
  <si>
    <t>GUARATINGUETA</t>
  </si>
  <si>
    <t>JACAREÍ CT</t>
  </si>
  <si>
    <t>JACAREI</t>
  </si>
  <si>
    <t>GUARULHOS CT</t>
  </si>
  <si>
    <t>GUARULHOS</t>
  </si>
  <si>
    <t>BARUERI PARQUE SH</t>
  </si>
  <si>
    <t>BARUERI</t>
  </si>
  <si>
    <t>PARK SHOPPING SÃO CAETANO</t>
  </si>
  <si>
    <t>SAO CAETANO DO SUL</t>
  </si>
  <si>
    <t>JUNDIAÍ CT</t>
  </si>
  <si>
    <t>JUNDIAÍ</t>
  </si>
  <si>
    <t>GRAND PLAZA SHOPPING</t>
  </si>
  <si>
    <t>SANTO ANDRE</t>
  </si>
  <si>
    <t>VIA VERDE SHOPPING</t>
  </si>
  <si>
    <t>RIO BRANCO</t>
  </si>
  <si>
    <t>AC</t>
  </si>
  <si>
    <t>MACAPÁ GARDEN PLAZA</t>
  </si>
  <si>
    <t>MACAPA</t>
  </si>
  <si>
    <t>AP</t>
  </si>
  <si>
    <t>JUNDIAÍ SHOPPING</t>
  </si>
  <si>
    <t>BAURU CT</t>
  </si>
  <si>
    <t>BAURU</t>
  </si>
  <si>
    <t>SÃO JOSÉ CONTINENTE PARK SH</t>
  </si>
  <si>
    <t>SÃO JOSÉ</t>
  </si>
  <si>
    <t>SC</t>
  </si>
  <si>
    <t xml:space="preserve"> MARILIA CT</t>
  </si>
  <si>
    <t>MARILIA</t>
  </si>
  <si>
    <t>ARAÇATUBA</t>
  </si>
  <si>
    <t>SHOPPING NOVA AMÉRICA</t>
  </si>
  <si>
    <t>RIO DE JANEIRO</t>
  </si>
  <si>
    <t>RJ</t>
  </si>
  <si>
    <t>PALLADIUM SHOPPING CENTER</t>
  </si>
  <si>
    <t>PONTA GROSSA</t>
  </si>
  <si>
    <t>PR</t>
  </si>
  <si>
    <t>CAXIAS DO SUL IGUATEMI SH</t>
  </si>
  <si>
    <t>CAXIAS DO SUL</t>
  </si>
  <si>
    <t>RS</t>
  </si>
  <si>
    <t>POA PRAIA DE BELAS SH</t>
  </si>
  <si>
    <t>PORTO ALEGRE</t>
  </si>
  <si>
    <t>GRAVATAÍ CT</t>
  </si>
  <si>
    <t>GRAVATAI</t>
  </si>
  <si>
    <t>PÁTIO MIX SH</t>
  </si>
  <si>
    <t>LINHARES</t>
  </si>
  <si>
    <t>ES</t>
  </si>
  <si>
    <t>PRAIA DA COSTA SH</t>
  </si>
  <si>
    <t>VILA VELHA</t>
  </si>
  <si>
    <t>MESTRE ALVARO SH</t>
  </si>
  <si>
    <t>SERRA</t>
  </si>
  <si>
    <t>PÁTIOMIX RESENDE</t>
  </si>
  <si>
    <t>RESENDE</t>
  </si>
  <si>
    <t>VALPARAISO SH SUL</t>
  </si>
  <si>
    <t>VALPARAISO DE GOIAS</t>
  </si>
  <si>
    <t>GO</t>
  </si>
  <si>
    <t>BR PARK SH</t>
  </si>
  <si>
    <t>BRASILIA</t>
  </si>
  <si>
    <t>DF</t>
  </si>
  <si>
    <t>DUQUE DE CAXIAS CT</t>
  </si>
  <si>
    <t>DUQUE DE CAXIAS</t>
  </si>
  <si>
    <t>BR W3 CT</t>
  </si>
  <si>
    <t>TAGUATINGA CT</t>
  </si>
  <si>
    <t>BURITI SH</t>
  </si>
  <si>
    <t>APARECIDA DE GOIANIA</t>
  </si>
  <si>
    <t>CAMPINAS CT</t>
  </si>
  <si>
    <t>GOIANIA</t>
  </si>
  <si>
    <t>ANAPOLIS CT</t>
  </si>
  <si>
    <t>ANAPOLIS</t>
  </si>
  <si>
    <t>BR CONJUNTO NACIONAL SH</t>
  </si>
  <si>
    <t>GOIANIA SH</t>
  </si>
  <si>
    <t>UBERLÂNDIA CT</t>
  </si>
  <si>
    <t>UBERLANDIA</t>
  </si>
  <si>
    <t>MG</t>
  </si>
  <si>
    <t>UBERLÂNDIA CENTER SHOP</t>
  </si>
  <si>
    <t>MONTES CLAROS SH</t>
  </si>
  <si>
    <t>MONTES CLAROS</t>
  </si>
  <si>
    <t>MG BOULEVARD SH CASA</t>
  </si>
  <si>
    <t>BELO HORIZONTE</t>
  </si>
  <si>
    <t>SHOPPING CENTER UBERABA</t>
  </si>
  <si>
    <t>UBERABA</t>
  </si>
  <si>
    <t>BLUMENAU NEUMARKT SH</t>
  </si>
  <si>
    <t>BLUMENAU</t>
  </si>
  <si>
    <t>SÃO JOSÉ DO RIO PRETO CT</t>
  </si>
  <si>
    <t>SÃO JOSÉ DO RIO PRETO</t>
  </si>
  <si>
    <t>RIBEIRÃO PRETO CT</t>
  </si>
  <si>
    <t>RIBEIRAO PRETO</t>
  </si>
  <si>
    <t>CURITIBA CT</t>
  </si>
  <si>
    <t>CURITIBA</t>
  </si>
  <si>
    <t>SHOPPING IGUATEMI CAMPINAS ( MODA E CASA)</t>
  </si>
  <si>
    <t>CAMPINAS</t>
  </si>
  <si>
    <t>FLORIPA SH</t>
  </si>
  <si>
    <t>FLORIANOPOLIS</t>
  </si>
  <si>
    <t>SHOPPING ESTAÇÃO</t>
  </si>
  <si>
    <t>PQ DOM PEDRO SH</t>
  </si>
  <si>
    <t>MARINGA</t>
  </si>
  <si>
    <t>MARINGÁ</t>
  </si>
  <si>
    <t>POA IGUATEMI SH</t>
  </si>
  <si>
    <t>CATUÁI SHOPPING MARINGA</t>
  </si>
  <si>
    <t>POA IGUATEMI SH CASA</t>
  </si>
  <si>
    <t>CATUAÍ SH CASA</t>
  </si>
  <si>
    <t>LONDRINA</t>
  </si>
  <si>
    <t>LONDRINA CT</t>
  </si>
  <si>
    <t>FOZ DO IGUAÇU CENTRO</t>
  </si>
  <si>
    <t>FOZ DO IGUAÇU</t>
  </si>
  <si>
    <t>PRAIAMAR SHOPPING</t>
  </si>
  <si>
    <t>SANTA URSULA SH</t>
  </si>
  <si>
    <t>RIB. PRETO NOVO SH</t>
  </si>
  <si>
    <t>JEQUITIBA PLAZA SH</t>
  </si>
  <si>
    <t>ITABUNA</t>
  </si>
  <si>
    <t xml:space="preserve">BA </t>
  </si>
  <si>
    <t xml:space="preserve"> RS CAXIAS DO SUL VILLAGIO SH CARTER'S</t>
  </si>
  <si>
    <t>CAMPO GRANDE NORTE SUL</t>
  </si>
  <si>
    <t>CAMPO GRANDE</t>
  </si>
  <si>
    <t>MS</t>
  </si>
  <si>
    <t>SHOPPING CAMPO GRANDE</t>
  </si>
  <si>
    <t>CAMPO GRANDE CT</t>
  </si>
  <si>
    <t>DOURADOS</t>
  </si>
  <si>
    <t>SHOPPING PARANGABA</t>
  </si>
  <si>
    <t>FORTALEZA</t>
  </si>
  <si>
    <t>CE</t>
  </si>
  <si>
    <t>ARAPIRACA PÁTIO</t>
  </si>
  <si>
    <t>ARAPIRACA</t>
  </si>
  <si>
    <t>AL</t>
  </si>
  <si>
    <t>FEIRA DE SANTANA CT</t>
  </si>
  <si>
    <t>FEIRA DE SANTANA</t>
  </si>
  <si>
    <t>BA</t>
  </si>
  <si>
    <t>CUIABÁ CT</t>
  </si>
  <si>
    <t>CUIABÁ</t>
  </si>
  <si>
    <t>MT</t>
  </si>
  <si>
    <t>SHOPPING 3 AMÉRICAS</t>
  </si>
  <si>
    <t>PARQUE DAS BANDEIRAS SHOPPING</t>
  </si>
  <si>
    <t>PONTA NEGRA</t>
  </si>
  <si>
    <t>MANAUS</t>
  </si>
  <si>
    <t>AM</t>
  </si>
  <si>
    <t>SALVADOR NORTE SH</t>
  </si>
  <si>
    <t>SALVADOR</t>
  </si>
  <si>
    <t>RIO ANIL SHOPPING</t>
  </si>
  <si>
    <t>SÃO LUÍS</t>
  </si>
  <si>
    <t>MA</t>
  </si>
  <si>
    <t>NATAL CT</t>
  </si>
  <si>
    <t>NATAL</t>
  </si>
  <si>
    <t>RN</t>
  </si>
  <si>
    <t>TERESINA CENTRO</t>
  </si>
  <si>
    <t>TERESINA</t>
  </si>
  <si>
    <t>PI</t>
  </si>
  <si>
    <t>SÃO LUIS CENTRO</t>
  </si>
  <si>
    <t>MANAUS CENTRO</t>
  </si>
  <si>
    <t>ARACAJU CT</t>
  </si>
  <si>
    <t>ARACAJU</t>
  </si>
  <si>
    <t>SE</t>
  </si>
  <si>
    <t>MOSSORO CT</t>
  </si>
  <si>
    <t>MOSSORO</t>
  </si>
  <si>
    <t>MOSSORO WEAT SH</t>
  </si>
  <si>
    <t>CAPIM DOURADO</t>
  </si>
  <si>
    <t>PALMAS</t>
  </si>
  <si>
    <t>TO</t>
  </si>
  <si>
    <t>CAMPINA GRANDE SH</t>
  </si>
  <si>
    <t>CAMPINA GRANDE</t>
  </si>
  <si>
    <t>PB</t>
  </si>
  <si>
    <t>TAGUATINGA SH</t>
  </si>
  <si>
    <t>BOULEVARD SHOPPING SÃO GONÇALO</t>
  </si>
  <si>
    <t>SAO GONCALO</t>
  </si>
  <si>
    <t>CASCAVEL CT</t>
  </si>
  <si>
    <t>CASCAVEL</t>
  </si>
  <si>
    <t>SHOPPING PRAÇA DA MOÇA DIADEMA</t>
  </si>
  <si>
    <t>DIADEMA</t>
  </si>
  <si>
    <t>MANAUARA SHOPPING</t>
  </si>
  <si>
    <t>SHOPPING TAMBORÉ</t>
  </si>
  <si>
    <t>CENTER NORTE SH</t>
  </si>
  <si>
    <t>METRO TUCURUVI SH</t>
  </si>
  <si>
    <t>SHOPPING DA ILHA</t>
  </si>
  <si>
    <t>RECIFE CENTRO</t>
  </si>
  <si>
    <t>RECIFE</t>
  </si>
  <si>
    <t>PE</t>
  </si>
  <si>
    <t>SALVADOR IGUATEMI</t>
  </si>
  <si>
    <t>SHOPPING ABC</t>
  </si>
  <si>
    <t>SHOPPING CENTER RECIFE</t>
  </si>
  <si>
    <t>VITORIA DA CONQUISTA SH</t>
  </si>
  <si>
    <t>VITORIA DA CONQUISTA</t>
  </si>
  <si>
    <t>FORTALEZA IGUATEMI SH</t>
  </si>
  <si>
    <t>JUAZEIRO DO NORTE CARIRI SH</t>
  </si>
  <si>
    <t>JUAZEIRO DO NORTE</t>
  </si>
  <si>
    <t>FEIRA DE SANTANA IGAUTEMI SH</t>
  </si>
  <si>
    <t>SALVADOR BARRA SH</t>
  </si>
  <si>
    <t>SALVADOR SH</t>
  </si>
  <si>
    <t>TERESINA CT</t>
  </si>
  <si>
    <t>MARABÁ PÁTIO SH</t>
  </si>
  <si>
    <t>MARABA</t>
  </si>
  <si>
    <t>PA</t>
  </si>
  <si>
    <t>DUQUE DE CAXIAS SH</t>
  </si>
  <si>
    <t>TORRE NORTE SHOPPING</t>
  </si>
  <si>
    <t>RIO OUVIDOR CT</t>
  </si>
  <si>
    <t>RIO TOP SH</t>
  </si>
  <si>
    <t>NOVA IGUACU</t>
  </si>
  <si>
    <t>ITAU POWER SHOPPING</t>
  </si>
  <si>
    <t>CONTAGEM</t>
  </si>
  <si>
    <t>SHOPPING INTERLAGOS</t>
  </si>
  <si>
    <t>CARUARU NORTH SHOPPING</t>
  </si>
  <si>
    <t>CARUARU</t>
  </si>
  <si>
    <t>RIO WEST SH</t>
  </si>
  <si>
    <t>CAMPO DOS GOYTACAZES SH</t>
  </si>
  <si>
    <t>CAMPOS DOS GOYTACAZES</t>
  </si>
  <si>
    <t>SHOPPING CIDADE SOROCABA</t>
  </si>
  <si>
    <t>SOROCABA</t>
  </si>
  <si>
    <t>SHOPPING CENTER LESTE ARICANDUVA</t>
  </si>
  <si>
    <t>MAUÁ PLAZA SHOPPING</t>
  </si>
  <si>
    <t>MAUA</t>
  </si>
  <si>
    <t>SHOPPING TABOÃO</t>
  </si>
  <si>
    <t>TABOAO DA SERRA</t>
  </si>
  <si>
    <t>SHOPPING TACARUNA</t>
  </si>
  <si>
    <t>SALVADOR LAPA SH</t>
  </si>
  <si>
    <t>SALVADOR BELA VISTA SH</t>
  </si>
  <si>
    <t>NATAL MIDWAY SH</t>
  </si>
  <si>
    <t>SHOPPING CENTER IBIRAPUERA</t>
  </si>
  <si>
    <t>PETROLINA RIVER SHOPPING</t>
  </si>
  <si>
    <t>PETROLINA</t>
  </si>
  <si>
    <t>ARACAJU JARDINS SH</t>
  </si>
  <si>
    <t>SALVADOR PARALELA SH</t>
  </si>
  <si>
    <t>RIO BANGU SH</t>
  </si>
  <si>
    <t>FORTALEZA NORTH SH</t>
  </si>
  <si>
    <t>BELÉM BOULEVARD SH</t>
  </si>
  <si>
    <t>BELÉM</t>
  </si>
  <si>
    <t>BELEM CENTRO</t>
  </si>
  <si>
    <t>BELÉM PARQUE SHOPPING</t>
  </si>
  <si>
    <t>FORTALEZA VIA SUL SH</t>
  </si>
  <si>
    <t>MACEIÓ PÁTIO</t>
  </si>
  <si>
    <t>MACEIO</t>
  </si>
  <si>
    <t>CASTANHEIRA SHOPPING</t>
  </si>
  <si>
    <t>SHOPPING DEL REY</t>
  </si>
  <si>
    <t>FORTALEZA CT</t>
  </si>
  <si>
    <t>MACEIO SH</t>
  </si>
  <si>
    <t>SHOPPING JARDIM ANÁLIA FRANCO</t>
  </si>
  <si>
    <t>SHOPPING CIDADE</t>
  </si>
  <si>
    <t>SÃO JOSÉ CAMPOS CT</t>
  </si>
  <si>
    <t>SÃO JOSÉ DOS CAMPOS</t>
  </si>
  <si>
    <t>SÃO JOSÉ CAMPOS CENTER SH</t>
  </si>
  <si>
    <t>GUARULHOS SHOPPING CENTER</t>
  </si>
  <si>
    <t>GOIANIA FLAMBOYANT SH</t>
  </si>
  <si>
    <t>B.H. SHOPPING</t>
  </si>
  <si>
    <t>RIO CARIOCA SH</t>
  </si>
  <si>
    <t>MADUREIRA SH</t>
  </si>
  <si>
    <t>CENTRAL PLAZA SHOPPING</t>
  </si>
  <si>
    <t>BOURBON SH</t>
  </si>
  <si>
    <t>IMPERIAL SHOPPING</t>
  </si>
  <si>
    <t>IMPERATRIZ</t>
  </si>
  <si>
    <t>TAMBIÁ SHOPPINGG</t>
  </si>
  <si>
    <t>JOAO PESSOA</t>
  </si>
  <si>
    <t>MACEIÓ CT</t>
  </si>
  <si>
    <t>MOGI DAS CRUZES CT</t>
  </si>
  <si>
    <t>MOGI DAS CRUZES</t>
  </si>
  <si>
    <t>JOÃO PESSOA MANAÍRA SH</t>
  </si>
  <si>
    <t>ESPLANADA SH</t>
  </si>
  <si>
    <t>VOTORANTIM</t>
  </si>
  <si>
    <t>PATIO BRASIL SH</t>
  </si>
  <si>
    <t>BH MINAS SHOPPING</t>
  </si>
  <si>
    <t>AMAZONAS SHOPPING</t>
  </si>
  <si>
    <t>VITORIA SH</t>
  </si>
  <si>
    <t>VITORIA</t>
  </si>
  <si>
    <t>SÃO BERNARDO PLAZA SHOPPING</t>
  </si>
  <si>
    <t>METROPOLITAN GARDEN SHOP</t>
  </si>
  <si>
    <t>BETIM</t>
  </si>
  <si>
    <t>CAMPO GRANDE PARK SH</t>
  </si>
  <si>
    <t>SOBRAL SH</t>
  </si>
  <si>
    <t>SOBRAL</t>
  </si>
  <si>
    <t>RECIFE RIOMAR SH</t>
  </si>
  <si>
    <t>TERESINA SHOPPING</t>
  </si>
  <si>
    <t>SHOPPING BOSQUE DOS IPÊS</t>
  </si>
  <si>
    <t>TAUBATÉ VIA VALE</t>
  </si>
  <si>
    <t>TAUBATE</t>
  </si>
  <si>
    <t>CD MANAUS</t>
  </si>
  <si>
    <t>SHOPPING BURITI MOGI</t>
  </si>
  <si>
    <t>MOGI-GUACU</t>
  </si>
  <si>
    <t xml:space="preserve"> PARQUE DOM PEDRO CARTERS</t>
  </si>
  <si>
    <t>SHOPPING NAÇÕES</t>
  </si>
  <si>
    <t>SHOPPING PIRACICABA</t>
  </si>
  <si>
    <t>PIRACICABA</t>
  </si>
  <si>
    <t>SHOPPING RIBEIRÃO</t>
  </si>
  <si>
    <t>PÁTIO CIANÊ SHOPPING</t>
  </si>
  <si>
    <t>SHOPPING VILA OLÍMPIA</t>
  </si>
  <si>
    <t>WEST PLAZA SH</t>
  </si>
  <si>
    <t>GOIANIA PORTAL SH</t>
  </si>
  <si>
    <t>AGUAS LINDAS SH</t>
  </si>
  <si>
    <t>AGUAS LINDAS DE GOIAS</t>
  </si>
  <si>
    <t>VILA VELHA BOULEVARD SH</t>
  </si>
  <si>
    <t>PRUDENSHOPPING</t>
  </si>
  <si>
    <t>PRESIDENTE PRUDENTE</t>
  </si>
  <si>
    <t>LONDRINA NORTE SH</t>
  </si>
  <si>
    <t>SHOPPING CONTAGEM</t>
  </si>
  <si>
    <t>BETIM MONTE CARMO SH</t>
  </si>
  <si>
    <t>SERRASUL SHOPPING</t>
  </si>
  <si>
    <t>POUSO ALEGRE</t>
  </si>
  <si>
    <t>AV. PAULISTA CT</t>
  </si>
  <si>
    <t>G</t>
  </si>
  <si>
    <t>MANAUS SUMAÚMA PARK SH</t>
  </si>
  <si>
    <t>CANOAS SH</t>
  </si>
  <si>
    <t>CANOAS</t>
  </si>
  <si>
    <t>METROPOLITANO BARRA SH</t>
  </si>
  <si>
    <t>CABO FRIO LAGOS SH</t>
  </si>
  <si>
    <t>CABO FRIO</t>
  </si>
  <si>
    <t>RIBEIRÃO PRETO - SHOPPING IGUATEMI</t>
  </si>
  <si>
    <t>SULACAP SH</t>
  </si>
  <si>
    <t>ITABORAI PLAZA SH</t>
  </si>
  <si>
    <t>ITABORAÍ</t>
  </si>
  <si>
    <t>PORTO VELHO SH</t>
  </si>
  <si>
    <t>PORTO VELHO</t>
  </si>
  <si>
    <t>RO</t>
  </si>
  <si>
    <t>BOURBON WALLIIG SH</t>
  </si>
  <si>
    <t>FREI CANECA SH</t>
  </si>
  <si>
    <t>TIETÊ PLAZA SHOPPING</t>
  </si>
  <si>
    <t>NITEROI PLAZA SH</t>
  </si>
  <si>
    <t>NITEROI</t>
  </si>
  <si>
    <t>RECIFE RUA NOVA</t>
  </si>
  <si>
    <t>SÃO BERNARDO GOLDEN SH</t>
  </si>
  <si>
    <t>MANGABEIRA SHOPPING CENTER</t>
  </si>
  <si>
    <t>CONTACT CENTER</t>
  </si>
  <si>
    <t>VITÓRIA PARK SHOPPING</t>
  </si>
  <si>
    <t>VITORIA DE SANTO ANTAO</t>
  </si>
  <si>
    <t>FORTALEZA PARANGABA NORTH SH</t>
  </si>
  <si>
    <t>CEILÂNDIA PLAZA</t>
  </si>
  <si>
    <t>CABO DE SANTO AGOSTINHO COSTA DOURADA SH</t>
  </si>
  <si>
    <t>CABO DE SANTO AGOSTINHO</t>
  </si>
  <si>
    <t>PARQUE SHOPPING MACEIÓ</t>
  </si>
  <si>
    <t>PASSEIO DAS AGUAS SH</t>
  </si>
  <si>
    <t>CHAPECÓ SH</t>
  </si>
  <si>
    <t>CHAPECO</t>
  </si>
  <si>
    <t>SERRA MONTESERRAT SH</t>
  </si>
  <si>
    <t>GUARARAPES SHOPPING</t>
  </si>
  <si>
    <t>JABOATAO DOS GUARARAPES</t>
  </si>
  <si>
    <t xml:space="preserve">PE </t>
  </si>
  <si>
    <t>MOGI SHOPPING</t>
  </si>
  <si>
    <t>BELÉM  PATIO SH</t>
  </si>
  <si>
    <t>SHOPPING METRÔ ITAQUERA</t>
  </si>
  <si>
    <t>SHOPPING ELDORADO</t>
  </si>
  <si>
    <t>SHOPPING GANJA VIANNA</t>
  </si>
  <si>
    <t>COTIA</t>
  </si>
  <si>
    <t>VILA VELHA SH</t>
  </si>
  <si>
    <t>RIO AMERICA SH</t>
  </si>
  <si>
    <t>SHOPPING RIO POTY</t>
  </si>
  <si>
    <t>SHOPPING CENTER IGUATEMI</t>
  </si>
  <si>
    <t>TEIXEIRA DE FREITAS PÁTIO MIX</t>
  </si>
  <si>
    <t>TEIXEIRA DE FREITAS</t>
  </si>
  <si>
    <t>MOXUARA SH</t>
  </si>
  <si>
    <t>CARIACICA</t>
  </si>
  <si>
    <t>CASCAVEL CATUAÍ SH</t>
  </si>
  <si>
    <t>SÃO LUIS SHOPPING</t>
  </si>
  <si>
    <t>SANTANA PARQUE SHOPPING</t>
  </si>
  <si>
    <t>SHOPPING PÁTIO PINDA</t>
  </si>
  <si>
    <t>PINDAMONHANGABA</t>
  </si>
  <si>
    <t>ITAJAÍ SH</t>
  </si>
  <si>
    <t>ITAJAÍ</t>
  </si>
  <si>
    <t>MACAPÁ SH</t>
  </si>
  <si>
    <t>VALE SUL SHOPPING</t>
  </si>
  <si>
    <t>RIO TAPAJOS SHOPPING</t>
  </si>
  <si>
    <t>SANTAREM</t>
  </si>
  <si>
    <t>SHOPPING JARAGUA ARARAQUARA</t>
  </si>
  <si>
    <t>ARARAQUARA</t>
  </si>
  <si>
    <t>ITU PLAZA SHOPPING</t>
  </si>
  <si>
    <t>ITU</t>
  </si>
  <si>
    <t>BALNEARIO CAMBORIU SH</t>
  </si>
  <si>
    <t>BALNEARIO CAMBORIU</t>
  </si>
  <si>
    <t>MARACANAU NORTH SH</t>
  </si>
  <si>
    <t>MARACANAU</t>
  </si>
  <si>
    <t>SHOPPING MANAUS VIA NORTE</t>
  </si>
  <si>
    <t>BURITI RIO VERDE SH</t>
  </si>
  <si>
    <t>RIO VERDE</t>
  </si>
  <si>
    <t>BOA VISTA GARDEN SH</t>
  </si>
  <si>
    <t>BOA VISTA</t>
  </si>
  <si>
    <t>RR</t>
  </si>
  <si>
    <t>FORTALEZA RIO MAR SH</t>
  </si>
  <si>
    <t>SÃO JOSÉ RIO PRETO AVENIDA</t>
  </si>
  <si>
    <t>IGUATEMI SÃO CARLOS</t>
  </si>
  <si>
    <t>SAO CARLOS</t>
  </si>
  <si>
    <t>BOULEVARD SH</t>
  </si>
  <si>
    <t>NORTE SHOPPING BARRETOS</t>
  </si>
  <si>
    <t>BARRETOS</t>
  </si>
  <si>
    <t>SP PRAIA GRANDE PLAZA</t>
  </si>
  <si>
    <t>PRAIA GRANDE</t>
  </si>
  <si>
    <t>IPANEMA CT</t>
  </si>
  <si>
    <t>CD GUARULHOS</t>
  </si>
  <si>
    <t>JARAGUA DO SUL PARK SH</t>
  </si>
  <si>
    <t>JARAGUA DO SUL</t>
  </si>
  <si>
    <t>SHOPPING VALE DO AÇO</t>
  </si>
  <si>
    <t>IPATINGA</t>
  </si>
  <si>
    <t>JOINVILLE GARDEN SH</t>
  </si>
  <si>
    <t>JOINVILLE</t>
  </si>
  <si>
    <t>BLUMENAU NORTE SH</t>
  </si>
  <si>
    <t>FRANCA SHOPPING</t>
  </si>
  <si>
    <t>FRANCA</t>
  </si>
  <si>
    <t>ANANINDEUA METROPOLE SH</t>
  </si>
  <si>
    <t>ANANINDEUA</t>
  </si>
  <si>
    <t>SHOPPING BOSQUE GRÃO-PARÁ</t>
  </si>
  <si>
    <t>LAGES GARDEN SH</t>
  </si>
  <si>
    <t>LAGES</t>
  </si>
  <si>
    <t>RORAIMA PATIO SH</t>
  </si>
  <si>
    <t>SHOPPING DIFUSORA</t>
  </si>
  <si>
    <t>ITAGUAI COSTA VERDE SH</t>
  </si>
  <si>
    <t>ITAGUAÍ</t>
  </si>
  <si>
    <t>SHOPPING BOTUCATU</t>
  </si>
  <si>
    <t>BOTUCATU</t>
  </si>
  <si>
    <t>NOSSA SENHORA DO SOCORRO PREMIO SH</t>
  </si>
  <si>
    <t>NOSSA SENHORA DO SOCORRO</t>
  </si>
  <si>
    <t>SHOPPING PRAÇA NOVA ARAÇATUBA</t>
  </si>
  <si>
    <t>MARINGÁ PARK SH</t>
  </si>
  <si>
    <t>ADOLFO PINHEIRO CT</t>
  </si>
  <si>
    <t xml:space="preserve">SP LIMEIRA PATIO SH </t>
  </si>
  <si>
    <t>LIMEIRA</t>
  </si>
  <si>
    <t>SHOPPING VARZEA GRANDE</t>
  </si>
  <si>
    <t xml:space="preserve">VARZEA GRANDE </t>
  </si>
  <si>
    <t>PÁTIO NORTE SHOPPING</t>
  </si>
  <si>
    <t>SÃO JOSE DE RIBAMAR</t>
  </si>
  <si>
    <t>ARACAJU PARQUE SH</t>
  </si>
  <si>
    <t>TIVOLI SHOPPING</t>
  </si>
  <si>
    <t>SANTA BARBRA D'OESTE</t>
  </si>
  <si>
    <t>CAMARÁ SH</t>
  </si>
  <si>
    <t>CAMARAGIBE</t>
  </si>
  <si>
    <t>BRAGANÇA PAULISTA GARDEN SH</t>
  </si>
  <si>
    <t xml:space="preserve">BRAGANÇA PAULISTA </t>
  </si>
  <si>
    <t>POA BOURBON COUNTRY SH</t>
  </si>
  <si>
    <t>PAULISTA NORTH WAY SHOPPING</t>
  </si>
  <si>
    <t>PAULISTA</t>
  </si>
  <si>
    <t>CERRADO SH</t>
  </si>
  <si>
    <t>CANOAS PARK SH</t>
  </si>
  <si>
    <t>FOZ DO IGUAÇU PALLADIUM SH</t>
  </si>
  <si>
    <t>CAMAÇARI BOULEVARD SH</t>
  </si>
  <si>
    <t>CAMACARI</t>
  </si>
  <si>
    <t>JARDIM NORTE SH</t>
  </si>
  <si>
    <t>JUIZ DE FORA</t>
  </si>
  <si>
    <t>CURITIBA JOCKEY PLAZA SH</t>
  </si>
  <si>
    <t>TUBARÃO FAROL SH</t>
  </si>
  <si>
    <t>TUBARÃO</t>
  </si>
  <si>
    <t>POLO SHOPPING INDAIATUBA</t>
  </si>
  <si>
    <t>INDAIATUBA</t>
  </si>
  <si>
    <t xml:space="preserve">POA BARRA SH SUL [CARTER'S] </t>
  </si>
  <si>
    <t>PANTANAL SHOPPING</t>
  </si>
  <si>
    <t>CURITIBA SHOPPING</t>
  </si>
  <si>
    <t>FORTALEZA BENFICA SH</t>
  </si>
  <si>
    <t>BARRA SH</t>
  </si>
  <si>
    <t xml:space="preserve">PR GUARAPUAVA CIDADE DOS LAGOS SH </t>
  </si>
  <si>
    <t>GUARAPUAVA</t>
  </si>
  <si>
    <t>PATIO ALCANTARA SH</t>
  </si>
  <si>
    <t>SAO GONCALO</t>
  </si>
  <si>
    <t>PARNAIBA SHOPPING</t>
  </si>
  <si>
    <t>PARNAIBA</t>
  </si>
  <si>
    <t>PARQUE SHOPPING MAIA</t>
  </si>
  <si>
    <t>SUMARÉ PARK CITY SH</t>
  </si>
  <si>
    <t xml:space="preserve">SUMARÉ </t>
  </si>
  <si>
    <t>UBERLÂNDIA SHOPPING</t>
  </si>
  <si>
    <t>RIO BOULEVARD SH</t>
  </si>
  <si>
    <t xml:space="preserve">VITORIA DA CONQUISTA BOULEVARD </t>
  </si>
  <si>
    <t>PELOTAS SH</t>
  </si>
  <si>
    <t>PELOTAS</t>
  </si>
  <si>
    <t>SHOPPING PARK SUL VOLTA REDONDA</t>
  </si>
  <si>
    <t>VOLTA REDONDA</t>
  </si>
  <si>
    <t>NOVA IGUAÇÚ SH</t>
  </si>
  <si>
    <t>NOVA IGUACU</t>
  </si>
  <si>
    <t>SANTA MARIA CT</t>
  </si>
  <si>
    <t>SANTA MARIA</t>
  </si>
  <si>
    <t>CRICIÚMA NAÇÕES SH</t>
  </si>
  <si>
    <t>CRICIUMA</t>
  </si>
  <si>
    <t>CUAIBA ESTAÇÃO SH</t>
  </si>
  <si>
    <t xml:space="preserve">TRÊS LAGOAS </t>
  </si>
  <si>
    <t>CAXIAS CENTER SH</t>
  </si>
  <si>
    <t>CAXIAS</t>
  </si>
  <si>
    <t>SÃO LUIZ GARDEN CALHAU SH</t>
  </si>
  <si>
    <t>APARECIDA DE GOIANIA SH</t>
  </si>
  <si>
    <t>FORTALEZA PRESIDENTE KENEDY SH</t>
  </si>
  <si>
    <t xml:space="preserve">RIO GRANDE PARQUE SHOPPING </t>
  </si>
  <si>
    <t>RIO GRANDE</t>
  </si>
  <si>
    <t>SANTA MARIA PRAÇA NOVA SH</t>
  </si>
  <si>
    <t>MANAUS GRANDE CIRCULAR SH</t>
  </si>
  <si>
    <t>SINOP SHOPPING</t>
  </si>
  <si>
    <t>SINOP</t>
  </si>
  <si>
    <t>PATTEO OLINDA SH</t>
  </si>
  <si>
    <t>OLINDA</t>
  </si>
  <si>
    <t>NATAL PORTAGE NORTE SH</t>
  </si>
  <si>
    <t>ARACAJU RIO MAR SH</t>
  </si>
  <si>
    <t>GALLERIA SH</t>
  </si>
  <si>
    <t xml:space="preserve">SP </t>
  </si>
  <si>
    <t>SÃO JOSÉ ITAGUAÇU</t>
  </si>
  <si>
    <t>PARAUPEBAS PORTAGE SH</t>
  </si>
  <si>
    <t>PARAUPEBAS</t>
  </si>
  <si>
    <t>RCHLO SÃO JOÃO DO MERITI GRANDE RIO SH</t>
  </si>
  <si>
    <t>SÃO JÕAO DO MERETI</t>
  </si>
  <si>
    <t>RCHLO VARGINHA VIA CAFÉ GARDEN SH</t>
  </si>
  <si>
    <t>VARGINHA</t>
  </si>
  <si>
    <t>RCHLO LAURO DE FREITAS PARQUE BAHIA SH</t>
  </si>
  <si>
    <t>LAURO DE FREITAS</t>
  </si>
  <si>
    <t>RCHLO SPA RUA SÃO BENTO CT</t>
  </si>
  <si>
    <t>366 SPA MORUMBI SH</t>
  </si>
  <si>
    <t>RIO JACAREPAGUA PARK SHOPPING</t>
  </si>
  <si>
    <t>JACAREPAGUA</t>
  </si>
  <si>
    <t>IBIRAPUERA SH CARTE´S</t>
  </si>
  <si>
    <t>OURINHOS PLAZA SHOPPING</t>
  </si>
  <si>
    <t>OURINHOS</t>
  </si>
  <si>
    <t>CAMPINAS SHOPPING</t>
  </si>
  <si>
    <t>IBIRAPUERA SH CASA</t>
  </si>
  <si>
    <t>RIO BOTAFOGO CASA</t>
  </si>
  <si>
    <t>PB PATOS SH</t>
  </si>
  <si>
    <t>PATOS</t>
  </si>
  <si>
    <t>ELDORADO CASA</t>
  </si>
  <si>
    <t>ELDORADO MODA CASA</t>
  </si>
  <si>
    <t>SPA PÁTIO PAULISTA SH</t>
  </si>
  <si>
    <t>CAMPINAS IGUATEMI SH CARTERS</t>
  </si>
  <si>
    <t>SPA CENTER NORTE SH CARTER´S</t>
  </si>
  <si>
    <t>SPA ANALÍA FRANCO SH CARTER´S</t>
  </si>
  <si>
    <t>PR CURITIBA PARK BARIGUI</t>
  </si>
  <si>
    <t>CARAPICUIBA-SP</t>
  </si>
  <si>
    <t>CARAPICUIBA</t>
  </si>
  <si>
    <t>UMUARAMA-PR</t>
  </si>
  <si>
    <t>UMUARAMA</t>
  </si>
  <si>
    <t>SÃO BERNARDO DO CAMPO METROPOLE SH</t>
  </si>
  <si>
    <t>SP SPA PÁTIO PAULISTA SH</t>
  </si>
  <si>
    <t>MORUMBI SH CARTERS</t>
  </si>
  <si>
    <t>SHOPPING CANTAREIRA</t>
  </si>
  <si>
    <t>RN NATAL MIDWAY SH CARTERS</t>
  </si>
  <si>
    <t>CARTER'S 419 SHOPPING SAVASSI BH</t>
  </si>
  <si>
    <t xml:space="preserve">F 420 - MG CARTER'S SH </t>
  </si>
  <si>
    <t>SHOPPING VILA LOBOS</t>
  </si>
  <si>
    <t>F 422 - SP RIBEIRÃO PRETO SH</t>
  </si>
  <si>
    <t>F 423 - CE FORTALEZA IGUATEMI SH CARTER'S</t>
  </si>
  <si>
    <t>F 424 - BR PARK SH CARTER'S</t>
  </si>
  <si>
    <t>CURITIBA PARK BARIGUI</t>
  </si>
  <si>
    <t>F 426 - PA BELÉM BOULEVARD SH</t>
  </si>
  <si>
    <t>F 427 -  MA MANAUS MANAUARA SH CASA</t>
  </si>
  <si>
    <t>F 430 - SP OSCAR FREIRE</t>
  </si>
  <si>
    <t>F 432 - SC FLORIANÓPOLIS IGUATEMI CARTER'S</t>
  </si>
  <si>
    <t>MOOCA PLAZA SH CARTERS</t>
  </si>
  <si>
    <t>RN NATAL SALVADOR SH CARTERS</t>
  </si>
  <si>
    <t>F 435 - MA SÃO LUIS ILHA SH CARTER'S</t>
  </si>
  <si>
    <t>F 436- PE RECIFE SH CARTER'S</t>
  </si>
  <si>
    <t>DIVINÓPOLIS PÁTIO SH</t>
  </si>
  <si>
    <t>DIVINOPOLIS</t>
  </si>
  <si>
    <t>F 438 - CASA SP ANÁLIA FRANCO</t>
  </si>
  <si>
    <t>OTAVIO ROCHA SH</t>
  </si>
  <si>
    <t>SC SÃO JOSÉ ITAGUAÇU SH - CASA</t>
  </si>
  <si>
    <t>POA BARRA SUL SH</t>
  </si>
  <si>
    <t>SÃO CAETANO PARK SH CARTERS</t>
  </si>
  <si>
    <t>SÃO CAETANO</t>
  </si>
  <si>
    <t>SH CARTER´S</t>
  </si>
  <si>
    <t>TAQUARA PLAZA SH</t>
  </si>
  <si>
    <t xml:space="preserve">PETROPOLIS PATIO SH </t>
  </si>
  <si>
    <t xml:space="preserve"> SP SAO ROQUE CATARINA OUTLET CARTER'S</t>
  </si>
  <si>
    <t>SÃO ROQUE</t>
  </si>
  <si>
    <t xml:space="preserve"> SPA MORUMBI SH [FAN LAB]</t>
  </si>
  <si>
    <t>RIO BARRA SH [CASA]</t>
  </si>
  <si>
    <t>MACEIO PARQUE SH CARTERS</t>
  </si>
  <si>
    <t xml:space="preserve">RIO SUL SH [CARTER'S] </t>
  </si>
  <si>
    <t>ITUPEVA OUTLET PREMIUM CARTERS</t>
  </si>
  <si>
    <t>ITUPEVA</t>
  </si>
  <si>
    <t xml:space="preserve">RIO DESIGN BARRA [CARTER'S] </t>
  </si>
  <si>
    <t>UBERLANDIA CENTER SH CARTERS</t>
  </si>
  <si>
    <t>SHOPPING CARTERS</t>
  </si>
  <si>
    <t>SANTOS PRAIAMAR SH CARTERS</t>
  </si>
  <si>
    <t>PASSO FUNDO</t>
  </si>
  <si>
    <t xml:space="preserve">LONDRINA CATUAÍ SH [CARTER'S] </t>
  </si>
  <si>
    <t>ARACAJÚ JARDINS SH [CARTER'S]</t>
  </si>
  <si>
    <t>JK IGUATEMI SH CARTERS</t>
  </si>
  <si>
    <t>PÁTIO PAULISTA SH CARTERS</t>
  </si>
  <si>
    <t>CIDADE JARDIM SH [CARTER'S]</t>
  </si>
  <si>
    <t>TAMBORÉ SH CARTERS</t>
  </si>
  <si>
    <t>LEBLON SH [CARTER'S]</t>
  </si>
  <si>
    <t>METRO TATUAPE SH FANLAB</t>
  </si>
  <si>
    <t xml:space="preserve"> SÃO JOSE RIO PRETO IGUATEMI SH CARTER'S </t>
  </si>
  <si>
    <t>SC FLORIANOPOLIS BEIRA MAR SH CARTER'S</t>
  </si>
  <si>
    <t>ESTAÇÃO SH CARTER'S</t>
  </si>
  <si>
    <t>RIO POTY SH CARTER'S</t>
  </si>
  <si>
    <t>OUTLET PREMIUM BRASILIA CARTER'S</t>
  </si>
  <si>
    <t>ALEXÂNIA</t>
  </si>
  <si>
    <t>VILLA VELHA SH CARTER'S</t>
  </si>
  <si>
    <t>F 440- RS 127 POA IGUATEMI SH</t>
  </si>
  <si>
    <t xml:space="preserve"> SPA JARDIM SUL SH CARTER'S</t>
  </si>
  <si>
    <t xml:space="preserve"> SPA SP MARKET SH FANLAB </t>
  </si>
  <si>
    <t>BH BOULEVARD SH CARTER'S</t>
  </si>
  <si>
    <t xml:space="preserve">SP SANTO ANDRE GRAND PLAZA SH FANLAB </t>
  </si>
  <si>
    <t xml:space="preserve"> SP SAO JOSE DOS CAMPOS CENTER VALE SH  CARTER'S</t>
  </si>
  <si>
    <t>OUTLET PREMIUM SALVADOR CARTER'S</t>
  </si>
  <si>
    <t xml:space="preserve"> SC BALNEARIO CAMBORIU SH CARTER'S</t>
  </si>
  <si>
    <t>GOIANIA SH CARTER'S</t>
  </si>
  <si>
    <t>PORTO BELO OUTLET CARTER'S</t>
  </si>
  <si>
    <t>PORTO BELO</t>
  </si>
  <si>
    <t>SÃO JOSÉ DO RIO PRETO SH</t>
  </si>
  <si>
    <t>PORTO VELHO SH CARTER'S</t>
  </si>
  <si>
    <t xml:space="preserve">BH VIA BARREIRO SH </t>
  </si>
  <si>
    <t xml:space="preserve">BR IGUATEMI SH [CARTER'S] </t>
  </si>
  <si>
    <t>PALMAS CAPIM DOURADO SH CARTER'S</t>
  </si>
  <si>
    <t>CARTE'S 506 - SH HIGIENOPOLIS</t>
  </si>
  <si>
    <t>RJ RIO BARRA SH CARTERS</t>
  </si>
  <si>
    <t>SP SOROCABA ESPLANADA CARTERS</t>
  </si>
  <si>
    <t>F 510 - AM MANAUS MANAUARA CARTER'S</t>
  </si>
  <si>
    <t>NITERÓI PLAZA SH</t>
  </si>
  <si>
    <t>SC JOINVILLE GARDEN SH CARTERS</t>
  </si>
  <si>
    <t xml:space="preserve">CURITIBA BATEL SH [CARTER'S] </t>
  </si>
  <si>
    <t>RIO BOTAFOGO PRAIA SH</t>
  </si>
  <si>
    <t>PÁTIO SAVASSI</t>
  </si>
  <si>
    <t>MARINGA CATUAI SH CARTER'S</t>
  </si>
  <si>
    <t>UBERABA SH CARTER'S</t>
  </si>
  <si>
    <t>OUTLET PREMIUM IMIGRANTES CARTER'S</t>
  </si>
  <si>
    <t>BRASÍLIA SH CARTER'S</t>
  </si>
  <si>
    <t>PIRACICABA SH CARTER'S</t>
  </si>
  <si>
    <t>CURITIBA PALLADIUM SH CARTER'S</t>
  </si>
  <si>
    <t>CUIABA PANTANAL SH CARTER'S</t>
  </si>
  <si>
    <t>SPA SP MARKET SH CARTER'S</t>
  </si>
  <si>
    <t>SPA PLAZA SUL SH CARTER'S</t>
  </si>
  <si>
    <t>GUARULHOS INTERNACIONAL SH FANLAB</t>
  </si>
  <si>
    <t>SPA MOOCA PLAZA SH FANLAB</t>
  </si>
  <si>
    <t>SAO ROQUE CATARINA OUTLET FANLAB</t>
  </si>
  <si>
    <t>SP JUNDIAÍ MAX SH</t>
  </si>
  <si>
    <t>PR PONTA GROSSA PLAZA SH</t>
  </si>
  <si>
    <t xml:space="preserve"> MG CONTAGEM SÓ MARCAS OUTLET [CARTER'S]</t>
  </si>
  <si>
    <t>539 SP TAMBORÉ SH [FANLAB]</t>
  </si>
  <si>
    <t>TAMBORÉ</t>
  </si>
  <si>
    <t>SP BARUERI IGUATEMI ALPHAVILLE SH [CARTER'S]</t>
  </si>
  <si>
    <t>RIBERÃO PRETO IGUATEMI SH CARTES</t>
  </si>
  <si>
    <t>GO GOIANIA FLAMBOYANT SH [CARTER'S]</t>
  </si>
  <si>
    <t>543 TO ARAGUAIANA LAGO CENTER SH</t>
  </si>
  <si>
    <t>ARAGUAIANA</t>
  </si>
  <si>
    <t>SP SANTO ANDRÉ GRAND PLAZA SH</t>
  </si>
  <si>
    <t>PB PARAIBA JOÃO PESSOA MANAIRA SH</t>
  </si>
  <si>
    <t>JOÃO PESSOA</t>
  </si>
  <si>
    <t>JUNDIAI SH CARTERS</t>
  </si>
  <si>
    <t>SP CAMPINAS DOM PEDRO SH FANLAB</t>
  </si>
  <si>
    <t>SP SÃO CAETANO PARK SH CASA</t>
  </si>
  <si>
    <t>SC BLUMENAU NEUMARKT SH CARTERS</t>
  </si>
  <si>
    <t>RJ VOLTA REDONDA SIDER SH</t>
  </si>
  <si>
    <t>CE EUSÉBIO TERRAZO SH</t>
  </si>
  <si>
    <t>EUSÉBIO</t>
  </si>
  <si>
    <t>SP SUZANO SH</t>
  </si>
  <si>
    <t>SUZANO</t>
  </si>
  <si>
    <t>AL MACEIO PARQUE SH [CASA]</t>
  </si>
  <si>
    <t>SP SAO JOSE CAMPOS VALE SUL SH [CASA]</t>
  </si>
  <si>
    <t>SP RUA DOS PINHEIROS CT [TEMP]  </t>
  </si>
  <si>
    <t>Categoria</t>
  </si>
  <si>
    <t>UN</t>
  </si>
  <si>
    <t>Descrição</t>
  </si>
  <si>
    <t>Capacidade / KG</t>
  </si>
  <si>
    <t>Valor Unitário (R$)</t>
  </si>
  <si>
    <t>Extintores</t>
  </si>
  <si>
    <t>10 L</t>
  </si>
  <si>
    <t>4 kg</t>
  </si>
  <si>
    <t>6 kg</t>
  </si>
  <si>
    <t>8 kg</t>
  </si>
  <si>
    <t>12 kg</t>
  </si>
  <si>
    <t>20 kg</t>
  </si>
  <si>
    <t>50 kg</t>
  </si>
  <si>
    <t>10 kg</t>
  </si>
  <si>
    <t>25 kg</t>
  </si>
  <si>
    <t>9 L</t>
  </si>
  <si>
    <t>50 L</t>
  </si>
  <si>
    <t>PINTURA EXTINTOR PORTÁTIL</t>
  </si>
  <si>
    <t>-</t>
  </si>
  <si>
    <t>PINTURA EXTINTOR CARRETA</t>
  </si>
  <si>
    <t>Mangueiras</t>
  </si>
  <si>
    <t>TESTE HIDROSTÁTICO MANGUEIRA DE INCÊNDIO 1 1/2</t>
  </si>
  <si>
    <t>TESTE HIDROSTÁTICO MANGUEIRA DE INCÊNDIO 2 1/2</t>
  </si>
  <si>
    <t>Peças e Serviços</t>
  </si>
  <si>
    <t>MANOMETRO EXTINTOR</t>
  </si>
  <si>
    <t>VÁLVULA EXTINTOR M-30 AP/PQS</t>
  </si>
  <si>
    <t>VÁLVULA EXTINTOR CO2</t>
  </si>
  <si>
    <t>MANGUEIRA EXTINTOR AP/PQS</t>
  </si>
  <si>
    <t>MANGUEIRA EXTINTOR CO2</t>
  </si>
  <si>
    <t>DIFUSOR EXTINTOR CO2</t>
  </si>
  <si>
    <t>PUNHO EXTINTOR CO2</t>
  </si>
  <si>
    <t>TRAVA EXTINTOR</t>
  </si>
  <si>
    <t>TESTE HIDROSTÁTICO EXTINTOR PORTÁTIL</t>
  </si>
  <si>
    <t>TESTE HIDROSTÁTICO EXTINTOR CARRETA</t>
  </si>
  <si>
    <t>SERVIÇO DE EMPATAÇÃO DE MANGUEIRA</t>
  </si>
  <si>
    <t>EXTINTOR DE INCÊNDIO AP 10 LTS</t>
  </si>
  <si>
    <t>MAPA</t>
  </si>
  <si>
    <t>CLIENTE:</t>
  </si>
  <si>
    <t>TOTAL</t>
  </si>
  <si>
    <t xml:space="preserve">Extintor de Água </t>
  </si>
  <si>
    <t>Extintor de Pó Quimico</t>
  </si>
  <si>
    <t>Extintor ABC</t>
  </si>
  <si>
    <t>Extintor de CO2</t>
  </si>
  <si>
    <t>ESPUMA</t>
  </si>
  <si>
    <t>ATENDIDO ?</t>
  </si>
  <si>
    <t>ID CLIENTE</t>
  </si>
  <si>
    <t>BASE DE ATENDIMENTO</t>
  </si>
  <si>
    <t>PESAGEM</t>
  </si>
  <si>
    <t>30Jg</t>
  </si>
  <si>
    <t>20 KG</t>
  </si>
  <si>
    <t>VALOR</t>
  </si>
  <si>
    <t>SIM</t>
  </si>
  <si>
    <t>NA VALIDADE</t>
  </si>
  <si>
    <t>AGÊNCIA</t>
  </si>
  <si>
    <t>AGÊNCIA ALAGOINHAS</t>
  </si>
  <si>
    <t>ALAGOINHAS</t>
  </si>
  <si>
    <t>FEIRA DE  SANTANA</t>
  </si>
  <si>
    <t>AGÊNCIA BARREIRAS</t>
  </si>
  <si>
    <t>BARREIRAS</t>
  </si>
  <si>
    <t>VITÓRIA DA CONQUISTA</t>
  </si>
  <si>
    <t>AGÊNCIA BOM JESUS DA LAPA</t>
  </si>
  <si>
    <t>BOM JESUS DA LAPA</t>
  </si>
  <si>
    <t>AGÊNCIA BRUMADO</t>
  </si>
  <si>
    <t>BRUMADO</t>
  </si>
  <si>
    <t>rota</t>
  </si>
  <si>
    <t>AGÊNCIA CAMAÇARI</t>
  </si>
  <si>
    <t>CAMAÇARI</t>
  </si>
  <si>
    <t>08/11 a 12/11</t>
  </si>
  <si>
    <t>AGÊNCIA CANDEIAS</t>
  </si>
  <si>
    <t>CANDEIAS</t>
  </si>
  <si>
    <t>AGÊNCIA CAPEMI</t>
  </si>
  <si>
    <t>BASE OP</t>
  </si>
  <si>
    <t>BASE OPERACIONAL MORRO DE SÃO PAULO</t>
  </si>
  <si>
    <t>MORRO DE SÃO PAULO</t>
  </si>
  <si>
    <t>ILHÉUS</t>
  </si>
  <si>
    <t>BASE OPERACIONAL UNA</t>
  </si>
  <si>
    <t>UNA</t>
  </si>
  <si>
    <t>AGÊNCIA GUANAMBI</t>
  </si>
  <si>
    <t>GUANAMBI</t>
  </si>
  <si>
    <t>AGÊNCIA JEQUIÉ</t>
  </si>
  <si>
    <t>JEQUIÉ</t>
  </si>
  <si>
    <t>AGÊNCIA ILHEUS</t>
  </si>
  <si>
    <t xml:space="preserve">AGÊNCIA  IRECÊ </t>
  </si>
  <si>
    <t>IRECÊ</t>
  </si>
  <si>
    <t>AGÊNCIA ITABUNA</t>
  </si>
  <si>
    <t>AGÊNCIA ITAPOÃ</t>
  </si>
  <si>
    <t>AGÊNCIA LUIZ EDUARDO MAGALHÃES</t>
  </si>
  <si>
    <t>LUIS EDUARDO MAGALHÃES</t>
  </si>
  <si>
    <t>AGÊNCIA PAULO AFONSO</t>
  </si>
  <si>
    <t>PAULO AFONSO</t>
  </si>
  <si>
    <t>AGÊNCIA PERIPERI</t>
  </si>
  <si>
    <t xml:space="preserve">AGÊNCIA PRASA DA SÉ </t>
  </si>
  <si>
    <t>1 DEZ VI</t>
  </si>
  <si>
    <t>AGÊNCIA RIBEIRA DO POMBAL</t>
  </si>
  <si>
    <t>RIBEIRA DO POMBAL</t>
  </si>
  <si>
    <t>AGÊNCIA SANTO ANTÕNIO DE JESUS</t>
  </si>
  <si>
    <t>SANTO ANTÔNIO DE JESUS</t>
  </si>
  <si>
    <t>AGÊNCIA SENHOR DO BONFIM</t>
  </si>
  <si>
    <t>SENHOR DO BONFIM</t>
  </si>
  <si>
    <t>AGÊNCIA SENHOR DOS PASSOS</t>
  </si>
  <si>
    <t>AGÊNCIA SERRINHA</t>
  </si>
  <si>
    <t>SERRINHA</t>
  </si>
  <si>
    <t>AGÊNCIA SHOPPING SALVADOR NORTE</t>
  </si>
  <si>
    <t>AGÊNCIA SIMÕES FILHO</t>
  </si>
  <si>
    <t>SIMÕES FILHO</t>
  </si>
  <si>
    <t>ESTAÇÃO REP</t>
  </si>
  <si>
    <t>ESTAÇÃO REPETIDORA VALENÇA</t>
  </si>
  <si>
    <t>VALENÇA</t>
  </si>
  <si>
    <t>AGÊNCIA II VITÓRIA DA CONQUISTA</t>
  </si>
  <si>
    <t>AGÊNCIA I VITÓRIA DA CONQUISTA</t>
  </si>
  <si>
    <t>BASE OPERACIOANAL AMARGOSA</t>
  </si>
  <si>
    <t>AMARGOSA</t>
  </si>
  <si>
    <t>BASE OPERACIONAL ABAIRA</t>
  </si>
  <si>
    <t>ABAÍRA</t>
  </si>
  <si>
    <t>BASE OPERACIONAL ALAGOINHA</t>
  </si>
  <si>
    <t>BASE OPERACIONAL ANDARAÍ</t>
  </si>
  <si>
    <t>ANDARAÍ</t>
  </si>
  <si>
    <t>BASE OPERACIONAL ARACI</t>
  </si>
  <si>
    <t>ARACI</t>
  </si>
  <si>
    <t>AGÊNCIA BARRA ( SH VITORIA CENTER TERREO )</t>
  </si>
  <si>
    <t>BASE OPERACIONAL BARRA GRANDE</t>
  </si>
  <si>
    <t>BARRA GRANDE</t>
  </si>
  <si>
    <t>BASE OPERACIONAL BARRA</t>
  </si>
  <si>
    <t>BARRA</t>
  </si>
  <si>
    <t>BASE OPERACIONAL BARRA DA ESTIVA</t>
  </si>
  <si>
    <t>BARRA DA ESTIVA</t>
  </si>
  <si>
    <t>BASE OPERACIONAL BARRA DO CHOÇA</t>
  </si>
  <si>
    <t>BARRA DO CHOÇA</t>
  </si>
  <si>
    <t>BASE OPERACIONAL BURITIRAMA</t>
  </si>
  <si>
    <t>BURITIRAMA</t>
  </si>
  <si>
    <t>VITÓRIA 06/12</t>
  </si>
  <si>
    <t>ESTAÇÃO REPETIDORA ITAPEBI</t>
  </si>
  <si>
    <t>ITAPEBI</t>
  </si>
  <si>
    <t>BASE OPERACIONAL BELMONTE</t>
  </si>
  <si>
    <t>BELMONTE</t>
  </si>
  <si>
    <t>BASE OPERACIONAL BELO CAMPO</t>
  </si>
  <si>
    <t>BELO CAMPO</t>
  </si>
  <si>
    <t>BASE OPERACIONAL BOQUIRA</t>
  </si>
  <si>
    <t>BOQUIRA</t>
  </si>
  <si>
    <t>BASE OPERACIONAL BREJÕES</t>
  </si>
  <si>
    <t>BREJÕES</t>
  </si>
  <si>
    <t>LUCIANO</t>
  </si>
  <si>
    <t xml:space="preserve">BASE OPERACIONAL BREJOLANDIA </t>
  </si>
  <si>
    <t>BREJOLANDIA</t>
  </si>
  <si>
    <t>BASE OPERACIONAL BROTAS DE MACAUBA</t>
  </si>
  <si>
    <t>BROTAS DE MACAUBA</t>
  </si>
  <si>
    <t>BASE OPERACIONAL CACULÉ</t>
  </si>
  <si>
    <t>CACULÉ</t>
  </si>
  <si>
    <t>BASE OPERACIONAL CAETITÉ</t>
  </si>
  <si>
    <t>CAETITÉ</t>
  </si>
  <si>
    <t>SUBESTAÇÃO</t>
  </si>
  <si>
    <t>SE GUARATINGA</t>
  </si>
  <si>
    <t>GUARATINGA</t>
  </si>
  <si>
    <t>BASE OPERACIONAL CAMPO ALEGRE</t>
  </si>
  <si>
    <t>CAMPO ALEGRE</t>
  </si>
  <si>
    <t>BASE OPERACIONAL CANARANA</t>
  </si>
  <si>
    <t>CANARANA</t>
  </si>
  <si>
    <t>SE ITABEROÉ</t>
  </si>
  <si>
    <t>ITUBERÁ</t>
  </si>
  <si>
    <t>BASE OPERACIONAL CANDIDO SALES</t>
  </si>
  <si>
    <t>CÂNDIDO SALES</t>
  </si>
  <si>
    <t>BASE OPERACIONAL CANSANÇÃO</t>
  </si>
  <si>
    <t>CANSANÇÃO</t>
  </si>
  <si>
    <t>BASE OPERACIONAL CANUDOS</t>
  </si>
  <si>
    <t>CANUDOS</t>
  </si>
  <si>
    <t>BASE OPERACIONAL CAPIM GROSSO</t>
  </si>
  <si>
    <t>CAPIM GROSSO</t>
  </si>
  <si>
    <t>BASE OPERACIONAL CASA NOVA</t>
  </si>
  <si>
    <t>CASA NOVA</t>
  </si>
  <si>
    <t>BASE OPERACIONAL CASTRO ALVES</t>
  </si>
  <si>
    <t>CASTRO ALVES</t>
  </si>
  <si>
    <t>BASE OPERACIONAL CICERO DANTAS I</t>
  </si>
  <si>
    <t>CÍCERO DANTAS</t>
  </si>
  <si>
    <t>BASE OPERACIONAL CICERO DANTAS 2</t>
  </si>
  <si>
    <t>BASE OPERACIONAL COARACI</t>
  </si>
  <si>
    <t>COARACI</t>
  </si>
  <si>
    <t>BASE OPERACIONAL COCOS</t>
  </si>
  <si>
    <t>COCOS</t>
  </si>
  <si>
    <t>BASE OPERACIONAL CONCEOÇÃO DO JACUIPE</t>
  </si>
  <si>
    <t>CONCEIÇÃO DO JACUÍPE</t>
  </si>
  <si>
    <t>BASE OPERACIONAL CONDEÚBA</t>
  </si>
  <si>
    <t>CONDEÚBA</t>
  </si>
  <si>
    <t>BASE OPERACIONAL CORRENTINA</t>
  </si>
  <si>
    <t>CORRENTINA</t>
  </si>
  <si>
    <t>BASE OPERACIONAL CRISTÓPOLIS</t>
  </si>
  <si>
    <t>CRISTÓPOLIS</t>
  </si>
  <si>
    <t>BASE OPERACIONAL CRUZ DAS ALMAS</t>
  </si>
  <si>
    <t>CRUZ DAS ALMAS</t>
  </si>
  <si>
    <t>BASE OPERACIONAL CURAÇÁ</t>
  </si>
  <si>
    <t>CURAÇÁ</t>
  </si>
  <si>
    <t>BASE OPERACIONAL ENTRE RIOS</t>
  </si>
  <si>
    <t>ENTRE RIOS</t>
  </si>
  <si>
    <t>BASE OPERACIONAL EUCLIDES DA CUNHA I</t>
  </si>
  <si>
    <t>EUCLIDES DA CUNHA</t>
  </si>
  <si>
    <t>BASE OPERACIONAL FORMOSA DO RIO PRETO</t>
  </si>
  <si>
    <t>FORMOSA DO RIO PRETO</t>
  </si>
  <si>
    <t xml:space="preserve">BASE OPERACIONAL GANDU </t>
  </si>
  <si>
    <t>GANDÚ</t>
  </si>
  <si>
    <t>BASE OPERACIONAL MURITIBA (CONTAINER)</t>
  </si>
  <si>
    <t>MURITIBA</t>
  </si>
  <si>
    <t>BASE OPERACIONAL IBICARAÍ</t>
  </si>
  <si>
    <t>IBICARAÍ</t>
  </si>
  <si>
    <t>BASE OPERACIONAL IBICUÍ</t>
  </si>
  <si>
    <t>IBICUÍ</t>
  </si>
  <si>
    <t>BASE OPERACIONAL IBIPEBA</t>
  </si>
  <si>
    <t>IBIPEBA</t>
  </si>
  <si>
    <t>BASE OPERACIONAL IBITIARA</t>
  </si>
  <si>
    <t>IBITIARA</t>
  </si>
  <si>
    <t>BASE OPERACIONAL MACURURÉ</t>
  </si>
  <si>
    <t>MUCURURÉ</t>
  </si>
  <si>
    <t>BASE OPERACIONAL IBITIRA</t>
  </si>
  <si>
    <t>IBITIRA</t>
  </si>
  <si>
    <t>SE ITAPEBI</t>
  </si>
  <si>
    <t>BASE OPERACIONAL IPIRÁ</t>
  </si>
  <si>
    <t>IPIRÁ</t>
  </si>
  <si>
    <t>BASE OPERACIONAL IRAMAIA</t>
  </si>
  <si>
    <t>IRAMAIA</t>
  </si>
  <si>
    <t>BASE OPERACIONAL IRAQUARA</t>
  </si>
  <si>
    <t>IRAQUARA</t>
  </si>
  <si>
    <t>FEIRA 06/12</t>
  </si>
  <si>
    <t>BASE OPERACIONAL IRARÁ</t>
  </si>
  <si>
    <t>IRARÁ</t>
  </si>
  <si>
    <t xml:space="preserve"> REPETIDORA SERRA BOA ( SEM EXTINTOR )</t>
  </si>
  <si>
    <t>CAMACÃ</t>
  </si>
  <si>
    <t>BASE OPERACIONAL ITAMARAJU</t>
  </si>
  <si>
    <t>ITAMARAJÚ</t>
  </si>
  <si>
    <t>BASE OPERACIONAL ITAMBÉ</t>
  </si>
  <si>
    <t>ITAMBÉ</t>
  </si>
  <si>
    <t>BASE OPERACIONAL ITAPARICA</t>
  </si>
  <si>
    <t>ITAPARICA</t>
  </si>
  <si>
    <t>BASE OPERACIONAL ITAPEBI</t>
  </si>
  <si>
    <t>BASE OPERACIONAL ITARANTIN</t>
  </si>
  <si>
    <t>ITARANTIM</t>
  </si>
  <si>
    <t>BASE OPERACIONAL ITUBERA</t>
  </si>
  <si>
    <t>BASE OPERACIONAL JAGUAQUARA</t>
  </si>
  <si>
    <t>JAGUAQUARA</t>
  </si>
  <si>
    <t>BASE OPERACIONAL JEREMOABO</t>
  </si>
  <si>
    <t>JEREMOABO</t>
  </si>
  <si>
    <t>BASE OPERACIONAL LENÇÓIS</t>
  </si>
  <si>
    <t>TANQUINHO DE LENÇÓIS</t>
  </si>
  <si>
    <t>BASE OPERACIONAL LICINIO DE ALMEIDA</t>
  </si>
  <si>
    <t>LICÍNIO DE ALMEIDA</t>
  </si>
  <si>
    <t>BASE OPERACIONAL LUIZ EDUARDO MAGALHÃES</t>
  </si>
  <si>
    <t>BASE OPERACIONAL MARACÁS</t>
  </si>
  <si>
    <t>MARACÁS</t>
  </si>
  <si>
    <t>SE ITABELA</t>
  </si>
  <si>
    <t>ITABELA</t>
  </si>
  <si>
    <t>BASE OPERACIONAL CAMACÃ</t>
  </si>
  <si>
    <t>BASE OPERACIONAL MORRO DO CHAPÉU</t>
  </si>
  <si>
    <t>MORRO DO CHAPÉU</t>
  </si>
  <si>
    <t>BASE OPERACIONAL CANAVIEIRAS</t>
  </si>
  <si>
    <t>CANAVIEIRAS</t>
  </si>
  <si>
    <t>BASE OPERACIONAL MUNDO NOVO</t>
  </si>
  <si>
    <t>MUNDO NOVO</t>
  </si>
  <si>
    <t>BASE OPERACIONAL ITACARÉ</t>
  </si>
  <si>
    <t>ITACARÉ</t>
  </si>
  <si>
    <t>BASE OPERACIONAL NAZARÉ</t>
  </si>
  <si>
    <t>NAZARÉ</t>
  </si>
  <si>
    <t>BASE OPERACIONAL OLINDINA</t>
  </si>
  <si>
    <t>OLINDINA</t>
  </si>
  <si>
    <t>BASE OPERACIONAL OUROLÂNDIA</t>
  </si>
  <si>
    <t>OUROLÂNDIA</t>
  </si>
  <si>
    <t>SE PARAMIRIM</t>
  </si>
  <si>
    <t>PARAMIRIM</t>
  </si>
  <si>
    <t xml:space="preserve">BASE OPERACIONAL PARATINGA </t>
  </si>
  <si>
    <t xml:space="preserve">PARATINGA </t>
  </si>
  <si>
    <t>BASE OPERACIONAL PARIPIRANGA</t>
  </si>
  <si>
    <t>Paripiranga</t>
  </si>
  <si>
    <t>BASE OPERACIONAL POÇÕES</t>
  </si>
  <si>
    <t>POÇÕES</t>
  </si>
  <si>
    <t>BASE OPERACIONAL POJUCA</t>
  </si>
  <si>
    <t>POJUCA</t>
  </si>
  <si>
    <t>BASE OPERACIONAL PRESIDENTE TANCREDO NEVES</t>
  </si>
  <si>
    <t>PRESIDENTE TANCREDO NEVES</t>
  </si>
  <si>
    <t>UTD REMANSO</t>
  </si>
  <si>
    <t>REMANSO</t>
  </si>
  <si>
    <t>BASE OPERACIONAL RIACHÃO DAS NEVES</t>
  </si>
  <si>
    <t>RIACHÃO DAS NEVES</t>
  </si>
  <si>
    <t>BASE OPERACIONAL RIACHÃO DO JACUÍPE</t>
  </si>
  <si>
    <t>RIACHÃO DO JACUÍPE</t>
  </si>
  <si>
    <t>BASE OPERACIONAL RODA VELHA</t>
  </si>
  <si>
    <t>RODA VELHA</t>
  </si>
  <si>
    <t>BASE OPERACIONAL ROSÁRIO</t>
  </si>
  <si>
    <t>ROSÁRIO</t>
  </si>
  <si>
    <t>BASE OPERACIONAL RUY BARBOSA</t>
  </si>
  <si>
    <t>RUY BARBOSA</t>
  </si>
  <si>
    <t>BASE OP / UTD SANTA MARIA DA VITORIA</t>
  </si>
  <si>
    <t>SANTA MARIA DA VITORIA</t>
  </si>
  <si>
    <t>BASE OPERACIONAL SANTA RITA DE CÁSSIA</t>
  </si>
  <si>
    <t>SANTA RITA DE CÁSSIA</t>
  </si>
  <si>
    <t>BASE OPERACIONAL SANTANA</t>
  </si>
  <si>
    <t>SANTANA</t>
  </si>
  <si>
    <t>BASE OPERACIONAL SANTO ESTEVÃO</t>
  </si>
  <si>
    <t>SANTO ESTEVÃO</t>
  </si>
  <si>
    <t>BASE OPERACIONAL SENTO SÉ</t>
  </si>
  <si>
    <t>SENTO SÉ</t>
  </si>
  <si>
    <t>BASE OPERACIONAL SUBAÚMA</t>
  </si>
  <si>
    <t>SUBAÚMA</t>
  </si>
  <si>
    <t>BASE OPERACIONAL TANHAÇU</t>
  </si>
  <si>
    <t>TANHAÇÚ</t>
  </si>
  <si>
    <t>BASE OPERACIONAL TUCANO</t>
  </si>
  <si>
    <t>TUCANO</t>
  </si>
  <si>
    <t>BASE OPERACIONAL UAUÁ</t>
  </si>
  <si>
    <t>UAUÁ</t>
  </si>
  <si>
    <t>BASE OPERACIONAL UBAITABA</t>
  </si>
  <si>
    <t>UBAITABA</t>
  </si>
  <si>
    <t>BASE OPERACIONAL URUÇUCA</t>
  </si>
  <si>
    <t>URUÇUCA</t>
  </si>
  <si>
    <t>BASE OPERACIONAL UTINGA</t>
  </si>
  <si>
    <t>UTINGA</t>
  </si>
  <si>
    <t>BASE OPERACIONAL VALENTE</t>
  </si>
  <si>
    <t>VALENTE</t>
  </si>
  <si>
    <t>BASE OPERACIONAL XIQUE-XIQUE</t>
  </si>
  <si>
    <t>XIQUE-XIQUE</t>
  </si>
  <si>
    <t>EDIFICIO</t>
  </si>
  <si>
    <t>EDIFÍCIO SEDE COELBA</t>
  </si>
  <si>
    <t>ESTAÇÃO REPETIDORA ALAGOINHAS</t>
  </si>
  <si>
    <t>ESTAÇÃO REPETIDORA BARREIRAS</t>
  </si>
  <si>
    <t>ESTAÇÃO REPETIDORA BOA NOVA</t>
  </si>
  <si>
    <t>BOA NOVA</t>
  </si>
  <si>
    <t>ESTAÇÃO REPETIDORA BRUMADO</t>
  </si>
  <si>
    <t>ESTAÇÃO REPETIDORA BUERAREMA</t>
  </si>
  <si>
    <t>BUERAREMA</t>
  </si>
  <si>
    <t>ESTAÇÃO REPETIDORA CABULA</t>
  </si>
  <si>
    <t>ESTAÇÃO REPETIDORA CANAL</t>
  </si>
  <si>
    <t>MACAJUBA</t>
  </si>
  <si>
    <t>ESTAÇÃO REPETIDORA CORAÇÃO DE MARIA</t>
  </si>
  <si>
    <t>CORAÇÃO DE MARIA</t>
  </si>
  <si>
    <t>ESTAÇÃO REPETIDORA CORRENTINA</t>
  </si>
  <si>
    <t>ESTAÇÃO REPETIDORA ENCRUZILHADA</t>
  </si>
  <si>
    <t>ENCRUZILHADA</t>
  </si>
  <si>
    <t>ESTAÇÃO REPETIDORA POÇOES</t>
  </si>
  <si>
    <t>POÇOÊS</t>
  </si>
  <si>
    <t>ESTAÇÃO REPETIDORA FLORESTA AZUL</t>
  </si>
  <si>
    <t>FLORESTA AZUL</t>
  </si>
  <si>
    <t>ESTAÇÃO REPETIDORA GMT VITÓRIA DA CONQUISTA</t>
  </si>
  <si>
    <t>ESTAÇÃO REPETIDORA IBIQUERA</t>
  </si>
  <si>
    <t>IBIQUERA</t>
  </si>
  <si>
    <t>ESTAÇÃO REPETIDORA ITABERABA</t>
  </si>
  <si>
    <t>ITABERABA</t>
  </si>
  <si>
    <t>SE CAMACÃ</t>
  </si>
  <si>
    <t>SE CANAVIEIRAS</t>
  </si>
  <si>
    <t>ESTAÇÃO REPETIDORA ITAPETINGA</t>
  </si>
  <si>
    <t>ITAPETINGA</t>
  </si>
  <si>
    <t>ESTAÇÃO REPETIDORA ITARANTIN</t>
  </si>
  <si>
    <t>ESTAÇÃO REPETIDORA ITUBERÁ</t>
  </si>
  <si>
    <t>ESTAÇÃO REPETIDORA JEQUIÉ I</t>
  </si>
  <si>
    <t>ESTAÇÃO REPETIDORA LAPÃO</t>
  </si>
  <si>
    <t>LAPÃO</t>
  </si>
  <si>
    <t>ESTAÇÃO REPETIDORA MACAJUBA</t>
  </si>
  <si>
    <t>ESTAÇÃO REPETIDORA MAETINGA</t>
  </si>
  <si>
    <t>MAETINGA</t>
  </si>
  <si>
    <t>ESTAÇÃO REPETIDORA MONTE SANTO</t>
  </si>
  <si>
    <t>MONTE SANTO</t>
  </si>
  <si>
    <t>ESTAÇÃO REPETIDORA MORRO DAS FLORES</t>
  </si>
  <si>
    <t>ESTAÇÃO REPETIDORA MORRO PAI INACIO</t>
  </si>
  <si>
    <t>ESTAÇÃO REPETIDORA PALMEIRAS</t>
  </si>
  <si>
    <t>PALMEIRAS</t>
  </si>
  <si>
    <t>ESTAÇÃO REPETIDORA PLANALTO</t>
  </si>
  <si>
    <t>PLANALTO</t>
  </si>
  <si>
    <t>ESTAÇÃO REPETIDORA BARRA DA ESTIVA</t>
  </si>
  <si>
    <t>ESTAÇÃO REPETIDORA REPETIDORA FAZENDA PÉ DO ALTO</t>
  </si>
  <si>
    <t>PÉ DO ALTO</t>
  </si>
  <si>
    <t>ESTAÇÃO REPETIDORA REPETIDORA GARRAFÃO</t>
  </si>
  <si>
    <t>ESTAÇÃO REPETIDORA REPETIDORA JAGUAQUARA</t>
  </si>
  <si>
    <t>ESTAÇÃO REPETIDORA REPETIDORA MAGNESITA</t>
  </si>
  <si>
    <t>SE CAMAMU</t>
  </si>
  <si>
    <t>CAMAMU</t>
  </si>
  <si>
    <t>ESTAÇÃO REPETIDORA ORIENTE</t>
  </si>
  <si>
    <t>ESTAÇÃO REPETIDORA  PARAFUSO</t>
  </si>
  <si>
    <t>ESTAÇÃO REPETIDORA RIACHO DE SANTANA</t>
  </si>
  <si>
    <t>RIACHO DE SANTANA</t>
  </si>
  <si>
    <t>ESTAÇÃO REPETIDORA SALA TELECOM SE JEQUIÉ II</t>
  </si>
  <si>
    <t>ESTAÇÃO REPETIDORA SANTA TEREZINHA</t>
  </si>
  <si>
    <t>SANTA TEREZINHA</t>
  </si>
  <si>
    <t>ESTAÇÃO REPETIDORA SENHOR DO BONFIM</t>
  </si>
  <si>
    <t>ESTAÇÃO REPETIDORA SERRINHA</t>
  </si>
  <si>
    <t>ESTAÇÃO REPETIDORA SIT SE VITORIA DA CONQUISTA</t>
  </si>
  <si>
    <t>SE GANDÚ</t>
  </si>
  <si>
    <t>SE MORRO DE SÃO PAULO</t>
  </si>
  <si>
    <t>SE VALENÇA</t>
  </si>
  <si>
    <t>ESTAÇÃO REPETIDORA VTC VITÓRIA DA CONQUISTA</t>
  </si>
  <si>
    <t>MUSEU</t>
  </si>
  <si>
    <t>MUSEU / LOJA DE ATENDIMENTO</t>
  </si>
  <si>
    <t>SE ABAIRA</t>
  </si>
  <si>
    <t>SE AGUAS CLARAS</t>
  </si>
  <si>
    <t>SE ÁGUAS BELAS</t>
  </si>
  <si>
    <t>ÁGUAS BELAS</t>
  </si>
  <si>
    <t>SE AGROVILLA 10</t>
  </si>
  <si>
    <t>SERRA DO RAMALHO</t>
  </si>
  <si>
    <t xml:space="preserve">SE ALAGOINHAS </t>
  </si>
  <si>
    <t>UTD</t>
  </si>
  <si>
    <t>UTD TEIXEIRA DE FREITAS</t>
  </si>
  <si>
    <t>SE AMARALINA</t>
  </si>
  <si>
    <t>SE AMARGOSA</t>
  </si>
  <si>
    <t>SE AMELIA RODRIGUES</t>
  </si>
  <si>
    <t>AMELIA RODRIGUES</t>
  </si>
  <si>
    <t xml:space="preserve">SE AMERICA DOURADA I </t>
  </si>
  <si>
    <t>AMERICA DOURADA</t>
  </si>
  <si>
    <t>SE AMERICA DOURADA II</t>
  </si>
  <si>
    <t>SE ANAGÉ</t>
  </si>
  <si>
    <t>ANAGÉ</t>
  </si>
  <si>
    <t>SE ANDARAÍ</t>
  </si>
  <si>
    <t>SE ANGELICA</t>
  </si>
  <si>
    <t>SÃO GONÇALO DOS CAMPOS</t>
  </si>
  <si>
    <t>SE ANGICAL</t>
  </si>
  <si>
    <t>ANGICAL</t>
  </si>
  <si>
    <t>SE RIO DO ALGODÃO ( BR 020 LUIZ EDUARDO MAG )</t>
  </si>
  <si>
    <t>SÃO DESIDÉRIO</t>
  </si>
  <si>
    <t>SE RIO DO OURO (BR 242/459 FORMOSA DO RIO PRETO )</t>
  </si>
  <si>
    <t>SE RIO GUARÁ ( FAZENDA TABULEIRO - CORRENTINA)</t>
  </si>
  <si>
    <t>SE RIO GRANDE III (BR 463 FAZENDA OURO BRANCO)</t>
  </si>
  <si>
    <t>SE ITAGUARI ( FAZENDA PORTELA,COCOS-BA )</t>
  </si>
  <si>
    <t>SE ANGICO</t>
  </si>
  <si>
    <t>GLÓRIA</t>
  </si>
  <si>
    <t>SE IRAQUARA</t>
  </si>
  <si>
    <t>SE ARAÇAS</t>
  </si>
  <si>
    <t>ARAÇAS</t>
  </si>
  <si>
    <t>SE AREMBEPE</t>
  </si>
  <si>
    <t>SE ASA SUL</t>
  </si>
  <si>
    <t>1 DEZ CABO</t>
  </si>
  <si>
    <t>SE ABRANTES</t>
  </si>
  <si>
    <t>SE ASA BRANCA</t>
  </si>
  <si>
    <t>SE BAIXIO DE IRECÊ I</t>
  </si>
  <si>
    <t>SE BAIXIO DE IRECÊ II</t>
  </si>
  <si>
    <t>ITAGUAÇU DA BAHIA</t>
  </si>
  <si>
    <t>SE BAIXIO DE IRECÊ III</t>
  </si>
  <si>
    <t>SE BARRA DO CHOÇA</t>
  </si>
  <si>
    <t>SE BARRA</t>
  </si>
  <si>
    <t>SE BARRA DA ESTIVA</t>
  </si>
  <si>
    <t>SE BARRA GRANDE</t>
  </si>
  <si>
    <t>VERA CRUZ</t>
  </si>
  <si>
    <t>LEONIDAS</t>
  </si>
  <si>
    <t>SE ASSURUA</t>
  </si>
  <si>
    <t>SE BARREIRAS</t>
  </si>
  <si>
    <t>SE BARREIRAS NORTE</t>
  </si>
  <si>
    <t>SE BARRO VERMELHO</t>
  </si>
  <si>
    <t>SE BELMONTE - PORTO VERACEL</t>
  </si>
  <si>
    <t>SE BERIBEIRA</t>
  </si>
  <si>
    <t>SE BETANIA</t>
  </si>
  <si>
    <t>SANTA LUZIA</t>
  </si>
  <si>
    <t>SE ARACI</t>
  </si>
  <si>
    <t xml:space="preserve">SE BOA VISTA DA TAPERA </t>
  </si>
  <si>
    <t>SE BOM JESUS DA LAPA</t>
  </si>
  <si>
    <t>SE BONINAL I</t>
  </si>
  <si>
    <t>BONINAL</t>
  </si>
  <si>
    <t>SE BONINAL II</t>
  </si>
  <si>
    <t>SE BONITO</t>
  </si>
  <si>
    <t>BONITO</t>
  </si>
  <si>
    <t>SE BOQUIRA</t>
  </si>
  <si>
    <t>SE BURACICA</t>
  </si>
  <si>
    <t>SE BACKUP COI</t>
  </si>
  <si>
    <t>SE CAB - CENTRO ADM BAHIA</t>
  </si>
  <si>
    <t>SE CABOTO</t>
  </si>
  <si>
    <t>SE CAETITE</t>
  </si>
  <si>
    <t>SE CAJAZEIRAS I</t>
  </si>
  <si>
    <t>AGÊNCIA ESCRITÓRIO PORTO SEGURO</t>
  </si>
  <si>
    <t>PORTO SEGURO</t>
  </si>
  <si>
    <t>SE CAMAÇARI  III</t>
  </si>
  <si>
    <t>SE POLO II</t>
  </si>
  <si>
    <t>SE CAMAÇARI I</t>
  </si>
  <si>
    <t>AGÊNCIA EUNAPOLIS</t>
  </si>
  <si>
    <t>EUNÁPOLIS</t>
  </si>
  <si>
    <t>UTD TEIXEIRA DE FREITAS ( GARAGEM )</t>
  </si>
  <si>
    <t>AGÊNCIA TEIXEIRA DE FREITAS</t>
  </si>
  <si>
    <t>SE CANDEAL</t>
  </si>
  <si>
    <t>SE CANDIBA</t>
  </si>
  <si>
    <t>CANDIBA</t>
  </si>
  <si>
    <t>SE CANDIDO SALES</t>
  </si>
  <si>
    <t>SE CAPIM GROSSO I</t>
  </si>
  <si>
    <t>BASE OP CARINHANHA</t>
  </si>
  <si>
    <t>CARINHANHA</t>
  </si>
  <si>
    <t>SE CARINHANHA</t>
  </si>
  <si>
    <t>SE CARRANCA</t>
  </si>
  <si>
    <t>SÃO FÉLIX DO CORIBE</t>
  </si>
  <si>
    <t>SE CARRANCA (CORIBE)</t>
  </si>
  <si>
    <t>CORIBE</t>
  </si>
  <si>
    <t>SE CASA NOVA</t>
  </si>
  <si>
    <t>SE CASCAVEL II</t>
  </si>
  <si>
    <t>MUCUGÊ</t>
  </si>
  <si>
    <t>SE CASTRO ALVES</t>
  </si>
  <si>
    <t>SE CENTRAL</t>
  </si>
  <si>
    <t>SE CENTRO INDUSTRIAL DE FEIRA DE SANTANA</t>
  </si>
  <si>
    <t>SE CENTRO INDUSTRIAL DO CERRADO</t>
  </si>
  <si>
    <t>BASE OPERACIOANAL POSTO DA MATA</t>
  </si>
  <si>
    <t>POSTO DA MATA</t>
  </si>
  <si>
    <t>SE CIA I</t>
  </si>
  <si>
    <t>SIMÕES FILHO / CANDEIAS</t>
  </si>
  <si>
    <t>SE CIA II</t>
  </si>
  <si>
    <t>SE CIA III</t>
  </si>
  <si>
    <t>SE CICERO DANTAS CRD</t>
  </si>
  <si>
    <t>SE CICERO DANTAS III</t>
  </si>
  <si>
    <t>SE CIPÓ</t>
  </si>
  <si>
    <t>CIPÓ</t>
  </si>
  <si>
    <t>SE COARACI</t>
  </si>
  <si>
    <t>SE CONCEIÇÃO DO COITE</t>
  </si>
  <si>
    <t>CONCEIÇÃO DO COITÉ</t>
  </si>
  <si>
    <t>SE CONDE</t>
  </si>
  <si>
    <t>CONDE</t>
  </si>
  <si>
    <t>SE COPEC</t>
  </si>
  <si>
    <t>DIAS D'AVILA</t>
  </si>
  <si>
    <t>SE COROA VERMELHA</t>
  </si>
  <si>
    <t>SANTA CRUZ DE CABRÁLIA / PORTO SEGURO</t>
  </si>
  <si>
    <t>SE CORRENTINA II</t>
  </si>
  <si>
    <t>SE CRUZ DAS ALMAS</t>
  </si>
  <si>
    <t>SE CURAÇÁ</t>
  </si>
  <si>
    <t>BASE OPERACIONAL ALCOBAÇA</t>
  </si>
  <si>
    <t>ALCOBAÇA</t>
  </si>
  <si>
    <t>SE DISTRITO INDUSTRIAL DE ILHEUS</t>
  </si>
  <si>
    <t>SE DISTRITO INDUSTRIAL DE JUAZEIRO</t>
  </si>
  <si>
    <t>JUAZEIRO</t>
  </si>
  <si>
    <t>SE DOM JOÃO</t>
  </si>
  <si>
    <t>SÃO FRANCISCO DO CONDE</t>
  </si>
  <si>
    <t>SE ENTRE RIOS</t>
  </si>
  <si>
    <t>SE ESPLANADA</t>
  </si>
  <si>
    <t>ESPLANADA</t>
  </si>
  <si>
    <t>SE EUCLIDES DA CUNHA I</t>
  </si>
  <si>
    <t>SE EUCLIDES DA CUNHA II</t>
  </si>
  <si>
    <t>BASE OPERACIONAL ARRAIAL DA AJUDA</t>
  </si>
  <si>
    <t>ARRAIAL D'AJUDA</t>
  </si>
  <si>
    <t>SE FEDERAÇÃO</t>
  </si>
  <si>
    <t>SE FEIRA SUL</t>
  </si>
  <si>
    <t>SE FONTE NOVA</t>
  </si>
  <si>
    <t xml:space="preserve">SE FORMOSO </t>
  </si>
  <si>
    <t>SE GLÓRIA II</t>
  </si>
  <si>
    <t>SE GRAÇA</t>
  </si>
  <si>
    <t>SE GUANAMBI</t>
  </si>
  <si>
    <t>SE GUARAJUBA</t>
  </si>
  <si>
    <t>SE IAÇU</t>
  </si>
  <si>
    <t>IAÇU</t>
  </si>
  <si>
    <t>SE IBICARAI</t>
  </si>
  <si>
    <t>SE IBICUÍ</t>
  </si>
  <si>
    <t>SE IBIPEBA</t>
  </si>
  <si>
    <t>SE IBITIARA</t>
  </si>
  <si>
    <t>SE IBOTIRAMA</t>
  </si>
  <si>
    <t>IBOTIRAMA</t>
  </si>
  <si>
    <t>SE IGAPORÃ</t>
  </si>
  <si>
    <t>IGAPORÃ</t>
  </si>
  <si>
    <t>SE IMBUÍ</t>
  </si>
  <si>
    <t>SE INDÚSTRIAS NUCLEARES DO BRASIL</t>
  </si>
  <si>
    <t>SE INHAMBUPE</t>
  </si>
  <si>
    <t>INHAMBUPE</t>
  </si>
  <si>
    <t>BASE OPERACIONAL MUCURI</t>
  </si>
  <si>
    <t>MUCURI</t>
  </si>
  <si>
    <t xml:space="preserve">SE IPIRÁ </t>
  </si>
  <si>
    <t>SE IRAMAIA</t>
  </si>
  <si>
    <t>SE IRARÁ</t>
  </si>
  <si>
    <t>SE CENTRAL DE IRECÊ</t>
  </si>
  <si>
    <t>SE IRECÊ</t>
  </si>
  <si>
    <t>ESTAÇÃO REPETIDORA MONTINHO</t>
  </si>
  <si>
    <t>ESTAÇÃO REPETIDORA PORTO SEGURO</t>
  </si>
  <si>
    <t>SE ITABERABA II</t>
  </si>
  <si>
    <t>SE ITABERABA II (IBD)</t>
  </si>
  <si>
    <t>SE ITABERABA I</t>
  </si>
  <si>
    <t>ESTAÇÃO REPETIDORA TEIXEIRA DE FREITAS</t>
  </si>
  <si>
    <t>SE ITABUNA</t>
  </si>
  <si>
    <t>SE ITABUNA II</t>
  </si>
  <si>
    <t>SE ALCOBACA</t>
  </si>
  <si>
    <t>SE ITAMARAJÚ</t>
  </si>
  <si>
    <t>SE ITAMBÉ</t>
  </si>
  <si>
    <t>SE ITANAGRA</t>
  </si>
  <si>
    <t>ITANAGRA</t>
  </si>
  <si>
    <t>SE ITAPAGIPE</t>
  </si>
  <si>
    <t>SE EUNAPOLIS II</t>
  </si>
  <si>
    <t>SE EUNAPOLIS III</t>
  </si>
  <si>
    <t xml:space="preserve">SE ITAPETINGA </t>
  </si>
  <si>
    <t>SE ITAQUARA</t>
  </si>
  <si>
    <t>ITAQUARA</t>
  </si>
  <si>
    <t>SE ITINGA</t>
  </si>
  <si>
    <t>SE ITIUBA</t>
  </si>
  <si>
    <t>ITIÚBA</t>
  </si>
  <si>
    <t>SE JACARACI</t>
  </si>
  <si>
    <t>JACARACI</t>
  </si>
  <si>
    <t>SE JACOBINA</t>
  </si>
  <si>
    <t>JACOBINA</t>
  </si>
  <si>
    <t>SE JACURICI (ACESSO IMPOSSIVEL ABELHA )</t>
  </si>
  <si>
    <t>SE JAGUAQUARA</t>
  </si>
  <si>
    <t>SE JEQUIÉ II</t>
  </si>
  <si>
    <t>SE JEQUIÉ I</t>
  </si>
  <si>
    <t>SE JEREMOABO</t>
  </si>
  <si>
    <t>SE JOÃO DOURADO</t>
  </si>
  <si>
    <t>JOÃO DOURADO</t>
  </si>
  <si>
    <t>SE JUAZEIRO I</t>
  </si>
  <si>
    <t xml:space="preserve">SE JUNCO </t>
  </si>
  <si>
    <t>SE KM - 43</t>
  </si>
  <si>
    <t>SE LAGOA DO MORRO</t>
  </si>
  <si>
    <t>SE LAPINHA</t>
  </si>
  <si>
    <t>SE LAURO DE FREITAS</t>
  </si>
  <si>
    <t>SE LENÇOIS</t>
  </si>
  <si>
    <t>LENÇOIS</t>
  </si>
  <si>
    <t>SE LICINIO DE ALMEIDA</t>
  </si>
  <si>
    <t>SE LIVRAMENTO DE BRUMADO</t>
  </si>
  <si>
    <t>LIVRAMENTO DE NOSSA SENHORA</t>
  </si>
  <si>
    <t>SE LOBATO</t>
  </si>
  <si>
    <t>SE MACAÚBAS</t>
  </si>
  <si>
    <t>MACAÚBAS</t>
  </si>
  <si>
    <t>SE MACURURÉ</t>
  </si>
  <si>
    <t>MACURURÉ</t>
  </si>
  <si>
    <t>SE MAIQUINIQUE</t>
  </si>
  <si>
    <t>MAIQUINIQUE</t>
  </si>
  <si>
    <t xml:space="preserve">SE MALHADA </t>
  </si>
  <si>
    <t>MALHADA</t>
  </si>
  <si>
    <t>SE MANIÇOBA</t>
  </si>
  <si>
    <t>SE MARAÚ</t>
  </si>
  <si>
    <t>MARAÚ</t>
  </si>
  <si>
    <t>SE MARACÁS</t>
  </si>
  <si>
    <t>SE MARAGOGIPE</t>
  </si>
  <si>
    <t>MARAGOGIPE</t>
  </si>
  <si>
    <t>SE MASSANGANO II</t>
  </si>
  <si>
    <t>SOBRADINHO</t>
  </si>
  <si>
    <t>SE MARCIONÍLIO SOUZA</t>
  </si>
  <si>
    <t>MARCIONILO SOUZA</t>
  </si>
  <si>
    <t>SE MATA DE SÃO JOÃO</t>
  </si>
  <si>
    <t>MATA DE SÃO JOÃO</t>
  </si>
  <si>
    <t>SE MATARANDIBA</t>
  </si>
  <si>
    <t>SE MATARIPE</t>
  </si>
  <si>
    <t>SE MEDEIROS NETO</t>
  </si>
  <si>
    <t>MEDEIROS NETO</t>
  </si>
  <si>
    <t>SE MIGUEL CALMON</t>
  </si>
  <si>
    <t>MIGUEL CALMON</t>
  </si>
  <si>
    <t>SE MILAGRES</t>
  </si>
  <si>
    <t>MILAGRES</t>
  </si>
  <si>
    <t>SE MIRORÓS</t>
  </si>
  <si>
    <t>SE MONTE PASCOAL</t>
  </si>
  <si>
    <t>SE MUCURI</t>
  </si>
  <si>
    <t xml:space="preserve">SE MORRO DO CHAPÉU </t>
  </si>
  <si>
    <t>SE MUCUGÊ</t>
  </si>
  <si>
    <t>SE POSTO DA MATA</t>
  </si>
  <si>
    <t>SE MUNDO NOVO</t>
  </si>
  <si>
    <t>SE MUNDO VERDE</t>
  </si>
  <si>
    <t>SE MURITIBA</t>
  </si>
  <si>
    <t>SE NAZARÉ</t>
  </si>
  <si>
    <t>SE NOVA VIÇOSA</t>
  </si>
  <si>
    <t>NOVA VIÇOSA</t>
  </si>
  <si>
    <t>SE NOVA REDENÇÃO</t>
  </si>
  <si>
    <t>NOVA REDENÇÃO</t>
  </si>
  <si>
    <t>SE OLIVEIRA DOS BREJINHOS</t>
  </si>
  <si>
    <t>OLIVEIRA DOS BREJINHOS</t>
  </si>
  <si>
    <t>SE PALMEIRAS</t>
  </si>
  <si>
    <t>SE PARATINGA</t>
  </si>
  <si>
    <t>PARATINGA</t>
  </si>
  <si>
    <t>SE PARIPE</t>
  </si>
  <si>
    <t>SE PATAGÔNIA</t>
  </si>
  <si>
    <t>SE PATAMARES</t>
  </si>
  <si>
    <t>SE PEDRA BRANCA</t>
  </si>
  <si>
    <t>SE PADRO</t>
  </si>
  <si>
    <t>PADRO</t>
  </si>
  <si>
    <t>SE PEDRINHAS</t>
  </si>
  <si>
    <t>CAMPO FORMOSO</t>
  </si>
  <si>
    <t>SE PERIPERI</t>
  </si>
  <si>
    <t>SE PINTADAS</t>
  </si>
  <si>
    <t>PINTADAS</t>
  </si>
  <si>
    <t>SE PITUAÇU II</t>
  </si>
  <si>
    <t>SE PITUBA</t>
  </si>
  <si>
    <t>SE POÇÕES</t>
  </si>
  <si>
    <t>SE PONTO DO ASTERIO</t>
  </si>
  <si>
    <t>FIRMINO ALVES</t>
  </si>
  <si>
    <t>SE PONTO NOVO</t>
  </si>
  <si>
    <t>PONTO NOVO</t>
  </si>
  <si>
    <t>SE PORTO DE SAUIPE</t>
  </si>
  <si>
    <t>SE PORTO SEGURO</t>
  </si>
  <si>
    <t>SE SÃO JOSÉ DO BELMONTE</t>
  </si>
  <si>
    <t>SE PRAIA DO FORTE</t>
  </si>
  <si>
    <t>SE PRATUDINHO</t>
  </si>
  <si>
    <t>JABORANDI</t>
  </si>
  <si>
    <t>SE PRESIDENTE JÂNIO QUADROS</t>
  </si>
  <si>
    <t>PRESIDENTE JÂNIO QUADROS</t>
  </si>
  <si>
    <t>SE TEIXEIRA DE FREITAS II</t>
  </si>
  <si>
    <t>SE QUEIMADAS</t>
  </si>
  <si>
    <t>QUEIMADAS</t>
  </si>
  <si>
    <t>SE QUEIMADAS II</t>
  </si>
  <si>
    <t>SE RAFAEL JAMBEIRO</t>
  </si>
  <si>
    <t>RAFAEL JAMBEIRO</t>
  </si>
  <si>
    <t>SE RANGEL</t>
  </si>
  <si>
    <t>ANTAS</t>
  </si>
  <si>
    <t>SE REMANSO</t>
  </si>
  <si>
    <t>SE RETIRO</t>
  </si>
  <si>
    <t>SE RIACHÃO DAS NEVES</t>
  </si>
  <si>
    <t>SE RIACHÃO DO JACUIPE</t>
  </si>
  <si>
    <t>SE RIACHO DE SANTANA</t>
  </si>
  <si>
    <t>SE RIBEIRA DO POMBAL III</t>
  </si>
  <si>
    <t>SE RIO BRANCO</t>
  </si>
  <si>
    <t>SE RIO CORRENTE</t>
  </si>
  <si>
    <t>SE RIO DAS ÉGUAS</t>
  </si>
  <si>
    <t>SE RIO DAS PEDRAS</t>
  </si>
  <si>
    <t>SE CHAVEAMENTO VALE VERDE</t>
  </si>
  <si>
    <t>SE RIO DO ANTONIO</t>
  </si>
  <si>
    <t>RIO DO ANTÔNIO</t>
  </si>
  <si>
    <t>SE RIO DO MEIO</t>
  </si>
  <si>
    <t>SE RIO GRANDE</t>
  </si>
  <si>
    <t>SE RIO VERDE</t>
  </si>
  <si>
    <t>SE RODA VELHA</t>
  </si>
  <si>
    <t>SE RODELAS</t>
  </si>
  <si>
    <t>RODELAS</t>
  </si>
  <si>
    <t>SE SAUDE</t>
  </si>
  <si>
    <t>SAUDE</t>
  </si>
  <si>
    <t>SE RUI BARBOSA</t>
  </si>
  <si>
    <t>RUI BARBOSA</t>
  </si>
  <si>
    <t>SE SALITRE I</t>
  </si>
  <si>
    <t>SE SALITRE II</t>
  </si>
  <si>
    <t>SE SALITRE III</t>
  </si>
  <si>
    <t>SE SALITRE IV</t>
  </si>
  <si>
    <t>SE SANTA BARBARA</t>
  </si>
  <si>
    <t>SANTA BÁRBARA</t>
  </si>
  <si>
    <t>SE CENTRO INDUSTRIAL TEIXEIRA DE FREITAS</t>
  </si>
  <si>
    <t>SE SANTA BRIGIDA</t>
  </si>
  <si>
    <t>SANTA BRÍGIDA</t>
  </si>
  <si>
    <t>SE SANTA MÔNICA</t>
  </si>
  <si>
    <t>SE SANTANA</t>
  </si>
  <si>
    <t>SE SANTO AMARO</t>
  </si>
  <si>
    <t>SANTO AMARO</t>
  </si>
  <si>
    <t>SE SANTO ANTÔNIO DE JESUS</t>
  </si>
  <si>
    <t>SE SANTO ANTÔNIO DE JESUS III</t>
  </si>
  <si>
    <t>SE SANTO ESTÊVÃO</t>
  </si>
  <si>
    <t>SE SÃO CRISTOVÃO</t>
  </si>
  <si>
    <t>SE SÃO DESIDÉRIO</t>
  </si>
  <si>
    <t>SE SÃO FELIPE</t>
  </si>
  <si>
    <t>SÃO FELIPE</t>
  </si>
  <si>
    <t>SE SÃO GONCALO DOS CAMPOS</t>
  </si>
  <si>
    <t>UTD EUNAPOLIS</t>
  </si>
  <si>
    <t>SE SÃO MIGUEL</t>
  </si>
  <si>
    <t>LAJEDINHO</t>
  </si>
  <si>
    <t>SE SÃO ROQUE</t>
  </si>
  <si>
    <t>SE SERRA DO RAMALHO (BOM JESUS DA LAPA II )</t>
  </si>
  <si>
    <t>SE SEABRA</t>
  </si>
  <si>
    <t>SEABRA</t>
  </si>
  <si>
    <t>SE SENHOR DO BOMFIM</t>
  </si>
  <si>
    <t>SE SENTO SÉ</t>
  </si>
  <si>
    <t xml:space="preserve">SE SERRA </t>
  </si>
  <si>
    <t>CONCEICAO DA FEIRA</t>
  </si>
  <si>
    <t>SE SERRA BRANCA</t>
  </si>
  <si>
    <t>SE SERRINHA</t>
  </si>
  <si>
    <t>SE SERRINHA II</t>
  </si>
  <si>
    <t>SE CHAVEAMENTO SOBRADINHO</t>
  </si>
  <si>
    <t>SE SUBAÉ</t>
  </si>
  <si>
    <t>SE TANHAÇU</t>
  </si>
  <si>
    <t>SE TAPEROÁ</t>
  </si>
  <si>
    <t>TAPEROÁ</t>
  </si>
  <si>
    <t>SE TAPIRAMUTÁ</t>
  </si>
  <si>
    <t>TAPIRAMUTÁ</t>
  </si>
  <si>
    <t>SE TAQUIPE</t>
  </si>
  <si>
    <t>SÃO SEBASTIÃO DO PASSÉ</t>
  </si>
  <si>
    <t>UTD PORTO SEGURO</t>
  </si>
  <si>
    <t>SE TEOFILÂNDIA</t>
  </si>
  <si>
    <t>TEOFILÂNDIA</t>
  </si>
  <si>
    <t>SE TERRA NOVA</t>
  </si>
  <si>
    <t>TERRA NOVA</t>
  </si>
  <si>
    <t>SE TOMBA</t>
  </si>
  <si>
    <t>SE TOURÃO</t>
  </si>
  <si>
    <t>SE TRANCOSO</t>
  </si>
  <si>
    <t>SE TUCANO</t>
  </si>
  <si>
    <t>SE URANDI</t>
  </si>
  <si>
    <t>URANDI</t>
  </si>
  <si>
    <t>SE URUÇUCA</t>
  </si>
  <si>
    <t>BASE OPERACIONAL MUTUIPE</t>
  </si>
  <si>
    <t>MUTUIPE</t>
  </si>
  <si>
    <t>SE VALENTE</t>
  </si>
  <si>
    <t>SE VITÓRIA DA CONQUISTA</t>
  </si>
  <si>
    <t>SE WAGNER</t>
  </si>
  <si>
    <t>WAGNER</t>
  </si>
  <si>
    <t>SE XIQUE-XIQUE</t>
  </si>
  <si>
    <t>SE BRUMADO</t>
  </si>
  <si>
    <t xml:space="preserve">SE CAJAZEIRAS II </t>
  </si>
  <si>
    <t>SE CAMAÇARI V</t>
  </si>
  <si>
    <t>SE TAIPU DE FORA</t>
  </si>
  <si>
    <t>TAIPU DE FORA</t>
  </si>
  <si>
    <t>SE ILHEUS I</t>
  </si>
  <si>
    <t>UTD ALAGOINHAS</t>
  </si>
  <si>
    <t>UTD BARREIRAS</t>
  </si>
  <si>
    <t>UTD BOM JESUS DA LAPA</t>
  </si>
  <si>
    <t xml:space="preserve">BOM JESUS DA LAPA </t>
  </si>
  <si>
    <t>UTD BRUMADO</t>
  </si>
  <si>
    <t>UTD CAMAÇARI</t>
  </si>
  <si>
    <t>UTD CONCEIÇÃO COITE</t>
  </si>
  <si>
    <t>CONCEIÇÃO COITE</t>
  </si>
  <si>
    <t>UTD ESPLANADA</t>
  </si>
  <si>
    <t>SE IBIRAPUÃ</t>
  </si>
  <si>
    <t>IBIRAPUÃ</t>
  </si>
  <si>
    <t>BASE OPERACIONAL IBIRAPUÃ</t>
  </si>
  <si>
    <t>BASE OPERACIONAL MEDEIROS NETO</t>
  </si>
  <si>
    <t>UTD FEIRA NORTE</t>
  </si>
  <si>
    <t>UTD FEIRA SUL</t>
  </si>
  <si>
    <t>UTD GUANAMBI</t>
  </si>
  <si>
    <t>UTD IBOTIRAMA</t>
  </si>
  <si>
    <t>UTD ILHEUS</t>
  </si>
  <si>
    <t>ILHEUS</t>
  </si>
  <si>
    <t>UTD IPIAÚ</t>
  </si>
  <si>
    <t>IPIAÚ</t>
  </si>
  <si>
    <t>UTD IRECÊ</t>
  </si>
  <si>
    <t>UTD ITABERABA</t>
  </si>
  <si>
    <t>UTD ITABUNA</t>
  </si>
  <si>
    <t>UTD ITAPETINGA</t>
  </si>
  <si>
    <t>BASE OP JACOBINA</t>
  </si>
  <si>
    <t>UTD JACOBINA</t>
  </si>
  <si>
    <t>UTD JEQUIÉ</t>
  </si>
  <si>
    <t>SE JUAZEIRO IV</t>
  </si>
  <si>
    <t>UTD JUAZEIRO</t>
  </si>
  <si>
    <t>UTD LAURO DE FREITAS</t>
  </si>
  <si>
    <t>UTD LIVRAMENTO  NS</t>
  </si>
  <si>
    <t>UTD PAULO AFONSO</t>
  </si>
  <si>
    <t>UTD PIRAJÁ</t>
  </si>
  <si>
    <t>SE DARIO MEIRA ( CHAVEAMENTO )</t>
  </si>
  <si>
    <t>DARIO MEIRA</t>
  </si>
  <si>
    <t>UTD RIBEIRA DO POMBAL</t>
  </si>
  <si>
    <t>UTD SANTO AMARO</t>
  </si>
  <si>
    <t>UTD SANTO ANTÔNIO DE JESUS</t>
  </si>
  <si>
    <t>UTD SEABRA</t>
  </si>
  <si>
    <t>UTD SENHOR DO BONFIM</t>
  </si>
  <si>
    <t>UTD SERRINHA</t>
  </si>
  <si>
    <t>SE IPIAÚ</t>
  </si>
  <si>
    <t>UTD VALENÇA</t>
  </si>
  <si>
    <t>UTD VITÓRIA DA CONQUISTA</t>
  </si>
  <si>
    <t>MAPA:</t>
  </si>
  <si>
    <t>AGÊNCIA CAICÓ</t>
  </si>
  <si>
    <t>CAICÓ</t>
  </si>
  <si>
    <t>AGÊNCIA CEARÁ-MIRIM</t>
  </si>
  <si>
    <t>CEARÁ-MIRIM</t>
  </si>
  <si>
    <t>AGÊNCIA DE ATENDIMENTO ALECRIM</t>
  </si>
  <si>
    <t>AGÊNCIA DE ATENDIMENTO ASSÚ</t>
  </si>
  <si>
    <t>ASSÚ</t>
  </si>
  <si>
    <t>AGÊNCIA DE ATENDIMENTO CURRAIS NOVOS</t>
  </si>
  <si>
    <t>CURRAIS NOVOS</t>
  </si>
  <si>
    <t>AGÊNCIA DE ATENDIMENTO MACAÍBA</t>
  </si>
  <si>
    <t>MACAÍBA</t>
  </si>
  <si>
    <t>AGÊNCIA DE ATENDIMENTO MOSSORÓ</t>
  </si>
  <si>
    <t>MOSSORÓ</t>
  </si>
  <si>
    <t>AGÊNCIA DE ATENDIMENTO NATAL (CIDADE JARDIM)</t>
  </si>
  <si>
    <t>AGÊNCIA DE ATENDIMENTO NATAL (ZONA NORTE)</t>
  </si>
  <si>
    <t>AGÊNCIA DE ATENDIMENTO PARNAMIRIM</t>
  </si>
  <si>
    <t>PARNAMIRIM</t>
  </si>
  <si>
    <t>AGÊNCIA DE ATENDIMENTO PAU DOS FERROS</t>
  </si>
  <si>
    <t>PAU DOS FERROS</t>
  </si>
  <si>
    <t>AGÊNCIA DE ATENDIMENTO SÃO GONÇALO DO AMARANTE</t>
  </si>
  <si>
    <t>SÃO GONÇALO DO AMARANTE</t>
  </si>
  <si>
    <t>AGÊNCIA DE ATENDIMENTO SÃO JOSÉ DE MIPIBÚ</t>
  </si>
  <si>
    <t>SÃO JOSÉ DE MIPIBU</t>
  </si>
  <si>
    <t>AGÊNCIA GOIANINHA</t>
  </si>
  <si>
    <t>GOIANINHA</t>
  </si>
  <si>
    <t>BASE OPERACIONAL MACAU</t>
  </si>
  <si>
    <t>MACAU</t>
  </si>
  <si>
    <t>BASE OPERACIONAL PARNAMIRIM</t>
  </si>
  <si>
    <t>BASE OPERACIONAL JOÃO CÂMARA</t>
  </si>
  <si>
    <t>JOÃO CÂMARA</t>
  </si>
  <si>
    <t>BASE OPERACIONAL SANTA CRUZ</t>
  </si>
  <si>
    <t>SANTA CRUZ</t>
  </si>
  <si>
    <t>EDIFÍCIO SEDE COSERN</t>
  </si>
  <si>
    <t>EDIFÍCIO SEDE NEOPOLIS</t>
  </si>
  <si>
    <t>ESTAÇÃO REPETIDORA BODÓ</t>
  </si>
  <si>
    <t>CERRO CORA</t>
  </si>
  <si>
    <t>ESTACAO REPETIDORA MARTINS</t>
  </si>
  <si>
    <t>MARTINS</t>
  </si>
  <si>
    <t>ESTACAO REPETIDORA SANTA CRUZ / SE SANTA CRUZ</t>
  </si>
  <si>
    <t>ESTACAO REPETIDORA SERRA DO MEL</t>
  </si>
  <si>
    <t>SERRA DO MEL</t>
  </si>
  <si>
    <t>SE CAPIM MACIO</t>
  </si>
  <si>
    <t>SE CARAÚBAS</t>
  </si>
  <si>
    <t>CARAÚBAS</t>
  </si>
  <si>
    <t>SE CEARA-MIRIM</t>
  </si>
  <si>
    <t>NATAL 06/12</t>
  </si>
  <si>
    <t>SE CENTRO</t>
  </si>
  <si>
    <t>SE CURRAIS NOVOS</t>
  </si>
  <si>
    <t>SE DIX-SEPT ROSADO</t>
  </si>
  <si>
    <t>DIX-SEPT ROSADO</t>
  </si>
  <si>
    <t>SE DOM MARCOLINO</t>
  </si>
  <si>
    <t>MAXARANGUAPE</t>
  </si>
  <si>
    <t>SE EXTREITO CARNAUBAS</t>
  </si>
  <si>
    <t>CARNAUBAIS</t>
  </si>
  <si>
    <t>SE GOIANINHA</t>
  </si>
  <si>
    <t>SE GROSSOS</t>
  </si>
  <si>
    <t>GROSSOS</t>
  </si>
  <si>
    <t>SE GUAMARE</t>
  </si>
  <si>
    <t>GUAMARÉ</t>
  </si>
  <si>
    <t>SE IGAPO</t>
  </si>
  <si>
    <t>SE ITAJÁ</t>
  </si>
  <si>
    <t>ITAJÁ</t>
  </si>
  <si>
    <t>SE JAPECANGA</t>
  </si>
  <si>
    <t>SE JANDAIRA</t>
  </si>
  <si>
    <t>JANDAIRA</t>
  </si>
  <si>
    <t>SE JARDIM DE PIRANHAS</t>
  </si>
  <si>
    <t>JARDIM DE PIRANHAS</t>
  </si>
  <si>
    <t>SE JARDIM DO SERIDO</t>
  </si>
  <si>
    <t>JARDIM DO SERIDÓ</t>
  </si>
  <si>
    <t>SE JIQUI</t>
  </si>
  <si>
    <t>SE PAJUÇARA</t>
  </si>
  <si>
    <t>SE JOAO CAMARA</t>
  </si>
  <si>
    <t>SE JUCURUTU</t>
  </si>
  <si>
    <t>JUCURUTU</t>
  </si>
  <si>
    <t>SE LAGOA NOVA</t>
  </si>
  <si>
    <t>SE LITORAL SUL</t>
  </si>
  <si>
    <t>SE MACAU</t>
  </si>
  <si>
    <t>SE MAISA</t>
  </si>
  <si>
    <t>SE MAJOR SALES</t>
  </si>
  <si>
    <t>MAJOR SALES</t>
  </si>
  <si>
    <t>SE MARCELINO VIEIRA</t>
  </si>
  <si>
    <t>MARCELINO VIEIRA</t>
  </si>
  <si>
    <t>SE MOSSORO I</t>
  </si>
  <si>
    <t>SE MOSSORO III</t>
  </si>
  <si>
    <t>SE NATAL I</t>
  </si>
  <si>
    <t>SE NEOPOLIS</t>
  </si>
  <si>
    <t>SE PARELHAS</t>
  </si>
  <si>
    <t>NOVA CRUZ</t>
  </si>
  <si>
    <t>SE PARNAMIRIM</t>
  </si>
  <si>
    <t>SE PAU DOS FERROS</t>
  </si>
  <si>
    <t>SE PENDENCIAS</t>
  </si>
  <si>
    <t>PENDÊNCIAS</t>
  </si>
  <si>
    <t>SE PLANALTO</t>
  </si>
  <si>
    <t>SE RIACHO DA CRUZ</t>
  </si>
  <si>
    <t>RIACHO DA CRUZ</t>
  </si>
  <si>
    <t>SE RIBEIRA</t>
  </si>
  <si>
    <t>SE SANTANA DOS MATOS</t>
  </si>
  <si>
    <t>SANTANA DO MATOS</t>
  </si>
  <si>
    <t>SE SAO BENTO DO NORTE</t>
  </si>
  <si>
    <t>SÃO BENTO DO NORTE</t>
  </si>
  <si>
    <t>LAJE</t>
  </si>
  <si>
    <t>SE SAO MIGUEL DO OESTE</t>
  </si>
  <si>
    <t>SÃO MIGUEL</t>
  </si>
  <si>
    <t>SE SERRA VERMELHA</t>
  </si>
  <si>
    <t>AREIA BRANCA</t>
  </si>
  <si>
    <t>SE TANGARA</t>
  </si>
  <si>
    <t>TANGARÁ</t>
  </si>
  <si>
    <t>SE VELAME</t>
  </si>
  <si>
    <t>BARAÚNA</t>
  </si>
  <si>
    <t>SE ZABELE</t>
  </si>
  <si>
    <t>TOUROS</t>
  </si>
  <si>
    <t>SE GANGORRA</t>
  </si>
  <si>
    <t>SE ACARI</t>
  </si>
  <si>
    <t>ACARI</t>
  </si>
  <si>
    <t>SUBESTAÇÃO ALECRIM</t>
  </si>
  <si>
    <t>SUBESTAÇÃO ALMINO AFONSO</t>
  </si>
  <si>
    <t>ALMINO AFONSO</t>
  </si>
  <si>
    <t>SUBESTAÇÃO ALTO DE RODRIGUES</t>
  </si>
  <si>
    <t>ALTO DO RODRIGUES</t>
  </si>
  <si>
    <t>SUBESTAÇÃO APODI</t>
  </si>
  <si>
    <t>APODI</t>
  </si>
  <si>
    <t>SUBESTAÇÃO ASSU</t>
  </si>
  <si>
    <t>SUBESTAÇÃO BARAUNA</t>
  </si>
  <si>
    <t>SUBESTAÇÃO BARROCAS</t>
  </si>
  <si>
    <t>SUBESTAÇÃO BOA CICA</t>
  </si>
  <si>
    <t>TIBAU DO SUL</t>
  </si>
  <si>
    <t>SUBESTAÇÃO BREJINHO</t>
  </si>
  <si>
    <t>BREJINHO</t>
  </si>
  <si>
    <t>SUBESTAÇÃO CAICO</t>
  </si>
  <si>
    <t>SUBESTAÇÃO CAMPO GRANDE</t>
  </si>
  <si>
    <t>SUBESTAÇÃO CANGUARETAMA</t>
  </si>
  <si>
    <t>CANGUARETAMA</t>
  </si>
  <si>
    <t>SUBESTAÇÃO ELOI DE SOUZA</t>
  </si>
  <si>
    <t>senador ELOI DE SOUZA</t>
  </si>
  <si>
    <t>SUBESTAÇÃO EXTREMOZ I</t>
  </si>
  <si>
    <t>EXTREMOZ</t>
  </si>
  <si>
    <t>SUBESTAÇÃO EXTREMOZ II</t>
  </si>
  <si>
    <t>SUBESTAÇÃO ITANS</t>
  </si>
  <si>
    <t>SUBESTAÇÃO LAGOA D ANTA</t>
  </si>
  <si>
    <t>LAGOA DANTA</t>
  </si>
  <si>
    <t>SUBESTAÇÃO MACAIBA</t>
  </si>
  <si>
    <t>SUBESTAÇÃO NOVA CRUZ</t>
  </si>
  <si>
    <t>NISIA FLORESTA</t>
  </si>
  <si>
    <t>SUBESTAÇÃO PASSAGEM DE AREIA</t>
  </si>
  <si>
    <t>SUBESTAÇÃO PIPA</t>
  </si>
  <si>
    <t>SUBESTAÇÃO POTENGI</t>
  </si>
  <si>
    <t>SUBESTAÇÃO SANTA CRUZ</t>
  </si>
  <si>
    <t xml:space="preserve">SUBESTAÇÃO SANTO ANTONIO </t>
  </si>
  <si>
    <t>SANTO ANTÔNIO</t>
  </si>
  <si>
    <t>BASE OP SÃO PAULO POTENGI</t>
  </si>
  <si>
    <t>SÃO PAULO DO POTENGI</t>
  </si>
  <si>
    <t>SUBESTAÇÃO SAO JOSE DE MIPIBU</t>
  </si>
  <si>
    <t>SUBESTAÇÃO SÃO PAULO DO POTENGI</t>
  </si>
  <si>
    <t>SE TAIPU</t>
  </si>
  <si>
    <t>TAIPU</t>
  </si>
  <si>
    <t>SUBESTAÇÃO TERMO POTIGUAR</t>
  </si>
  <si>
    <t>SUBESTAÇÃO VERA CRUZ</t>
  </si>
  <si>
    <t>UTD ASSÚ</t>
  </si>
  <si>
    <t>UTD CAICÓ</t>
  </si>
  <si>
    <t>BASE OP CARAÚBAS</t>
  </si>
  <si>
    <t>UTD CEARÁ-MIRIM</t>
  </si>
  <si>
    <t>UTD CURRAIS NOVOS</t>
  </si>
  <si>
    <t>UTD GOIANINHA</t>
  </si>
  <si>
    <t>UTD LAGOA AZUL</t>
  </si>
  <si>
    <t>UTD MOSSORÓ</t>
  </si>
  <si>
    <t>UTD PAU DOS FERROS</t>
  </si>
  <si>
    <t xml:space="preserve"> SE ESCADA</t>
  </si>
  <si>
    <t>ESCADA</t>
  </si>
  <si>
    <t>AGÊNCIA IGARASSU</t>
  </si>
  <si>
    <t>IGARASSU</t>
  </si>
  <si>
    <t>SE AFOGADOS DA INGAZEIRA</t>
  </si>
  <si>
    <t>AFOGADOS DA INGAZEIRA</t>
  </si>
  <si>
    <t>SE AFRÂNIO</t>
  </si>
  <si>
    <t>AFRANIO</t>
  </si>
  <si>
    <t>AGÊNCIA ABREU E LIMA</t>
  </si>
  <si>
    <t>ABREU E LIMA</t>
  </si>
  <si>
    <t>AGÊNCIA AFOGADOS DA INGAZEIRA</t>
  </si>
  <si>
    <t>AGÊNCIA ARARIPINA</t>
  </si>
  <si>
    <t>ARARIPINA</t>
  </si>
  <si>
    <t>AGÊNCIA BELO JARDIM</t>
  </si>
  <si>
    <t>BELO JARDIM</t>
  </si>
  <si>
    <t>AGÊNCIA CABO</t>
  </si>
  <si>
    <t>AGÊNCIA CAMARAGIBE</t>
  </si>
  <si>
    <t>AGÊNCIA CARPINA</t>
  </si>
  <si>
    <t>CARPINA</t>
  </si>
  <si>
    <t>AGÊNCIA CARUARU</t>
  </si>
  <si>
    <t xml:space="preserve">AGÊNCIA CASA AMARELA </t>
  </si>
  <si>
    <t xml:space="preserve">AGÊNCIA CENTRO </t>
  </si>
  <si>
    <t>AGÊNCIA GOIANA</t>
  </si>
  <si>
    <t>GOIANA</t>
  </si>
  <si>
    <t>AGÊNCIA GRAVATÁ</t>
  </si>
  <si>
    <t>GRAVATA</t>
  </si>
  <si>
    <t xml:space="preserve">AGÊNCIA MADALENA </t>
  </si>
  <si>
    <t>AGÊNCIA OURICURI</t>
  </si>
  <si>
    <t>OURICURI</t>
  </si>
  <si>
    <t>AGÊNCIA PALMARES</t>
  </si>
  <si>
    <t>PALMARES</t>
  </si>
  <si>
    <t xml:space="preserve">AGÊNCIA PAULISTA </t>
  </si>
  <si>
    <t>AGÊNCIA PETROLINA</t>
  </si>
  <si>
    <t>AGÊNCIA PINA</t>
  </si>
  <si>
    <t>AGÊNCIA SALGUEIRO</t>
  </si>
  <si>
    <t>SALGUEIRO</t>
  </si>
  <si>
    <t>AGÊNCIA SANTA CRUZ DO CAPIBARIBE</t>
  </si>
  <si>
    <t>SAO LOURENCO DA MATA</t>
  </si>
  <si>
    <t>UTD SÃO LOURENÇO DA MATA</t>
  </si>
  <si>
    <t>AGÊNCIA SERRA TALHADA</t>
  </si>
  <si>
    <t>SERRA TALHADA</t>
  </si>
  <si>
    <t>AGÊNCIA VARADOURO</t>
  </si>
  <si>
    <t>AGÊNCIA VITÓRIA  SNATO ANTÃO</t>
  </si>
  <si>
    <t>SE AGRESTINA</t>
  </si>
  <si>
    <t>AGRESTINA</t>
  </si>
  <si>
    <t xml:space="preserve"> AGÊNCIA  ARCOVERDE</t>
  </si>
  <si>
    <t>ARCOVERDE</t>
  </si>
  <si>
    <t>BARREIROS</t>
  </si>
  <si>
    <t>IPOJUCA</t>
  </si>
  <si>
    <t>BASE.OP</t>
  </si>
  <si>
    <t>BASE AGUAS BELA</t>
  </si>
  <si>
    <t>AGUAS BELAS</t>
  </si>
  <si>
    <t>BASE ESCADA</t>
  </si>
  <si>
    <t>BASE IGARASSU</t>
  </si>
  <si>
    <t>BASE JABOATÃO</t>
  </si>
  <si>
    <t>JABOATÃO DOS GUARARAPES</t>
  </si>
  <si>
    <t xml:space="preserve">BASE LIMOEIRO </t>
  </si>
  <si>
    <t>LIMOEIRO</t>
  </si>
  <si>
    <t>BASE OP AFOGADOS DA INGAZEIRA I</t>
  </si>
  <si>
    <t>UTD AFOGADOS DA INGAZEIRA II</t>
  </si>
  <si>
    <t>BASE OPERACIONAL AFRÂNIO</t>
  </si>
  <si>
    <t>UTD ARARIPINA</t>
  </si>
  <si>
    <t>BASE OPERACIONAL BELO JARDIM/ CARUARU</t>
  </si>
  <si>
    <t>BASE OPERACIONAL BEZERROS</t>
  </si>
  <si>
    <t>BEZERROS</t>
  </si>
  <si>
    <t>BASE CRUZ DE REBOUÇAS</t>
  </si>
  <si>
    <t>SE CRUZ DE REBOUÇAS</t>
  </si>
  <si>
    <t>BASE OPERACIONAL CUSTÓDIA</t>
  </si>
  <si>
    <t>CUSTÓDIA</t>
  </si>
  <si>
    <t>BASE OPERACIONAL IBIMIRIM</t>
  </si>
  <si>
    <t>IBIMIRIM</t>
  </si>
  <si>
    <t>BASE OPERACIONAL LAJEDO</t>
  </si>
  <si>
    <t>LAJEDO</t>
  </si>
  <si>
    <t>BASE OPERACIONAL PESQUEIRA</t>
  </si>
  <si>
    <t>PESQUEIRA</t>
  </si>
  <si>
    <t>BASE OPERACIONAL RIO FORMOÇO</t>
  </si>
  <si>
    <t>RIO FORMOÇO</t>
  </si>
  <si>
    <t>SE SÃO JOSÉ DO EGITO</t>
  </si>
  <si>
    <t>SAO JOSE DO EGITO</t>
  </si>
  <si>
    <t>BASE OPERACIONAL SÃO JOSÉ DO EGITO</t>
  </si>
  <si>
    <t>UTD E BASE TIMBAUBA</t>
  </si>
  <si>
    <t>TIMBAUBA</t>
  </si>
  <si>
    <t>SE BEBERIBE</t>
  </si>
  <si>
    <t>SE BELÉM DE SÃO FRANCISCO</t>
  </si>
  <si>
    <t>BELÉM DE SÃO FRANCISCO</t>
  </si>
  <si>
    <t>SE BOA VISTA</t>
  </si>
  <si>
    <t>BASE OP . BOM JARDIM</t>
  </si>
  <si>
    <t>BOM JARDIM</t>
  </si>
  <si>
    <t>SE BOTAFOGO</t>
  </si>
  <si>
    <t>SE BRIGIDA</t>
  </si>
  <si>
    <t>OROCO</t>
  </si>
  <si>
    <t xml:space="preserve">SE CABO </t>
  </si>
  <si>
    <t>SE CABROBÓ</t>
  </si>
  <si>
    <t>CABROBÓ</t>
  </si>
  <si>
    <t>CAMPINHOS</t>
  </si>
  <si>
    <t>PETROLANDIA</t>
  </si>
  <si>
    <t>SE SEC CAMPINHOS</t>
  </si>
  <si>
    <t>SE CARAÍBAS II</t>
  </si>
  <si>
    <t>SANTA MARIA DA BOA VISTA</t>
  </si>
  <si>
    <t>SE CARNAIBA</t>
  </si>
  <si>
    <t>CARNAIBA</t>
  </si>
  <si>
    <t>SE CARPINA</t>
  </si>
  <si>
    <t>CATENDE</t>
  </si>
  <si>
    <t>SE SANTA CRUZ DO CAPIBARIBE</t>
  </si>
  <si>
    <t>SANTA CRUZ CAPIBARIBE</t>
  </si>
  <si>
    <t>SE CUSTÓDIA</t>
  </si>
  <si>
    <t>SE ENSEADAS</t>
  </si>
  <si>
    <t>SE FLORESTA</t>
  </si>
  <si>
    <t>FLORESTA</t>
  </si>
  <si>
    <t>SE GLORIA DO GOITÁ</t>
  </si>
  <si>
    <t>GLORIA DO GOITÁ</t>
  </si>
  <si>
    <t>SE GOIANA</t>
  </si>
  <si>
    <t>SE GOIANA II</t>
  </si>
  <si>
    <t>SE INAJÁ</t>
  </si>
  <si>
    <t>INAJÁ</t>
  </si>
  <si>
    <t>SE IPOJUCA</t>
  </si>
  <si>
    <t>SE ITAMARACÁ</t>
  </si>
  <si>
    <t>ITAMARACÁ</t>
  </si>
  <si>
    <t>SE JOSÉ MARIANO</t>
  </si>
  <si>
    <t>RIBEIRÃO</t>
  </si>
  <si>
    <t>SE LAJEDO</t>
  </si>
  <si>
    <t>SE UR-10</t>
  </si>
  <si>
    <t>SE LIMOEIRO</t>
  </si>
  <si>
    <t>MACAPARANA</t>
  </si>
  <si>
    <t>SE MONJOPE</t>
  </si>
  <si>
    <t>SE MONTE SANTO</t>
  </si>
  <si>
    <t>NAZARÉ DA MATA</t>
  </si>
  <si>
    <t>SE PALMARES</t>
  </si>
  <si>
    <t>PARATIBE II</t>
  </si>
  <si>
    <t>SE PASSIRA</t>
  </si>
  <si>
    <t>PASSIRA</t>
  </si>
  <si>
    <t>SE PAU AMARELO</t>
  </si>
  <si>
    <t>SE PAUDALHO</t>
  </si>
  <si>
    <t>PAUDALHO</t>
  </si>
  <si>
    <t>PETROLÂNDIA</t>
  </si>
  <si>
    <t>SE PIRAPAMA I</t>
  </si>
  <si>
    <t>SE PORTO DE GALINHAS</t>
  </si>
  <si>
    <t>PORTO DE GALINHA</t>
  </si>
  <si>
    <t>SE RIO FORMOSO</t>
  </si>
  <si>
    <t>SE RIO JORDÃO</t>
  </si>
  <si>
    <t>SE SALGUEIRO</t>
  </si>
  <si>
    <t>SE SANTA MARIA DA BOA VISTA</t>
  </si>
  <si>
    <t>SE SÃO BENEDITO</t>
  </si>
  <si>
    <t>SE SÃO CAETANO</t>
  </si>
  <si>
    <t>SÃO CAITANO</t>
  </si>
  <si>
    <t>SÃO JOSÉ DO BELMONTE</t>
  </si>
  <si>
    <t>SE STA CRUZ CAPIBARIBE</t>
  </si>
  <si>
    <t>SEC PARATIBE I</t>
  </si>
  <si>
    <t>SEC SANTO AMARO</t>
  </si>
  <si>
    <t>SEDE</t>
  </si>
  <si>
    <t>SEDE CELPE</t>
  </si>
  <si>
    <t>SERRITA</t>
  </si>
  <si>
    <t>SUBESTAÇÃO ÁGUAS BELAS</t>
  </si>
  <si>
    <t>SE  ARARIPINA</t>
  </si>
  <si>
    <t>SE ARCOVERDE</t>
  </si>
  <si>
    <t xml:space="preserve">SE ARENA </t>
  </si>
  <si>
    <t>SE BEBEDOURO</t>
  </si>
  <si>
    <t>LAGOA GRANDE</t>
  </si>
  <si>
    <t>SE BEZERROS</t>
  </si>
  <si>
    <t>SE BOA VIAGEM</t>
  </si>
  <si>
    <t>SE BOM JARDIM</t>
  </si>
  <si>
    <t>SE BOM CONSELHO</t>
  </si>
  <si>
    <t>BOM CONSELHO</t>
  </si>
  <si>
    <t>SE BONGI</t>
  </si>
  <si>
    <t xml:space="preserve">SE BONITO </t>
  </si>
  <si>
    <t>SE BREJÃO</t>
  </si>
  <si>
    <t>BREJAO</t>
  </si>
  <si>
    <t>SE BUIÍQUE</t>
  </si>
  <si>
    <t>BUIQUE</t>
  </si>
  <si>
    <t>SE CAETES</t>
  </si>
  <si>
    <t>CAETES</t>
  </si>
  <si>
    <t>SE CAMARAGIBE</t>
  </si>
  <si>
    <t>SE CAMOCIM DE SÃO FELIX</t>
  </si>
  <si>
    <t>CAMOCIM DE SAO FELIX</t>
  </si>
  <si>
    <t>SE CAMPOS</t>
  </si>
  <si>
    <t>SE SEC CARUARU</t>
  </si>
  <si>
    <t>SE CAXANGÁ</t>
  </si>
  <si>
    <t>SE CORRENTES</t>
  </si>
  <si>
    <t>CORRENTES</t>
  </si>
  <si>
    <t>SE CUPIRA</t>
  </si>
  <si>
    <t>CUPIRA</t>
  </si>
  <si>
    <t>SE DOM AVELAR</t>
  </si>
  <si>
    <t>SE ESTÂNCIA</t>
  </si>
  <si>
    <t>SE EXU</t>
  </si>
  <si>
    <t>EXU</t>
  </si>
  <si>
    <t>UTD FLORESTA E BASE . OP</t>
  </si>
  <si>
    <t>SE SEC GARANHUNS</t>
  </si>
  <si>
    <t>GARANHUNS</t>
  </si>
  <si>
    <t>SE GAZOMETRO</t>
  </si>
  <si>
    <t>SE GRAVATÁ l</t>
  </si>
  <si>
    <t>SE GRAVATÁ ll</t>
  </si>
  <si>
    <t>SE HELIÓPOLIS</t>
  </si>
  <si>
    <t>SE IBIMIRIM</t>
  </si>
  <si>
    <t>SE IBURA</t>
  </si>
  <si>
    <t>SE IGARASSU</t>
  </si>
  <si>
    <t>SE ILHA DO LEITE</t>
  </si>
  <si>
    <t>SE ILHA DO RETIRO ( RECIFE )</t>
  </si>
  <si>
    <t>ILHA DO RETIRO</t>
  </si>
  <si>
    <t>SE IMBIRIBEIRA</t>
  </si>
  <si>
    <t>SE IPUTINGA</t>
  </si>
  <si>
    <t>SE ITAPISSUMA</t>
  </si>
  <si>
    <t>ITAPISSUMA</t>
  </si>
  <si>
    <t>AGÊNCIA JABOATÃO</t>
  </si>
  <si>
    <t>SE JOÃO DE BARROS</t>
  </si>
  <si>
    <t xml:space="preserve">SE JUSSARAL </t>
  </si>
  <si>
    <t>SE MACAXEIRA</t>
  </si>
  <si>
    <t xml:space="preserve">SE MASSANGANO </t>
  </si>
  <si>
    <t>SE MASSANGANO I</t>
  </si>
  <si>
    <t>SE MASSANGANO III</t>
  </si>
  <si>
    <t>SE MORENO</t>
  </si>
  <si>
    <t>MORENO</t>
  </si>
  <si>
    <t>SE OLINDA</t>
  </si>
  <si>
    <t>SE OURICURI</t>
  </si>
  <si>
    <t>SE PAU DE FERRO</t>
  </si>
  <si>
    <t>SE PETROLINA I</t>
  </si>
  <si>
    <t>SE PETROLINA II</t>
  </si>
  <si>
    <t>SE PIEDADE</t>
  </si>
  <si>
    <t>SE PINA</t>
  </si>
  <si>
    <t>SE PONTAL NORTE</t>
  </si>
  <si>
    <t xml:space="preserve">PETROLINA </t>
  </si>
  <si>
    <t>SE PONTAL SUL I</t>
  </si>
  <si>
    <t>SE PONTAL SUL II</t>
  </si>
  <si>
    <t>SE PONTEZINHA (SEM EXTINTOR)</t>
  </si>
  <si>
    <t>SE PORTO DE SUAPE ( LIBERAR ACESSO )</t>
  </si>
  <si>
    <t>SE PRATA</t>
  </si>
  <si>
    <t>SE QUIPAPA</t>
  </si>
  <si>
    <t>QUIPAPA</t>
  </si>
  <si>
    <t>SE RAJADA</t>
  </si>
  <si>
    <t>SE NOSSA SENHORA DO Ó</t>
  </si>
  <si>
    <t>SE RIACHO DAS ALMAS</t>
  </si>
  <si>
    <t>RIACHO DAS ALMAS</t>
  </si>
  <si>
    <t>SE RIO DOCE</t>
  </si>
  <si>
    <t>SE SANTA CRUZ</t>
  </si>
  <si>
    <t>SE SÃO BENTO DO UNA</t>
  </si>
  <si>
    <t>SAO BENTO DO UNA</t>
  </si>
  <si>
    <t>UTD SANTA MARIA DA BOA VISTA</t>
  </si>
  <si>
    <t>SE SÃO FRANCISCO</t>
  </si>
  <si>
    <t>AGÊNCIA SÃO LOURENÇO DA MATA</t>
  </si>
  <si>
    <t>SE SÃO LOURENÇO</t>
  </si>
  <si>
    <t>SE SE BREJO DA MADRE DE DEUS</t>
  </si>
  <si>
    <t>BREJO DA MADRE DE DEUS</t>
  </si>
  <si>
    <t>SE SEC FLORES</t>
  </si>
  <si>
    <t>FLORES</t>
  </si>
  <si>
    <t>AGÊNCIA GARANHUNS</t>
  </si>
  <si>
    <t>SE GARANHUNS</t>
  </si>
  <si>
    <t>SE SEC JABOATÃO</t>
  </si>
  <si>
    <t>SE SEC PETROLINA</t>
  </si>
  <si>
    <t>SE SEC PORTO DE SUAPE</t>
  </si>
  <si>
    <t>SE PRAZERES</t>
  </si>
  <si>
    <t>SE SERTANIA (SEM ACESSO CHAVE )</t>
  </si>
  <si>
    <t>SERTANIA</t>
  </si>
  <si>
    <t>SE SETÚBAL</t>
  </si>
  <si>
    <t>SE TABIRA</t>
  </si>
  <si>
    <t>TABIRA</t>
  </si>
  <si>
    <t>SE TACARATU</t>
  </si>
  <si>
    <t>TACARATU</t>
  </si>
  <si>
    <t>SE ITAÍBA</t>
  </si>
  <si>
    <t>ITAÍBA</t>
  </si>
  <si>
    <t>SE TAMANDARE</t>
  </si>
  <si>
    <t>TAMANDARE</t>
  </si>
  <si>
    <t>SE TAMARINEIRA</t>
  </si>
  <si>
    <t>SE TEJIPIÓ</t>
  </si>
  <si>
    <t>SE TEJUCUPAPO</t>
  </si>
  <si>
    <t>SE TIMBAÚBA</t>
  </si>
  <si>
    <t>SE TORITAMA</t>
  </si>
  <si>
    <t>TORITAMA</t>
  </si>
  <si>
    <t>SE TRINDADE</t>
  </si>
  <si>
    <t>TRINDADE</t>
  </si>
  <si>
    <t>SE VARZEA ( RECIFE )</t>
  </si>
  <si>
    <t>VÁRZEA</t>
  </si>
  <si>
    <t>SE VENTUROSA</t>
  </si>
  <si>
    <t>VENTUROSA</t>
  </si>
  <si>
    <t>SE VERTENTES</t>
  </si>
  <si>
    <t>VERTENTES</t>
  </si>
  <si>
    <t>SE VICÊNCIA</t>
  </si>
  <si>
    <t>VICENCIA</t>
  </si>
  <si>
    <t>SE VITÓRIA I</t>
  </si>
  <si>
    <t>SE VITÓRIA II</t>
  </si>
  <si>
    <t>SE TABATINGA</t>
  </si>
  <si>
    <t>UTD ARCOVERDE</t>
  </si>
  <si>
    <t>SE BELO JARDIN</t>
  </si>
  <si>
    <t>UTD BELO JARDIM/ CARUARU</t>
  </si>
  <si>
    <t>UTD CABO</t>
  </si>
  <si>
    <t>UTD CARPINA</t>
  </si>
  <si>
    <t>UTD GARANHUNS</t>
  </si>
  <si>
    <t>UTD GOIANA</t>
  </si>
  <si>
    <t>UTD NORTE/ OLINDA</t>
  </si>
  <si>
    <t>UTD OURICURI e BASE .OP</t>
  </si>
  <si>
    <t>UTD PALMARES</t>
  </si>
  <si>
    <t>UTD PETROLINA</t>
  </si>
  <si>
    <t>UTD SALGUEIRO</t>
  </si>
  <si>
    <t>UTD SANTA CRUZ DO CAPIBARIBE</t>
  </si>
  <si>
    <t>UTD SERRA TALHADA E SUBSTAÇÃO</t>
  </si>
  <si>
    <t>AGÊNCIA PIEDADE</t>
  </si>
  <si>
    <t>UTD SUL/ PIEDADE</t>
  </si>
  <si>
    <t>SE SURUBIM</t>
  </si>
  <si>
    <t>SURUBIM</t>
  </si>
  <si>
    <t>UTD SURUBIM</t>
  </si>
  <si>
    <t>UTD VITÓRIA SANTO ANTÃO</t>
  </si>
  <si>
    <t>BASE OP.VICÊNCIA</t>
  </si>
  <si>
    <t>UTD OURICURI</t>
  </si>
  <si>
    <t>N/A</t>
  </si>
  <si>
    <t>ARAPUÁ I,II e III (AEROGERADOR)</t>
  </si>
  <si>
    <t>ARIZONA (SUBESTAÇÃO)</t>
  </si>
  <si>
    <t>CAETITÉ (SUBESTAÇÃO)</t>
  </si>
  <si>
    <t>CALANGO I (AEROGERADORES)</t>
  </si>
  <si>
    <t>SE PQ EÓLICO MEL II</t>
  </si>
  <si>
    <t>SE PQ EÓLICO CALANGO SANTANA II E III</t>
  </si>
  <si>
    <t>LAGOA NOVA</t>
  </si>
  <si>
    <t>CALANGO III (AEROGERADORES)</t>
  </si>
  <si>
    <t>CALANGO VI (AEROGERADORES)</t>
  </si>
  <si>
    <t>SE PQ EÓLICO RIO DO FOGO ( ENERBRASIL)</t>
  </si>
  <si>
    <t>RIO DO FOGO</t>
  </si>
  <si>
    <t>CHAFARIZ I,II,III,IV,V,VI,VII (AEROGERADOR)</t>
  </si>
  <si>
    <t>IGAPORÃ (SUBESTAÇÃO da chesf com Bay de entrada nosso)</t>
  </si>
  <si>
    <t>LAGOA (SUBESTAÇÃO)</t>
  </si>
  <si>
    <t xml:space="preserve">LAGOA (SUBESTAÇÃO) </t>
  </si>
  <si>
    <t>LAGOA NOVA II (SUBESTAÇÃO BAY DA NEO, NA SUB CHESF)</t>
  </si>
  <si>
    <t>SE PQ EÓLICO CAETITE</t>
  </si>
  <si>
    <t>CAETITE</t>
  </si>
  <si>
    <t>SE PQ EOLICO CALANGO I e II</t>
  </si>
  <si>
    <t>SE PQ EOLICO OITIS</t>
  </si>
  <si>
    <t>DOM INOCÊNCIO</t>
  </si>
  <si>
    <t>SE QUEIMADAS NOVA II ( PIAUI)</t>
  </si>
  <si>
    <t>QUEIMADAS NOVA</t>
  </si>
  <si>
    <t>SE PQ EÓLICO CHAFARIZ (  SUL  II )</t>
  </si>
  <si>
    <t xml:space="preserve">SE PQ EÓLICO LUZIA II </t>
  </si>
  <si>
    <t>SE PQ EÓLICO CHAFARIZ (  SUL  I )</t>
  </si>
  <si>
    <t>SE PQ EÓLICO FOTOVOLTAICO (  SUL  I )</t>
  </si>
  <si>
    <t>SE PQ EÓLICO CHAFARIZ ( NORTE)</t>
  </si>
  <si>
    <t>SE PQ EÓLICO LAGOAS CANOAS I e II</t>
  </si>
  <si>
    <t>RIO DO FOGO (PREDIO ADMINISTRATIVO E SALA DE APOIO SUBESTAÇÃO)</t>
  </si>
  <si>
    <t xml:space="preserve">RIO DO FOGO (PREDIO ADMINISTRATIVO, ALMOXARIFADO WOBBEN, CASA DE RESIDUO E QUIMICOS ) </t>
  </si>
  <si>
    <t>SANTANA I (AEROGERADORES)</t>
  </si>
  <si>
    <t>SANTANA II (AEROGERADORES)</t>
  </si>
  <si>
    <t>SLD (SUBESTAÇÃO Casa de comando)</t>
  </si>
  <si>
    <t>SLD (SUBESTAÇÃO da EKTT com Bay de entrada nosso)</t>
  </si>
  <si>
    <t>SUL l (SUBESTAÇÃO)</t>
  </si>
  <si>
    <t>SUL ll (SUBESTAÇÃO)</t>
  </si>
  <si>
    <t>USH</t>
  </si>
  <si>
    <t>FERNANDO DE NORONHA</t>
  </si>
  <si>
    <t>TERMOPE</t>
  </si>
  <si>
    <t>AFLUENTE T – SE BRUMADO II</t>
  </si>
  <si>
    <t>AFLUENTE T – SE ITAGIBÁ</t>
  </si>
  <si>
    <t>ITAGIBÁ</t>
  </si>
  <si>
    <t>AFLUENTE T – SE TOMBA</t>
  </si>
  <si>
    <t>AFLUENTE T – SE FORD</t>
  </si>
  <si>
    <t>NARANDIBA – SE EXTREMOZ II</t>
  </si>
  <si>
    <t>NARANDIBA – SE NARANDIBA</t>
  </si>
  <si>
    <t>VENCIDO</t>
  </si>
  <si>
    <t>POTIGUAR SUL – SE CAMPINA GRANDE III</t>
  </si>
  <si>
    <t>POTIGUAR SUL – SE CEARÁ MIRIM II</t>
  </si>
  <si>
    <t>SUBESTAÇÃO SOBRAL III</t>
  </si>
  <si>
    <t>Valor</t>
  </si>
  <si>
    <t>EDIFÍCIO SEDE HOLDING</t>
  </si>
  <si>
    <t>SEROPÉDICA</t>
  </si>
  <si>
    <t>PENDENTE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</si>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</sst>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7" formatCode="&quot;R$ &quot;#,##0.00"/>
    <numFmt numFmtId="168" formatCode="m/d/yyyy"/>
    <numFmt numFmtId="170" formatCode="#,##0;\-#,##0;&quot;&quot;"/>
    <numFmt numFmtId="171" formatCode="&quot;R$ &quot;#,##0.00;[Red]&quot;-R$ &quot;#,##0.00;\-"/>
    <numFmt numFmtId="172" formatCode="mmm\-yy"/>
    <numFmt numFmtId="173" formatCode="[$-416]mmmm\-yy;@"/>
    <numFmt numFmtId="174" formatCode="&quot;R$ &quot;#,##0;[Red]&quot;-R$ &quot;#,##0"/>
    <numFmt numFmtId="175" formatCode="_(\$* #,##0.00_);_(\$* \(#,##0.00\);_(\$* \-??_);_(@_)"/>
    <numFmt numFmtId="176" formatCode="_-&quot;R$ &quot;* #,##0.00_-;&quot;-R$ &quot;* #,##0.00_-;_-&quot;R$ &quot;* \-??_-;_-@_-"/>
  </numFmts>
  <fonts count="28" x14ac:knownFonts="1">
    <font>
      <sz val="11"/>
      <color theme="1"/>
      <name val="Calibri"/>
      <family val="2"/>
      <charset val="1"/>
    </font>
    <font>
      <b/>
      <sz val="10"/>
      <color rgb="FF1E293B"/>
      <name val="Segoe UI"/>
      <charset val="1"/>
    </font>
    <font>
      <b/>
      <sz val="11"/>
      <color rgb="FF065F46"/>
      <name val="Segoe UI"/>
      <charset val="1"/>
    </font>
    <font>
      <i/>
      <sz val="9"/>
      <name val="Calibri"/>
      <charset val="1"/>
    </font>
    <font>
      <sz val="9"/>
      <name val="Calibri"/>
      <charset val="1"/>
    </font>
    <font>
      <sz val="8"/>
      <name val="Calibri"/>
      <charset val="1"/>
    </font>
    <font>
      <b/>
      <sz val="10"/>
      <color rgb="FFFFFFFF"/>
      <name val="Segoe UI"/>
      <family val="2"/>
      <charset val="1"/>
    </font>
    <font>
      <b/>
      <sz val="9.5"/>
      <color rgb="FFFFFFFF"/>
      <name val="Segoe UI"/>
      <family val="2"/>
      <charset val="1"/>
    </font>
    <font>
      <sz val="9"/>
      <color rgb="FF1E293B"/>
      <name val="Segoe UI"/>
      <charset val="1"/>
    </font>
    <font>
      <b/>
      <sz val="9"/>
      <color rgb="FF1E293B"/>
      <name val="Segoe UI"/>
      <charset val="1"/>
    </font>
    <font>
      <b/>
      <sz val="9"/>
      <color rgb="FF065F46"/>
      <name val="Segoe UI"/>
      <charset val="1"/>
    </font>
    <font>
      <sz val="11"/>
      <name val="Calibri"/>
      <family val="2"/>
      <charset val="1"/>
    </font>
    <font>
      <sz val="10"/>
      <name val="Arial"/>
      <family val="2"/>
    </font>
    <font>
      <sz val="11"/>
      <color rgb="FF003C6C"/>
      <name val="Calibri"/>
      <family val="2"/>
      <charset val="1"/>
    </font>
    <font>
      <b/>
      <sz val="24"/>
      <color theme="0"/>
      <name val="Calibri"/>
      <family val="2"/>
      <charset val="1"/>
    </font>
    <font>
      <u/>
      <sz val="24"/>
      <color rgb="FFFFFFFF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FFFFFF"/>
      <name val="Calibri"/>
      <family val="2"/>
      <charset val="1"/>
    </font>
    <font>
      <b/>
      <sz val="11"/>
      <color theme="0"/>
      <name val="Calibri"/>
      <family val="2"/>
      <charset val="1"/>
    </font>
    <font>
      <b/>
      <sz val="12"/>
      <color theme="0"/>
      <name val="Calibri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color theme="8" tint="-0.499984740745262"/>
      <name val="Calibri"/>
      <family val="2"/>
      <charset val="1"/>
    </font>
    <font>
      <b/>
      <sz val="11"/>
      <color theme="1"/>
      <name val="Calibri"/>
      <family val="2"/>
      <charset val="1"/>
    </font>
    <font>
      <sz val="11"/>
      <color theme="0"/>
      <name val="Calibri"/>
      <family val="2"/>
      <charset val="1"/>
    </font>
    <font>
      <b/>
      <sz val="10"/>
      <color rgb="FFFFFFFF"/>
      <name val="Arial"/>
      <family val="2"/>
    </font>
    <font>
      <b/>
      <sz val="10"/>
      <color rgb="FF1F1F1F"/>
      <name val="Arial"/>
      <family val="2"/>
    </font>
    <font>
      <sz val="11"/>
      <color theme="1"/>
      <name val="Calibri"/>
      <family val="2"/>
      <charset val="1"/>
    </font>
  </fonts>
  <fills count="36">
    <fill>
      <patternFill patternType="none"/>
    </fill>
    <fill>
      <patternFill patternType="gray125"/>
    </fill>
    <fill>
      <patternFill patternType="solid">
        <fgColor rgb="FFFCE4D6"/>
        <bgColor rgb="FFFFF2CC"/>
      </patternFill>
    </fill>
    <fill>
      <patternFill patternType="solid">
        <fgColor rgb="FFF1F5F9"/>
        <bgColor rgb="FFF8FAFC"/>
      </patternFill>
    </fill>
    <fill>
      <patternFill patternType="solid">
        <fgColor rgb="FFD1FAE5"/>
        <bgColor rgb="FFDCFCE7"/>
      </patternFill>
    </fill>
    <fill>
      <patternFill patternType="solid">
        <fgColor rgb="FFFFF2CC"/>
        <bgColor rgb="FFFCE4D6"/>
      </patternFill>
    </fill>
    <fill>
      <patternFill patternType="solid">
        <fgColor rgb="FF554133"/>
        <bgColor rgb="FF5B5252"/>
      </patternFill>
    </fill>
    <fill>
      <patternFill patternType="solid">
        <fgColor rgb="FF3B291E"/>
        <bgColor rgb="FF1E293B"/>
      </patternFill>
    </fill>
    <fill>
      <patternFill patternType="solid">
        <fgColor rgb="FF695547"/>
        <bgColor rgb="FF5B5252"/>
      </patternFill>
    </fill>
    <fill>
      <patternFill patternType="solid">
        <fgColor rgb="FF465F06"/>
        <bgColor rgb="FF554133"/>
      </patternFill>
    </fill>
    <fill>
      <patternFill patternType="solid">
        <fgColor rgb="FFC78402"/>
        <bgColor rgb="FFC55A11"/>
      </patternFill>
    </fill>
    <fill>
      <patternFill patternType="solid">
        <fgColor rgb="FF0674D7"/>
        <bgColor rgb="FF00B0F0"/>
      </patternFill>
    </fill>
    <fill>
      <patternFill patternType="solid">
        <fgColor rgb="FF5B5252"/>
        <bgColor rgb="FF595959"/>
      </patternFill>
    </fill>
    <fill>
      <patternFill patternType="solid">
        <fgColor rgb="FF88940D"/>
        <bgColor rgb="FFC78402"/>
      </patternFill>
    </fill>
    <fill>
      <patternFill patternType="solid">
        <fgColor rgb="FFEB6325"/>
        <bgColor rgb="FFC55A11"/>
      </patternFill>
    </fill>
    <fill>
      <patternFill patternType="solid">
        <fgColor rgb="FFD9286D"/>
        <bgColor rgb="FFCA3843"/>
      </patternFill>
    </fill>
    <fill>
      <patternFill patternType="solid">
        <fgColor rgb="FFFFFFFF"/>
        <bgColor rgb="FFFCFAF8"/>
      </patternFill>
    </fill>
    <fill>
      <patternFill patternType="solid">
        <fgColor rgb="FF1E293B"/>
        <bgColor rgb="FF3B291E"/>
      </patternFill>
    </fill>
    <fill>
      <patternFill patternType="solid">
        <fgColor rgb="FF065F46"/>
        <bgColor rgb="FF006100"/>
      </patternFill>
    </fill>
    <fill>
      <patternFill patternType="solid">
        <fgColor rgb="FFF0FDF4"/>
        <bgColor rgb="FFF4FDF0"/>
      </patternFill>
    </fill>
    <fill>
      <patternFill patternType="solid">
        <fgColor rgb="FFF8FAFC"/>
        <bgColor rgb="FFFCFAF8"/>
      </patternFill>
    </fill>
    <fill>
      <patternFill patternType="solid">
        <fgColor rgb="FFDCFCE7"/>
        <bgColor rgb="FFD1FAE5"/>
      </patternFill>
    </fill>
    <fill>
      <patternFill patternType="solid">
        <fgColor rgb="FF003C6C"/>
        <bgColor rgb="FF1F4E79"/>
      </patternFill>
    </fill>
    <fill>
      <patternFill patternType="solid">
        <fgColor theme="9" tint="0.59978026673177287"/>
        <bgColor rgb="FFC6EFCE"/>
      </patternFill>
    </fill>
    <fill>
      <patternFill patternType="solid">
        <fgColor theme="5" tint="0.59978026673177287"/>
        <bgColor rgb="FFFFC7CE"/>
      </patternFill>
    </fill>
    <fill>
      <patternFill patternType="solid">
        <fgColor theme="7" tint="0.59978026673177287"/>
        <bgColor rgb="FFFFEB9C"/>
      </patternFill>
    </fill>
    <fill>
      <patternFill patternType="solid">
        <fgColor theme="8" tint="0.59978026673177287"/>
        <bgColor rgb="FFCBD5E1"/>
      </patternFill>
    </fill>
    <fill>
      <patternFill patternType="solid">
        <fgColor rgb="FFFFC000"/>
        <bgColor rgb="FFC78402"/>
      </patternFill>
    </fill>
    <fill>
      <patternFill patternType="solid">
        <fgColor rgb="FF92D050"/>
        <bgColor rgb="FF7FD7A7"/>
      </patternFill>
    </fill>
    <fill>
      <patternFill patternType="solid">
        <fgColor rgb="FFD9D9D9"/>
        <bgColor rgb="FFE1D5CB"/>
      </patternFill>
    </fill>
    <fill>
      <patternFill patternType="solid">
        <fgColor theme="2" tint="-9.9978637043366805E-2"/>
        <bgColor rgb="FFCBD5E1"/>
      </patternFill>
    </fill>
    <fill>
      <patternFill patternType="solid">
        <fgColor theme="0" tint="-0.249977111117893"/>
        <bgColor rgb="FFD0CECE"/>
      </patternFill>
    </fill>
    <fill>
      <patternFill patternType="solid">
        <fgColor theme="2" tint="-0.249977111117893"/>
        <bgColor rgb="FFA6A6A6"/>
      </patternFill>
    </fill>
    <fill>
      <patternFill patternType="solid">
        <fgColor theme="0" tint="-0.34998626667073579"/>
        <bgColor rgb="FFAFABAB"/>
      </patternFill>
    </fill>
    <fill>
      <patternFill patternType="solid">
        <fgColor rgb="FF1F4E78"/>
        <bgColor indexed="64"/>
      </patternFill>
    </fill>
    <fill>
      <patternFill patternType="solid">
        <fgColor rgb="FF3B291E"/>
        <bgColor indexed="64"/>
      </patternFill>
    </fill>
  </fills>
  <borders count="18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double">
        <color rgb="FF94A3B8"/>
      </bottom>
      <diagonal/>
    </border>
    <border>
      <left style="thin">
        <color rgb="FFE1D5CB"/>
      </left>
      <right style="thin">
        <color rgb="FFE1D5CB"/>
      </right>
      <top style="thin">
        <color rgb="FFE1D5CB"/>
      </top>
      <bottom style="thin">
        <color rgb="FFE1D5CB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medium">
        <color rgb="FF1E293B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theme="4" tint="0.59978026673177287"/>
      </left>
      <right style="thin">
        <color theme="4" tint="0.59978026673177287"/>
      </right>
      <top style="thin">
        <color theme="4" tint="0.59978026673177287"/>
      </top>
      <bottom/>
      <diagonal/>
    </border>
    <border>
      <left style="thin">
        <color theme="4" tint="0.59978026673177287"/>
      </left>
      <right style="thin">
        <color theme="4" tint="0.59978026673177287"/>
      </right>
      <top style="thin">
        <color theme="4" tint="0.59978026673177287"/>
      </top>
      <bottom style="thin">
        <color theme="4" tint="0.59978026673177287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dashDotDot">
        <color theme="1" tint="0.34977263710440382"/>
      </left>
      <right style="dashDotDot">
        <color theme="1" tint="0.34977263710440382"/>
      </right>
      <top style="dashDotDot">
        <color theme="1" tint="0.34977263710440382"/>
      </top>
      <bottom style="dashDotDot">
        <color theme="1" tint="0.34977263710440382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4">
    <xf numFmtId="0" fontId="0" fillId="0" borderId="0"/>
    <xf numFmtId="175" fontId="27" fillId="0" borderId="0"/>
    <xf numFmtId="0" fontId="16" fillId="0" borderId="0"/>
    <xf numFmtId="0" fontId="27" fillId="2" borderId="0" applyBorder="0" applyProtection="0"/>
  </cellStyleXfs>
  <cellXfs count="101">
    <xf numFmtId="0" fontId="0" fillId="0" borderId="0" xfId="0"/>
    <xf numFmtId="0" fontId="20" fillId="26" borderId="10" xfId="0" applyFont="1" applyFill="1" applyBorder="1" applyAlignment="1">
      <alignment horizontal="center" vertical="center"/>
    </xf>
    <xf numFmtId="0" fontId="20" fillId="25" borderId="10" xfId="0" applyFont="1" applyFill="1" applyBorder="1" applyAlignment="1">
      <alignment horizontal="center" vertical="center"/>
    </xf>
    <xf numFmtId="0" fontId="20" fillId="24" borderId="10" xfId="0" applyFont="1" applyFill="1" applyBorder="1" applyAlignment="1">
      <alignment horizontal="center" vertical="center"/>
    </xf>
    <xf numFmtId="0" fontId="20" fillId="23" borderId="10" xfId="0" applyFont="1" applyFill="1" applyBorder="1" applyAlignment="1">
      <alignment horizontal="center" vertical="center" wrapText="1"/>
    </xf>
    <xf numFmtId="0" fontId="19" fillId="22" borderId="10" xfId="0" applyFont="1" applyFill="1" applyBorder="1" applyAlignment="1">
      <alignment horizontal="center" vertical="center" wrapText="1"/>
    </xf>
    <xf numFmtId="0" fontId="6" fillId="15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168" fontId="6" fillId="7" borderId="2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0" borderId="0" xfId="0" applyFont="1" applyAlignment="1">
      <alignment horizontal="right" vertical="center"/>
    </xf>
    <xf numFmtId="167" fontId="4" fillId="0" borderId="0" xfId="0" applyNumberFormat="1" applyFont="1" applyAlignment="1">
      <alignment horizontal="center"/>
    </xf>
    <xf numFmtId="0" fontId="5" fillId="5" borderId="0" xfId="0" applyFont="1" applyFill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/>
    </xf>
    <xf numFmtId="3" fontId="1" fillId="3" borderId="1" xfId="0" applyNumberFormat="1" applyFont="1" applyFill="1" applyBorder="1" applyAlignment="1">
      <alignment horizontal="center" vertical="center" wrapText="1"/>
    </xf>
    <xf numFmtId="167" fontId="2" fillId="4" borderId="1" xfId="0" applyNumberFormat="1" applyFont="1" applyFill="1" applyBorder="1" applyAlignment="1">
      <alignment horizontal="right" vertical="center"/>
    </xf>
    <xf numFmtId="170" fontId="1" fillId="3" borderId="1" xfId="0" applyNumberFormat="1" applyFont="1" applyFill="1" applyBorder="1" applyAlignment="1">
      <alignment horizontal="center" vertical="center" wrapText="1"/>
    </xf>
    <xf numFmtId="0" fontId="7" fillId="17" borderId="3" xfId="0" applyFont="1" applyFill="1" applyBorder="1" applyAlignment="1">
      <alignment horizontal="center" vertical="center"/>
    </xf>
    <xf numFmtId="0" fontId="7" fillId="18" borderId="3" xfId="0" applyFont="1" applyFill="1" applyBorder="1" applyAlignment="1">
      <alignment horizontal="center" vertical="center"/>
    </xf>
    <xf numFmtId="12" fontId="7" fillId="17" borderId="3" xfId="0" applyNumberFormat="1" applyFont="1" applyFill="1" applyBorder="1" applyAlignment="1">
      <alignment horizontal="center" vertical="center"/>
    </xf>
    <xf numFmtId="0" fontId="8" fillId="16" borderId="4" xfId="0" applyFont="1" applyFill="1" applyBorder="1" applyAlignment="1">
      <alignment horizontal="left" vertical="center"/>
    </xf>
    <xf numFmtId="0" fontId="8" fillId="16" borderId="4" xfId="0" applyFont="1" applyFill="1" applyBorder="1" applyAlignment="1">
      <alignment horizontal="center" vertical="center" wrapText="1"/>
    </xf>
    <xf numFmtId="168" fontId="9" fillId="16" borderId="4" xfId="0" applyNumberFormat="1" applyFont="1" applyFill="1" applyBorder="1" applyAlignment="1">
      <alignment horizontal="center" vertical="center" wrapText="1"/>
    </xf>
    <xf numFmtId="170" fontId="9" fillId="16" borderId="4" xfId="0" applyNumberFormat="1" applyFont="1" applyFill="1" applyBorder="1" applyAlignment="1">
      <alignment horizontal="center" vertical="center" wrapText="1"/>
    </xf>
    <xf numFmtId="171" fontId="10" fillId="19" borderId="4" xfId="0" applyNumberFormat="1" applyFont="1" applyFill="1" applyBorder="1" applyAlignment="1">
      <alignment horizontal="right" vertical="center"/>
    </xf>
    <xf numFmtId="170" fontId="8" fillId="16" borderId="4" xfId="0" applyNumberFormat="1" applyFont="1" applyFill="1" applyBorder="1" applyAlignment="1">
      <alignment horizontal="center" vertical="center" wrapText="1"/>
    </xf>
    <xf numFmtId="0" fontId="8" fillId="20" borderId="4" xfId="0" applyFont="1" applyFill="1" applyBorder="1" applyAlignment="1">
      <alignment horizontal="left" vertical="center"/>
    </xf>
    <xf numFmtId="0" fontId="8" fillId="20" borderId="4" xfId="0" applyFont="1" applyFill="1" applyBorder="1" applyAlignment="1">
      <alignment horizontal="center" vertical="center" wrapText="1"/>
    </xf>
    <xf numFmtId="168" fontId="9" fillId="20" borderId="4" xfId="0" applyNumberFormat="1" applyFont="1" applyFill="1" applyBorder="1" applyAlignment="1">
      <alignment horizontal="center" vertical="center" wrapText="1"/>
    </xf>
    <xf numFmtId="170" fontId="9" fillId="20" borderId="4" xfId="0" applyNumberFormat="1" applyFont="1" applyFill="1" applyBorder="1" applyAlignment="1">
      <alignment horizontal="center" vertical="center" wrapText="1"/>
    </xf>
    <xf numFmtId="171" fontId="10" fillId="21" borderId="4" xfId="0" applyNumberFormat="1" applyFont="1" applyFill="1" applyBorder="1" applyAlignment="1">
      <alignment horizontal="right" vertical="center"/>
    </xf>
    <xf numFmtId="170" fontId="8" fillId="20" borderId="4" xfId="0" applyNumberFormat="1" applyFont="1" applyFill="1" applyBorder="1" applyAlignment="1">
      <alignment horizontal="center" vertical="center" wrapText="1"/>
    </xf>
    <xf numFmtId="172" fontId="8" fillId="20" borderId="4" xfId="0" applyNumberFormat="1" applyFont="1" applyFill="1" applyBorder="1" applyAlignment="1">
      <alignment horizontal="left" vertical="center"/>
    </xf>
    <xf numFmtId="0" fontId="11" fillId="16" borderId="5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173" fontId="11" fillId="16" borderId="6" xfId="0" applyNumberFormat="1" applyFont="1" applyFill="1" applyBorder="1" applyAlignment="1">
      <alignment horizontal="center" vertical="center"/>
    </xf>
    <xf numFmtId="1" fontId="11" fillId="16" borderId="5" xfId="0" applyNumberFormat="1" applyFont="1" applyFill="1" applyBorder="1" applyAlignment="1">
      <alignment horizontal="center" vertical="center"/>
    </xf>
    <xf numFmtId="167" fontId="11" fillId="16" borderId="5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174" fontId="0" fillId="0" borderId="0" xfId="0" applyNumberFormat="1"/>
    <xf numFmtId="168" fontId="13" fillId="22" borderId="7" xfId="0" applyNumberFormat="1" applyFont="1" applyFill="1" applyBorder="1" applyAlignment="1">
      <alignment horizontal="center"/>
    </xf>
    <xf numFmtId="0" fontId="0" fillId="22" borderId="8" xfId="0" applyFill="1" applyBorder="1" applyAlignment="1">
      <alignment horizontal="center"/>
    </xf>
    <xf numFmtId="0" fontId="14" fillId="22" borderId="8" xfId="0" applyFont="1" applyFill="1" applyBorder="1" applyAlignment="1">
      <alignment horizontal="center" vertical="center"/>
    </xf>
    <xf numFmtId="0" fontId="15" fillId="22" borderId="8" xfId="2" applyFont="1" applyFill="1" applyBorder="1" applyAlignment="1">
      <alignment horizontal="left" vertical="top"/>
    </xf>
    <xf numFmtId="0" fontId="17" fillId="22" borderId="8" xfId="0" applyFont="1" applyFill="1" applyBorder="1" applyAlignment="1">
      <alignment horizontal="left" vertical="top"/>
    </xf>
    <xf numFmtId="0" fontId="18" fillId="22" borderId="8" xfId="0" applyFont="1" applyFill="1" applyBorder="1" applyAlignment="1">
      <alignment horizontal="right" vertical="top"/>
    </xf>
    <xf numFmtId="0" fontId="0" fillId="22" borderId="9" xfId="0" applyFill="1" applyBorder="1" applyAlignment="1">
      <alignment horizontal="center"/>
    </xf>
    <xf numFmtId="0" fontId="18" fillId="22" borderId="11" xfId="0" applyFont="1" applyFill="1" applyBorder="1" applyAlignment="1">
      <alignment horizontal="center" vertical="center"/>
    </xf>
    <xf numFmtId="0" fontId="18" fillId="22" borderId="11" xfId="0" applyFont="1" applyFill="1" applyBorder="1" applyAlignment="1">
      <alignment horizontal="center" vertical="center" wrapText="1"/>
    </xf>
    <xf numFmtId="0" fontId="19" fillId="22" borderId="11" xfId="0" applyFont="1" applyFill="1" applyBorder="1" applyAlignment="1">
      <alignment horizontal="center" vertical="center"/>
    </xf>
    <xf numFmtId="12" fontId="18" fillId="22" borderId="1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Border="1"/>
    <xf numFmtId="0" fontId="0" fillId="29" borderId="14" xfId="0" applyFill="1" applyBorder="1"/>
    <xf numFmtId="173" fontId="0" fillId="0" borderId="14" xfId="0" applyNumberFormat="1" applyBorder="1" applyAlignment="1">
      <alignment horizontal="center"/>
    </xf>
    <xf numFmtId="176" fontId="27" fillId="16" borderId="14" xfId="1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4" xfId="0" applyFill="1" applyBorder="1"/>
    <xf numFmtId="0" fontId="0" fillId="16" borderId="12" xfId="0" applyFill="1" applyBorder="1" applyAlignment="1">
      <alignment horizontal="center"/>
    </xf>
    <xf numFmtId="0" fontId="21" fillId="29" borderId="14" xfId="0" applyFont="1" applyFill="1" applyBorder="1"/>
    <xf numFmtId="0" fontId="0" fillId="0" borderId="12" xfId="0" applyBorder="1"/>
    <xf numFmtId="0" fontId="0" fillId="29" borderId="12" xfId="0" applyFill="1" applyBorder="1"/>
    <xf numFmtId="173" fontId="0" fillId="0" borderId="12" xfId="0" applyNumberFormat="1" applyBorder="1" applyAlignment="1">
      <alignment horizontal="center"/>
    </xf>
    <xf numFmtId="168" fontId="22" fillId="22" borderId="7" xfId="0" applyNumberFormat="1" applyFont="1" applyFill="1" applyBorder="1" applyAlignment="1">
      <alignment horizontal="center" vertical="center"/>
    </xf>
    <xf numFmtId="0" fontId="18" fillId="22" borderId="8" xfId="0" applyFont="1" applyFill="1" applyBorder="1" applyAlignment="1">
      <alignment horizontal="center" vertical="top"/>
    </xf>
    <xf numFmtId="0" fontId="0" fillId="29" borderId="14" xfId="0" applyFill="1" applyBorder="1" applyAlignment="1">
      <alignment horizontal="left"/>
    </xf>
    <xf numFmtId="0" fontId="0" fillId="0" borderId="14" xfId="0" applyBorder="1" applyAlignment="1">
      <alignment horizontal="left"/>
    </xf>
    <xf numFmtId="172" fontId="0" fillId="0" borderId="13" xfId="0" applyNumberFormat="1" applyBorder="1" applyAlignment="1">
      <alignment horizontal="center"/>
    </xf>
    <xf numFmtId="0" fontId="0" fillId="30" borderId="14" xfId="0" applyFill="1" applyBorder="1" applyAlignment="1">
      <alignment horizontal="left"/>
    </xf>
    <xf numFmtId="173" fontId="23" fillId="0" borderId="15" xfId="0" applyNumberFormat="1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176" fontId="20" fillId="0" borderId="16" xfId="1" applyNumberFormat="1" applyFont="1" applyBorder="1" applyAlignment="1">
      <alignment horizontal="center"/>
    </xf>
    <xf numFmtId="0" fontId="24" fillId="22" borderId="8" xfId="0" applyFont="1" applyFill="1" applyBorder="1" applyAlignment="1">
      <alignment horizontal="left" vertical="top"/>
    </xf>
    <xf numFmtId="0" fontId="21" fillId="31" borderId="14" xfId="0" applyFont="1" applyFill="1" applyBorder="1" applyAlignment="1">
      <alignment horizontal="left"/>
    </xf>
    <xf numFmtId="0" fontId="0" fillId="31" borderId="14" xfId="0" applyFill="1" applyBorder="1"/>
    <xf numFmtId="0" fontId="21" fillId="16" borderId="14" xfId="0" applyFont="1" applyFill="1" applyBorder="1" applyAlignment="1">
      <alignment horizontal="left"/>
    </xf>
    <xf numFmtId="0" fontId="21" fillId="16" borderId="14" xfId="0" applyFont="1" applyFill="1" applyBorder="1"/>
    <xf numFmtId="0" fontId="0" fillId="32" borderId="14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18" fillId="22" borderId="8" xfId="0" applyFont="1" applyFill="1" applyBorder="1" applyAlignment="1">
      <alignment horizontal="right" vertical="top" indent="2"/>
    </xf>
    <xf numFmtId="0" fontId="0" fillId="0" borderId="15" xfId="0" applyBorder="1"/>
    <xf numFmtId="0" fontId="0" fillId="0" borderId="17" xfId="0" applyBorder="1" applyAlignment="1">
      <alignment horizontal="center"/>
    </xf>
    <xf numFmtId="0" fontId="0" fillId="0" borderId="17" xfId="0" applyBorder="1"/>
    <xf numFmtId="173" fontId="0" fillId="0" borderId="17" xfId="0" applyNumberFormat="1" applyBorder="1" applyAlignment="1">
      <alignment horizontal="center"/>
    </xf>
    <xf numFmtId="0" fontId="0" fillId="31" borderId="14" xfId="0" applyFill="1" applyBorder="1" applyAlignment="1">
      <alignment horizontal="left"/>
    </xf>
    <xf numFmtId="0" fontId="0" fillId="0" borderId="0" xfId="0" applyAlignment="1">
      <alignment horizontal="center"/>
    </xf>
    <xf numFmtId="0" fontId="25" fillId="34" borderId="0" xfId="0" applyFont="1" applyFill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20" fillId="27" borderId="10" xfId="0" applyFont="1" applyFill="1" applyBorder="1" applyAlignment="1">
      <alignment horizontal="center" vertical="center"/>
    </xf>
    <xf numFmtId="0" fontId="20" fillId="28" borderId="10" xfId="0" applyFont="1" applyFill="1" applyBorder="1" applyAlignment="1">
      <alignment horizontal="center" vertical="center"/>
    </xf>
    <xf numFmtId="167" fontId="0" fillId="0" borderId="0" xfId="0" applyNumberFormat="1"/>
  </cellXfs>
  <cellStyles count="4">
    <cellStyle name="AjusteDestaque" xfId="3" xr:uid="{00000000-0005-0000-0000-000006000000}"/>
    <cellStyle name="Currency" xfId="1" builtinId="4"/>
    <cellStyle name="Hyperlink" xfId="2" builtinId="8"/>
    <cellStyle name="Normal" xfId="0" builtinId="0"/>
  </cellStyles>
  <dxfs count="193"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ill>
        <patternFill>
          <bgColor theme="4" tint="0.59978026673177287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79979857783745845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00B0F0"/>
        </patternFill>
      </fill>
    </dxf>
    <dxf>
      <font>
        <b/>
        <color rgb="FF000000"/>
      </font>
      <fill>
        <patternFill>
          <bgColor rgb="FF7FD7A7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0000"/>
      </font>
      <fill>
        <patternFill>
          <bgColor rgb="FFFF0000"/>
        </patternFill>
      </fill>
    </dxf>
    <dxf>
      <font>
        <b/>
        <color rgb="FF000000"/>
      </font>
      <fill>
        <patternFill>
          <bgColor rgb="FF00B050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>
          <bgColor theme="8" tint="0.79979857783745845"/>
        </patternFill>
      </fill>
    </dxf>
    <dxf>
      <fill>
        <patternFill patternType="solid">
          <fgColor rgb="FFFCE4D6"/>
          <bgColor rgb="FFFCE4D6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5700"/>
      </font>
      <fill>
        <patternFill patternType="solid">
          <fgColor rgb="FFFFEB9C"/>
          <bgColor rgb="FFFFEB9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D0CECE"/>
      <rgbColor rgb="FFF0FDF4"/>
      <rgbColor rgb="FFFFE699"/>
      <rgbColor rgb="FFE1D5CB"/>
      <rgbColor rgb="FFBDD7EE"/>
      <rgbColor rgb="FF9C0006"/>
      <rgbColor rgb="FF006100"/>
      <rgbColor rgb="FFF4FDF0"/>
      <rgbColor rgb="FF88940D"/>
      <rgbColor rgb="FFDAE3F3"/>
      <rgbColor rgb="FF065F46"/>
      <rgbColor rgb="FFBFBFBF"/>
      <rgbColor rgb="FF695547"/>
      <rgbColor rgb="FFA6A6A6"/>
      <rgbColor rgb="FFCA3843"/>
      <rgbColor rgb="FFFFF2CC"/>
      <rgbColor rgb="FFDCFCE7"/>
      <rgbColor rgb="FFF1F5F9"/>
      <rgbColor rgb="FFC55A11"/>
      <rgbColor rgb="FF0674D7"/>
      <rgbColor rgb="FFCBD5E1"/>
      <rgbColor rgb="FFFCFAF8"/>
      <rgbColor rgb="FFD9D9D9"/>
      <rgbColor rgb="FFC5E0B4"/>
      <rgbColor rgb="FFC6EFCE"/>
      <rgbColor rgb="FFFCE4D6"/>
      <rgbColor rgb="FFE7FCDC"/>
      <rgbColor rgb="FF465F06"/>
      <rgbColor rgb="FFF8FAFC"/>
      <rgbColor rgb="FF00B0F0"/>
      <rgbColor rgb="FFDEEBF7"/>
      <rgbColor rgb="FFD1FAE5"/>
      <rgbColor rgb="FFFFEB9C"/>
      <rgbColor rgb="FFB4C7E7"/>
      <rgbColor rgb="FFFFC7CE"/>
      <rgbColor rgb="FFAFABAB"/>
      <rgbColor rgb="FFF8CBAD"/>
      <rgbColor rgb="FF5B5252"/>
      <rgbColor rgb="FF7FD7A7"/>
      <rgbColor rgb="FF92D050"/>
      <rgbColor rgb="FFFFC000"/>
      <rgbColor rgb="FFC78402"/>
      <rgbColor rgb="FFEB6325"/>
      <rgbColor rgb="FF595959"/>
      <rgbColor rgb="FF94A3B8"/>
      <rgbColor rgb="FF003C6C"/>
      <rgbColor rgb="FF00B050"/>
      <rgbColor rgb="FF554133"/>
      <rgbColor rgb="FF1E293B"/>
      <rgbColor rgb="FF9C6500"/>
      <rgbColor rgb="FFD9286D"/>
      <rgbColor rgb="FF1F4E79"/>
      <rgbColor rgb="FF3B291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</xdr:colOff>
      <xdr:row>0</xdr:row>
      <xdr:rowOff>9390</xdr:rowOff>
    </xdr:from>
    <xdr:to>
      <xdr:col>7</xdr:col>
      <xdr:colOff>9525</xdr:colOff>
      <xdr:row>3</xdr:row>
      <xdr:rowOff>28575</xdr:rowOff>
    </xdr:to>
    <xdr:pic>
      <xdr:nvPicPr>
        <xdr:cNvPr id="2" name="Imagem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0" y="9390"/>
          <a:ext cx="7943790" cy="84786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28574</xdr:rowOff>
        </xdr:from>
        <xdr:to>
          <xdr:col>2</xdr:col>
          <xdr:colOff>9524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Alterar 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1590676</xdr:colOff>
          <xdr:row>3</xdr:row>
          <xdr:rowOff>28575</xdr:rowOff>
        </xdr:from>
        <xdr:to>
          <xdr:col>7</xdr:col>
          <xdr:colOff>9526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95250</xdr:rowOff>
        </xdr:from>
        <xdr:to>
          <xdr:col>9</xdr:col>
          <xdr:colOff>533400</xdr:colOff>
          <xdr:row>4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Produto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157320</xdr:colOff>
      <xdr:row>0</xdr:row>
      <xdr:rowOff>33480</xdr:rowOff>
    </xdr:from>
    <xdr:to>
      <xdr:col>1</xdr:col>
      <xdr:colOff>576000</xdr:colOff>
      <xdr:row>0</xdr:row>
      <xdr:rowOff>666000</xdr:rowOff>
    </xdr:to>
    <xdr:pic>
      <xdr:nvPicPr>
        <xdr:cNvPr id="2" name="Imagem 1" descr="Macontrin Extintores Logo Header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57320" y="33480"/>
          <a:ext cx="1515960" cy="6325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8</xdr:col>
      <xdr:colOff>83520</xdr:colOff>
      <xdr:row>0</xdr:row>
      <xdr:rowOff>42840</xdr:rowOff>
    </xdr:from>
    <xdr:to>
      <xdr:col>8</xdr:col>
      <xdr:colOff>833040</xdr:colOff>
      <xdr:row>0</xdr:row>
      <xdr:rowOff>606600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2"/>
        <a:srcRect l="21476" t="4329" r="19728" b="11630"/>
        <a:stretch/>
      </xdr:blipFill>
      <xdr:spPr>
        <a:xfrm>
          <a:off x="15629040" y="42840"/>
          <a:ext cx="749520" cy="5637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207000</xdr:colOff>
      <xdr:row>0</xdr:row>
      <xdr:rowOff>73800</xdr:rowOff>
    </xdr:from>
    <xdr:to>
      <xdr:col>1</xdr:col>
      <xdr:colOff>658800</xdr:colOff>
      <xdr:row>0</xdr:row>
      <xdr:rowOff>594720</xdr:rowOff>
    </xdr:to>
    <xdr:pic>
      <xdr:nvPicPr>
        <xdr:cNvPr id="4" name="Imagem 1" descr="Macontrin Extintores Logo Heade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207000" y="73800"/>
          <a:ext cx="1357920" cy="520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8</xdr:col>
      <xdr:colOff>35640</xdr:colOff>
      <xdr:row>0</xdr:row>
      <xdr:rowOff>35640</xdr:rowOff>
    </xdr:from>
    <xdr:to>
      <xdr:col>8</xdr:col>
      <xdr:colOff>839160</xdr:colOff>
      <xdr:row>0</xdr:row>
      <xdr:rowOff>618480</xdr:rowOff>
    </xdr:to>
    <xdr:pic>
      <xdr:nvPicPr>
        <xdr:cNvPr id="5" name="Imagem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1653560" y="35640"/>
          <a:ext cx="803520" cy="5828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521640</xdr:colOff>
      <xdr:row>0</xdr:row>
      <xdr:rowOff>0</xdr:rowOff>
    </xdr:from>
    <xdr:to>
      <xdr:col>4</xdr:col>
      <xdr:colOff>1261440</xdr:colOff>
      <xdr:row>1</xdr:row>
      <xdr:rowOff>18360</xdr:rowOff>
    </xdr:to>
    <xdr:pic>
      <xdr:nvPicPr>
        <xdr:cNvPr id="6" name="Imagem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/>
      </xdr:nvPicPr>
      <xdr:blipFill>
        <a:blip xmlns:r="http://schemas.openxmlformats.org/officeDocument/2006/relationships" r:embed="rId3"/>
        <a:stretch/>
      </xdr:blipFill>
      <xdr:spPr>
        <a:xfrm>
          <a:off x="7176600" y="0"/>
          <a:ext cx="739800" cy="66600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95400</xdr:colOff>
      <xdr:row>0</xdr:row>
      <xdr:rowOff>88200</xdr:rowOff>
    </xdr:from>
    <xdr:to>
      <xdr:col>1</xdr:col>
      <xdr:colOff>497160</xdr:colOff>
      <xdr:row>0</xdr:row>
      <xdr:rowOff>570960</xdr:rowOff>
    </xdr:to>
    <xdr:pic>
      <xdr:nvPicPr>
        <xdr:cNvPr id="7" name="Imagem 1" descr="Macontrin Extintores Logo Heade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400" y="88200"/>
          <a:ext cx="1357920" cy="4827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7</xdr:col>
      <xdr:colOff>142920</xdr:colOff>
      <xdr:row>0</xdr:row>
      <xdr:rowOff>9360</xdr:rowOff>
    </xdr:from>
    <xdr:to>
      <xdr:col>7</xdr:col>
      <xdr:colOff>856440</xdr:colOff>
      <xdr:row>0</xdr:row>
      <xdr:rowOff>606240</xdr:rowOff>
    </xdr:to>
    <xdr:pic>
      <xdr:nvPicPr>
        <xdr:cNvPr id="8" name="Imagem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0915560" y="9360"/>
          <a:ext cx="713520" cy="5968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3</xdr:col>
      <xdr:colOff>547560</xdr:colOff>
      <xdr:row>0</xdr:row>
      <xdr:rowOff>16560</xdr:rowOff>
    </xdr:from>
    <xdr:to>
      <xdr:col>3</xdr:col>
      <xdr:colOff>1382760</xdr:colOff>
      <xdr:row>0</xdr:row>
      <xdr:rowOff>637200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/>
      </xdr:nvPicPr>
      <xdr:blipFill>
        <a:blip xmlns:r="http://schemas.openxmlformats.org/officeDocument/2006/relationships" r:embed="rId3"/>
        <a:stretch/>
      </xdr:blipFill>
      <xdr:spPr>
        <a:xfrm>
          <a:off x="5994720" y="16560"/>
          <a:ext cx="835200" cy="6206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6</xdr:col>
      <xdr:colOff>11160</xdr:colOff>
      <xdr:row>0</xdr:row>
      <xdr:rowOff>570600</xdr:rowOff>
    </xdr:to>
    <xdr:pic>
      <xdr:nvPicPr>
        <xdr:cNvPr id="10" name="Imagem 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0078200" y="28440"/>
          <a:ext cx="726120" cy="5421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212040</xdr:colOff>
      <xdr:row>0</xdr:row>
      <xdr:rowOff>107280</xdr:rowOff>
    </xdr:from>
    <xdr:to>
      <xdr:col>1</xdr:col>
      <xdr:colOff>687600</xdr:colOff>
      <xdr:row>0</xdr:row>
      <xdr:rowOff>535320</xdr:rowOff>
    </xdr:to>
    <xdr:pic>
      <xdr:nvPicPr>
        <xdr:cNvPr id="11" name="Imagem 1" descr="Macontrin Extintores Logo Header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212040" y="107280"/>
          <a:ext cx="1351080" cy="428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6</xdr:col>
      <xdr:colOff>320760</xdr:colOff>
      <xdr:row>0</xdr:row>
      <xdr:rowOff>618120</xdr:rowOff>
    </xdr:to>
    <xdr:pic>
      <xdr:nvPicPr>
        <xdr:cNvPr id="12" name="Imagem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781520" y="28440"/>
          <a:ext cx="623160" cy="5896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88920</xdr:colOff>
      <xdr:row>0</xdr:row>
      <xdr:rowOff>80280</xdr:rowOff>
    </xdr:from>
    <xdr:to>
      <xdr:col>1</xdr:col>
      <xdr:colOff>561960</xdr:colOff>
      <xdr:row>0</xdr:row>
      <xdr:rowOff>594720</xdr:rowOff>
    </xdr:to>
    <xdr:pic>
      <xdr:nvPicPr>
        <xdr:cNvPr id="13" name="Imagem 1" descr="Macontrin Extintores Logo Header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88920" y="80280"/>
          <a:ext cx="1348560" cy="5144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4</xdr:col>
      <xdr:colOff>1094760</xdr:colOff>
      <xdr:row>1</xdr:row>
      <xdr:rowOff>11160</xdr:rowOff>
    </xdr:to>
    <xdr:pic>
      <xdr:nvPicPr>
        <xdr:cNvPr id="14" name="Imagem 1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000120" y="28440"/>
          <a:ext cx="561240" cy="601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157320</xdr:colOff>
      <xdr:row>0</xdr:row>
      <xdr:rowOff>104760</xdr:rowOff>
    </xdr:from>
    <xdr:to>
      <xdr:col>1</xdr:col>
      <xdr:colOff>632880</xdr:colOff>
      <xdr:row>0</xdr:row>
      <xdr:rowOff>558720</xdr:rowOff>
    </xdr:to>
    <xdr:pic>
      <xdr:nvPicPr>
        <xdr:cNvPr id="15" name="Imagem 1" descr="Macontrin Extintores Logo Header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57320" y="104760"/>
          <a:ext cx="1351080" cy="4539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533520</xdr:colOff>
      <xdr:row>0</xdr:row>
      <xdr:rowOff>28440</xdr:rowOff>
    </xdr:from>
    <xdr:to>
      <xdr:col>4</xdr:col>
      <xdr:colOff>930600</xdr:colOff>
      <xdr:row>0</xdr:row>
      <xdr:rowOff>594360</xdr:rowOff>
    </xdr:to>
    <xdr:pic>
      <xdr:nvPicPr>
        <xdr:cNvPr id="16" name="Imagem 1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711320" y="28440"/>
          <a:ext cx="397080" cy="5659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171360</xdr:colOff>
      <xdr:row>0</xdr:row>
      <xdr:rowOff>116640</xdr:rowOff>
    </xdr:from>
    <xdr:to>
      <xdr:col>1</xdr:col>
      <xdr:colOff>646920</xdr:colOff>
      <xdr:row>0</xdr:row>
      <xdr:rowOff>570600</xdr:rowOff>
    </xdr:to>
    <xdr:pic>
      <xdr:nvPicPr>
        <xdr:cNvPr id="17" name="Imagem 1" descr="Macontrin Extintores Logo Header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71360" y="116640"/>
          <a:ext cx="1351080" cy="45396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0000"/>
    <pageSetUpPr fitToPage="1"/>
  </sheetPr>
  <dimension ref="A1:BG1000"/>
  <sheetViews>
    <sheetView tabSelected="1" view="pageBreakPreview" zoomScaleNormal="100" zoomScaleSheetLayoutView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I11" activeCellId="1" sqref="L3 I11"/>
    </sheetView>
  </sheetViews>
  <sheetFormatPr defaultColWidth="8.7109375" defaultRowHeight="15" x14ac:dyDescent="0.25"/>
  <cols>
    <col min="1" max="1" width="16" customWidth="1"/>
    <col min="2" max="2" width="18" customWidth="1"/>
    <col min="3" max="3" width="7" customWidth="1"/>
    <col min="4" max="4" width="34" customWidth="1"/>
    <col min="5" max="5" width="24" customWidth="1"/>
    <col min="6" max="6" width="6" customWidth="1"/>
    <col min="7" max="9" width="14" customWidth="1"/>
    <col min="10" max="10" width="20.28515625" customWidth="1"/>
    <col min="11" max="54" width="11.7109375" customWidth="1"/>
    <col min="55" max="55" width="9.85546875" bestFit="1" customWidth="1"/>
    <col min="57" max="57" width="10.7109375" bestFit="1" customWidth="1"/>
    <col min="58" max="58" width="27.140625" bestFit="1" customWidth="1"/>
    <col min="59" max="59" width="13.42578125" bestFit="1" customWidth="1"/>
  </cols>
  <sheetData>
    <row r="1" spans="1:59" ht="16.5" x14ac:dyDescent="0.25">
      <c r="B1" s="15"/>
      <c r="C1" s="15"/>
      <c r="D1" s="15"/>
      <c r="E1" s="15"/>
      <c r="F1" s="15"/>
      <c r="G1" s="15"/>
      <c r="H1" s="20">
        <f t="shared" ref="H1:BB1" si="0">SUM(H6:H1000)</f>
        <v>11286</v>
      </c>
      <c r="I1" s="20">
        <f t="shared" si="0"/>
        <v>7161</v>
      </c>
      <c r="J1" s="21">
        <f t="shared" si="0"/>
        <v>5220947</v>
      </c>
      <c r="K1" s="22">
        <f t="shared" si="0"/>
        <v>3761</v>
      </c>
      <c r="L1" s="22">
        <f t="shared" si="0"/>
        <v>0</v>
      </c>
      <c r="M1" s="22">
        <f t="shared" si="0"/>
        <v>1072</v>
      </c>
      <c r="N1" s="22">
        <f t="shared" si="0"/>
        <v>1326</v>
      </c>
      <c r="O1" s="22">
        <f t="shared" si="0"/>
        <v>154</v>
      </c>
      <c r="P1" s="22">
        <f t="shared" si="0"/>
        <v>108</v>
      </c>
      <c r="Q1" s="22">
        <f t="shared" si="0"/>
        <v>7</v>
      </c>
      <c r="R1" s="22">
        <f t="shared" si="0"/>
        <v>0</v>
      </c>
      <c r="S1" s="22">
        <f t="shared" si="0"/>
        <v>6</v>
      </c>
      <c r="T1" s="22">
        <f t="shared" si="0"/>
        <v>231</v>
      </c>
      <c r="U1" s="22">
        <f t="shared" si="0"/>
        <v>1844</v>
      </c>
      <c r="V1" s="22">
        <f t="shared" si="0"/>
        <v>5</v>
      </c>
      <c r="W1" s="22">
        <f t="shared" si="0"/>
        <v>13</v>
      </c>
      <c r="X1" s="22">
        <f t="shared" si="0"/>
        <v>0</v>
      </c>
      <c r="Y1" s="22">
        <f t="shared" si="0"/>
        <v>0</v>
      </c>
      <c r="Z1" s="22">
        <f t="shared" si="0"/>
        <v>35</v>
      </c>
      <c r="AA1" s="22">
        <f t="shared" si="0"/>
        <v>2715</v>
      </c>
      <c r="AB1" s="22">
        <f t="shared" si="0"/>
        <v>1</v>
      </c>
      <c r="AC1" s="22">
        <f t="shared" si="0"/>
        <v>0</v>
      </c>
      <c r="AD1" s="22">
        <f t="shared" si="0"/>
        <v>3</v>
      </c>
      <c r="AE1" s="22">
        <f t="shared" si="0"/>
        <v>0</v>
      </c>
      <c r="AF1" s="22">
        <f t="shared" si="0"/>
        <v>3</v>
      </c>
      <c r="AG1" s="22">
        <f t="shared" si="0"/>
        <v>2</v>
      </c>
      <c r="AH1" s="22">
        <f t="shared" si="0"/>
        <v>5506</v>
      </c>
      <c r="AI1" s="22">
        <f t="shared" si="0"/>
        <v>36</v>
      </c>
      <c r="AJ1" s="22">
        <f t="shared" si="0"/>
        <v>1598</v>
      </c>
      <c r="AK1" s="22">
        <f t="shared" si="0"/>
        <v>21</v>
      </c>
      <c r="AL1" s="22">
        <f t="shared" si="0"/>
        <v>0</v>
      </c>
      <c r="AM1" s="22">
        <f t="shared" si="0"/>
        <v>0</v>
      </c>
      <c r="AN1" s="22">
        <f>SUM(AN6:AN2000)</f>
        <v>0</v>
      </c>
      <c r="AO1" s="22">
        <f t="shared" si="0"/>
        <v>0</v>
      </c>
      <c r="AP1" s="22">
        <f t="shared" si="0"/>
        <v>0</v>
      </c>
      <c r="AQ1" s="22">
        <f t="shared" si="0"/>
        <v>0</v>
      </c>
      <c r="AR1" s="22">
        <f t="shared" si="0"/>
        <v>0</v>
      </c>
      <c r="AS1" s="22">
        <f t="shared" si="0"/>
        <v>0</v>
      </c>
      <c r="AT1" s="22">
        <f t="shared" si="0"/>
        <v>0</v>
      </c>
      <c r="AU1" s="22">
        <f t="shared" si="0"/>
        <v>0</v>
      </c>
      <c r="AV1" s="22">
        <f t="shared" si="0"/>
        <v>0</v>
      </c>
      <c r="AW1" s="22">
        <f t="shared" si="0"/>
        <v>0</v>
      </c>
      <c r="AX1" s="22">
        <f t="shared" si="0"/>
        <v>0</v>
      </c>
      <c r="AY1" s="22">
        <f t="shared" si="0"/>
        <v>0</v>
      </c>
      <c r="AZ1" s="22">
        <f t="shared" si="0"/>
        <v>0</v>
      </c>
      <c r="BA1" s="22">
        <f t="shared" si="0"/>
        <v>0</v>
      </c>
      <c r="BB1" s="22">
        <f t="shared" si="0"/>
        <v>0</v>
      </c>
    </row>
    <row r="2" spans="1:59" x14ac:dyDescent="0.25">
      <c r="I2" s="16"/>
      <c r="K2" s="17">
        <f>IF(K3="","",IFERROR(INDEX(PRODUTOS!$E$2:$E$200,MATCH(K3,PRODUTOS!$C$2:$C$200,0)),0))</f>
        <v>50</v>
      </c>
      <c r="L2" s="17" t="str">
        <f>IF(L3="","",IFERROR(INDEX(PRODUTOS!$E$2:$E$200,MATCH(L3,PRODUTOS!$C$2:$C$200,0)),0))</f>
        <v/>
      </c>
      <c r="M2" s="17">
        <f>IF(M3="","",IFERROR(INDEX(PRODUTOS!$E$2:$E$200,MATCH(M3,PRODUTOS!$C$2:$C$200,0)),0))</f>
        <v>50</v>
      </c>
      <c r="N2" s="17">
        <f>IF(N3="","",IFERROR(INDEX(PRODUTOS!$E$2:$E$200,MATCH(N3,PRODUTOS!$C$2:$C$200,0)),0))</f>
        <v>60</v>
      </c>
      <c r="O2" s="17">
        <f>IF(O3="","",IFERROR(INDEX(PRODUTOS!$E$2:$E$200,MATCH(O3,PRODUTOS!$C$2:$C$200,0)),0))</f>
        <v>70</v>
      </c>
      <c r="P2" s="17">
        <f>IF(P3="","",IFERROR(INDEX(PRODUTOS!$E$2:$E$200,MATCH(P3,PRODUTOS!$C$2:$C$200,0)),0))</f>
        <v>80</v>
      </c>
      <c r="Q2" s="17">
        <f>IF(Q3="","",IFERROR(INDEX(PRODUTOS!$E$2:$E$200,MATCH(Q3,PRODUTOS!$C$2:$C$200,0)),0))</f>
        <v>120</v>
      </c>
      <c r="R2" s="17" t="str">
        <f>IF(R3="","",IFERROR(INDEX(PRODUTOS!$E$2:$E$200,MATCH(R3,PRODUTOS!$C$2:$C$200,0)),0))</f>
        <v/>
      </c>
      <c r="S2" s="17">
        <f>IF(S3="","",IFERROR(INDEX(PRODUTOS!$E$2:$E$200,MATCH(S3,PRODUTOS!$C$2:$C$200,0)),0))</f>
        <v>345</v>
      </c>
      <c r="T2" s="17">
        <f>IF(T3="","",IFERROR(INDEX(PRODUTOS!$E$2:$E$200,MATCH(T3,PRODUTOS!$C$2:$C$200,0)),0))</f>
        <v>65</v>
      </c>
      <c r="U2" s="17">
        <f>IF(U3="","",IFERROR(INDEX(PRODUTOS!$E$2:$E$200,MATCH(U3,PRODUTOS!$C$2:$C$200,0)),0))</f>
        <v>83</v>
      </c>
      <c r="V2" s="17">
        <f>IF(V3="","",IFERROR(INDEX(PRODUTOS!$E$2:$E$200,MATCH(V3,PRODUTOS!$C$2:$C$200,0)),0))</f>
        <v>125</v>
      </c>
      <c r="W2" s="17">
        <f>IF(W3="","",IFERROR(INDEX(PRODUTOS!$E$2:$E$200,MATCH(W3,PRODUTOS!$C$2:$C$200,0)),0))</f>
        <v>160</v>
      </c>
      <c r="X2" s="17" t="str">
        <f>IF(X3="","",IFERROR(INDEX(PRODUTOS!$E$2:$E$200,MATCH(X3,PRODUTOS!$C$2:$C$200,0)),0))</f>
        <v/>
      </c>
      <c r="Y2" s="17" t="str">
        <f>IF(Y3="","",IFERROR(INDEX(PRODUTOS!$E$2:$E$200,MATCH(Y3,PRODUTOS!$C$2:$C$200,0)),0))</f>
        <v/>
      </c>
      <c r="Z2" s="17">
        <f>IF(Z3="","",IFERROR(INDEX(PRODUTOS!$E$2:$E$200,MATCH(Z3,PRODUTOS!$C$2:$C$200,0)),0))</f>
        <v>140</v>
      </c>
      <c r="AA2" s="17">
        <f>IF(AA3="","",IFERROR(INDEX(PRODUTOS!$E$2:$E$200,MATCH(AA3,PRODUTOS!$C$2:$C$200,0)),0))</f>
        <v>160</v>
      </c>
      <c r="AB2" s="17">
        <f>IF(AB3="","",IFERROR(INDEX(PRODUTOS!$E$2:$E$200,MATCH(AB3,PRODUTOS!$C$2:$C$200,0)),0))</f>
        <v>260</v>
      </c>
      <c r="AC2" s="17" t="str">
        <f>IF(AC3="","",IFERROR(INDEX(PRODUTOS!$E$2:$E$200,MATCH(AC3,PRODUTOS!$C$2:$C$200,0)),0))</f>
        <v/>
      </c>
      <c r="AD2" s="17">
        <f>IF(AD3="","",IFERROR(INDEX(PRODUTOS!$E$2:$E$200,MATCH(AD3,PRODUTOS!$C$2:$C$200,0)),0))</f>
        <v>600</v>
      </c>
      <c r="AE2" s="17" t="str">
        <f>IF(AE3="","",IFERROR(INDEX(PRODUTOS!$E$2:$E$200,MATCH(AE3,PRODUTOS!$C$2:$C$200,0)),0))</f>
        <v/>
      </c>
      <c r="AF2" s="17">
        <f>IF(AF3="","",IFERROR(INDEX(PRODUTOS!$E$2:$E$200,MATCH(AF3,PRODUTOS!$C$2:$C$200,0)),0))</f>
        <v>135</v>
      </c>
      <c r="AG2" s="17">
        <f>IF(AG3="","",IFERROR(INDEX(PRODUTOS!$E$2:$E$200,MATCH(AG3,PRODUTOS!$C$2:$C$200,0)),0))</f>
        <v>500</v>
      </c>
      <c r="AH2" s="17">
        <f>IF(AH3="","",IFERROR(INDEX(PRODUTOS!$E$2:$E$200,MATCH(AH3,PRODUTOS!$C$2:$C$200,0)),0))</f>
        <v>525</v>
      </c>
      <c r="AI2" s="17">
        <f>IF(AI3="","",IFERROR(INDEX(PRODUTOS!$E$2:$E$200,MATCH(AI3,PRODUTOS!$C$2:$C$200,0)),0))</f>
        <v>795</v>
      </c>
      <c r="AJ2" s="17">
        <f>IF(AJ3="","",IFERROR(INDEX(PRODUTOS!$E$2:$E$200,MATCH(AJ3,PRODUTOS!$C$2:$C$200,0)),0))</f>
        <v>825</v>
      </c>
      <c r="AK2" s="17">
        <f>IF(AK3="","",IFERROR(INDEX(PRODUTOS!$E$2:$E$200,MATCH(AK3,PRODUTOS!$C$2:$C$200,0)),0))</f>
        <v>1250</v>
      </c>
      <c r="AL2" s="17" t="str">
        <f>IF(AL3="","",IFERROR(INDEX(PRODUTOS!$E$2:$E$200,MATCH(AL3,PRODUTOS!$C$2:$C$200,0)),0))</f>
        <v/>
      </c>
      <c r="AM2" s="17">
        <f>IF(AM3="","",IFERROR(INDEX(PRODUTOS!$E$2:$E$200,MATCH(AM3,PRODUTOS!$C$2:$C$200,0)),0))</f>
        <v>600</v>
      </c>
      <c r="AN2" s="17">
        <f>IF(AN3="","",IFERROR(INDEX(PRODUTOS!$E$2:$E$200,MATCH(AN3,PRODUTOS!$C$2:$C$200,0)),0))</f>
        <v>0</v>
      </c>
      <c r="AO2" s="17" t="str">
        <f>IF(AO3="","",IFERROR(INDEX(PRODUTOS!$E$2:$E$200,MATCH(AO3,PRODUTOS!$C$2:$C$200,0)),0))</f>
        <v/>
      </c>
      <c r="AP2" s="17" t="str">
        <f>IF(AP3="","",IFERROR(INDEX(PRODUTOS!$E$2:$E$200,MATCH(AP3,PRODUTOS!$C$2:$C$200,0)),0))</f>
        <v/>
      </c>
      <c r="AQ2" s="17">
        <f>IF(AQ3="","",IFERROR(INDEX(PRODUTOS!$E$2:$E$200,MATCH(AQ3,PRODUTOS!$C$2:$C$200,0)),0))</f>
        <v>120</v>
      </c>
      <c r="AR2" s="17">
        <f>IF(AR3="","",IFERROR(INDEX(PRODUTOS!$E$2:$E$200,MATCH(AR3,PRODUTOS!$C$2:$C$200,0)),0))</f>
        <v>345</v>
      </c>
      <c r="AS2" s="17" t="str">
        <f>IF(AS3="","",IFERROR(INDEX(PRODUTOS!$E$2:$E$200,MATCH(AS3,PRODUTOS!$C$2:$C$200,0)),0))</f>
        <v/>
      </c>
      <c r="AT2" s="17" t="str">
        <f>IF(AT3="","",IFERROR(INDEX(PRODUTOS!$E$2:$E$200,MATCH(AT3,PRODUTOS!$C$2:$C$200,0)),0))</f>
        <v/>
      </c>
      <c r="AU2" s="17" t="str">
        <f>IF(AU3="","",IFERROR(INDEX(PRODUTOS!$E$2:$E$200,MATCH(AU3,PRODUTOS!$C$2:$C$200,0)),0))</f>
        <v/>
      </c>
      <c r="AV2" s="17" t="str">
        <f>IF(AV3="","",IFERROR(INDEX(PRODUTOS!$E$2:$E$200,MATCH(AV3,PRODUTOS!$C$2:$C$200,0)),0))</f>
        <v/>
      </c>
      <c r="AW2" s="17" t="str">
        <f>IF(AW3="","",IFERROR(INDEX(PRODUTOS!$E$2:$E$200,MATCH(AW3,PRODUTOS!$C$2:$C$200,0)),0))</f>
        <v/>
      </c>
      <c r="AX2" s="17" t="str">
        <f>IF(AX3="","",IFERROR(INDEX(PRODUTOS!$E$2:$E$200,MATCH(AX3,PRODUTOS!$C$2:$C$200,0)),0))</f>
        <v/>
      </c>
      <c r="AY2" s="17" t="str">
        <f>IF(AY3="","",IFERROR(INDEX(PRODUTOS!$E$2:$E$200,MATCH(AY3,PRODUTOS!$C$2:$C$200,0)),0))</f>
        <v/>
      </c>
      <c r="AZ2" s="17" t="str">
        <f>IF(AZ3="","",IFERROR(INDEX(PRODUTOS!$E$2:$E$200,MATCH(AZ3,PRODUTOS!$C$2:$C$200,0)),0))</f>
        <v/>
      </c>
      <c r="BA2" s="17" t="str">
        <f>IF(BA3="","",IFERROR(INDEX(PRODUTOS!$E$2:$E$200,MATCH(BA3,PRODUTOS!$C$2:$C$200,0)),0))</f>
        <v/>
      </c>
      <c r="BB2" s="17" t="str">
        <f>IF(BB3="","",IFERROR(INDEX(PRODUTOS!$E$2:$E$200,MATCH(BB3,PRODUTOS!$C$2:$C$200,0)),0))</f>
        <v/>
      </c>
    </row>
    <row r="3" spans="1:59" ht="33.75" x14ac:dyDescent="0.25">
      <c r="I3" s="16"/>
      <c r="K3" s="18" t="s">
        <v>0</v>
      </c>
      <c r="L3" s="18"/>
      <c r="M3" s="18" t="s">
        <v>1</v>
      </c>
      <c r="N3" s="18" t="s">
        <v>2</v>
      </c>
      <c r="O3" s="18" t="s">
        <v>3</v>
      </c>
      <c r="P3" s="18" t="s">
        <v>4</v>
      </c>
      <c r="Q3" s="18" t="s">
        <v>5</v>
      </c>
      <c r="R3" s="18"/>
      <c r="S3" s="18" t="s">
        <v>6</v>
      </c>
      <c r="T3" s="18" t="s">
        <v>7</v>
      </c>
      <c r="U3" s="18" t="s">
        <v>8</v>
      </c>
      <c r="V3" s="18" t="s">
        <v>9</v>
      </c>
      <c r="W3" s="18" t="s">
        <v>10</v>
      </c>
      <c r="X3" s="18"/>
      <c r="Y3" s="18"/>
      <c r="Z3" s="18" t="s">
        <v>11</v>
      </c>
      <c r="AA3" s="18" t="s">
        <v>12</v>
      </c>
      <c r="AB3" s="18" t="s">
        <v>13</v>
      </c>
      <c r="AC3" s="18"/>
      <c r="AD3" s="18" t="s">
        <v>14</v>
      </c>
      <c r="AE3" s="18"/>
      <c r="AF3" s="18" t="s">
        <v>15</v>
      </c>
      <c r="AG3" s="18" t="s">
        <v>16</v>
      </c>
      <c r="AH3" s="18" t="s">
        <v>17</v>
      </c>
      <c r="AI3" s="18" t="s">
        <v>18</v>
      </c>
      <c r="AJ3" s="18" t="s">
        <v>19</v>
      </c>
      <c r="AK3" s="18" t="s">
        <v>20</v>
      </c>
      <c r="AL3" s="18"/>
      <c r="AM3" s="18" t="s">
        <v>14</v>
      </c>
      <c r="AN3" s="18" t="s">
        <v>2055</v>
      </c>
      <c r="AO3" s="18"/>
      <c r="AP3" s="18"/>
      <c r="AQ3" s="18" t="s">
        <v>5</v>
      </c>
      <c r="AR3" s="18" t="s">
        <v>6</v>
      </c>
      <c r="AS3" s="18"/>
      <c r="AT3" s="18"/>
      <c r="AU3" s="18"/>
      <c r="AV3" s="18"/>
      <c r="AW3" s="18"/>
      <c r="AX3" s="18"/>
      <c r="AY3" s="18"/>
      <c r="AZ3" s="18"/>
      <c r="BA3" s="18"/>
      <c r="BB3" s="18"/>
    </row>
    <row r="4" spans="1:59" ht="25.5" customHeight="1" x14ac:dyDescent="0.25">
      <c r="A4" s="97"/>
      <c r="B4" s="14" t="s">
        <v>59</v>
      </c>
      <c r="C4" s="14"/>
      <c r="D4" s="14"/>
      <c r="E4" s="14"/>
      <c r="F4" s="14"/>
      <c r="G4" s="14"/>
      <c r="H4" s="13" t="s">
        <v>60</v>
      </c>
      <c r="I4" s="13"/>
      <c r="J4" s="19" t="s">
        <v>61</v>
      </c>
      <c r="K4" s="12" t="s">
        <v>21</v>
      </c>
      <c r="L4" s="12"/>
      <c r="M4" s="11" t="s">
        <v>22</v>
      </c>
      <c r="N4" s="11"/>
      <c r="O4" s="11"/>
      <c r="P4" s="11"/>
      <c r="Q4" s="11"/>
      <c r="R4" s="11"/>
      <c r="S4" s="11"/>
      <c r="T4" s="10" t="s">
        <v>23</v>
      </c>
      <c r="U4" s="10"/>
      <c r="V4" s="10"/>
      <c r="W4" s="10"/>
      <c r="X4" s="10"/>
      <c r="Y4" s="10"/>
      <c r="Z4" s="9" t="s">
        <v>24</v>
      </c>
      <c r="AA4" s="9"/>
      <c r="AB4" s="9"/>
      <c r="AC4" s="9"/>
      <c r="AD4" s="9"/>
      <c r="AE4" s="9"/>
      <c r="AF4" s="8" t="s">
        <v>25</v>
      </c>
      <c r="AG4" s="8"/>
      <c r="AH4" s="7" t="s">
        <v>26</v>
      </c>
      <c r="AI4" s="7"/>
      <c r="AJ4" s="7"/>
      <c r="AK4" s="7"/>
      <c r="AL4" s="7"/>
      <c r="AM4" s="6" t="s">
        <v>27</v>
      </c>
      <c r="AN4" s="6"/>
      <c r="AO4" s="6"/>
      <c r="AP4" s="6"/>
      <c r="AQ4" s="6"/>
      <c r="AR4" s="6"/>
      <c r="AS4" s="13" t="s">
        <v>28</v>
      </c>
      <c r="AT4" s="13"/>
      <c r="AU4" s="13"/>
      <c r="AV4" s="13"/>
      <c r="AW4" s="13"/>
      <c r="AX4" s="13"/>
      <c r="AY4" s="13"/>
      <c r="AZ4" s="13"/>
      <c r="BA4" s="13"/>
      <c r="BB4" s="13"/>
    </row>
    <row r="5" spans="1:59" ht="25.5" customHeight="1" x14ac:dyDescent="0.25">
      <c r="A5" s="95" t="s">
        <v>62</v>
      </c>
      <c r="B5" s="23" t="s">
        <v>29</v>
      </c>
      <c r="C5" s="23" t="s">
        <v>31</v>
      </c>
      <c r="D5" s="23" t="s">
        <v>30</v>
      </c>
      <c r="E5" s="23" t="s">
        <v>32</v>
      </c>
      <c r="F5" s="23" t="s">
        <v>33</v>
      </c>
      <c r="G5" s="23" t="s">
        <v>34</v>
      </c>
      <c r="H5" s="23" t="s">
        <v>63</v>
      </c>
      <c r="I5" s="23" t="s">
        <v>64</v>
      </c>
      <c r="J5" s="24" t="s">
        <v>65</v>
      </c>
      <c r="K5" s="23" t="s">
        <v>35</v>
      </c>
      <c r="L5" s="23" t="s">
        <v>36</v>
      </c>
      <c r="M5" s="23" t="s">
        <v>37</v>
      </c>
      <c r="N5" s="23" t="s">
        <v>38</v>
      </c>
      <c r="O5" s="23" t="s">
        <v>39</v>
      </c>
      <c r="P5" s="23" t="s">
        <v>40</v>
      </c>
      <c r="Q5" s="23" t="s">
        <v>41</v>
      </c>
      <c r="R5" s="23" t="s">
        <v>42</v>
      </c>
      <c r="S5" s="23" t="s">
        <v>43</v>
      </c>
      <c r="T5" s="23" t="s">
        <v>37</v>
      </c>
      <c r="U5" s="23" t="s">
        <v>38</v>
      </c>
      <c r="V5" s="23" t="s">
        <v>39</v>
      </c>
      <c r="W5" s="23" t="s">
        <v>44</v>
      </c>
      <c r="X5" s="23" t="s">
        <v>45</v>
      </c>
      <c r="Y5" s="23" t="s">
        <v>46</v>
      </c>
      <c r="Z5" s="23" t="s">
        <v>37</v>
      </c>
      <c r="AA5" s="23" t="s">
        <v>38</v>
      </c>
      <c r="AB5" s="23" t="s">
        <v>47</v>
      </c>
      <c r="AC5" s="23" t="s">
        <v>44</v>
      </c>
      <c r="AD5" s="23" t="s">
        <v>48</v>
      </c>
      <c r="AE5" s="23" t="s">
        <v>43</v>
      </c>
      <c r="AF5" s="23" t="s">
        <v>49</v>
      </c>
      <c r="AG5" s="23" t="s">
        <v>50</v>
      </c>
      <c r="AH5" s="25" t="s">
        <v>51</v>
      </c>
      <c r="AI5" s="25" t="s">
        <v>52</v>
      </c>
      <c r="AJ5" s="25" t="s">
        <v>53</v>
      </c>
      <c r="AK5" s="25" t="s">
        <v>54</v>
      </c>
      <c r="AL5" s="25" t="s">
        <v>55</v>
      </c>
      <c r="AM5" s="25" t="s">
        <v>56</v>
      </c>
      <c r="AN5" s="23" t="s">
        <v>2055</v>
      </c>
      <c r="AO5" s="23"/>
      <c r="AP5" s="23"/>
      <c r="AQ5" s="25" t="s">
        <v>57</v>
      </c>
      <c r="AR5" s="25" t="s">
        <v>58</v>
      </c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4" t="s">
        <v>66</v>
      </c>
      <c r="BD5" s="24" t="s">
        <v>67</v>
      </c>
      <c r="BE5" s="24" t="s">
        <v>68</v>
      </c>
      <c r="BF5" s="24" t="s">
        <v>69</v>
      </c>
      <c r="BG5" t="s">
        <v>70</v>
      </c>
    </row>
    <row r="6" spans="1:59" ht="19.5" customHeight="1" x14ac:dyDescent="0.25">
      <c r="A6" s="96" t="s">
        <v>2054</v>
      </c>
      <c r="B6" s="26" t="s">
        <v>71</v>
      </c>
      <c r="C6" s="27">
        <v>1</v>
      </c>
      <c r="D6" s="26" t="s">
        <v>72</v>
      </c>
      <c r="E6" s="26" t="s">
        <v>73</v>
      </c>
      <c r="F6" s="27" t="s">
        <v>74</v>
      </c>
      <c r="G6" s="28">
        <v>46082</v>
      </c>
      <c r="H6" s="29">
        <f t="shared" ref="H6:H69" si="1">IF($B6="","",SUM($K6:$AG6)+SUM($AS6:$BB6))</f>
        <v>42</v>
      </c>
      <c r="I6" s="29">
        <f t="shared" ref="I6:I69" si="2">IF($B6="","",SUM($AH6:$AL6))</f>
        <v>0</v>
      </c>
      <c r="J6" s="30">
        <f t="shared" ref="J6:J69" si="3">IF($B6="","",SUMPRODUCT($K6:$BB6,$K$2:$BB$2))</f>
        <v>3410</v>
      </c>
      <c r="K6" s="31">
        <v>21</v>
      </c>
      <c r="L6" s="31"/>
      <c r="M6" s="31"/>
      <c r="N6" s="31">
        <v>10</v>
      </c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>
        <v>11</v>
      </c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t="s">
        <v>75</v>
      </c>
      <c r="BD6">
        <v>1</v>
      </c>
      <c r="BF6" s="30">
        <f>IF($BD6="","",SUMIF($BD$6:$BD$2000,$BD6,$J$6:$J$2000))</f>
        <v>3410</v>
      </c>
    </row>
    <row r="7" spans="1:59" ht="19.5" customHeight="1" x14ac:dyDescent="0.25">
      <c r="A7" s="96" t="s">
        <v>2054</v>
      </c>
      <c r="B7" s="32" t="s">
        <v>71</v>
      </c>
      <c r="C7" s="33">
        <v>2</v>
      </c>
      <c r="D7" s="32" t="s">
        <v>76</v>
      </c>
      <c r="E7" s="32" t="s">
        <v>77</v>
      </c>
      <c r="F7" s="33" t="s">
        <v>74</v>
      </c>
      <c r="G7" s="34">
        <v>46388</v>
      </c>
      <c r="H7" s="35">
        <f t="shared" si="1"/>
        <v>36</v>
      </c>
      <c r="I7" s="35">
        <f t="shared" si="2"/>
        <v>12</v>
      </c>
      <c r="J7" s="36">
        <f t="shared" si="3"/>
        <v>9204</v>
      </c>
      <c r="K7" s="37">
        <v>13</v>
      </c>
      <c r="L7" s="37"/>
      <c r="M7" s="37"/>
      <c r="N7" s="37"/>
      <c r="O7" s="37"/>
      <c r="P7" s="37"/>
      <c r="Q7" s="37">
        <v>1</v>
      </c>
      <c r="R7" s="37"/>
      <c r="S7" s="37"/>
      <c r="T7" s="37"/>
      <c r="U7" s="37">
        <v>18</v>
      </c>
      <c r="V7" s="37"/>
      <c r="W7" s="37"/>
      <c r="X7" s="37"/>
      <c r="Y7" s="37"/>
      <c r="Z7" s="37"/>
      <c r="AA7" s="37">
        <v>4</v>
      </c>
      <c r="AB7" s="37"/>
      <c r="AC7" s="37"/>
      <c r="AD7" s="37"/>
      <c r="AE7" s="37"/>
      <c r="AF7" s="37"/>
      <c r="AG7" s="37"/>
      <c r="AH7" s="37">
        <v>12</v>
      </c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t="s">
        <v>75</v>
      </c>
      <c r="BD7">
        <v>2</v>
      </c>
      <c r="BF7" s="30">
        <f>IF($BD7="","",SUMIF($BD$6:$BD$2000,$BD7,$J$6:$J$2000))</f>
        <v>9204</v>
      </c>
    </row>
    <row r="8" spans="1:59" ht="19.5" customHeight="1" x14ac:dyDescent="0.25">
      <c r="A8" s="96" t="s">
        <v>2054</v>
      </c>
      <c r="B8" s="26" t="s">
        <v>71</v>
      </c>
      <c r="C8" s="27">
        <v>3</v>
      </c>
      <c r="D8" s="26" t="s">
        <v>78</v>
      </c>
      <c r="E8" s="26" t="s">
        <v>79</v>
      </c>
      <c r="F8" s="27" t="s">
        <v>74</v>
      </c>
      <c r="G8" s="28">
        <v>46174</v>
      </c>
      <c r="H8" s="29">
        <f t="shared" si="1"/>
        <v>22</v>
      </c>
      <c r="I8" s="29">
        <f t="shared" si="2"/>
        <v>14</v>
      </c>
      <c r="J8" s="30">
        <f t="shared" si="3"/>
        <v>9330</v>
      </c>
      <c r="K8" s="31"/>
      <c r="L8" s="31"/>
      <c r="M8" s="31"/>
      <c r="N8" s="31"/>
      <c r="O8" s="31"/>
      <c r="P8" s="31"/>
      <c r="Q8" s="31"/>
      <c r="R8" s="31"/>
      <c r="S8" s="31"/>
      <c r="T8" s="31"/>
      <c r="U8" s="31">
        <v>20</v>
      </c>
      <c r="V8" s="31"/>
      <c r="W8" s="31"/>
      <c r="X8" s="31"/>
      <c r="Y8" s="31"/>
      <c r="Z8" s="31"/>
      <c r="AA8" s="31">
        <v>2</v>
      </c>
      <c r="AB8" s="31"/>
      <c r="AC8" s="31"/>
      <c r="AD8" s="31"/>
      <c r="AE8" s="31"/>
      <c r="AF8" s="31"/>
      <c r="AG8" s="31"/>
      <c r="AH8" s="31">
        <v>14</v>
      </c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t="s">
        <v>75</v>
      </c>
      <c r="BD8">
        <v>3</v>
      </c>
      <c r="BF8" s="30">
        <f>IF($BD8="","",SUMIF($BD$6:$BD$2000,$BD8,$J$6:$J$2000))</f>
        <v>9330</v>
      </c>
    </row>
    <row r="9" spans="1:59" ht="19.5" customHeight="1" x14ac:dyDescent="0.25">
      <c r="A9" s="96" t="s">
        <v>2054</v>
      </c>
      <c r="B9" s="32" t="s">
        <v>71</v>
      </c>
      <c r="C9" s="33">
        <v>4</v>
      </c>
      <c r="D9" s="32" t="s">
        <v>80</v>
      </c>
      <c r="E9" s="32" t="s">
        <v>81</v>
      </c>
      <c r="F9" s="33" t="s">
        <v>74</v>
      </c>
      <c r="G9" s="34">
        <v>46266</v>
      </c>
      <c r="H9" s="35">
        <f t="shared" si="1"/>
        <v>23</v>
      </c>
      <c r="I9" s="35">
        <f t="shared" si="2"/>
        <v>18</v>
      </c>
      <c r="J9" s="36">
        <f t="shared" si="3"/>
        <v>11100</v>
      </c>
      <c r="K9" s="37">
        <v>10</v>
      </c>
      <c r="L9" s="37"/>
      <c r="M9" s="37">
        <v>5</v>
      </c>
      <c r="N9" s="37">
        <v>3</v>
      </c>
      <c r="O9" s="37"/>
      <c r="P9" s="37">
        <v>1</v>
      </c>
      <c r="Q9" s="37"/>
      <c r="R9" s="37"/>
      <c r="S9" s="37"/>
      <c r="T9" s="37"/>
      <c r="U9" s="37"/>
      <c r="V9" s="37"/>
      <c r="W9" s="37"/>
      <c r="X9" s="37"/>
      <c r="Y9" s="37"/>
      <c r="Z9" s="37"/>
      <c r="AA9" s="37">
        <v>4</v>
      </c>
      <c r="AB9" s="37"/>
      <c r="AC9" s="37"/>
      <c r="AD9" s="37"/>
      <c r="AE9" s="37"/>
      <c r="AF9" s="37"/>
      <c r="AG9" s="37"/>
      <c r="AH9" s="37">
        <v>18</v>
      </c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t="s">
        <v>75</v>
      </c>
      <c r="BD9">
        <v>4</v>
      </c>
      <c r="BF9" s="30">
        <f>IF($BD9="","",SUMIF($BD$6:$BD$2000,$BD9,$J$6:$J$2000))</f>
        <v>11100</v>
      </c>
    </row>
    <row r="10" spans="1:59" ht="19.5" customHeight="1" x14ac:dyDescent="0.25">
      <c r="A10" s="96" t="s">
        <v>2054</v>
      </c>
      <c r="B10" s="26" t="s">
        <v>71</v>
      </c>
      <c r="C10" s="27">
        <v>5</v>
      </c>
      <c r="D10" s="26" t="s">
        <v>82</v>
      </c>
      <c r="E10" s="26" t="s">
        <v>83</v>
      </c>
      <c r="F10" s="27" t="s">
        <v>74</v>
      </c>
      <c r="G10" s="28">
        <v>46296</v>
      </c>
      <c r="H10" s="29">
        <f t="shared" si="1"/>
        <v>32</v>
      </c>
      <c r="I10" s="29">
        <f t="shared" si="2"/>
        <v>36</v>
      </c>
      <c r="J10" s="30">
        <f t="shared" si="3"/>
        <v>32620</v>
      </c>
      <c r="K10" s="31">
        <v>10</v>
      </c>
      <c r="L10" s="31"/>
      <c r="M10" s="31">
        <v>10</v>
      </c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>
        <v>12</v>
      </c>
      <c r="AB10" s="31"/>
      <c r="AC10" s="31"/>
      <c r="AD10" s="31"/>
      <c r="AE10" s="31"/>
      <c r="AF10" s="31"/>
      <c r="AG10" s="31"/>
      <c r="AH10" s="31"/>
      <c r="AI10" s="31"/>
      <c r="AJ10" s="31">
        <v>36</v>
      </c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t="s">
        <v>75</v>
      </c>
      <c r="BD10">
        <v>5</v>
      </c>
      <c r="BF10" s="30">
        <f>IF($BD10="","",SUMIF($BD$6:$BD$2000,$BD10,$J$6:$J$2000))</f>
        <v>32620</v>
      </c>
    </row>
    <row r="11" spans="1:59" ht="19.5" customHeight="1" x14ac:dyDescent="0.25">
      <c r="A11" s="96" t="s">
        <v>2054</v>
      </c>
      <c r="B11" s="32" t="s">
        <v>71</v>
      </c>
      <c r="C11" s="33">
        <v>6</v>
      </c>
      <c r="D11" s="32" t="s">
        <v>84</v>
      </c>
      <c r="E11" s="32" t="s">
        <v>73</v>
      </c>
      <c r="F11" s="33" t="s">
        <v>74</v>
      </c>
      <c r="G11" s="34">
        <v>46388</v>
      </c>
      <c r="H11" s="35">
        <f t="shared" si="1"/>
        <v>21</v>
      </c>
      <c r="I11" s="35">
        <f t="shared" si="2"/>
        <v>18</v>
      </c>
      <c r="J11" s="36">
        <f t="shared" si="3"/>
        <v>11790</v>
      </c>
      <c r="K11" s="37">
        <v>3</v>
      </c>
      <c r="L11" s="37"/>
      <c r="M11" s="37"/>
      <c r="N11" s="37"/>
      <c r="O11" s="37">
        <v>7</v>
      </c>
      <c r="P11" s="37"/>
      <c r="Q11" s="37">
        <v>1</v>
      </c>
      <c r="R11" s="37"/>
      <c r="S11" s="37"/>
      <c r="T11" s="37"/>
      <c r="U11" s="37"/>
      <c r="V11" s="37"/>
      <c r="W11" s="37"/>
      <c r="X11" s="37"/>
      <c r="Y11" s="37"/>
      <c r="Z11" s="37">
        <v>1</v>
      </c>
      <c r="AA11" s="37">
        <v>9</v>
      </c>
      <c r="AB11" s="37"/>
      <c r="AC11" s="37"/>
      <c r="AD11" s="37"/>
      <c r="AE11" s="37"/>
      <c r="AF11" s="37"/>
      <c r="AG11" s="37"/>
      <c r="AH11" s="37">
        <v>18</v>
      </c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t="s">
        <v>75</v>
      </c>
      <c r="BD11">
        <v>6</v>
      </c>
      <c r="BF11" s="30">
        <f>IF($BD11="","",SUMIF($BD$6:$BD$2000,$BD11,$J$6:$J$2000))</f>
        <v>11790</v>
      </c>
    </row>
    <row r="12" spans="1:59" ht="19.5" customHeight="1" x14ac:dyDescent="0.25">
      <c r="A12" s="96" t="s">
        <v>2054</v>
      </c>
      <c r="B12" s="26" t="s">
        <v>71</v>
      </c>
      <c r="C12" s="27">
        <v>7</v>
      </c>
      <c r="D12" s="26" t="s">
        <v>85</v>
      </c>
      <c r="E12" s="26" t="s">
        <v>86</v>
      </c>
      <c r="F12" s="27" t="s">
        <v>74</v>
      </c>
      <c r="G12" s="28">
        <v>46266</v>
      </c>
      <c r="H12" s="29">
        <f t="shared" si="1"/>
        <v>22</v>
      </c>
      <c r="I12" s="29">
        <f t="shared" si="2"/>
        <v>8</v>
      </c>
      <c r="J12" s="30">
        <f t="shared" si="3"/>
        <v>6640</v>
      </c>
      <c r="K12" s="31">
        <v>8</v>
      </c>
      <c r="L12" s="31"/>
      <c r="M12" s="31"/>
      <c r="N12" s="31">
        <v>2</v>
      </c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>
        <v>12</v>
      </c>
      <c r="AB12" s="31"/>
      <c r="AC12" s="31"/>
      <c r="AD12" s="31"/>
      <c r="AE12" s="31"/>
      <c r="AF12" s="31"/>
      <c r="AG12" s="31"/>
      <c r="AH12" s="31">
        <v>8</v>
      </c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t="s">
        <v>75</v>
      </c>
      <c r="BD12">
        <v>7</v>
      </c>
      <c r="BF12" s="30">
        <f>IF($BD12="","",SUMIF($BD$6:$BD$2000,$BD12,$J$6:$J$2000))</f>
        <v>6640</v>
      </c>
    </row>
    <row r="13" spans="1:59" ht="19.5" customHeight="1" x14ac:dyDescent="0.25">
      <c r="A13" s="96" t="s">
        <v>2054</v>
      </c>
      <c r="B13" s="32" t="s">
        <v>71</v>
      </c>
      <c r="C13" s="33">
        <v>8</v>
      </c>
      <c r="D13" s="32" t="s">
        <v>87</v>
      </c>
      <c r="E13" s="32" t="s">
        <v>83</v>
      </c>
      <c r="F13" s="33" t="s">
        <v>74</v>
      </c>
      <c r="G13" s="34">
        <v>46388</v>
      </c>
      <c r="H13" s="35">
        <f t="shared" si="1"/>
        <v>18</v>
      </c>
      <c r="I13" s="35">
        <f t="shared" si="2"/>
        <v>16</v>
      </c>
      <c r="J13" s="36">
        <f t="shared" si="3"/>
        <v>10120</v>
      </c>
      <c r="K13" s="37">
        <v>6</v>
      </c>
      <c r="L13" s="37"/>
      <c r="M13" s="37"/>
      <c r="N13" s="37">
        <v>5</v>
      </c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>
        <v>7</v>
      </c>
      <c r="AB13" s="37"/>
      <c r="AC13" s="37"/>
      <c r="AD13" s="37"/>
      <c r="AE13" s="37"/>
      <c r="AF13" s="37"/>
      <c r="AG13" s="37"/>
      <c r="AH13" s="37">
        <v>16</v>
      </c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t="s">
        <v>75</v>
      </c>
      <c r="BD13">
        <v>8</v>
      </c>
      <c r="BF13" s="30">
        <f>IF($BD13="","",SUMIF($BD$6:$BD$2000,$BD13,$J$6:$J$2000))</f>
        <v>10120</v>
      </c>
    </row>
    <row r="14" spans="1:59" ht="19.5" customHeight="1" x14ac:dyDescent="0.25">
      <c r="A14" s="96" t="s">
        <v>2054</v>
      </c>
      <c r="B14" s="26" t="s">
        <v>71</v>
      </c>
      <c r="C14" s="27">
        <v>9</v>
      </c>
      <c r="D14" s="26" t="s">
        <v>88</v>
      </c>
      <c r="E14" s="26" t="s">
        <v>73</v>
      </c>
      <c r="F14" s="27" t="s">
        <v>74</v>
      </c>
      <c r="G14" s="28">
        <v>46054</v>
      </c>
      <c r="H14" s="29">
        <f t="shared" si="1"/>
        <v>27</v>
      </c>
      <c r="I14" s="29">
        <f t="shared" si="2"/>
        <v>20</v>
      </c>
      <c r="J14" s="30">
        <f t="shared" si="3"/>
        <v>12930</v>
      </c>
      <c r="K14" s="31">
        <v>9</v>
      </c>
      <c r="L14" s="31"/>
      <c r="M14" s="31"/>
      <c r="N14" s="31">
        <v>9</v>
      </c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>
        <v>9</v>
      </c>
      <c r="AB14" s="31"/>
      <c r="AC14" s="31"/>
      <c r="AD14" s="31"/>
      <c r="AE14" s="31"/>
      <c r="AF14" s="31"/>
      <c r="AG14" s="31"/>
      <c r="AH14" s="31">
        <v>20</v>
      </c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t="s">
        <v>75</v>
      </c>
      <c r="BD14">
        <v>9</v>
      </c>
      <c r="BF14" s="30">
        <f>IF($BD14="","",SUMIF($BD$6:$BD$2000,$BD14,$J$6:$J$2000))</f>
        <v>12930</v>
      </c>
    </row>
    <row r="15" spans="1:59" ht="19.5" customHeight="1" x14ac:dyDescent="0.25">
      <c r="A15" s="96" t="s">
        <v>2054</v>
      </c>
      <c r="B15" s="32" t="s">
        <v>71</v>
      </c>
      <c r="C15" s="33">
        <v>10</v>
      </c>
      <c r="D15" s="32" t="s">
        <v>89</v>
      </c>
      <c r="E15" s="32" t="s">
        <v>90</v>
      </c>
      <c r="F15" s="33" t="s">
        <v>74</v>
      </c>
      <c r="G15" s="34">
        <v>46143</v>
      </c>
      <c r="H15" s="35">
        <f t="shared" si="1"/>
        <v>25</v>
      </c>
      <c r="I15" s="35">
        <f t="shared" si="2"/>
        <v>16</v>
      </c>
      <c r="J15" s="36">
        <f t="shared" si="3"/>
        <v>10390</v>
      </c>
      <c r="K15" s="37">
        <v>11</v>
      </c>
      <c r="L15" s="37"/>
      <c r="M15" s="37"/>
      <c r="N15" s="37">
        <v>8</v>
      </c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>
        <v>6</v>
      </c>
      <c r="AB15" s="37"/>
      <c r="AC15" s="37"/>
      <c r="AD15" s="37"/>
      <c r="AE15" s="37"/>
      <c r="AF15" s="37"/>
      <c r="AG15" s="37"/>
      <c r="AH15" s="37">
        <v>16</v>
      </c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t="s">
        <v>75</v>
      </c>
      <c r="BD15">
        <v>10</v>
      </c>
      <c r="BF15" s="30">
        <f>IF($BD15="","",SUMIF($BD$6:$BD$2000,$BD15,$J$6:$J$2000))</f>
        <v>10390</v>
      </c>
    </row>
    <row r="16" spans="1:59" ht="19.5" customHeight="1" x14ac:dyDescent="0.25">
      <c r="A16" s="96" t="s">
        <v>2054</v>
      </c>
      <c r="B16" s="26" t="s">
        <v>71</v>
      </c>
      <c r="C16" s="27">
        <v>11</v>
      </c>
      <c r="D16" s="26" t="s">
        <v>91</v>
      </c>
      <c r="E16" s="26" t="s">
        <v>92</v>
      </c>
      <c r="F16" s="27" t="s">
        <v>74</v>
      </c>
      <c r="G16" s="28">
        <v>46266</v>
      </c>
      <c r="H16" s="29">
        <f t="shared" si="1"/>
        <v>39</v>
      </c>
      <c r="I16" s="29">
        <f t="shared" si="2"/>
        <v>12</v>
      </c>
      <c r="J16" s="30">
        <f t="shared" si="3"/>
        <v>9030</v>
      </c>
      <c r="K16" s="31">
        <v>17</v>
      </c>
      <c r="L16" s="31"/>
      <c r="M16" s="31">
        <v>14</v>
      </c>
      <c r="N16" s="31">
        <v>1</v>
      </c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>
        <v>7</v>
      </c>
      <c r="AB16" s="31"/>
      <c r="AC16" s="31"/>
      <c r="AD16" s="31"/>
      <c r="AE16" s="31"/>
      <c r="AF16" s="31"/>
      <c r="AG16" s="31"/>
      <c r="AH16" s="31">
        <v>12</v>
      </c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t="s">
        <v>75</v>
      </c>
      <c r="BD16">
        <v>11</v>
      </c>
      <c r="BF16" s="30">
        <f>IF($BD16="","",SUMIF($BD$6:$BD$2000,$BD16,$J$6:$J$2000))</f>
        <v>9030</v>
      </c>
    </row>
    <row r="17" spans="1:58" ht="19.5" customHeight="1" x14ac:dyDescent="0.25">
      <c r="A17" s="96" t="s">
        <v>2054</v>
      </c>
      <c r="B17" s="32" t="s">
        <v>71</v>
      </c>
      <c r="C17" s="33">
        <v>12</v>
      </c>
      <c r="D17" s="32" t="s">
        <v>93</v>
      </c>
      <c r="E17" s="32" t="s">
        <v>94</v>
      </c>
      <c r="F17" s="33" t="s">
        <v>74</v>
      </c>
      <c r="G17" s="34">
        <v>46174</v>
      </c>
      <c r="H17" s="35">
        <f t="shared" si="1"/>
        <v>31</v>
      </c>
      <c r="I17" s="35">
        <f t="shared" si="2"/>
        <v>16</v>
      </c>
      <c r="J17" s="36">
        <f t="shared" si="3"/>
        <v>11050</v>
      </c>
      <c r="K17" s="37">
        <v>10</v>
      </c>
      <c r="L17" s="37"/>
      <c r="M17" s="37">
        <v>11</v>
      </c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>
        <v>10</v>
      </c>
      <c r="AB17" s="37"/>
      <c r="AC17" s="37"/>
      <c r="AD17" s="37"/>
      <c r="AE17" s="37"/>
      <c r="AF17" s="37"/>
      <c r="AG17" s="37"/>
      <c r="AH17" s="37">
        <v>16</v>
      </c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t="s">
        <v>75</v>
      </c>
      <c r="BD17">
        <v>12</v>
      </c>
      <c r="BF17" s="30">
        <f>IF($BD17="","",SUMIF($BD$6:$BD$2000,$BD17,$J$6:$J$2000))</f>
        <v>11050</v>
      </c>
    </row>
    <row r="18" spans="1:58" ht="19.5" customHeight="1" x14ac:dyDescent="0.25">
      <c r="A18" s="96" t="s">
        <v>2054</v>
      </c>
      <c r="B18" s="26" t="s">
        <v>71</v>
      </c>
      <c r="C18" s="27">
        <v>13</v>
      </c>
      <c r="D18" s="26" t="s">
        <v>95</v>
      </c>
      <c r="E18" s="26" t="s">
        <v>96</v>
      </c>
      <c r="F18" s="27" t="s">
        <v>74</v>
      </c>
      <c r="G18" s="28">
        <v>46388</v>
      </c>
      <c r="H18" s="29">
        <f t="shared" si="1"/>
        <v>23</v>
      </c>
      <c r="I18" s="29">
        <f t="shared" si="2"/>
        <v>18</v>
      </c>
      <c r="J18" s="30">
        <f t="shared" si="3"/>
        <v>11420</v>
      </c>
      <c r="K18" s="31">
        <v>11</v>
      </c>
      <c r="L18" s="31"/>
      <c r="M18" s="31"/>
      <c r="N18" s="31">
        <v>5</v>
      </c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>
        <v>7</v>
      </c>
      <c r="AB18" s="31"/>
      <c r="AC18" s="31"/>
      <c r="AD18" s="31"/>
      <c r="AE18" s="31"/>
      <c r="AF18" s="31"/>
      <c r="AG18" s="31"/>
      <c r="AH18" s="31">
        <v>18</v>
      </c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t="s">
        <v>75</v>
      </c>
      <c r="BD18">
        <v>13</v>
      </c>
      <c r="BF18" s="30">
        <f>IF($BD18="","",SUMIF($BD$6:$BD$2000,$BD18,$J$6:$J$2000))</f>
        <v>11420</v>
      </c>
    </row>
    <row r="19" spans="1:58" ht="19.5" customHeight="1" x14ac:dyDescent="0.25">
      <c r="A19" s="96" t="s">
        <v>2054</v>
      </c>
      <c r="B19" s="32" t="s">
        <v>71</v>
      </c>
      <c r="C19" s="33">
        <v>14</v>
      </c>
      <c r="D19" s="32" t="s">
        <v>97</v>
      </c>
      <c r="E19" s="32" t="s">
        <v>98</v>
      </c>
      <c r="F19" s="33" t="s">
        <v>74</v>
      </c>
      <c r="G19" s="34">
        <v>46174</v>
      </c>
      <c r="H19" s="35">
        <f t="shared" si="1"/>
        <v>23</v>
      </c>
      <c r="I19" s="35">
        <f t="shared" si="2"/>
        <v>40</v>
      </c>
      <c r="J19" s="36">
        <f t="shared" si="3"/>
        <v>34783</v>
      </c>
      <c r="K19" s="37">
        <v>11</v>
      </c>
      <c r="L19" s="37"/>
      <c r="M19" s="37">
        <v>1</v>
      </c>
      <c r="N19" s="37">
        <v>5</v>
      </c>
      <c r="O19" s="37"/>
      <c r="P19" s="37"/>
      <c r="Q19" s="37"/>
      <c r="R19" s="37"/>
      <c r="S19" s="37"/>
      <c r="T19" s="37"/>
      <c r="U19" s="37">
        <v>1</v>
      </c>
      <c r="V19" s="37"/>
      <c r="W19" s="37">
        <v>1</v>
      </c>
      <c r="X19" s="37"/>
      <c r="Y19" s="37"/>
      <c r="Z19" s="37"/>
      <c r="AA19" s="37">
        <v>4</v>
      </c>
      <c r="AB19" s="37"/>
      <c r="AC19" s="37"/>
      <c r="AD19" s="37"/>
      <c r="AE19" s="37"/>
      <c r="AF19" s="37"/>
      <c r="AG19" s="37"/>
      <c r="AH19" s="37"/>
      <c r="AI19" s="37"/>
      <c r="AJ19" s="37">
        <v>40</v>
      </c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t="s">
        <v>75</v>
      </c>
      <c r="BD19">
        <v>14</v>
      </c>
      <c r="BF19" s="30">
        <f>IF($BD19="","",SUMIF($BD$6:$BD$2000,$BD19,$J$6:$J$2000))</f>
        <v>34783</v>
      </c>
    </row>
    <row r="20" spans="1:58" ht="19.5" customHeight="1" x14ac:dyDescent="0.25">
      <c r="A20" s="96" t="s">
        <v>2054</v>
      </c>
      <c r="B20" s="26" t="s">
        <v>71</v>
      </c>
      <c r="C20" s="27">
        <v>15</v>
      </c>
      <c r="D20" s="26" t="s">
        <v>99</v>
      </c>
      <c r="E20" s="26" t="s">
        <v>100</v>
      </c>
      <c r="F20" s="27" t="s">
        <v>74</v>
      </c>
      <c r="G20" s="28">
        <v>46054</v>
      </c>
      <c r="H20" s="29">
        <f t="shared" si="1"/>
        <v>33</v>
      </c>
      <c r="I20" s="29">
        <f t="shared" si="2"/>
        <v>18</v>
      </c>
      <c r="J20" s="30">
        <f t="shared" si="3"/>
        <v>12385</v>
      </c>
      <c r="K20" s="31">
        <v>13</v>
      </c>
      <c r="L20" s="31"/>
      <c r="M20" s="31"/>
      <c r="N20" s="31">
        <v>11</v>
      </c>
      <c r="O20" s="31"/>
      <c r="P20" s="31"/>
      <c r="Q20" s="31"/>
      <c r="R20" s="31"/>
      <c r="S20" s="31">
        <v>1</v>
      </c>
      <c r="T20" s="31"/>
      <c r="U20" s="31"/>
      <c r="V20" s="31"/>
      <c r="W20" s="31"/>
      <c r="X20" s="31"/>
      <c r="Y20" s="31"/>
      <c r="Z20" s="31"/>
      <c r="AA20" s="31">
        <v>8</v>
      </c>
      <c r="AB20" s="31"/>
      <c r="AC20" s="31"/>
      <c r="AD20" s="31"/>
      <c r="AE20" s="31"/>
      <c r="AF20" s="31"/>
      <c r="AG20" s="31"/>
      <c r="AH20" s="31">
        <v>18</v>
      </c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t="s">
        <v>75</v>
      </c>
      <c r="BD20">
        <v>15</v>
      </c>
      <c r="BF20" s="30">
        <f>IF($BD20="","",SUMIF($BD$6:$BD$2000,$BD20,$J$6:$J$2000))</f>
        <v>12385</v>
      </c>
    </row>
    <row r="21" spans="1:58" ht="19.5" customHeight="1" x14ac:dyDescent="0.25">
      <c r="A21" s="96" t="s">
        <v>2054</v>
      </c>
      <c r="B21" s="32" t="s">
        <v>71</v>
      </c>
      <c r="C21" s="33">
        <v>16</v>
      </c>
      <c r="D21" s="32" t="s">
        <v>101</v>
      </c>
      <c r="E21" s="32" t="s">
        <v>102</v>
      </c>
      <c r="F21" s="33" t="s">
        <v>74</v>
      </c>
      <c r="G21" s="34">
        <v>46082</v>
      </c>
      <c r="H21" s="35">
        <f t="shared" si="1"/>
        <v>25</v>
      </c>
      <c r="I21" s="35">
        <f t="shared" si="2"/>
        <v>28</v>
      </c>
      <c r="J21" s="36">
        <f t="shared" si="3"/>
        <v>16610</v>
      </c>
      <c r="K21" s="37">
        <v>14</v>
      </c>
      <c r="L21" s="37"/>
      <c r="M21" s="37">
        <v>5</v>
      </c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>
        <v>6</v>
      </c>
      <c r="AB21" s="37"/>
      <c r="AC21" s="37"/>
      <c r="AD21" s="37"/>
      <c r="AE21" s="37"/>
      <c r="AF21" s="37"/>
      <c r="AG21" s="37"/>
      <c r="AH21" s="37">
        <v>28</v>
      </c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t="s">
        <v>75</v>
      </c>
      <c r="BD21">
        <v>16</v>
      </c>
      <c r="BF21" s="30">
        <f>IF($BD21="","",SUMIF($BD$6:$BD$2000,$BD21,$J$6:$J$2000))</f>
        <v>16610</v>
      </c>
    </row>
    <row r="22" spans="1:58" ht="19.5" customHeight="1" x14ac:dyDescent="0.25">
      <c r="A22" s="96" t="s">
        <v>2054</v>
      </c>
      <c r="B22" s="26" t="s">
        <v>71</v>
      </c>
      <c r="C22" s="27">
        <v>17</v>
      </c>
      <c r="D22" s="26" t="s">
        <v>103</v>
      </c>
      <c r="E22" s="26" t="s">
        <v>104</v>
      </c>
      <c r="F22" s="27" t="s">
        <v>105</v>
      </c>
      <c r="G22" s="28">
        <v>46235</v>
      </c>
      <c r="H22" s="29">
        <f t="shared" si="1"/>
        <v>26</v>
      </c>
      <c r="I22" s="29">
        <f t="shared" si="2"/>
        <v>22</v>
      </c>
      <c r="J22" s="30">
        <f t="shared" si="3"/>
        <v>14170</v>
      </c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>
        <v>20</v>
      </c>
      <c r="V22" s="31"/>
      <c r="W22" s="31">
        <v>2</v>
      </c>
      <c r="X22" s="31"/>
      <c r="Y22" s="31"/>
      <c r="Z22" s="31"/>
      <c r="AA22" s="31">
        <v>4</v>
      </c>
      <c r="AB22" s="31"/>
      <c r="AC22" s="31"/>
      <c r="AD22" s="31"/>
      <c r="AE22" s="31"/>
      <c r="AF22" s="31"/>
      <c r="AG22" s="31"/>
      <c r="AH22" s="31">
        <v>22</v>
      </c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t="s">
        <v>75</v>
      </c>
      <c r="BD22">
        <v>17</v>
      </c>
      <c r="BF22" s="30">
        <f>IF($BD22="","",SUMIF($BD$6:$BD$2000,$BD22,$J$6:$J$2000))</f>
        <v>14170</v>
      </c>
    </row>
    <row r="23" spans="1:58" ht="19.5" customHeight="1" x14ac:dyDescent="0.25">
      <c r="A23" s="96" t="s">
        <v>2054</v>
      </c>
      <c r="B23" s="32" t="s">
        <v>71</v>
      </c>
      <c r="C23" s="33">
        <v>18</v>
      </c>
      <c r="D23" s="32" t="s">
        <v>106</v>
      </c>
      <c r="E23" s="32" t="s">
        <v>107</v>
      </c>
      <c r="F23" s="33" t="s">
        <v>108</v>
      </c>
      <c r="G23" s="34">
        <v>46266</v>
      </c>
      <c r="H23" s="35">
        <f t="shared" si="1"/>
        <v>21</v>
      </c>
      <c r="I23" s="35">
        <f t="shared" si="2"/>
        <v>24</v>
      </c>
      <c r="J23" s="36">
        <f t="shared" si="3"/>
        <v>14805</v>
      </c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>
        <v>15</v>
      </c>
      <c r="V23" s="37"/>
      <c r="W23" s="37"/>
      <c r="X23" s="37"/>
      <c r="Y23" s="37"/>
      <c r="Z23" s="37"/>
      <c r="AA23" s="37">
        <v>6</v>
      </c>
      <c r="AB23" s="37"/>
      <c r="AC23" s="37"/>
      <c r="AD23" s="37"/>
      <c r="AE23" s="37"/>
      <c r="AF23" s="37"/>
      <c r="AG23" s="37"/>
      <c r="AH23" s="37">
        <v>24</v>
      </c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t="s">
        <v>75</v>
      </c>
      <c r="BD23">
        <v>18</v>
      </c>
      <c r="BF23" s="30">
        <f>IF($BD23="","",SUMIF($BD$6:$BD$2000,$BD23,$J$6:$J$2000))</f>
        <v>14805</v>
      </c>
    </row>
    <row r="24" spans="1:58" ht="19.5" customHeight="1" x14ac:dyDescent="0.25">
      <c r="A24" s="96" t="s">
        <v>2054</v>
      </c>
      <c r="B24" s="26" t="s">
        <v>71</v>
      </c>
      <c r="C24" s="27">
        <v>19</v>
      </c>
      <c r="D24" s="26" t="s">
        <v>109</v>
      </c>
      <c r="E24" s="26" t="s">
        <v>100</v>
      </c>
      <c r="F24" s="27" t="s">
        <v>74</v>
      </c>
      <c r="G24" s="28">
        <v>46266</v>
      </c>
      <c r="H24" s="29">
        <f t="shared" si="1"/>
        <v>31</v>
      </c>
      <c r="I24" s="29">
        <f t="shared" si="2"/>
        <v>32</v>
      </c>
      <c r="J24" s="30">
        <f t="shared" si="3"/>
        <v>28850</v>
      </c>
      <c r="K24" s="31">
        <v>16</v>
      </c>
      <c r="L24" s="31"/>
      <c r="M24" s="31">
        <v>6</v>
      </c>
      <c r="N24" s="31"/>
      <c r="O24" s="31">
        <v>1</v>
      </c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>
        <v>8</v>
      </c>
      <c r="AB24" s="31"/>
      <c r="AC24" s="31"/>
      <c r="AD24" s="31"/>
      <c r="AE24" s="31"/>
      <c r="AF24" s="31"/>
      <c r="AG24" s="31"/>
      <c r="AH24" s="31"/>
      <c r="AI24" s="31"/>
      <c r="AJ24" s="31">
        <v>32</v>
      </c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t="s">
        <v>75</v>
      </c>
      <c r="BD24">
        <v>19</v>
      </c>
      <c r="BF24" s="30">
        <f>IF($BD24="","",SUMIF($BD$6:$BD$2000,$BD24,$J$6:$J$2000))</f>
        <v>28850</v>
      </c>
    </row>
    <row r="25" spans="1:58" ht="19.5" customHeight="1" x14ac:dyDescent="0.25">
      <c r="A25" s="96" t="s">
        <v>2054</v>
      </c>
      <c r="B25" s="32" t="s">
        <v>71</v>
      </c>
      <c r="C25" s="33">
        <v>20</v>
      </c>
      <c r="D25" s="32" t="s">
        <v>110</v>
      </c>
      <c r="E25" s="32" t="s">
        <v>111</v>
      </c>
      <c r="F25" s="33" t="s">
        <v>74</v>
      </c>
      <c r="G25" s="34">
        <v>46266</v>
      </c>
      <c r="H25" s="35">
        <f t="shared" si="1"/>
        <v>56</v>
      </c>
      <c r="I25" s="35">
        <f t="shared" si="2"/>
        <v>30</v>
      </c>
      <c r="J25" s="36">
        <f t="shared" si="3"/>
        <v>20340</v>
      </c>
      <c r="K25" s="37">
        <v>21</v>
      </c>
      <c r="L25" s="37"/>
      <c r="M25" s="37">
        <v>16</v>
      </c>
      <c r="N25" s="37">
        <v>3</v>
      </c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>
        <v>16</v>
      </c>
      <c r="AB25" s="37"/>
      <c r="AC25" s="37"/>
      <c r="AD25" s="37"/>
      <c r="AE25" s="37"/>
      <c r="AF25" s="37"/>
      <c r="AG25" s="37"/>
      <c r="AH25" s="37">
        <v>30</v>
      </c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t="s">
        <v>75</v>
      </c>
      <c r="BD25">
        <v>20</v>
      </c>
      <c r="BF25" s="30">
        <f>IF($BD25="","",SUMIF($BD$6:$BD$2000,$BD25,$J$6:$J$2000))</f>
        <v>20340</v>
      </c>
    </row>
    <row r="26" spans="1:58" ht="19.5" customHeight="1" x14ac:dyDescent="0.25">
      <c r="A26" s="96" t="s">
        <v>2054</v>
      </c>
      <c r="B26" s="26" t="s">
        <v>71</v>
      </c>
      <c r="C26" s="27">
        <v>21</v>
      </c>
      <c r="D26" s="26" t="s">
        <v>112</v>
      </c>
      <c r="E26" s="26" t="s">
        <v>113</v>
      </c>
      <c r="F26" s="27" t="s">
        <v>114</v>
      </c>
      <c r="G26" s="28">
        <v>46266</v>
      </c>
      <c r="H26" s="29">
        <f t="shared" si="1"/>
        <v>31</v>
      </c>
      <c r="I26" s="29">
        <f t="shared" si="2"/>
        <v>24</v>
      </c>
      <c r="J26" s="30">
        <f t="shared" si="3"/>
        <v>15820</v>
      </c>
      <c r="K26" s="31">
        <v>9</v>
      </c>
      <c r="L26" s="31"/>
      <c r="M26" s="31">
        <v>5</v>
      </c>
      <c r="N26" s="31">
        <v>2</v>
      </c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>
        <v>15</v>
      </c>
      <c r="AB26" s="31"/>
      <c r="AC26" s="31"/>
      <c r="AD26" s="31"/>
      <c r="AE26" s="31"/>
      <c r="AF26" s="31"/>
      <c r="AG26" s="31"/>
      <c r="AH26" s="31">
        <v>24</v>
      </c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t="s">
        <v>75</v>
      </c>
      <c r="BD26">
        <v>21</v>
      </c>
      <c r="BF26" s="30">
        <f>IF($BD26="","",SUMIF($BD$6:$BD$2000,$BD26,$J$6:$J$2000))</f>
        <v>15820</v>
      </c>
    </row>
    <row r="27" spans="1:58" ht="19.5" customHeight="1" x14ac:dyDescent="0.25">
      <c r="A27" s="96" t="s">
        <v>2054</v>
      </c>
      <c r="B27" s="32" t="s">
        <v>71</v>
      </c>
      <c r="C27" s="33">
        <v>22</v>
      </c>
      <c r="D27" s="32" t="s">
        <v>115</v>
      </c>
      <c r="E27" s="32" t="s">
        <v>116</v>
      </c>
      <c r="F27" s="33" t="s">
        <v>74</v>
      </c>
      <c r="G27" s="34">
        <v>46204</v>
      </c>
      <c r="H27" s="35">
        <f t="shared" si="1"/>
        <v>57</v>
      </c>
      <c r="I27" s="35">
        <f t="shared" si="2"/>
        <v>26</v>
      </c>
      <c r="J27" s="36">
        <f t="shared" si="3"/>
        <v>17400</v>
      </c>
      <c r="K27" s="37">
        <v>23</v>
      </c>
      <c r="L27" s="37"/>
      <c r="M27" s="37">
        <v>14</v>
      </c>
      <c r="N27" s="37">
        <v>13</v>
      </c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>
        <v>7</v>
      </c>
      <c r="AB27" s="37"/>
      <c r="AC27" s="37"/>
      <c r="AD27" s="37"/>
      <c r="AE27" s="37"/>
      <c r="AF27" s="37"/>
      <c r="AG27" s="37"/>
      <c r="AH27" s="37">
        <v>26</v>
      </c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t="s">
        <v>75</v>
      </c>
      <c r="BD27">
        <v>22</v>
      </c>
      <c r="BF27" s="30">
        <f>IF($BD27="","",SUMIF($BD$6:$BD$2000,$BD27,$J$6:$J$2000))</f>
        <v>17400</v>
      </c>
    </row>
    <row r="28" spans="1:58" ht="19.5" customHeight="1" x14ac:dyDescent="0.25">
      <c r="A28" s="96" t="s">
        <v>2054</v>
      </c>
      <c r="B28" s="26" t="s">
        <v>71</v>
      </c>
      <c r="C28" s="27">
        <v>23</v>
      </c>
      <c r="D28" s="26" t="s">
        <v>117</v>
      </c>
      <c r="E28" s="26" t="s">
        <v>117</v>
      </c>
      <c r="F28" s="27" t="s">
        <v>74</v>
      </c>
      <c r="G28" s="28">
        <v>46266</v>
      </c>
      <c r="H28" s="29">
        <f t="shared" si="1"/>
        <v>22</v>
      </c>
      <c r="I28" s="29">
        <f t="shared" si="2"/>
        <v>20</v>
      </c>
      <c r="J28" s="30">
        <f t="shared" si="3"/>
        <v>12335</v>
      </c>
      <c r="K28" s="31">
        <v>11</v>
      </c>
      <c r="L28" s="31"/>
      <c r="M28" s="31"/>
      <c r="N28" s="31"/>
      <c r="O28" s="31"/>
      <c r="P28" s="31"/>
      <c r="Q28" s="31"/>
      <c r="R28" s="31"/>
      <c r="S28" s="31"/>
      <c r="T28" s="31">
        <v>5</v>
      </c>
      <c r="U28" s="31"/>
      <c r="V28" s="31"/>
      <c r="W28" s="31"/>
      <c r="X28" s="31"/>
      <c r="Y28" s="31"/>
      <c r="Z28" s="31"/>
      <c r="AA28" s="31">
        <v>6</v>
      </c>
      <c r="AB28" s="31"/>
      <c r="AC28" s="31"/>
      <c r="AD28" s="31"/>
      <c r="AE28" s="31"/>
      <c r="AF28" s="31"/>
      <c r="AG28" s="31"/>
      <c r="AH28" s="31">
        <v>20</v>
      </c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t="s">
        <v>75</v>
      </c>
      <c r="BD28">
        <v>23</v>
      </c>
      <c r="BF28" s="30">
        <f>IF($BD28="","",SUMIF($BD$6:$BD$2000,$BD28,$J$6:$J$2000))</f>
        <v>12335</v>
      </c>
    </row>
    <row r="29" spans="1:58" ht="19.5" customHeight="1" x14ac:dyDescent="0.25">
      <c r="A29" s="96" t="s">
        <v>2054</v>
      </c>
      <c r="B29" s="32" t="s">
        <v>71</v>
      </c>
      <c r="C29" s="33">
        <v>24</v>
      </c>
      <c r="D29" s="32" t="s">
        <v>118</v>
      </c>
      <c r="E29" s="32" t="s">
        <v>119</v>
      </c>
      <c r="F29" s="33" t="s">
        <v>120</v>
      </c>
      <c r="G29" s="34">
        <v>46082</v>
      </c>
      <c r="H29" s="35">
        <f t="shared" si="1"/>
        <v>22</v>
      </c>
      <c r="I29" s="35">
        <f t="shared" si="2"/>
        <v>32</v>
      </c>
      <c r="J29" s="36">
        <f t="shared" si="3"/>
        <v>28080</v>
      </c>
      <c r="K29" s="37">
        <v>14</v>
      </c>
      <c r="L29" s="37"/>
      <c r="M29" s="37"/>
      <c r="N29" s="37">
        <v>3</v>
      </c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>
        <v>5</v>
      </c>
      <c r="AB29" s="37"/>
      <c r="AC29" s="37"/>
      <c r="AD29" s="37"/>
      <c r="AE29" s="37"/>
      <c r="AF29" s="37"/>
      <c r="AG29" s="37"/>
      <c r="AH29" s="37"/>
      <c r="AI29" s="37"/>
      <c r="AJ29" s="37">
        <v>32</v>
      </c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t="s">
        <v>75</v>
      </c>
      <c r="BD29">
        <v>24</v>
      </c>
      <c r="BF29" s="30">
        <f>IF($BD29="","",SUMIF($BD$6:$BD$2000,$BD29,$J$6:$J$2000))</f>
        <v>28080</v>
      </c>
    </row>
    <row r="30" spans="1:58" ht="19.5" customHeight="1" x14ac:dyDescent="0.25">
      <c r="A30" s="96" t="s">
        <v>2054</v>
      </c>
      <c r="B30" s="26" t="s">
        <v>71</v>
      </c>
      <c r="C30" s="27">
        <v>25</v>
      </c>
      <c r="D30" s="26" t="s">
        <v>121</v>
      </c>
      <c r="E30" s="26" t="s">
        <v>122</v>
      </c>
      <c r="F30" s="27" t="s">
        <v>123</v>
      </c>
      <c r="G30" s="28">
        <v>46235</v>
      </c>
      <c r="H30" s="29">
        <f t="shared" si="1"/>
        <v>20</v>
      </c>
      <c r="I30" s="29">
        <f t="shared" si="2"/>
        <v>16</v>
      </c>
      <c r="J30" s="30">
        <f t="shared" si="3"/>
        <v>10137</v>
      </c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>
        <v>19</v>
      </c>
      <c r="V30" s="31"/>
      <c r="W30" s="31"/>
      <c r="X30" s="31"/>
      <c r="Y30" s="31"/>
      <c r="Z30" s="31"/>
      <c r="AA30" s="31">
        <v>1</v>
      </c>
      <c r="AB30" s="31"/>
      <c r="AC30" s="31"/>
      <c r="AD30" s="31"/>
      <c r="AE30" s="31"/>
      <c r="AF30" s="31"/>
      <c r="AG30" s="31"/>
      <c r="AH30" s="31">
        <v>16</v>
      </c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t="s">
        <v>75</v>
      </c>
      <c r="BD30">
        <v>25</v>
      </c>
      <c r="BF30" s="30">
        <f>IF($BD30="","",SUMIF($BD$6:$BD$2000,$BD30,$J$6:$J$2000))</f>
        <v>10137</v>
      </c>
    </row>
    <row r="31" spans="1:58" ht="19.5" customHeight="1" x14ac:dyDescent="0.25">
      <c r="A31" s="96" t="s">
        <v>2054</v>
      </c>
      <c r="B31" s="32" t="s">
        <v>71</v>
      </c>
      <c r="C31" s="33">
        <v>60</v>
      </c>
      <c r="D31" s="32" t="s">
        <v>124</v>
      </c>
      <c r="E31" s="32" t="s">
        <v>125</v>
      </c>
      <c r="F31" s="33" t="s">
        <v>126</v>
      </c>
      <c r="G31" s="34">
        <v>46204</v>
      </c>
      <c r="H31" s="35">
        <f t="shared" si="1"/>
        <v>34</v>
      </c>
      <c r="I31" s="35">
        <f t="shared" si="2"/>
        <v>28</v>
      </c>
      <c r="J31" s="36">
        <f t="shared" si="3"/>
        <v>26590</v>
      </c>
      <c r="K31" s="37">
        <v>9</v>
      </c>
      <c r="L31" s="37"/>
      <c r="M31" s="37"/>
      <c r="N31" s="37"/>
      <c r="O31" s="37"/>
      <c r="P31" s="37"/>
      <c r="Q31" s="37"/>
      <c r="R31" s="37"/>
      <c r="S31" s="37"/>
      <c r="T31" s="37">
        <v>2</v>
      </c>
      <c r="U31" s="37">
        <v>10</v>
      </c>
      <c r="V31" s="37"/>
      <c r="W31" s="37"/>
      <c r="X31" s="37"/>
      <c r="Y31" s="37"/>
      <c r="Z31" s="37"/>
      <c r="AA31" s="37">
        <v>13</v>
      </c>
      <c r="AB31" s="37"/>
      <c r="AC31" s="37"/>
      <c r="AD31" s="37"/>
      <c r="AE31" s="37"/>
      <c r="AF31" s="37"/>
      <c r="AG31" s="37"/>
      <c r="AH31" s="37"/>
      <c r="AI31" s="37"/>
      <c r="AJ31" s="37">
        <v>28</v>
      </c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t="s">
        <v>75</v>
      </c>
      <c r="BD31">
        <v>26</v>
      </c>
      <c r="BF31" s="30">
        <f>IF($BD31="","",SUMIF($BD$6:$BD$2000,$BD31,$J$6:$J$2000))</f>
        <v>26590</v>
      </c>
    </row>
    <row r="32" spans="1:58" ht="19.5" customHeight="1" x14ac:dyDescent="0.25">
      <c r="A32" s="96" t="s">
        <v>2054</v>
      </c>
      <c r="B32" s="26" t="s">
        <v>71</v>
      </c>
      <c r="C32" s="27">
        <v>203</v>
      </c>
      <c r="D32" s="26" t="s">
        <v>127</v>
      </c>
      <c r="E32" s="26" t="s">
        <v>128</v>
      </c>
      <c r="F32" s="27" t="s">
        <v>126</v>
      </c>
      <c r="G32" s="28">
        <v>46204</v>
      </c>
      <c r="H32" s="29">
        <f t="shared" si="1"/>
        <v>18</v>
      </c>
      <c r="I32" s="29">
        <f t="shared" si="2"/>
        <v>20</v>
      </c>
      <c r="J32" s="30">
        <f t="shared" si="3"/>
        <v>11909</v>
      </c>
      <c r="K32" s="31">
        <v>4</v>
      </c>
      <c r="L32" s="31"/>
      <c r="M32" s="31"/>
      <c r="N32" s="31">
        <v>8</v>
      </c>
      <c r="O32" s="31"/>
      <c r="P32" s="31"/>
      <c r="Q32" s="31"/>
      <c r="R32" s="31"/>
      <c r="S32" s="31"/>
      <c r="T32" s="31"/>
      <c r="U32" s="31">
        <v>3</v>
      </c>
      <c r="V32" s="31"/>
      <c r="W32" s="31"/>
      <c r="X32" s="31"/>
      <c r="Y32" s="31"/>
      <c r="Z32" s="31"/>
      <c r="AA32" s="31">
        <v>3</v>
      </c>
      <c r="AB32" s="31"/>
      <c r="AC32" s="31"/>
      <c r="AD32" s="31"/>
      <c r="AE32" s="31"/>
      <c r="AF32" s="31"/>
      <c r="AG32" s="31"/>
      <c r="AH32" s="31">
        <v>20</v>
      </c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t="s">
        <v>75</v>
      </c>
      <c r="BD32">
        <v>27</v>
      </c>
      <c r="BF32" s="30">
        <f>IF($BD32="","",SUMIF($BD$6:$BD$2000,$BD32,$J$6:$J$2000))</f>
        <v>11909</v>
      </c>
    </row>
    <row r="33" spans="1:58" ht="19.5" customHeight="1" x14ac:dyDescent="0.25">
      <c r="A33" s="96" t="s">
        <v>2054</v>
      </c>
      <c r="B33" s="32" t="s">
        <v>71</v>
      </c>
      <c r="C33" s="33">
        <v>211</v>
      </c>
      <c r="D33" s="32" t="s">
        <v>129</v>
      </c>
      <c r="E33" s="32" t="s">
        <v>130</v>
      </c>
      <c r="F33" s="33" t="s">
        <v>126</v>
      </c>
      <c r="G33" s="34">
        <v>46204</v>
      </c>
      <c r="H33" s="35">
        <f t="shared" si="1"/>
        <v>32</v>
      </c>
      <c r="I33" s="35">
        <f t="shared" si="2"/>
        <v>24</v>
      </c>
      <c r="J33" s="36">
        <f t="shared" si="3"/>
        <v>15249</v>
      </c>
      <c r="K33" s="37">
        <v>10</v>
      </c>
      <c r="L33" s="37"/>
      <c r="M33" s="37">
        <v>6</v>
      </c>
      <c r="N33" s="37"/>
      <c r="O33" s="37"/>
      <c r="P33" s="37"/>
      <c r="Q33" s="37"/>
      <c r="R33" s="37"/>
      <c r="S33" s="37"/>
      <c r="T33" s="37">
        <v>1</v>
      </c>
      <c r="U33" s="37">
        <v>8</v>
      </c>
      <c r="V33" s="37"/>
      <c r="W33" s="37"/>
      <c r="X33" s="37"/>
      <c r="Y33" s="37"/>
      <c r="Z33" s="37"/>
      <c r="AA33" s="37">
        <v>7</v>
      </c>
      <c r="AB33" s="37"/>
      <c r="AC33" s="37"/>
      <c r="AD33" s="37"/>
      <c r="AE33" s="37"/>
      <c r="AF33" s="37"/>
      <c r="AG33" s="37"/>
      <c r="AH33" s="37">
        <v>24</v>
      </c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t="s">
        <v>75</v>
      </c>
      <c r="BD33">
        <v>28</v>
      </c>
      <c r="BF33" s="30">
        <f>IF($BD33="","",SUMIF($BD$6:$BD$2000,$BD33,$J$6:$J$2000))</f>
        <v>15249</v>
      </c>
    </row>
    <row r="34" spans="1:58" ht="19.5" customHeight="1" x14ac:dyDescent="0.25">
      <c r="A34" s="96" t="s">
        <v>2054</v>
      </c>
      <c r="B34" s="26" t="s">
        <v>71</v>
      </c>
      <c r="C34" s="27">
        <v>29</v>
      </c>
      <c r="D34" s="26" t="s">
        <v>131</v>
      </c>
      <c r="E34" s="26" t="s">
        <v>132</v>
      </c>
      <c r="F34" s="27" t="s">
        <v>133</v>
      </c>
      <c r="G34" s="28">
        <v>46204</v>
      </c>
      <c r="H34" s="29">
        <f t="shared" si="1"/>
        <v>18</v>
      </c>
      <c r="I34" s="29">
        <f t="shared" si="2"/>
        <v>16</v>
      </c>
      <c r="J34" s="30">
        <f t="shared" si="3"/>
        <v>9938</v>
      </c>
      <c r="K34" s="31">
        <v>1</v>
      </c>
      <c r="L34" s="31"/>
      <c r="M34" s="31"/>
      <c r="N34" s="31"/>
      <c r="O34" s="31"/>
      <c r="P34" s="31"/>
      <c r="Q34" s="31"/>
      <c r="R34" s="31"/>
      <c r="S34" s="31"/>
      <c r="T34" s="31"/>
      <c r="U34" s="31">
        <v>16</v>
      </c>
      <c r="V34" s="31"/>
      <c r="W34" s="31"/>
      <c r="X34" s="31"/>
      <c r="Y34" s="31"/>
      <c r="Z34" s="31"/>
      <c r="AA34" s="31">
        <v>1</v>
      </c>
      <c r="AB34" s="31"/>
      <c r="AC34" s="31"/>
      <c r="AD34" s="31"/>
      <c r="AE34" s="31"/>
      <c r="AF34" s="31"/>
      <c r="AG34" s="31"/>
      <c r="AH34" s="31">
        <v>16</v>
      </c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t="s">
        <v>75</v>
      </c>
      <c r="BD34">
        <v>29</v>
      </c>
      <c r="BF34" s="30">
        <f>IF($BD34="","",SUMIF($BD$6:$BD$2000,$BD34,$J$6:$J$2000))</f>
        <v>9938</v>
      </c>
    </row>
    <row r="35" spans="1:58" ht="19.5" customHeight="1" x14ac:dyDescent="0.25">
      <c r="A35" s="96" t="s">
        <v>2054</v>
      </c>
      <c r="B35" s="32" t="s">
        <v>71</v>
      </c>
      <c r="C35" s="33">
        <v>30</v>
      </c>
      <c r="D35" s="32" t="s">
        <v>134</v>
      </c>
      <c r="E35" s="32" t="s">
        <v>135</v>
      </c>
      <c r="F35" s="33" t="s">
        <v>133</v>
      </c>
      <c r="G35" s="34">
        <v>46174</v>
      </c>
      <c r="H35" s="35">
        <f t="shared" si="1"/>
        <v>36</v>
      </c>
      <c r="I35" s="35">
        <f t="shared" si="2"/>
        <v>30</v>
      </c>
      <c r="J35" s="36">
        <f t="shared" si="3"/>
        <v>28457</v>
      </c>
      <c r="K35" s="37">
        <v>10</v>
      </c>
      <c r="L35" s="37"/>
      <c r="M35" s="37">
        <v>5</v>
      </c>
      <c r="N35" s="37"/>
      <c r="O35" s="37"/>
      <c r="P35" s="37"/>
      <c r="Q35" s="37"/>
      <c r="R35" s="37"/>
      <c r="S35" s="37"/>
      <c r="T35" s="37">
        <v>1</v>
      </c>
      <c r="U35" s="37">
        <v>4</v>
      </c>
      <c r="V35" s="37"/>
      <c r="W35" s="37"/>
      <c r="X35" s="37"/>
      <c r="Y35" s="37"/>
      <c r="Z35" s="37"/>
      <c r="AA35" s="37">
        <v>16</v>
      </c>
      <c r="AB35" s="37"/>
      <c r="AC35" s="37"/>
      <c r="AD35" s="37"/>
      <c r="AE35" s="37"/>
      <c r="AF35" s="37"/>
      <c r="AG35" s="37"/>
      <c r="AH35" s="37"/>
      <c r="AI35" s="37"/>
      <c r="AJ35" s="37">
        <v>30</v>
      </c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t="s">
        <v>75</v>
      </c>
      <c r="BD35">
        <v>30</v>
      </c>
      <c r="BF35" s="30">
        <f>IF($BD35="","",SUMIF($BD$6:$BD$2000,$BD35,$J$6:$J$2000))</f>
        <v>28457</v>
      </c>
    </row>
    <row r="36" spans="1:58" ht="19.5" customHeight="1" x14ac:dyDescent="0.25">
      <c r="A36" s="96" t="s">
        <v>2054</v>
      </c>
      <c r="B36" s="26" t="s">
        <v>71</v>
      </c>
      <c r="C36" s="27">
        <v>31</v>
      </c>
      <c r="D36" s="26" t="s">
        <v>136</v>
      </c>
      <c r="E36" s="26" t="s">
        <v>137</v>
      </c>
      <c r="F36" s="27" t="s">
        <v>133</v>
      </c>
      <c r="G36" s="28">
        <v>46204</v>
      </c>
      <c r="H36" s="29">
        <f t="shared" si="1"/>
        <v>35</v>
      </c>
      <c r="I36" s="29">
        <f t="shared" si="2"/>
        <v>16</v>
      </c>
      <c r="J36" s="30">
        <f t="shared" si="3"/>
        <v>11995</v>
      </c>
      <c r="K36" s="31"/>
      <c r="L36" s="31"/>
      <c r="M36" s="31"/>
      <c r="N36" s="31"/>
      <c r="O36" s="31"/>
      <c r="P36" s="31">
        <v>1</v>
      </c>
      <c r="Q36" s="31"/>
      <c r="R36" s="31"/>
      <c r="S36" s="31"/>
      <c r="T36" s="31"/>
      <c r="U36" s="31">
        <v>25</v>
      </c>
      <c r="V36" s="31"/>
      <c r="W36" s="31"/>
      <c r="X36" s="31"/>
      <c r="Y36" s="31"/>
      <c r="Z36" s="31"/>
      <c r="AA36" s="31">
        <v>9</v>
      </c>
      <c r="AB36" s="31"/>
      <c r="AC36" s="31"/>
      <c r="AD36" s="31"/>
      <c r="AE36" s="31"/>
      <c r="AF36" s="31"/>
      <c r="AG36" s="31"/>
      <c r="AH36" s="31">
        <v>16</v>
      </c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t="s">
        <v>75</v>
      </c>
      <c r="BD36">
        <v>31</v>
      </c>
      <c r="BF36" s="30">
        <f>IF($BD36="","",SUMIF($BD$6:$BD$2000,$BD36,$J$6:$J$2000))</f>
        <v>11995</v>
      </c>
    </row>
    <row r="37" spans="1:58" ht="19.5" customHeight="1" x14ac:dyDescent="0.25">
      <c r="A37" s="96" t="s">
        <v>2054</v>
      </c>
      <c r="B37" s="32" t="s">
        <v>71</v>
      </c>
      <c r="C37" s="33">
        <v>32</v>
      </c>
      <c r="D37" s="32" t="s">
        <v>138</v>
      </c>
      <c r="E37" s="32" t="s">
        <v>139</v>
      </c>
      <c r="F37" s="33" t="s">
        <v>120</v>
      </c>
      <c r="G37" s="34">
        <v>46174</v>
      </c>
      <c r="H37" s="35">
        <f t="shared" si="1"/>
        <v>18</v>
      </c>
      <c r="I37" s="35">
        <f t="shared" si="2"/>
        <v>8</v>
      </c>
      <c r="J37" s="36">
        <f t="shared" si="3"/>
        <v>5910</v>
      </c>
      <c r="K37" s="37">
        <v>7</v>
      </c>
      <c r="L37" s="37"/>
      <c r="M37" s="37"/>
      <c r="N37" s="37">
        <v>4</v>
      </c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>
        <v>7</v>
      </c>
      <c r="AB37" s="37"/>
      <c r="AC37" s="37"/>
      <c r="AD37" s="37"/>
      <c r="AE37" s="37"/>
      <c r="AF37" s="37"/>
      <c r="AG37" s="37"/>
      <c r="AH37" s="37">
        <v>8</v>
      </c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t="s">
        <v>75</v>
      </c>
      <c r="BD37">
        <v>32</v>
      </c>
      <c r="BF37" s="30">
        <f>IF($BD37="","",SUMIF($BD$6:$BD$2000,$BD37,$J$6:$J$2000))</f>
        <v>5910</v>
      </c>
    </row>
    <row r="38" spans="1:58" ht="19.5" customHeight="1" x14ac:dyDescent="0.25">
      <c r="A38" s="96" t="s">
        <v>2054</v>
      </c>
      <c r="B38" s="26" t="s">
        <v>71</v>
      </c>
      <c r="C38" s="27">
        <v>33</v>
      </c>
      <c r="D38" s="26" t="s">
        <v>140</v>
      </c>
      <c r="E38" s="26" t="s">
        <v>141</v>
      </c>
      <c r="F38" s="27" t="s">
        <v>142</v>
      </c>
      <c r="G38" s="28">
        <v>46419</v>
      </c>
      <c r="H38" s="29">
        <f t="shared" si="1"/>
        <v>37</v>
      </c>
      <c r="I38" s="29">
        <f t="shared" si="2"/>
        <v>24</v>
      </c>
      <c r="J38" s="30">
        <f t="shared" si="3"/>
        <v>15782</v>
      </c>
      <c r="K38" s="31"/>
      <c r="L38" s="31"/>
      <c r="M38" s="31"/>
      <c r="N38" s="31"/>
      <c r="O38" s="31"/>
      <c r="P38" s="31">
        <v>1</v>
      </c>
      <c r="Q38" s="31">
        <v>1</v>
      </c>
      <c r="R38" s="31"/>
      <c r="S38" s="31"/>
      <c r="T38" s="31"/>
      <c r="U38" s="31">
        <v>34</v>
      </c>
      <c r="V38" s="31"/>
      <c r="W38" s="31"/>
      <c r="X38" s="31"/>
      <c r="Y38" s="31"/>
      <c r="Z38" s="31"/>
      <c r="AA38" s="31">
        <v>1</v>
      </c>
      <c r="AB38" s="31"/>
      <c r="AC38" s="31"/>
      <c r="AD38" s="31"/>
      <c r="AE38" s="31"/>
      <c r="AF38" s="31"/>
      <c r="AG38" s="31"/>
      <c r="AH38" s="31">
        <v>24</v>
      </c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t="s">
        <v>75</v>
      </c>
      <c r="BD38">
        <v>33</v>
      </c>
      <c r="BF38" s="30">
        <f>IF($BD38="","",SUMIF($BD$6:$BD$2000,$BD38,$J$6:$J$2000))</f>
        <v>15782</v>
      </c>
    </row>
    <row r="39" spans="1:58" ht="19.5" customHeight="1" x14ac:dyDescent="0.25">
      <c r="A39" s="96" t="s">
        <v>2054</v>
      </c>
      <c r="B39" s="32" t="s">
        <v>71</v>
      </c>
      <c r="C39" s="33">
        <v>34</v>
      </c>
      <c r="D39" s="32" t="s">
        <v>143</v>
      </c>
      <c r="E39" s="32" t="s">
        <v>144</v>
      </c>
      <c r="F39" s="33" t="s">
        <v>145</v>
      </c>
      <c r="G39" s="34">
        <v>46419</v>
      </c>
      <c r="H39" s="35">
        <f t="shared" si="1"/>
        <v>34</v>
      </c>
      <c r="I39" s="35">
        <f t="shared" si="2"/>
        <v>28</v>
      </c>
      <c r="J39" s="36">
        <f t="shared" si="3"/>
        <v>17676</v>
      </c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>
        <v>32</v>
      </c>
      <c r="V39" s="37"/>
      <c r="W39" s="37"/>
      <c r="X39" s="37"/>
      <c r="Y39" s="37"/>
      <c r="Z39" s="37"/>
      <c r="AA39" s="37">
        <v>2</v>
      </c>
      <c r="AB39" s="37"/>
      <c r="AC39" s="37"/>
      <c r="AD39" s="37"/>
      <c r="AE39" s="37"/>
      <c r="AF39" s="37"/>
      <c r="AG39" s="37"/>
      <c r="AH39" s="37">
        <v>28</v>
      </c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t="s">
        <v>75</v>
      </c>
      <c r="BD39">
        <v>34</v>
      </c>
      <c r="BF39" s="30">
        <f>IF($BD39="","",SUMIF($BD$6:$BD$2000,$BD39,$J$6:$J$2000))</f>
        <v>17676</v>
      </c>
    </row>
    <row r="40" spans="1:58" ht="19.5" customHeight="1" x14ac:dyDescent="0.25">
      <c r="A40" s="96" t="s">
        <v>2054</v>
      </c>
      <c r="B40" s="26" t="s">
        <v>71</v>
      </c>
      <c r="C40" s="27">
        <v>35</v>
      </c>
      <c r="D40" s="26" t="s">
        <v>146</v>
      </c>
      <c r="E40" s="26" t="s">
        <v>147</v>
      </c>
      <c r="F40" s="27" t="s">
        <v>120</v>
      </c>
      <c r="G40" s="28">
        <v>46174</v>
      </c>
      <c r="H40" s="29">
        <f t="shared" si="1"/>
        <v>40</v>
      </c>
      <c r="I40" s="29">
        <f t="shared" si="2"/>
        <v>16</v>
      </c>
      <c r="J40" s="30">
        <f t="shared" si="3"/>
        <v>12230</v>
      </c>
      <c r="K40" s="31">
        <v>17</v>
      </c>
      <c r="L40" s="31"/>
      <c r="M40" s="31"/>
      <c r="N40" s="31">
        <v>7</v>
      </c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>
        <v>16</v>
      </c>
      <c r="AB40" s="31"/>
      <c r="AC40" s="31"/>
      <c r="AD40" s="31"/>
      <c r="AE40" s="31"/>
      <c r="AF40" s="31"/>
      <c r="AG40" s="31"/>
      <c r="AH40" s="31">
        <v>16</v>
      </c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t="s">
        <v>75</v>
      </c>
      <c r="BD40">
        <v>35</v>
      </c>
      <c r="BF40" s="30">
        <f>IF($BD40="","",SUMIF($BD$6:$BD$2000,$BD40,$J$6:$J$2000))</f>
        <v>12230</v>
      </c>
    </row>
    <row r="41" spans="1:58" ht="19.5" customHeight="1" x14ac:dyDescent="0.25">
      <c r="A41" s="96" t="s">
        <v>2054</v>
      </c>
      <c r="B41" s="32" t="s">
        <v>71</v>
      </c>
      <c r="C41" s="33">
        <v>36</v>
      </c>
      <c r="D41" s="32" t="s">
        <v>148</v>
      </c>
      <c r="E41" s="32" t="s">
        <v>144</v>
      </c>
      <c r="F41" s="33" t="s">
        <v>145</v>
      </c>
      <c r="G41" s="34">
        <v>46174</v>
      </c>
      <c r="H41" s="35">
        <f t="shared" si="1"/>
        <v>31</v>
      </c>
      <c r="I41" s="35">
        <f t="shared" si="2"/>
        <v>28</v>
      </c>
      <c r="J41" s="36">
        <f t="shared" si="3"/>
        <v>18030</v>
      </c>
      <c r="K41" s="37">
        <v>6</v>
      </c>
      <c r="L41" s="37"/>
      <c r="M41" s="37">
        <v>1</v>
      </c>
      <c r="N41" s="37">
        <v>7</v>
      </c>
      <c r="O41" s="37"/>
      <c r="P41" s="37">
        <v>2</v>
      </c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>
        <v>15</v>
      </c>
      <c r="AB41" s="37"/>
      <c r="AC41" s="37"/>
      <c r="AD41" s="37"/>
      <c r="AE41" s="37"/>
      <c r="AF41" s="37"/>
      <c r="AG41" s="37"/>
      <c r="AH41" s="37">
        <v>28</v>
      </c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t="s">
        <v>75</v>
      </c>
      <c r="BD41">
        <v>36</v>
      </c>
      <c r="BF41" s="30">
        <f>IF($BD41="","",SUMIF($BD$6:$BD$2000,$BD41,$J$6:$J$2000))</f>
        <v>18030</v>
      </c>
    </row>
    <row r="42" spans="1:58" ht="19.5" customHeight="1" x14ac:dyDescent="0.25">
      <c r="A42" s="96" t="s">
        <v>2054</v>
      </c>
      <c r="B42" s="26" t="s">
        <v>71</v>
      </c>
      <c r="C42" s="27">
        <v>37</v>
      </c>
      <c r="D42" s="26" t="s">
        <v>149</v>
      </c>
      <c r="E42" s="26" t="s">
        <v>144</v>
      </c>
      <c r="F42" s="27" t="s">
        <v>145</v>
      </c>
      <c r="G42" s="28">
        <v>46266</v>
      </c>
      <c r="H42" s="29">
        <f t="shared" si="1"/>
        <v>51</v>
      </c>
      <c r="I42" s="29">
        <f t="shared" si="2"/>
        <v>22</v>
      </c>
      <c r="J42" s="30">
        <f t="shared" si="3"/>
        <v>15783</v>
      </c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>
        <v>51</v>
      </c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>
        <v>22</v>
      </c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t="s">
        <v>75</v>
      </c>
      <c r="BD42">
        <v>37</v>
      </c>
      <c r="BF42" s="30">
        <f>IF($BD42="","",SUMIF($BD$6:$BD$2000,$BD42,$J$6:$J$2000))</f>
        <v>15783</v>
      </c>
    </row>
    <row r="43" spans="1:58" ht="19.5" customHeight="1" x14ac:dyDescent="0.25">
      <c r="A43" s="96" t="s">
        <v>2054</v>
      </c>
      <c r="B43" s="32" t="s">
        <v>71</v>
      </c>
      <c r="C43" s="33">
        <v>38</v>
      </c>
      <c r="D43" s="32" t="s">
        <v>150</v>
      </c>
      <c r="E43" s="32" t="s">
        <v>151</v>
      </c>
      <c r="F43" s="33" t="s">
        <v>142</v>
      </c>
      <c r="G43" s="34">
        <v>46296</v>
      </c>
      <c r="H43" s="35">
        <f t="shared" si="1"/>
        <v>29</v>
      </c>
      <c r="I43" s="35">
        <f t="shared" si="2"/>
        <v>18</v>
      </c>
      <c r="J43" s="36">
        <f t="shared" si="3"/>
        <v>12090</v>
      </c>
      <c r="K43" s="37">
        <v>10</v>
      </c>
      <c r="L43" s="37"/>
      <c r="M43" s="37"/>
      <c r="N43" s="37">
        <v>9</v>
      </c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>
        <v>10</v>
      </c>
      <c r="AB43" s="37"/>
      <c r="AC43" s="37"/>
      <c r="AD43" s="37"/>
      <c r="AE43" s="37"/>
      <c r="AF43" s="37"/>
      <c r="AG43" s="37"/>
      <c r="AH43" s="37">
        <v>18</v>
      </c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t="s">
        <v>75</v>
      </c>
      <c r="BD43">
        <v>38</v>
      </c>
      <c r="BF43" s="30">
        <f>IF($BD43="","",SUMIF($BD$6:$BD$2000,$BD43,$J$6:$J$2000))</f>
        <v>12090</v>
      </c>
    </row>
    <row r="44" spans="1:58" ht="19.5" customHeight="1" x14ac:dyDescent="0.25">
      <c r="A44" s="96" t="s">
        <v>2054</v>
      </c>
      <c r="B44" s="26" t="s">
        <v>71</v>
      </c>
      <c r="C44" s="27">
        <v>39</v>
      </c>
      <c r="D44" s="26" t="s">
        <v>152</v>
      </c>
      <c r="E44" s="26" t="s">
        <v>153</v>
      </c>
      <c r="F44" s="27" t="s">
        <v>142</v>
      </c>
      <c r="G44" s="28">
        <v>46235</v>
      </c>
      <c r="H44" s="29">
        <f t="shared" si="1"/>
        <v>24</v>
      </c>
      <c r="I44" s="29">
        <f t="shared" si="2"/>
        <v>14</v>
      </c>
      <c r="J44" s="30">
        <f t="shared" si="3"/>
        <v>9610</v>
      </c>
      <c r="K44" s="31">
        <v>7</v>
      </c>
      <c r="L44" s="31"/>
      <c r="M44" s="31">
        <v>1</v>
      </c>
      <c r="N44" s="31">
        <v>7</v>
      </c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>
        <v>9</v>
      </c>
      <c r="AB44" s="31"/>
      <c r="AC44" s="31"/>
      <c r="AD44" s="31"/>
      <c r="AE44" s="31"/>
      <c r="AF44" s="31"/>
      <c r="AG44" s="31"/>
      <c r="AH44" s="31">
        <v>14</v>
      </c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t="s">
        <v>75</v>
      </c>
      <c r="BD44">
        <v>39</v>
      </c>
      <c r="BF44" s="30">
        <f>IF($BD44="","",SUMIF($BD$6:$BD$2000,$BD44,$J$6:$J$2000))</f>
        <v>9610</v>
      </c>
    </row>
    <row r="45" spans="1:58" ht="19.5" customHeight="1" x14ac:dyDescent="0.25">
      <c r="A45" s="96" t="s">
        <v>2054</v>
      </c>
      <c r="B45" s="32" t="s">
        <v>71</v>
      </c>
      <c r="C45" s="33">
        <v>40</v>
      </c>
      <c r="D45" s="32" t="s">
        <v>154</v>
      </c>
      <c r="E45" s="32" t="s">
        <v>155</v>
      </c>
      <c r="F45" s="33" t="s">
        <v>142</v>
      </c>
      <c r="G45" s="34">
        <v>46296</v>
      </c>
      <c r="H45" s="35">
        <f t="shared" si="1"/>
        <v>36</v>
      </c>
      <c r="I45" s="35">
        <f t="shared" si="2"/>
        <v>0</v>
      </c>
      <c r="J45" s="36">
        <f t="shared" si="3"/>
        <v>2363</v>
      </c>
      <c r="K45" s="37">
        <v>10</v>
      </c>
      <c r="L45" s="37"/>
      <c r="M45" s="37">
        <v>2</v>
      </c>
      <c r="N45" s="37">
        <v>20</v>
      </c>
      <c r="O45" s="37"/>
      <c r="P45" s="37"/>
      <c r="Q45" s="37"/>
      <c r="R45" s="37"/>
      <c r="S45" s="37"/>
      <c r="T45" s="37"/>
      <c r="U45" s="37">
        <v>1</v>
      </c>
      <c r="V45" s="37"/>
      <c r="W45" s="37"/>
      <c r="X45" s="37"/>
      <c r="Y45" s="37"/>
      <c r="Z45" s="37"/>
      <c r="AA45" s="37">
        <v>3</v>
      </c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t="s">
        <v>75</v>
      </c>
      <c r="BD45">
        <v>40</v>
      </c>
      <c r="BF45" s="30">
        <f>IF($BD45="","",SUMIF($BD$6:$BD$2000,$BD45,$J$6:$J$2000))</f>
        <v>2363</v>
      </c>
    </row>
    <row r="46" spans="1:58" ht="19.5" customHeight="1" x14ac:dyDescent="0.25">
      <c r="A46" s="96" t="s">
        <v>2054</v>
      </c>
      <c r="B46" s="26" t="s">
        <v>71</v>
      </c>
      <c r="C46" s="27">
        <v>41</v>
      </c>
      <c r="D46" s="26" t="s">
        <v>156</v>
      </c>
      <c r="E46" s="26" t="s">
        <v>144</v>
      </c>
      <c r="F46" s="27" t="s">
        <v>145</v>
      </c>
      <c r="G46" s="28">
        <v>46204</v>
      </c>
      <c r="H46" s="29">
        <f t="shared" si="1"/>
        <v>43</v>
      </c>
      <c r="I46" s="29">
        <f t="shared" si="2"/>
        <v>24</v>
      </c>
      <c r="J46" s="30">
        <f t="shared" si="3"/>
        <v>23583</v>
      </c>
      <c r="K46" s="31">
        <v>12</v>
      </c>
      <c r="L46" s="31"/>
      <c r="M46" s="31"/>
      <c r="N46" s="31">
        <v>17</v>
      </c>
      <c r="O46" s="31"/>
      <c r="P46" s="31"/>
      <c r="Q46" s="31"/>
      <c r="R46" s="31"/>
      <c r="S46" s="31"/>
      <c r="T46" s="31"/>
      <c r="U46" s="31">
        <v>1</v>
      </c>
      <c r="V46" s="31"/>
      <c r="W46" s="31"/>
      <c r="X46" s="31"/>
      <c r="Y46" s="31"/>
      <c r="Z46" s="31"/>
      <c r="AA46" s="31">
        <v>13</v>
      </c>
      <c r="AB46" s="31"/>
      <c r="AC46" s="31"/>
      <c r="AD46" s="31"/>
      <c r="AE46" s="31"/>
      <c r="AF46" s="31"/>
      <c r="AG46" s="31"/>
      <c r="AH46" s="31"/>
      <c r="AI46" s="31"/>
      <c r="AJ46" s="31">
        <v>24</v>
      </c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t="s">
        <v>75</v>
      </c>
      <c r="BD46">
        <v>41</v>
      </c>
      <c r="BF46" s="30">
        <f>IF($BD46="","",SUMIF($BD$6:$BD$2000,$BD46,$J$6:$J$2000))</f>
        <v>23583</v>
      </c>
    </row>
    <row r="47" spans="1:58" ht="19.5" customHeight="1" x14ac:dyDescent="0.25">
      <c r="A47" s="96" t="s">
        <v>2054</v>
      </c>
      <c r="B47" s="32" t="s">
        <v>71</v>
      </c>
      <c r="C47" s="33">
        <v>42</v>
      </c>
      <c r="D47" s="32" t="s">
        <v>157</v>
      </c>
      <c r="E47" s="32" t="s">
        <v>153</v>
      </c>
      <c r="F47" s="33" t="s">
        <v>142</v>
      </c>
      <c r="G47" s="34">
        <v>46419</v>
      </c>
      <c r="H47" s="35">
        <f t="shared" si="1"/>
        <v>22</v>
      </c>
      <c r="I47" s="35">
        <f t="shared" si="2"/>
        <v>12</v>
      </c>
      <c r="J47" s="36">
        <f t="shared" si="3"/>
        <v>8460</v>
      </c>
      <c r="K47" s="37">
        <v>6</v>
      </c>
      <c r="L47" s="37"/>
      <c r="M47" s="37">
        <v>6</v>
      </c>
      <c r="N47" s="37"/>
      <c r="O47" s="37"/>
      <c r="P47" s="37"/>
      <c r="Q47" s="37">
        <v>1</v>
      </c>
      <c r="R47" s="37"/>
      <c r="S47" s="37"/>
      <c r="T47" s="37"/>
      <c r="U47" s="37"/>
      <c r="V47" s="37"/>
      <c r="W47" s="37"/>
      <c r="X47" s="37"/>
      <c r="Y47" s="37"/>
      <c r="Z47" s="37"/>
      <c r="AA47" s="37">
        <v>9</v>
      </c>
      <c r="AB47" s="37"/>
      <c r="AC47" s="37"/>
      <c r="AD47" s="37"/>
      <c r="AE47" s="37"/>
      <c r="AF47" s="37"/>
      <c r="AG47" s="37"/>
      <c r="AH47" s="37">
        <v>12</v>
      </c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t="s">
        <v>75</v>
      </c>
      <c r="BD47">
        <v>42</v>
      </c>
      <c r="BF47" s="30">
        <f>IF($BD47="","",SUMIF($BD$6:$BD$2000,$BD47,$J$6:$J$2000))</f>
        <v>8460</v>
      </c>
    </row>
    <row r="48" spans="1:58" ht="19.5" customHeight="1" x14ac:dyDescent="0.25">
      <c r="A48" s="96" t="s">
        <v>2054</v>
      </c>
      <c r="B48" s="26" t="s">
        <v>71</v>
      </c>
      <c r="C48" s="27">
        <v>43</v>
      </c>
      <c r="D48" s="26" t="s">
        <v>158</v>
      </c>
      <c r="E48" s="26" t="s">
        <v>159</v>
      </c>
      <c r="F48" s="27" t="s">
        <v>160</v>
      </c>
      <c r="G48" s="28">
        <v>46296</v>
      </c>
      <c r="H48" s="29">
        <f t="shared" si="1"/>
        <v>40</v>
      </c>
      <c r="I48" s="29">
        <f t="shared" si="2"/>
        <v>22</v>
      </c>
      <c r="J48" s="30">
        <f t="shared" si="3"/>
        <v>15396</v>
      </c>
      <c r="K48" s="31">
        <v>20</v>
      </c>
      <c r="L48" s="31"/>
      <c r="M48" s="31"/>
      <c r="N48" s="31">
        <v>2</v>
      </c>
      <c r="O48" s="31"/>
      <c r="P48" s="31"/>
      <c r="Q48" s="31"/>
      <c r="R48" s="31"/>
      <c r="S48" s="31"/>
      <c r="T48" s="31"/>
      <c r="U48" s="31">
        <v>2</v>
      </c>
      <c r="V48" s="31"/>
      <c r="W48" s="31"/>
      <c r="X48" s="31"/>
      <c r="Y48" s="31"/>
      <c r="Z48" s="31"/>
      <c r="AA48" s="31">
        <v>16</v>
      </c>
      <c r="AB48" s="31"/>
      <c r="AC48" s="31"/>
      <c r="AD48" s="31"/>
      <c r="AE48" s="31"/>
      <c r="AF48" s="31"/>
      <c r="AG48" s="31"/>
      <c r="AH48" s="31">
        <v>22</v>
      </c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t="s">
        <v>75</v>
      </c>
      <c r="BD48">
        <v>43</v>
      </c>
      <c r="BF48" s="30">
        <f>IF($BD48="","",SUMIF($BD$6:$BD$2000,$BD48,$J$6:$J$2000))</f>
        <v>15396</v>
      </c>
    </row>
    <row r="49" spans="1:58" ht="19.5" customHeight="1" x14ac:dyDescent="0.25">
      <c r="A49" s="96" t="s">
        <v>2054</v>
      </c>
      <c r="B49" s="32" t="s">
        <v>71</v>
      </c>
      <c r="C49" s="33">
        <v>44</v>
      </c>
      <c r="D49" s="32" t="s">
        <v>161</v>
      </c>
      <c r="E49" s="32" t="s">
        <v>159</v>
      </c>
      <c r="F49" s="33" t="s">
        <v>160</v>
      </c>
      <c r="G49" s="34">
        <v>46296</v>
      </c>
      <c r="H49" s="35">
        <f t="shared" si="1"/>
        <v>29</v>
      </c>
      <c r="I49" s="35">
        <f t="shared" si="2"/>
        <v>24</v>
      </c>
      <c r="J49" s="36">
        <f t="shared" si="3"/>
        <v>15084</v>
      </c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>
        <v>28</v>
      </c>
      <c r="V49" s="37"/>
      <c r="W49" s="37"/>
      <c r="X49" s="37"/>
      <c r="Y49" s="37"/>
      <c r="Z49" s="37"/>
      <c r="AA49" s="37">
        <v>1</v>
      </c>
      <c r="AB49" s="37"/>
      <c r="AC49" s="37"/>
      <c r="AD49" s="37"/>
      <c r="AE49" s="37"/>
      <c r="AF49" s="37"/>
      <c r="AG49" s="37"/>
      <c r="AH49" s="37">
        <v>24</v>
      </c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t="s">
        <v>75</v>
      </c>
      <c r="BD49">
        <v>44</v>
      </c>
      <c r="BF49" s="30">
        <f>IF($BD49="","",SUMIF($BD$6:$BD$2000,$BD49,$J$6:$J$2000))</f>
        <v>15084</v>
      </c>
    </row>
    <row r="50" spans="1:58" ht="19.5" customHeight="1" x14ac:dyDescent="0.25">
      <c r="A50" s="96" t="s">
        <v>2054</v>
      </c>
      <c r="B50" s="26" t="s">
        <v>71</v>
      </c>
      <c r="C50" s="27">
        <v>45</v>
      </c>
      <c r="D50" s="26" t="s">
        <v>162</v>
      </c>
      <c r="E50" s="26" t="s">
        <v>163</v>
      </c>
      <c r="F50" s="27" t="s">
        <v>160</v>
      </c>
      <c r="G50" s="28">
        <v>46266</v>
      </c>
      <c r="H50" s="29">
        <f t="shared" si="1"/>
        <v>15</v>
      </c>
      <c r="I50" s="29">
        <f t="shared" si="2"/>
        <v>12</v>
      </c>
      <c r="J50" s="30">
        <f t="shared" si="3"/>
        <v>7850</v>
      </c>
      <c r="K50" s="31"/>
      <c r="L50" s="31"/>
      <c r="M50" s="31"/>
      <c r="N50" s="31"/>
      <c r="O50" s="31"/>
      <c r="P50" s="31">
        <v>1</v>
      </c>
      <c r="Q50" s="31"/>
      <c r="R50" s="31"/>
      <c r="S50" s="31"/>
      <c r="T50" s="31"/>
      <c r="U50" s="31">
        <v>10</v>
      </c>
      <c r="V50" s="31"/>
      <c r="W50" s="31"/>
      <c r="X50" s="31"/>
      <c r="Y50" s="31"/>
      <c r="Z50" s="31"/>
      <c r="AA50" s="31">
        <v>4</v>
      </c>
      <c r="AB50" s="31"/>
      <c r="AC50" s="31"/>
      <c r="AD50" s="31"/>
      <c r="AE50" s="31"/>
      <c r="AF50" s="31"/>
      <c r="AG50" s="31"/>
      <c r="AH50" s="31">
        <v>12</v>
      </c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t="s">
        <v>75</v>
      </c>
      <c r="BD50">
        <v>45</v>
      </c>
      <c r="BF50" s="30">
        <f>IF($BD50="","",SUMIF($BD$6:$BD$2000,$BD50,$J$6:$J$2000))</f>
        <v>7850</v>
      </c>
    </row>
    <row r="51" spans="1:58" ht="19.5" customHeight="1" x14ac:dyDescent="0.25">
      <c r="A51" s="96" t="s">
        <v>2054</v>
      </c>
      <c r="B51" s="32" t="s">
        <v>71</v>
      </c>
      <c r="C51" s="33">
        <v>46</v>
      </c>
      <c r="D51" s="32" t="s">
        <v>164</v>
      </c>
      <c r="E51" s="32" t="s">
        <v>165</v>
      </c>
      <c r="F51" s="33" t="s">
        <v>160</v>
      </c>
      <c r="G51" s="34">
        <v>46174</v>
      </c>
      <c r="H51" s="35">
        <f t="shared" si="1"/>
        <v>28</v>
      </c>
      <c r="I51" s="35">
        <f t="shared" si="2"/>
        <v>12</v>
      </c>
      <c r="J51" s="36">
        <f t="shared" si="3"/>
        <v>9097</v>
      </c>
      <c r="K51" s="37">
        <v>9</v>
      </c>
      <c r="L51" s="37"/>
      <c r="M51" s="37"/>
      <c r="N51" s="37"/>
      <c r="O51" s="37"/>
      <c r="P51" s="37"/>
      <c r="Q51" s="37"/>
      <c r="R51" s="37"/>
      <c r="S51" s="37"/>
      <c r="T51" s="37"/>
      <c r="U51" s="37">
        <v>9</v>
      </c>
      <c r="V51" s="37"/>
      <c r="W51" s="37"/>
      <c r="X51" s="37"/>
      <c r="Y51" s="37"/>
      <c r="Z51" s="37"/>
      <c r="AA51" s="37">
        <v>10</v>
      </c>
      <c r="AB51" s="37"/>
      <c r="AC51" s="37"/>
      <c r="AD51" s="37"/>
      <c r="AE51" s="37"/>
      <c r="AF51" s="37"/>
      <c r="AG51" s="37"/>
      <c r="AH51" s="37">
        <v>12</v>
      </c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t="s">
        <v>75</v>
      </c>
      <c r="BD51">
        <v>46</v>
      </c>
      <c r="BF51" s="30">
        <f>IF($BD51="","",SUMIF($BD$6:$BD$2000,$BD51,$J$6:$J$2000))</f>
        <v>9097</v>
      </c>
    </row>
    <row r="52" spans="1:58" ht="19.5" customHeight="1" x14ac:dyDescent="0.25">
      <c r="A52" s="96" t="s">
        <v>2054</v>
      </c>
      <c r="B52" s="26" t="s">
        <v>71</v>
      </c>
      <c r="C52" s="27">
        <v>47</v>
      </c>
      <c r="D52" s="26" t="s">
        <v>166</v>
      </c>
      <c r="E52" s="26" t="s">
        <v>167</v>
      </c>
      <c r="F52" s="27" t="s">
        <v>160</v>
      </c>
      <c r="G52" s="28">
        <v>46174</v>
      </c>
      <c r="H52" s="29">
        <f t="shared" si="1"/>
        <v>29</v>
      </c>
      <c r="I52" s="29">
        <f t="shared" si="2"/>
        <v>14</v>
      </c>
      <c r="J52" s="30">
        <f t="shared" si="3"/>
        <v>10203</v>
      </c>
      <c r="K52" s="31">
        <v>10</v>
      </c>
      <c r="L52" s="31"/>
      <c r="M52" s="31">
        <v>1</v>
      </c>
      <c r="N52" s="31">
        <v>5</v>
      </c>
      <c r="O52" s="31"/>
      <c r="P52" s="31"/>
      <c r="Q52" s="31"/>
      <c r="R52" s="31"/>
      <c r="S52" s="31"/>
      <c r="T52" s="31"/>
      <c r="U52" s="31">
        <v>1</v>
      </c>
      <c r="V52" s="31"/>
      <c r="W52" s="31"/>
      <c r="X52" s="31"/>
      <c r="Y52" s="31"/>
      <c r="Z52" s="31"/>
      <c r="AA52" s="31">
        <v>12</v>
      </c>
      <c r="AB52" s="31"/>
      <c r="AC52" s="31"/>
      <c r="AD52" s="31"/>
      <c r="AE52" s="31"/>
      <c r="AF52" s="31"/>
      <c r="AG52" s="31"/>
      <c r="AH52" s="31">
        <v>14</v>
      </c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t="s">
        <v>75</v>
      </c>
      <c r="BD52">
        <v>47</v>
      </c>
      <c r="BF52" s="30">
        <f>IF($BD52="","",SUMIF($BD$6:$BD$2000,$BD52,$J$6:$J$2000))</f>
        <v>10203</v>
      </c>
    </row>
    <row r="53" spans="1:58" ht="19.5" customHeight="1" x14ac:dyDescent="0.25">
      <c r="A53" s="96" t="s">
        <v>2054</v>
      </c>
      <c r="B53" s="32" t="s">
        <v>71</v>
      </c>
      <c r="C53" s="33">
        <v>48</v>
      </c>
      <c r="D53" s="32" t="s">
        <v>168</v>
      </c>
      <c r="E53" s="32" t="s">
        <v>169</v>
      </c>
      <c r="F53" s="33" t="s">
        <v>114</v>
      </c>
      <c r="G53" s="34">
        <v>46054</v>
      </c>
      <c r="H53" s="35">
        <f t="shared" si="1"/>
        <v>18</v>
      </c>
      <c r="I53" s="35">
        <f t="shared" si="2"/>
        <v>28</v>
      </c>
      <c r="J53" s="36">
        <f t="shared" si="3"/>
        <v>16630</v>
      </c>
      <c r="K53" s="37">
        <v>5</v>
      </c>
      <c r="L53" s="37"/>
      <c r="M53" s="37"/>
      <c r="N53" s="37">
        <v>4</v>
      </c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>
        <v>9</v>
      </c>
      <c r="AB53" s="37"/>
      <c r="AC53" s="37"/>
      <c r="AD53" s="37"/>
      <c r="AE53" s="37"/>
      <c r="AF53" s="37"/>
      <c r="AG53" s="37"/>
      <c r="AH53" s="37">
        <v>28</v>
      </c>
      <c r="AI53" s="37"/>
      <c r="AJ53" s="37">
        <v>0</v>
      </c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t="s">
        <v>75</v>
      </c>
      <c r="BD53">
        <v>48</v>
      </c>
      <c r="BF53" s="30">
        <f>IF($BD53="","",SUMIF($BD$6:$BD$2000,$BD53,$J$6:$J$2000))</f>
        <v>16630</v>
      </c>
    </row>
    <row r="54" spans="1:58" ht="19.5" customHeight="1" x14ac:dyDescent="0.25">
      <c r="A54" s="96" t="s">
        <v>2054</v>
      </c>
      <c r="B54" s="26" t="s">
        <v>71</v>
      </c>
      <c r="C54" s="27">
        <v>49</v>
      </c>
      <c r="D54" s="26" t="s">
        <v>170</v>
      </c>
      <c r="E54" s="26" t="s">
        <v>171</v>
      </c>
      <c r="F54" s="27" t="s">
        <v>74</v>
      </c>
      <c r="G54" s="28">
        <v>46174</v>
      </c>
      <c r="H54" s="29">
        <f t="shared" si="1"/>
        <v>33</v>
      </c>
      <c r="I54" s="29">
        <f t="shared" si="2"/>
        <v>15</v>
      </c>
      <c r="J54" s="30">
        <f t="shared" si="3"/>
        <v>9794</v>
      </c>
      <c r="K54" s="31">
        <v>15</v>
      </c>
      <c r="L54" s="31"/>
      <c r="M54" s="31">
        <v>8</v>
      </c>
      <c r="N54" s="31">
        <v>6</v>
      </c>
      <c r="O54" s="31"/>
      <c r="P54" s="31"/>
      <c r="Q54" s="31"/>
      <c r="R54" s="31"/>
      <c r="S54" s="31"/>
      <c r="T54" s="31"/>
      <c r="U54" s="31">
        <v>3</v>
      </c>
      <c r="V54" s="31"/>
      <c r="W54" s="31"/>
      <c r="X54" s="31"/>
      <c r="Y54" s="31"/>
      <c r="Z54" s="31"/>
      <c r="AA54" s="31">
        <v>1</v>
      </c>
      <c r="AB54" s="31"/>
      <c r="AC54" s="31"/>
      <c r="AD54" s="31"/>
      <c r="AE54" s="31"/>
      <c r="AF54" s="31"/>
      <c r="AG54" s="31"/>
      <c r="AH54" s="31">
        <v>15</v>
      </c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t="s">
        <v>75</v>
      </c>
      <c r="BD54">
        <v>49</v>
      </c>
      <c r="BF54" s="30">
        <f>IF($BD54="","",SUMIF($BD$6:$BD$2000,$BD54,$J$6:$J$2000))</f>
        <v>9794</v>
      </c>
    </row>
    <row r="55" spans="1:58" ht="19.5" customHeight="1" x14ac:dyDescent="0.25">
      <c r="A55" s="96" t="s">
        <v>2054</v>
      </c>
      <c r="B55" s="32" t="s">
        <v>71</v>
      </c>
      <c r="C55" s="33">
        <v>50</v>
      </c>
      <c r="D55" s="32" t="s">
        <v>172</v>
      </c>
      <c r="E55" s="32" t="s">
        <v>173</v>
      </c>
      <c r="F55" s="33" t="s">
        <v>74</v>
      </c>
      <c r="G55" s="34">
        <v>46235</v>
      </c>
      <c r="H55" s="35">
        <f t="shared" si="1"/>
        <v>28</v>
      </c>
      <c r="I55" s="35">
        <f t="shared" si="2"/>
        <v>10</v>
      </c>
      <c r="J55" s="36">
        <f t="shared" si="3"/>
        <v>7890</v>
      </c>
      <c r="K55" s="37">
        <v>14</v>
      </c>
      <c r="L55" s="37"/>
      <c r="M55" s="37"/>
      <c r="N55" s="37">
        <v>3</v>
      </c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>
        <v>11</v>
      </c>
      <c r="AB55" s="37"/>
      <c r="AC55" s="37"/>
      <c r="AD55" s="37"/>
      <c r="AE55" s="37"/>
      <c r="AF55" s="37"/>
      <c r="AG55" s="37"/>
      <c r="AH55" s="37">
        <v>10</v>
      </c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t="s">
        <v>75</v>
      </c>
      <c r="BD55">
        <v>50</v>
      </c>
      <c r="BF55" s="30">
        <f>IF($BD55="","",SUMIF($BD$6:$BD$2000,$BD55,$J$6:$J$2000))</f>
        <v>7890</v>
      </c>
    </row>
    <row r="56" spans="1:58" ht="19.5" customHeight="1" x14ac:dyDescent="0.25">
      <c r="A56" s="96" t="s">
        <v>2054</v>
      </c>
      <c r="B56" s="26" t="s">
        <v>71</v>
      </c>
      <c r="C56" s="27">
        <v>51</v>
      </c>
      <c r="D56" s="26" t="s">
        <v>174</v>
      </c>
      <c r="E56" s="26" t="s">
        <v>175</v>
      </c>
      <c r="F56" s="27" t="s">
        <v>123</v>
      </c>
      <c r="G56" s="28">
        <v>46266</v>
      </c>
      <c r="H56" s="29">
        <f t="shared" si="1"/>
        <v>49</v>
      </c>
      <c r="I56" s="29">
        <f t="shared" si="2"/>
        <v>64</v>
      </c>
      <c r="J56" s="30">
        <f t="shared" si="3"/>
        <v>38470</v>
      </c>
      <c r="K56" s="31">
        <v>16</v>
      </c>
      <c r="L56" s="31"/>
      <c r="M56" s="31">
        <v>11</v>
      </c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>
        <v>22</v>
      </c>
      <c r="AB56" s="31"/>
      <c r="AC56" s="31"/>
      <c r="AD56" s="31"/>
      <c r="AE56" s="31"/>
      <c r="AF56" s="31"/>
      <c r="AG56" s="31"/>
      <c r="AH56" s="31">
        <v>64</v>
      </c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t="s">
        <v>75</v>
      </c>
      <c r="BD56">
        <v>51</v>
      </c>
      <c r="BF56" s="30">
        <f>IF($BD56="","",SUMIF($BD$6:$BD$2000,$BD56,$J$6:$J$2000))</f>
        <v>38470</v>
      </c>
    </row>
    <row r="57" spans="1:58" ht="19.5" customHeight="1" x14ac:dyDescent="0.25">
      <c r="A57" s="96" t="s">
        <v>2054</v>
      </c>
      <c r="B57" s="32" t="s">
        <v>71</v>
      </c>
      <c r="C57" s="33">
        <v>52</v>
      </c>
      <c r="D57" s="32" t="s">
        <v>176</v>
      </c>
      <c r="E57" s="32" t="s">
        <v>177</v>
      </c>
      <c r="F57" s="33" t="s">
        <v>74</v>
      </c>
      <c r="G57" s="34">
        <v>46388</v>
      </c>
      <c r="H57" s="35">
        <f t="shared" si="1"/>
        <v>37</v>
      </c>
      <c r="I57" s="35">
        <f t="shared" si="2"/>
        <v>32</v>
      </c>
      <c r="J57" s="36">
        <f t="shared" si="3"/>
        <v>30183</v>
      </c>
      <c r="K57" s="37">
        <v>12</v>
      </c>
      <c r="L57" s="37"/>
      <c r="M57" s="37">
        <v>6</v>
      </c>
      <c r="N57" s="37"/>
      <c r="O57" s="37"/>
      <c r="P57" s="37">
        <v>1</v>
      </c>
      <c r="Q57" s="37"/>
      <c r="R57" s="37"/>
      <c r="S57" s="37"/>
      <c r="T57" s="37"/>
      <c r="U57" s="37">
        <v>1</v>
      </c>
      <c r="V57" s="37"/>
      <c r="W57" s="37"/>
      <c r="X57" s="37"/>
      <c r="Y57" s="37"/>
      <c r="Z57" s="37"/>
      <c r="AA57" s="37">
        <v>17</v>
      </c>
      <c r="AB57" s="37"/>
      <c r="AC57" s="37"/>
      <c r="AD57" s="37"/>
      <c r="AE57" s="37"/>
      <c r="AF57" s="37"/>
      <c r="AG57" s="37"/>
      <c r="AH57" s="37"/>
      <c r="AI57" s="37"/>
      <c r="AJ57" s="37">
        <v>32</v>
      </c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t="s">
        <v>75</v>
      </c>
      <c r="BD57">
        <v>52</v>
      </c>
      <c r="BF57" s="30">
        <f>IF($BD57="","",SUMIF($BD$6:$BD$2000,$BD57,$J$6:$J$2000))</f>
        <v>30183</v>
      </c>
    </row>
    <row r="58" spans="1:58" ht="19.5" customHeight="1" x14ac:dyDescent="0.25">
      <c r="A58" s="96" t="s">
        <v>2054</v>
      </c>
      <c r="B58" s="26" t="s">
        <v>71</v>
      </c>
      <c r="C58" s="27">
        <v>53</v>
      </c>
      <c r="D58" s="26" t="s">
        <v>178</v>
      </c>
      <c r="E58" s="26" t="s">
        <v>179</v>
      </c>
      <c r="F58" s="27" t="s">
        <v>114</v>
      </c>
      <c r="G58" s="28">
        <v>46235</v>
      </c>
      <c r="H58" s="29">
        <f t="shared" si="1"/>
        <v>26</v>
      </c>
      <c r="I58" s="29">
        <f t="shared" si="2"/>
        <v>40</v>
      </c>
      <c r="J58" s="30">
        <f t="shared" si="3"/>
        <v>24025</v>
      </c>
      <c r="K58" s="31">
        <v>6</v>
      </c>
      <c r="L58" s="31"/>
      <c r="M58" s="31"/>
      <c r="N58" s="31"/>
      <c r="O58" s="31"/>
      <c r="P58" s="31"/>
      <c r="Q58" s="31"/>
      <c r="R58" s="31"/>
      <c r="S58" s="31"/>
      <c r="T58" s="31">
        <v>5</v>
      </c>
      <c r="U58" s="31"/>
      <c r="V58" s="31"/>
      <c r="W58" s="31"/>
      <c r="X58" s="31"/>
      <c r="Y58" s="31"/>
      <c r="Z58" s="31"/>
      <c r="AA58" s="31">
        <v>15</v>
      </c>
      <c r="AB58" s="31"/>
      <c r="AC58" s="31"/>
      <c r="AD58" s="31"/>
      <c r="AE58" s="31"/>
      <c r="AF58" s="31"/>
      <c r="AG58" s="31"/>
      <c r="AH58" s="31">
        <v>40</v>
      </c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t="s">
        <v>75</v>
      </c>
      <c r="BD58">
        <v>53</v>
      </c>
      <c r="BF58" s="30">
        <f>IF($BD58="","",SUMIF($BD$6:$BD$2000,$BD58,$J$6:$J$2000))</f>
        <v>24025</v>
      </c>
    </row>
    <row r="59" spans="1:58" ht="19.5" customHeight="1" x14ac:dyDescent="0.25">
      <c r="A59" s="96" t="s">
        <v>2054</v>
      </c>
      <c r="B59" s="32" t="s">
        <v>71</v>
      </c>
      <c r="C59" s="33">
        <v>54</v>
      </c>
      <c r="D59" s="32" t="s">
        <v>180</v>
      </c>
      <c r="E59" s="32" t="s">
        <v>175</v>
      </c>
      <c r="F59" s="33" t="s">
        <v>123</v>
      </c>
      <c r="G59" s="34">
        <v>46054</v>
      </c>
      <c r="H59" s="35">
        <f t="shared" si="1"/>
        <v>24</v>
      </c>
      <c r="I59" s="35">
        <f t="shared" si="2"/>
        <v>28</v>
      </c>
      <c r="J59" s="36">
        <f t="shared" si="3"/>
        <v>24960</v>
      </c>
      <c r="K59" s="37">
        <v>1</v>
      </c>
      <c r="L59" s="37"/>
      <c r="M59" s="37">
        <v>17</v>
      </c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>
        <v>6</v>
      </c>
      <c r="AB59" s="37"/>
      <c r="AC59" s="37"/>
      <c r="AD59" s="37"/>
      <c r="AE59" s="37"/>
      <c r="AF59" s="37"/>
      <c r="AG59" s="37"/>
      <c r="AH59" s="37"/>
      <c r="AI59" s="37"/>
      <c r="AJ59" s="37">
        <v>28</v>
      </c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t="s">
        <v>75</v>
      </c>
      <c r="BD59">
        <v>54</v>
      </c>
      <c r="BF59" s="30">
        <f>IF($BD59="","",SUMIF($BD$6:$BD$2000,$BD59,$J$6:$J$2000))</f>
        <v>24960</v>
      </c>
    </row>
    <row r="60" spans="1:58" ht="19.5" customHeight="1" x14ac:dyDescent="0.25">
      <c r="A60" s="96" t="s">
        <v>2054</v>
      </c>
      <c r="B60" s="26" t="s">
        <v>71</v>
      </c>
      <c r="C60" s="27">
        <v>55</v>
      </c>
      <c r="D60" s="26" t="s">
        <v>181</v>
      </c>
      <c r="E60" s="26" t="s">
        <v>177</v>
      </c>
      <c r="F60" s="27" t="s">
        <v>74</v>
      </c>
      <c r="G60" s="28">
        <v>46082</v>
      </c>
      <c r="H60" s="29">
        <f t="shared" si="1"/>
        <v>26</v>
      </c>
      <c r="I60" s="29">
        <f t="shared" si="2"/>
        <v>28</v>
      </c>
      <c r="J60" s="30">
        <f t="shared" si="3"/>
        <v>17003</v>
      </c>
      <c r="K60" s="31">
        <v>8</v>
      </c>
      <c r="L60" s="31"/>
      <c r="M60" s="31"/>
      <c r="N60" s="31">
        <v>9</v>
      </c>
      <c r="O60" s="31"/>
      <c r="P60" s="31"/>
      <c r="Q60" s="31"/>
      <c r="R60" s="31"/>
      <c r="S60" s="31"/>
      <c r="T60" s="31"/>
      <c r="U60" s="31">
        <v>1</v>
      </c>
      <c r="V60" s="31"/>
      <c r="W60" s="31"/>
      <c r="X60" s="31"/>
      <c r="Y60" s="31"/>
      <c r="Z60" s="31"/>
      <c r="AA60" s="31">
        <v>8</v>
      </c>
      <c r="AB60" s="31"/>
      <c r="AC60" s="31"/>
      <c r="AD60" s="31"/>
      <c r="AE60" s="31"/>
      <c r="AF60" s="31"/>
      <c r="AG60" s="31"/>
      <c r="AH60" s="31">
        <v>28</v>
      </c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t="s">
        <v>75</v>
      </c>
      <c r="BD60">
        <v>55</v>
      </c>
      <c r="BF60" s="30">
        <f>IF($BD60="","",SUMIF($BD$6:$BD$2000,$BD60,$J$6:$J$2000))</f>
        <v>17003</v>
      </c>
    </row>
    <row r="61" spans="1:58" ht="19.5" customHeight="1" x14ac:dyDescent="0.25">
      <c r="A61" s="96" t="s">
        <v>2054</v>
      </c>
      <c r="B61" s="32" t="s">
        <v>71</v>
      </c>
      <c r="C61" s="33">
        <v>56</v>
      </c>
      <c r="D61" s="32" t="s">
        <v>182</v>
      </c>
      <c r="E61" s="32" t="s">
        <v>183</v>
      </c>
      <c r="F61" s="33" t="s">
        <v>123</v>
      </c>
      <c r="G61" s="34">
        <v>46235</v>
      </c>
      <c r="H61" s="35">
        <f t="shared" si="1"/>
        <v>30</v>
      </c>
      <c r="I61" s="35">
        <f t="shared" si="2"/>
        <v>26</v>
      </c>
      <c r="J61" s="36">
        <f t="shared" si="3"/>
        <v>16375</v>
      </c>
      <c r="K61" s="37">
        <v>13</v>
      </c>
      <c r="L61" s="37"/>
      <c r="M61" s="37">
        <v>5</v>
      </c>
      <c r="N61" s="37"/>
      <c r="O61" s="37"/>
      <c r="P61" s="37"/>
      <c r="Q61" s="37"/>
      <c r="R61" s="37"/>
      <c r="S61" s="37"/>
      <c r="T61" s="37">
        <v>1</v>
      </c>
      <c r="U61" s="37"/>
      <c r="V61" s="37"/>
      <c r="W61" s="37"/>
      <c r="X61" s="37"/>
      <c r="Y61" s="37"/>
      <c r="Z61" s="37"/>
      <c r="AA61" s="37">
        <v>11</v>
      </c>
      <c r="AB61" s="37"/>
      <c r="AC61" s="37"/>
      <c r="AD61" s="37"/>
      <c r="AE61" s="37"/>
      <c r="AF61" s="37"/>
      <c r="AG61" s="37"/>
      <c r="AH61" s="37">
        <v>26</v>
      </c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t="s">
        <v>75</v>
      </c>
      <c r="BD61">
        <v>56</v>
      </c>
      <c r="BF61" s="30">
        <f>IF($BD61="","",SUMIF($BD$6:$BD$2000,$BD61,$J$6:$J$2000))</f>
        <v>16375</v>
      </c>
    </row>
    <row r="62" spans="1:58" ht="19.5" customHeight="1" x14ac:dyDescent="0.25">
      <c r="A62" s="96" t="s">
        <v>2054</v>
      </c>
      <c r="B62" s="26" t="s">
        <v>71</v>
      </c>
      <c r="C62" s="27">
        <v>57</v>
      </c>
      <c r="D62" s="26" t="s">
        <v>121</v>
      </c>
      <c r="E62" s="26" t="s">
        <v>175</v>
      </c>
      <c r="F62" s="27" t="s">
        <v>123</v>
      </c>
      <c r="G62" s="28">
        <v>46054</v>
      </c>
      <c r="H62" s="29">
        <f t="shared" si="1"/>
        <v>28</v>
      </c>
      <c r="I62" s="29">
        <f t="shared" si="2"/>
        <v>24</v>
      </c>
      <c r="J62" s="30">
        <f t="shared" si="3"/>
        <v>22640</v>
      </c>
      <c r="K62" s="31">
        <v>4</v>
      </c>
      <c r="L62" s="31"/>
      <c r="M62" s="31">
        <v>10</v>
      </c>
      <c r="N62" s="31">
        <v>1</v>
      </c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>
        <v>13</v>
      </c>
      <c r="AB62" s="31"/>
      <c r="AC62" s="31"/>
      <c r="AD62" s="31"/>
      <c r="AE62" s="31"/>
      <c r="AF62" s="31"/>
      <c r="AG62" s="31"/>
      <c r="AH62" s="31"/>
      <c r="AI62" s="31"/>
      <c r="AJ62" s="31">
        <v>24</v>
      </c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t="s">
        <v>75</v>
      </c>
      <c r="BD62">
        <v>57</v>
      </c>
      <c r="BF62" s="30">
        <f>IF($BD62="","",SUMIF($BD$6:$BD$2000,$BD62,$J$6:$J$2000))</f>
        <v>22640</v>
      </c>
    </row>
    <row r="63" spans="1:58" ht="19.5" customHeight="1" x14ac:dyDescent="0.25">
      <c r="A63" s="96" t="s">
        <v>2054</v>
      </c>
      <c r="B63" s="32" t="s">
        <v>71</v>
      </c>
      <c r="C63" s="33">
        <v>334</v>
      </c>
      <c r="D63" s="32" t="s">
        <v>184</v>
      </c>
      <c r="E63" s="32" t="s">
        <v>128</v>
      </c>
      <c r="F63" s="33" t="s">
        <v>126</v>
      </c>
      <c r="G63" s="34">
        <v>46204</v>
      </c>
      <c r="H63" s="35">
        <f t="shared" si="1"/>
        <v>14</v>
      </c>
      <c r="I63" s="35">
        <f t="shared" si="2"/>
        <v>6</v>
      </c>
      <c r="J63" s="36">
        <f t="shared" si="3"/>
        <v>4309</v>
      </c>
      <c r="K63" s="37">
        <v>5</v>
      </c>
      <c r="L63" s="37"/>
      <c r="M63" s="37"/>
      <c r="N63" s="37">
        <v>3</v>
      </c>
      <c r="O63" s="37"/>
      <c r="P63" s="37"/>
      <c r="Q63" s="37"/>
      <c r="R63" s="37"/>
      <c r="S63" s="37"/>
      <c r="T63" s="37"/>
      <c r="U63" s="37">
        <v>3</v>
      </c>
      <c r="V63" s="37"/>
      <c r="W63" s="37"/>
      <c r="X63" s="37"/>
      <c r="Y63" s="37"/>
      <c r="Z63" s="37"/>
      <c r="AA63" s="37">
        <v>3</v>
      </c>
      <c r="AB63" s="37"/>
      <c r="AC63" s="37"/>
      <c r="AD63" s="37"/>
      <c r="AE63" s="37"/>
      <c r="AF63" s="37"/>
      <c r="AG63" s="37"/>
      <c r="AH63" s="37">
        <v>6</v>
      </c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t="s">
        <v>75</v>
      </c>
      <c r="BD63">
        <v>58</v>
      </c>
      <c r="BF63" s="30">
        <f>IF($BD63="","",SUMIF($BD$6:$BD$2000,$BD63,$J$6:$J$2000))</f>
        <v>4309</v>
      </c>
    </row>
    <row r="64" spans="1:58" ht="19.5" customHeight="1" x14ac:dyDescent="0.25">
      <c r="A64" s="96" t="s">
        <v>2054</v>
      </c>
      <c r="B64" s="26" t="s">
        <v>71</v>
      </c>
      <c r="C64" s="27">
        <v>59</v>
      </c>
      <c r="D64" s="26" t="s">
        <v>185</v>
      </c>
      <c r="E64" s="26" t="s">
        <v>183</v>
      </c>
      <c r="F64" s="27" t="s">
        <v>123</v>
      </c>
      <c r="G64" s="28">
        <v>46419</v>
      </c>
      <c r="H64" s="29">
        <f t="shared" si="1"/>
        <v>28</v>
      </c>
      <c r="I64" s="29">
        <f t="shared" si="2"/>
        <v>32</v>
      </c>
      <c r="J64" s="30">
        <f t="shared" si="3"/>
        <v>19630</v>
      </c>
      <c r="K64" s="31">
        <v>8</v>
      </c>
      <c r="L64" s="31"/>
      <c r="M64" s="31">
        <v>7</v>
      </c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>
        <v>13</v>
      </c>
      <c r="AB64" s="31"/>
      <c r="AC64" s="31"/>
      <c r="AD64" s="31"/>
      <c r="AE64" s="31"/>
      <c r="AF64" s="31"/>
      <c r="AG64" s="31"/>
      <c r="AH64" s="31">
        <v>32</v>
      </c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t="s">
        <v>75</v>
      </c>
      <c r="BD64">
        <v>59</v>
      </c>
      <c r="BF64" s="30">
        <f>IF($BD64="","",SUMIF($BD$6:$BD$2000,$BD64,$J$6:$J$2000))</f>
        <v>19630</v>
      </c>
    </row>
    <row r="65" spans="1:58" ht="19.5" customHeight="1" x14ac:dyDescent="0.25">
      <c r="A65" s="96" t="s">
        <v>2054</v>
      </c>
      <c r="B65" s="32" t="s">
        <v>71</v>
      </c>
      <c r="C65" s="33">
        <v>443</v>
      </c>
      <c r="D65" s="32" t="s">
        <v>186</v>
      </c>
      <c r="E65" s="32" t="s">
        <v>128</v>
      </c>
      <c r="F65" s="33" t="s">
        <v>126</v>
      </c>
      <c r="G65" s="34">
        <v>46204</v>
      </c>
      <c r="H65" s="35">
        <f t="shared" si="1"/>
        <v>8</v>
      </c>
      <c r="I65" s="35">
        <f t="shared" si="2"/>
        <v>8</v>
      </c>
      <c r="J65" s="36">
        <f t="shared" si="3"/>
        <v>5040</v>
      </c>
      <c r="K65" s="37">
        <v>4</v>
      </c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>
        <v>4</v>
      </c>
      <c r="AB65" s="37"/>
      <c r="AC65" s="37"/>
      <c r="AD65" s="37"/>
      <c r="AE65" s="37"/>
      <c r="AF65" s="37"/>
      <c r="AG65" s="37"/>
      <c r="AH65" s="37">
        <v>8</v>
      </c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t="s">
        <v>75</v>
      </c>
      <c r="BD65">
        <v>60</v>
      </c>
      <c r="BF65" s="30">
        <f>IF($BD65="","",SUMIF($BD$6:$BD$2000,$BD65,$J$6:$J$2000))</f>
        <v>5040</v>
      </c>
    </row>
    <row r="66" spans="1:58" ht="19.5" customHeight="1" x14ac:dyDescent="0.25">
      <c r="A66" s="96" t="s">
        <v>2054</v>
      </c>
      <c r="B66" s="26" t="s">
        <v>71</v>
      </c>
      <c r="C66" s="27">
        <v>61</v>
      </c>
      <c r="D66" s="26" t="s">
        <v>187</v>
      </c>
      <c r="E66" s="26" t="s">
        <v>188</v>
      </c>
      <c r="F66" s="27" t="s">
        <v>123</v>
      </c>
      <c r="G66" s="28">
        <v>46419</v>
      </c>
      <c r="H66" s="29">
        <f t="shared" si="1"/>
        <v>34</v>
      </c>
      <c r="I66" s="29">
        <f t="shared" si="2"/>
        <v>24</v>
      </c>
      <c r="J66" s="30">
        <f t="shared" si="3"/>
        <v>15840</v>
      </c>
      <c r="K66" s="31">
        <v>9</v>
      </c>
      <c r="L66" s="31"/>
      <c r="M66" s="31">
        <v>11</v>
      </c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>
        <v>14</v>
      </c>
      <c r="AB66" s="31"/>
      <c r="AC66" s="31"/>
      <c r="AD66" s="31"/>
      <c r="AE66" s="31"/>
      <c r="AF66" s="31"/>
      <c r="AG66" s="31"/>
      <c r="AH66" s="31">
        <v>24</v>
      </c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t="s">
        <v>75</v>
      </c>
      <c r="BD66">
        <v>61</v>
      </c>
      <c r="BF66" s="30">
        <f>IF($BD66="","",SUMIF($BD$6:$BD$2000,$BD66,$J$6:$J$2000))</f>
        <v>15840</v>
      </c>
    </row>
    <row r="67" spans="1:58" ht="19.5" customHeight="1" x14ac:dyDescent="0.25">
      <c r="A67" s="96" t="s">
        <v>2054</v>
      </c>
      <c r="B67" s="32" t="s">
        <v>71</v>
      </c>
      <c r="C67" s="33">
        <v>62</v>
      </c>
      <c r="D67" s="32" t="s">
        <v>189</v>
      </c>
      <c r="E67" s="32" t="s">
        <v>188</v>
      </c>
      <c r="F67" s="33" t="s">
        <v>123</v>
      </c>
      <c r="G67" s="34">
        <v>46419</v>
      </c>
      <c r="H67" s="35">
        <f t="shared" si="1"/>
        <v>56</v>
      </c>
      <c r="I67" s="35">
        <f t="shared" si="2"/>
        <v>34</v>
      </c>
      <c r="J67" s="36">
        <f t="shared" si="3"/>
        <v>33191</v>
      </c>
      <c r="K67" s="37">
        <v>9</v>
      </c>
      <c r="L67" s="37"/>
      <c r="M67" s="37"/>
      <c r="N67" s="37">
        <v>1</v>
      </c>
      <c r="O67" s="37"/>
      <c r="P67" s="37"/>
      <c r="Q67" s="37"/>
      <c r="R67" s="37"/>
      <c r="S67" s="37"/>
      <c r="T67" s="37">
        <v>19</v>
      </c>
      <c r="U67" s="37">
        <v>12</v>
      </c>
      <c r="V67" s="37"/>
      <c r="W67" s="37"/>
      <c r="X67" s="37"/>
      <c r="Y67" s="37"/>
      <c r="Z67" s="37"/>
      <c r="AA67" s="37">
        <v>15</v>
      </c>
      <c r="AB67" s="37"/>
      <c r="AC67" s="37"/>
      <c r="AD67" s="37"/>
      <c r="AE67" s="37"/>
      <c r="AF67" s="37"/>
      <c r="AG67" s="37"/>
      <c r="AH67" s="37"/>
      <c r="AI67" s="37"/>
      <c r="AJ67" s="37">
        <v>34</v>
      </c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t="s">
        <v>75</v>
      </c>
      <c r="BD67">
        <v>62</v>
      </c>
      <c r="BF67" s="30">
        <f>IF($BD67="","",SUMIF($BD$6:$BD$2000,$BD67,$J$6:$J$2000))</f>
        <v>33191</v>
      </c>
    </row>
    <row r="68" spans="1:58" ht="19.5" customHeight="1" x14ac:dyDescent="0.25">
      <c r="A68" s="96" t="s">
        <v>2054</v>
      </c>
      <c r="B68" s="26" t="s">
        <v>71</v>
      </c>
      <c r="C68" s="27">
        <v>63</v>
      </c>
      <c r="D68" s="26" t="s">
        <v>190</v>
      </c>
      <c r="E68" s="26" t="s">
        <v>191</v>
      </c>
      <c r="F68" s="27" t="s">
        <v>123</v>
      </c>
      <c r="G68" s="28">
        <v>46235</v>
      </c>
      <c r="H68" s="29">
        <f t="shared" si="1"/>
        <v>40</v>
      </c>
      <c r="I68" s="29">
        <f t="shared" si="2"/>
        <v>22</v>
      </c>
      <c r="J68" s="30">
        <f t="shared" si="3"/>
        <v>14540</v>
      </c>
      <c r="K68" s="31">
        <v>4</v>
      </c>
      <c r="L68" s="31"/>
      <c r="M68" s="31">
        <v>27</v>
      </c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>
        <v>9</v>
      </c>
      <c r="AB68" s="31"/>
      <c r="AC68" s="31"/>
      <c r="AD68" s="31"/>
      <c r="AE68" s="31"/>
      <c r="AF68" s="31"/>
      <c r="AG68" s="31"/>
      <c r="AH68" s="31">
        <v>22</v>
      </c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t="s">
        <v>75</v>
      </c>
      <c r="BD68">
        <v>63</v>
      </c>
      <c r="BF68" s="30">
        <f>IF($BD68="","",SUMIF($BD$6:$BD$2000,$BD68,$J$6:$J$2000))</f>
        <v>14540</v>
      </c>
    </row>
    <row r="69" spans="1:58" ht="19.5" customHeight="1" x14ac:dyDescent="0.25">
      <c r="A69" s="96" t="s">
        <v>2054</v>
      </c>
      <c r="B69" s="32" t="s">
        <v>71</v>
      </c>
      <c r="C69" s="33">
        <v>64</v>
      </c>
      <c r="D69" s="32" t="s">
        <v>192</v>
      </c>
      <c r="E69" s="32" t="s">
        <v>81</v>
      </c>
      <c r="F69" s="33" t="s">
        <v>74</v>
      </c>
      <c r="G69" s="34">
        <v>46388</v>
      </c>
      <c r="H69" s="35">
        <f t="shared" si="1"/>
        <v>26</v>
      </c>
      <c r="I69" s="35">
        <f t="shared" si="2"/>
        <v>12</v>
      </c>
      <c r="J69" s="36">
        <f t="shared" si="3"/>
        <v>11680</v>
      </c>
      <c r="K69" s="37">
        <v>12</v>
      </c>
      <c r="L69" s="37"/>
      <c r="M69" s="37"/>
      <c r="N69" s="37">
        <v>7</v>
      </c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>
        <v>7</v>
      </c>
      <c r="AB69" s="37"/>
      <c r="AC69" s="37"/>
      <c r="AD69" s="37"/>
      <c r="AE69" s="37"/>
      <c r="AF69" s="37"/>
      <c r="AG69" s="37"/>
      <c r="AH69" s="37"/>
      <c r="AI69" s="37">
        <v>12</v>
      </c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t="s">
        <v>75</v>
      </c>
      <c r="BD69">
        <v>64</v>
      </c>
      <c r="BF69" s="30">
        <f>IF($BD69="","",SUMIF($BD$6:$BD$2000,$BD69,$J$6:$J$2000))</f>
        <v>11680</v>
      </c>
    </row>
    <row r="70" spans="1:58" ht="19.5" customHeight="1" x14ac:dyDescent="0.25">
      <c r="A70" s="96" t="s">
        <v>2054</v>
      </c>
      <c r="B70" s="26" t="s">
        <v>71</v>
      </c>
      <c r="C70" s="27">
        <v>65</v>
      </c>
      <c r="D70" s="26" t="s">
        <v>193</v>
      </c>
      <c r="E70" s="26" t="s">
        <v>173</v>
      </c>
      <c r="F70" s="27" t="s">
        <v>74</v>
      </c>
      <c r="G70" s="28">
        <v>46143</v>
      </c>
      <c r="H70" s="29">
        <f t="shared" ref="H70:H133" si="4">IF($B70="","",SUM($K70:$AG70)+SUM($AS70:$BB70))</f>
        <v>24</v>
      </c>
      <c r="I70" s="29">
        <f t="shared" ref="I70:I133" si="5">IF($B70="","",SUM($AH70:$AL70))</f>
        <v>28</v>
      </c>
      <c r="J70" s="30">
        <f t="shared" ref="J70:J133" si="6">IF($B70="","",SUMPRODUCT($K70:$BB70,$K$2:$BB$2))</f>
        <v>24520</v>
      </c>
      <c r="K70" s="31">
        <v>8</v>
      </c>
      <c r="L70" s="31"/>
      <c r="M70" s="31">
        <v>14</v>
      </c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>
        <v>2</v>
      </c>
      <c r="AB70" s="31"/>
      <c r="AC70" s="31"/>
      <c r="AD70" s="31"/>
      <c r="AE70" s="31"/>
      <c r="AF70" s="31"/>
      <c r="AG70" s="31"/>
      <c r="AH70" s="31"/>
      <c r="AI70" s="31"/>
      <c r="AJ70" s="31">
        <v>28</v>
      </c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t="s">
        <v>75</v>
      </c>
      <c r="BD70">
        <v>65</v>
      </c>
      <c r="BF70" s="30">
        <f>IF($BD70="","",SUMIF($BD$6:$BD$2000,$BD70,$J$6:$J$2000))</f>
        <v>24520</v>
      </c>
    </row>
    <row r="71" spans="1:58" ht="19.5" customHeight="1" x14ac:dyDescent="0.25">
      <c r="A71" s="96" t="s">
        <v>2054</v>
      </c>
      <c r="B71" s="32" t="s">
        <v>71</v>
      </c>
      <c r="C71" s="33">
        <v>66</v>
      </c>
      <c r="D71" s="32" t="s">
        <v>194</v>
      </c>
      <c r="E71" s="32" t="s">
        <v>173</v>
      </c>
      <c r="F71" s="33" t="s">
        <v>74</v>
      </c>
      <c r="G71" s="34">
        <v>46388</v>
      </c>
      <c r="H71" s="35">
        <f t="shared" si="4"/>
        <v>17</v>
      </c>
      <c r="I71" s="35">
        <f t="shared" si="5"/>
        <v>34</v>
      </c>
      <c r="J71" s="36">
        <f t="shared" si="6"/>
        <v>19360</v>
      </c>
      <c r="K71" s="37">
        <v>5</v>
      </c>
      <c r="L71" s="37"/>
      <c r="M71" s="37">
        <v>6</v>
      </c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>
        <v>6</v>
      </c>
      <c r="AB71" s="37"/>
      <c r="AC71" s="37"/>
      <c r="AD71" s="37"/>
      <c r="AE71" s="37"/>
      <c r="AF71" s="37"/>
      <c r="AG71" s="37"/>
      <c r="AH71" s="37">
        <v>34</v>
      </c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t="s">
        <v>75</v>
      </c>
      <c r="BD71">
        <v>66</v>
      </c>
      <c r="BF71" s="30">
        <f>IF($BD71="","",SUMIF($BD$6:$BD$2000,$BD71,$J$6:$J$2000))</f>
        <v>19360</v>
      </c>
    </row>
    <row r="72" spans="1:58" ht="19.5" customHeight="1" x14ac:dyDescent="0.25">
      <c r="A72" s="96" t="s">
        <v>2054</v>
      </c>
      <c r="B72" s="26" t="s">
        <v>71</v>
      </c>
      <c r="C72" s="27">
        <v>67</v>
      </c>
      <c r="D72" s="26" t="s">
        <v>195</v>
      </c>
      <c r="E72" s="26" t="s">
        <v>196</v>
      </c>
      <c r="F72" s="27" t="s">
        <v>197</v>
      </c>
      <c r="G72" s="28">
        <v>46174</v>
      </c>
      <c r="H72" s="29">
        <f t="shared" si="4"/>
        <v>28</v>
      </c>
      <c r="I72" s="29">
        <f t="shared" si="5"/>
        <v>24</v>
      </c>
      <c r="J72" s="30">
        <f t="shared" si="6"/>
        <v>15306</v>
      </c>
      <c r="K72" s="31"/>
      <c r="L72" s="31"/>
      <c r="M72" s="31"/>
      <c r="N72" s="31"/>
      <c r="O72" s="31"/>
      <c r="P72" s="31">
        <v>1</v>
      </c>
      <c r="Q72" s="31"/>
      <c r="R72" s="31"/>
      <c r="S72" s="31"/>
      <c r="T72" s="31"/>
      <c r="U72" s="31">
        <v>22</v>
      </c>
      <c r="V72" s="31"/>
      <c r="W72" s="31"/>
      <c r="X72" s="31"/>
      <c r="Y72" s="31"/>
      <c r="Z72" s="31"/>
      <c r="AA72" s="31">
        <v>5</v>
      </c>
      <c r="AB72" s="31"/>
      <c r="AC72" s="31"/>
      <c r="AD72" s="31"/>
      <c r="AE72" s="31"/>
      <c r="AF72" s="31"/>
      <c r="AG72" s="31"/>
      <c r="AH72" s="31">
        <v>24</v>
      </c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t="s">
        <v>75</v>
      </c>
      <c r="BD72">
        <v>67</v>
      </c>
      <c r="BF72" s="30">
        <f>IF($BD72="","",SUMIF($BD$6:$BD$2000,$BD72,$J$6:$J$2000))</f>
        <v>15306</v>
      </c>
    </row>
    <row r="73" spans="1:58" ht="19.5" customHeight="1" x14ac:dyDescent="0.25">
      <c r="A73" s="96" t="s">
        <v>2054</v>
      </c>
      <c r="B73" s="32" t="s">
        <v>71</v>
      </c>
      <c r="C73" s="33">
        <v>477</v>
      </c>
      <c r="D73" s="32" t="s">
        <v>198</v>
      </c>
      <c r="E73" s="32" t="s">
        <v>125</v>
      </c>
      <c r="F73" s="33" t="s">
        <v>126</v>
      </c>
      <c r="G73" s="34">
        <v>46204</v>
      </c>
      <c r="H73" s="35">
        <f t="shared" si="4"/>
        <v>4</v>
      </c>
      <c r="I73" s="35">
        <f t="shared" si="5"/>
        <v>0</v>
      </c>
      <c r="J73" s="36">
        <f t="shared" si="6"/>
        <v>420</v>
      </c>
      <c r="K73" s="37">
        <v>1</v>
      </c>
      <c r="L73" s="37"/>
      <c r="M73" s="37">
        <v>1</v>
      </c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>
        <v>2</v>
      </c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t="s">
        <v>75</v>
      </c>
      <c r="BD73">
        <v>68</v>
      </c>
      <c r="BF73" s="30">
        <f>IF($BD73="","",SUMIF($BD$6:$BD$2000,$BD73,$J$6:$J$2000))</f>
        <v>420</v>
      </c>
    </row>
    <row r="74" spans="1:58" ht="19.5" customHeight="1" x14ac:dyDescent="0.25">
      <c r="A74" s="96" t="s">
        <v>2054</v>
      </c>
      <c r="B74" s="26" t="s">
        <v>71</v>
      </c>
      <c r="C74" s="27">
        <v>69</v>
      </c>
      <c r="D74" s="26" t="s">
        <v>199</v>
      </c>
      <c r="E74" s="26" t="s">
        <v>200</v>
      </c>
      <c r="F74" s="27" t="s">
        <v>201</v>
      </c>
      <c r="G74" s="28">
        <v>46235</v>
      </c>
      <c r="H74" s="29">
        <f t="shared" si="4"/>
        <v>27</v>
      </c>
      <c r="I74" s="29">
        <f t="shared" si="5"/>
        <v>28</v>
      </c>
      <c r="J74" s="30">
        <f t="shared" si="6"/>
        <v>16927</v>
      </c>
      <c r="K74" s="31"/>
      <c r="L74" s="31"/>
      <c r="M74" s="31"/>
      <c r="N74" s="31"/>
      <c r="O74" s="31"/>
      <c r="P74" s="31">
        <v>2</v>
      </c>
      <c r="Q74" s="31"/>
      <c r="R74" s="31"/>
      <c r="S74" s="31"/>
      <c r="T74" s="31">
        <v>9</v>
      </c>
      <c r="U74" s="31">
        <v>14</v>
      </c>
      <c r="V74" s="31"/>
      <c r="W74" s="31"/>
      <c r="X74" s="31"/>
      <c r="Y74" s="31"/>
      <c r="Z74" s="31"/>
      <c r="AA74" s="31">
        <v>2</v>
      </c>
      <c r="AB74" s="31"/>
      <c r="AC74" s="31"/>
      <c r="AD74" s="31"/>
      <c r="AE74" s="31"/>
      <c r="AF74" s="31"/>
      <c r="AG74" s="31"/>
      <c r="AH74" s="31">
        <v>28</v>
      </c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t="s">
        <v>75</v>
      </c>
      <c r="BD74">
        <v>69</v>
      </c>
      <c r="BF74" s="30">
        <f>IF($BD74="","",SUMIF($BD$6:$BD$2000,$BD74,$J$6:$J$2000))</f>
        <v>16927</v>
      </c>
    </row>
    <row r="75" spans="1:58" ht="19.5" customHeight="1" x14ac:dyDescent="0.25">
      <c r="A75" s="96" t="s">
        <v>2054</v>
      </c>
      <c r="B75" s="32" t="s">
        <v>71</v>
      </c>
      <c r="C75" s="33">
        <v>70</v>
      </c>
      <c r="D75" s="32" t="s">
        <v>202</v>
      </c>
      <c r="E75" s="32" t="s">
        <v>200</v>
      </c>
      <c r="F75" s="33" t="s">
        <v>201</v>
      </c>
      <c r="G75" s="34">
        <v>46143</v>
      </c>
      <c r="H75" s="35">
        <f t="shared" si="4"/>
        <v>39</v>
      </c>
      <c r="I75" s="35">
        <f t="shared" si="5"/>
        <v>36</v>
      </c>
      <c r="J75" s="36">
        <f t="shared" si="6"/>
        <v>33280</v>
      </c>
      <c r="K75" s="37">
        <v>14</v>
      </c>
      <c r="L75" s="37"/>
      <c r="M75" s="37"/>
      <c r="N75" s="37">
        <v>10</v>
      </c>
      <c r="O75" s="37"/>
      <c r="P75" s="37">
        <v>1</v>
      </c>
      <c r="Q75" s="37">
        <v>1</v>
      </c>
      <c r="R75" s="37"/>
      <c r="S75" s="37"/>
      <c r="T75" s="37"/>
      <c r="U75" s="37"/>
      <c r="V75" s="37"/>
      <c r="W75" s="37"/>
      <c r="X75" s="37"/>
      <c r="Y75" s="37"/>
      <c r="Z75" s="37"/>
      <c r="AA75" s="37">
        <v>13</v>
      </c>
      <c r="AB75" s="37"/>
      <c r="AC75" s="37"/>
      <c r="AD75" s="37"/>
      <c r="AE75" s="37"/>
      <c r="AF75" s="37"/>
      <c r="AG75" s="37"/>
      <c r="AH75" s="37"/>
      <c r="AI75" s="37"/>
      <c r="AJ75" s="37">
        <v>36</v>
      </c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t="s">
        <v>75</v>
      </c>
      <c r="BD75">
        <v>70</v>
      </c>
      <c r="BF75" s="30">
        <f>IF($BD75="","",SUMIF($BD$6:$BD$2000,$BD75,$J$6:$J$2000))</f>
        <v>33280</v>
      </c>
    </row>
    <row r="76" spans="1:58" ht="19.5" customHeight="1" x14ac:dyDescent="0.25">
      <c r="A76" s="96" t="s">
        <v>2054</v>
      </c>
      <c r="B76" s="26" t="s">
        <v>71</v>
      </c>
      <c r="C76" s="27">
        <v>71</v>
      </c>
      <c r="D76" s="26" t="s">
        <v>203</v>
      </c>
      <c r="E76" s="26" t="s">
        <v>200</v>
      </c>
      <c r="F76" s="27" t="s">
        <v>201</v>
      </c>
      <c r="G76" s="28">
        <v>46174</v>
      </c>
      <c r="H76" s="29">
        <f t="shared" si="4"/>
        <v>39</v>
      </c>
      <c r="I76" s="29">
        <f t="shared" si="5"/>
        <v>16</v>
      </c>
      <c r="J76" s="30">
        <f t="shared" si="6"/>
        <v>11490</v>
      </c>
      <c r="K76" s="31">
        <v>10</v>
      </c>
      <c r="L76" s="31"/>
      <c r="M76" s="31">
        <v>11</v>
      </c>
      <c r="N76" s="31"/>
      <c r="O76" s="31"/>
      <c r="P76" s="31">
        <v>1</v>
      </c>
      <c r="Q76" s="31"/>
      <c r="R76" s="31"/>
      <c r="S76" s="31"/>
      <c r="T76" s="31">
        <v>8</v>
      </c>
      <c r="U76" s="31"/>
      <c r="V76" s="31"/>
      <c r="W76" s="31"/>
      <c r="X76" s="31"/>
      <c r="Y76" s="31"/>
      <c r="Z76" s="31"/>
      <c r="AA76" s="31">
        <v>9</v>
      </c>
      <c r="AB76" s="31"/>
      <c r="AC76" s="31"/>
      <c r="AD76" s="31"/>
      <c r="AE76" s="31"/>
      <c r="AF76" s="31"/>
      <c r="AG76" s="31"/>
      <c r="AH76" s="31">
        <v>16</v>
      </c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t="s">
        <v>75</v>
      </c>
      <c r="BD76">
        <v>71</v>
      </c>
      <c r="BF76" s="30">
        <f>IF($BD76="","",SUMIF($BD$6:$BD$2000,$BD76,$J$6:$J$2000))</f>
        <v>11490</v>
      </c>
    </row>
    <row r="77" spans="1:58" ht="19.5" customHeight="1" x14ac:dyDescent="0.25">
      <c r="A77" s="96" t="s">
        <v>2054</v>
      </c>
      <c r="B77" s="32" t="s">
        <v>71</v>
      </c>
      <c r="C77" s="33">
        <v>72</v>
      </c>
      <c r="D77" s="32" t="s">
        <v>204</v>
      </c>
      <c r="E77" s="32" t="s">
        <v>204</v>
      </c>
      <c r="F77" s="33" t="s">
        <v>201</v>
      </c>
      <c r="G77" s="34">
        <v>46204</v>
      </c>
      <c r="H77" s="35">
        <f t="shared" si="4"/>
        <v>38</v>
      </c>
      <c r="I77" s="35">
        <f t="shared" si="5"/>
        <v>17</v>
      </c>
      <c r="J77" s="36">
        <f t="shared" si="6"/>
        <v>12695</v>
      </c>
      <c r="K77" s="37">
        <v>11</v>
      </c>
      <c r="L77" s="37"/>
      <c r="M77" s="37">
        <v>10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>
        <v>17</v>
      </c>
      <c r="AB77" s="37"/>
      <c r="AC77" s="37"/>
      <c r="AD77" s="37"/>
      <c r="AE77" s="37"/>
      <c r="AF77" s="37"/>
      <c r="AG77" s="37"/>
      <c r="AH77" s="37">
        <v>17</v>
      </c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t="s">
        <v>75</v>
      </c>
      <c r="BD77">
        <v>72</v>
      </c>
      <c r="BF77" s="30">
        <f>IF($BD77="","",SUMIF($BD$6:$BD$2000,$BD77,$J$6:$J$2000))</f>
        <v>12695</v>
      </c>
    </row>
    <row r="78" spans="1:58" ht="19.5" customHeight="1" x14ac:dyDescent="0.25">
      <c r="A78" s="96" t="s">
        <v>2054</v>
      </c>
      <c r="B78" s="26" t="s">
        <v>71</v>
      </c>
      <c r="C78" s="27">
        <v>73</v>
      </c>
      <c r="D78" s="26" t="s">
        <v>205</v>
      </c>
      <c r="E78" s="26" t="s">
        <v>206</v>
      </c>
      <c r="F78" s="27" t="s">
        <v>207</v>
      </c>
      <c r="G78" s="28">
        <v>46266</v>
      </c>
      <c r="H78" s="29">
        <f t="shared" si="4"/>
        <v>29</v>
      </c>
      <c r="I78" s="29">
        <f t="shared" si="5"/>
        <v>28</v>
      </c>
      <c r="J78" s="30">
        <f t="shared" si="6"/>
        <v>17717</v>
      </c>
      <c r="K78" s="31"/>
      <c r="L78" s="31"/>
      <c r="M78" s="31"/>
      <c r="N78" s="31"/>
      <c r="O78" s="31"/>
      <c r="P78" s="31">
        <v>2</v>
      </c>
      <c r="Q78" s="31"/>
      <c r="R78" s="31"/>
      <c r="S78" s="31"/>
      <c r="T78" s="31"/>
      <c r="U78" s="31">
        <v>19</v>
      </c>
      <c r="V78" s="31"/>
      <c r="W78" s="31"/>
      <c r="X78" s="31"/>
      <c r="Y78" s="31"/>
      <c r="Z78" s="31"/>
      <c r="AA78" s="31">
        <v>8</v>
      </c>
      <c r="AB78" s="31"/>
      <c r="AC78" s="31"/>
      <c r="AD78" s="31"/>
      <c r="AE78" s="31"/>
      <c r="AF78" s="31"/>
      <c r="AG78" s="31"/>
      <c r="AH78" s="31">
        <v>28</v>
      </c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t="s">
        <v>75</v>
      </c>
      <c r="BD78">
        <v>73</v>
      </c>
      <c r="BF78" s="30">
        <f>IF($BD78="","",SUMIF($BD$6:$BD$2000,$BD78,$J$6:$J$2000))</f>
        <v>17717</v>
      </c>
    </row>
    <row r="79" spans="1:58" ht="19.5" customHeight="1" x14ac:dyDescent="0.25">
      <c r="A79" s="96" t="s">
        <v>2054</v>
      </c>
      <c r="B79" s="32" t="s">
        <v>71</v>
      </c>
      <c r="C79" s="33">
        <v>74</v>
      </c>
      <c r="D79" s="32" t="s">
        <v>208</v>
      </c>
      <c r="E79" s="32" t="s">
        <v>209</v>
      </c>
      <c r="F79" s="33" t="s">
        <v>210</v>
      </c>
      <c r="G79" s="34">
        <v>46296</v>
      </c>
      <c r="H79" s="35">
        <f t="shared" si="4"/>
        <v>21</v>
      </c>
      <c r="I79" s="35">
        <f t="shared" si="5"/>
        <v>20</v>
      </c>
      <c r="J79" s="36">
        <f t="shared" si="6"/>
        <v>12340</v>
      </c>
      <c r="K79" s="37">
        <v>6</v>
      </c>
      <c r="L79" s="37"/>
      <c r="M79" s="37"/>
      <c r="N79" s="37">
        <v>7</v>
      </c>
      <c r="O79" s="37"/>
      <c r="P79" s="37">
        <v>2</v>
      </c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>
        <v>6</v>
      </c>
      <c r="AB79" s="37"/>
      <c r="AC79" s="37"/>
      <c r="AD79" s="37"/>
      <c r="AE79" s="37"/>
      <c r="AF79" s="37"/>
      <c r="AG79" s="37"/>
      <c r="AH79" s="37">
        <v>20</v>
      </c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t="s">
        <v>75</v>
      </c>
      <c r="BD79">
        <v>74</v>
      </c>
      <c r="BF79" s="30">
        <f>IF($BD79="","",SUMIF($BD$6:$BD$2000,$BD79,$J$6:$J$2000))</f>
        <v>12340</v>
      </c>
    </row>
    <row r="80" spans="1:58" ht="19.5" customHeight="1" x14ac:dyDescent="0.25">
      <c r="A80" s="96" t="s">
        <v>2054</v>
      </c>
      <c r="B80" s="26" t="s">
        <v>71</v>
      </c>
      <c r="C80" s="27">
        <v>75</v>
      </c>
      <c r="D80" s="26" t="s">
        <v>211</v>
      </c>
      <c r="E80" s="26" t="s">
        <v>212</v>
      </c>
      <c r="F80" s="27" t="s">
        <v>213</v>
      </c>
      <c r="G80" s="28">
        <v>46174</v>
      </c>
      <c r="H80" s="29">
        <f t="shared" si="4"/>
        <v>33</v>
      </c>
      <c r="I80" s="29">
        <f t="shared" si="5"/>
        <v>28</v>
      </c>
      <c r="J80" s="30">
        <f t="shared" si="6"/>
        <v>16990</v>
      </c>
      <c r="K80" s="31">
        <v>18</v>
      </c>
      <c r="L80" s="31"/>
      <c r="M80" s="31"/>
      <c r="N80" s="31">
        <v>2</v>
      </c>
      <c r="O80" s="31">
        <v>9</v>
      </c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>
        <v>4</v>
      </c>
      <c r="AB80" s="31"/>
      <c r="AC80" s="31"/>
      <c r="AD80" s="31"/>
      <c r="AE80" s="31"/>
      <c r="AF80" s="31"/>
      <c r="AG80" s="31"/>
      <c r="AH80" s="31">
        <v>28</v>
      </c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t="s">
        <v>75</v>
      </c>
      <c r="BD80">
        <v>75</v>
      </c>
      <c r="BF80" s="30">
        <f>IF($BD80="","",SUMIF($BD$6:$BD$2000,$BD80,$J$6:$J$2000))</f>
        <v>16990</v>
      </c>
    </row>
    <row r="81" spans="1:58" ht="19.5" customHeight="1" x14ac:dyDescent="0.25">
      <c r="A81" s="96" t="s">
        <v>2054</v>
      </c>
      <c r="B81" s="32" t="s">
        <v>71</v>
      </c>
      <c r="C81" s="33">
        <v>76</v>
      </c>
      <c r="D81" s="32" t="s">
        <v>214</v>
      </c>
      <c r="E81" s="32" t="s">
        <v>215</v>
      </c>
      <c r="F81" s="33" t="s">
        <v>216</v>
      </c>
      <c r="G81" s="34">
        <v>46388</v>
      </c>
      <c r="H81" s="35">
        <f t="shared" si="4"/>
        <v>28</v>
      </c>
      <c r="I81" s="35">
        <f t="shared" si="5"/>
        <v>14</v>
      </c>
      <c r="J81" s="36">
        <f t="shared" si="6"/>
        <v>9699</v>
      </c>
      <c r="K81" s="37">
        <v>10</v>
      </c>
      <c r="L81" s="37"/>
      <c r="M81" s="37"/>
      <c r="N81" s="37">
        <v>8</v>
      </c>
      <c r="O81" s="37"/>
      <c r="P81" s="37"/>
      <c r="Q81" s="37"/>
      <c r="R81" s="37"/>
      <c r="S81" s="37"/>
      <c r="T81" s="37"/>
      <c r="U81" s="37">
        <v>3</v>
      </c>
      <c r="V81" s="37"/>
      <c r="W81" s="37"/>
      <c r="X81" s="37"/>
      <c r="Y81" s="37"/>
      <c r="Z81" s="37"/>
      <c r="AA81" s="37">
        <v>7</v>
      </c>
      <c r="AB81" s="37"/>
      <c r="AC81" s="37"/>
      <c r="AD81" s="37"/>
      <c r="AE81" s="37"/>
      <c r="AF81" s="37"/>
      <c r="AG81" s="37"/>
      <c r="AH81" s="37">
        <v>14</v>
      </c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t="s">
        <v>75</v>
      </c>
      <c r="BD81">
        <v>76</v>
      </c>
      <c r="BF81" s="30">
        <f>IF($BD81="","",SUMIF($BD$6:$BD$2000,$BD81,$J$6:$J$2000))</f>
        <v>9699</v>
      </c>
    </row>
    <row r="82" spans="1:58" ht="19.5" customHeight="1" x14ac:dyDescent="0.25">
      <c r="A82" s="96" t="s">
        <v>2054</v>
      </c>
      <c r="B82" s="26" t="s">
        <v>71</v>
      </c>
      <c r="C82" s="27">
        <v>77</v>
      </c>
      <c r="D82" s="26" t="s">
        <v>217</v>
      </c>
      <c r="E82" s="26" t="s">
        <v>215</v>
      </c>
      <c r="F82" s="27" t="s">
        <v>216</v>
      </c>
      <c r="G82" s="28">
        <v>46388</v>
      </c>
      <c r="H82" s="29">
        <f t="shared" si="4"/>
        <v>14</v>
      </c>
      <c r="I82" s="29">
        <f t="shared" si="5"/>
        <v>18</v>
      </c>
      <c r="J82" s="30">
        <f t="shared" si="6"/>
        <v>11030</v>
      </c>
      <c r="K82" s="31">
        <v>5</v>
      </c>
      <c r="L82" s="31"/>
      <c r="M82" s="31">
        <v>1</v>
      </c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>
        <v>8</v>
      </c>
      <c r="AB82" s="31"/>
      <c r="AC82" s="31"/>
      <c r="AD82" s="31"/>
      <c r="AE82" s="31"/>
      <c r="AF82" s="31"/>
      <c r="AG82" s="31"/>
      <c r="AH82" s="31">
        <v>18</v>
      </c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t="s">
        <v>75</v>
      </c>
      <c r="BD82">
        <v>77</v>
      </c>
      <c r="BF82" s="30">
        <f>IF($BD82="","",SUMIF($BD$6:$BD$2000,$BD82,$J$6:$J$2000))</f>
        <v>11030</v>
      </c>
    </row>
    <row r="83" spans="1:58" ht="19.5" customHeight="1" x14ac:dyDescent="0.25">
      <c r="A83" s="96" t="s">
        <v>2054</v>
      </c>
      <c r="B83" s="32" t="s">
        <v>71</v>
      </c>
      <c r="C83" s="33">
        <v>78</v>
      </c>
      <c r="D83" s="32" t="s">
        <v>218</v>
      </c>
      <c r="E83" s="32" t="s">
        <v>177</v>
      </c>
      <c r="F83" s="33" t="s">
        <v>74</v>
      </c>
      <c r="G83" s="34">
        <v>46143</v>
      </c>
      <c r="H83" s="35">
        <f t="shared" si="4"/>
        <v>23</v>
      </c>
      <c r="I83" s="35">
        <f t="shared" si="5"/>
        <v>20</v>
      </c>
      <c r="J83" s="36">
        <f t="shared" si="6"/>
        <v>12840</v>
      </c>
      <c r="K83" s="37">
        <v>4</v>
      </c>
      <c r="L83" s="37"/>
      <c r="M83" s="37"/>
      <c r="N83" s="37">
        <v>9</v>
      </c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>
        <v>10</v>
      </c>
      <c r="AB83" s="37"/>
      <c r="AC83" s="37"/>
      <c r="AD83" s="37"/>
      <c r="AE83" s="37"/>
      <c r="AF83" s="37"/>
      <c r="AG83" s="37"/>
      <c r="AH83" s="37">
        <v>20</v>
      </c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t="s">
        <v>75</v>
      </c>
      <c r="BD83">
        <v>78</v>
      </c>
      <c r="BF83" s="30">
        <f>IF($BD83="","",SUMIF($BD$6:$BD$2000,$BD83,$J$6:$J$2000))</f>
        <v>12840</v>
      </c>
    </row>
    <row r="84" spans="1:58" ht="19.5" customHeight="1" x14ac:dyDescent="0.25">
      <c r="A84" s="96" t="s">
        <v>2054</v>
      </c>
      <c r="B84" s="26" t="s">
        <v>71</v>
      </c>
      <c r="C84" s="27">
        <v>79</v>
      </c>
      <c r="D84" s="26" t="s">
        <v>219</v>
      </c>
      <c r="E84" s="26" t="s">
        <v>220</v>
      </c>
      <c r="F84" s="27" t="s">
        <v>221</v>
      </c>
      <c r="G84" s="28">
        <v>46142</v>
      </c>
      <c r="H84" s="29">
        <f t="shared" si="4"/>
        <v>25</v>
      </c>
      <c r="I84" s="29">
        <f t="shared" si="5"/>
        <v>32</v>
      </c>
      <c r="J84" s="30">
        <f t="shared" si="6"/>
        <v>19310</v>
      </c>
      <c r="K84" s="31">
        <v>9</v>
      </c>
      <c r="L84" s="31"/>
      <c r="M84" s="31"/>
      <c r="N84" s="31">
        <v>5</v>
      </c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>
        <v>11</v>
      </c>
      <c r="AB84" s="31"/>
      <c r="AC84" s="31"/>
      <c r="AD84" s="31"/>
      <c r="AE84" s="31"/>
      <c r="AF84" s="31"/>
      <c r="AG84" s="31"/>
      <c r="AH84" s="31">
        <v>32</v>
      </c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t="s">
        <v>75</v>
      </c>
      <c r="BD84">
        <v>79</v>
      </c>
      <c r="BF84" s="30">
        <f>IF($BD84="","",SUMIF($BD$6:$BD$2000,$BD84,$J$6:$J$2000))</f>
        <v>19310</v>
      </c>
    </row>
    <row r="85" spans="1:58" ht="19.5" customHeight="1" x14ac:dyDescent="0.25">
      <c r="A85" s="96" t="s">
        <v>2054</v>
      </c>
      <c r="B85" s="32" t="s">
        <v>71</v>
      </c>
      <c r="C85" s="33">
        <v>81</v>
      </c>
      <c r="D85" s="32" t="s">
        <v>222</v>
      </c>
      <c r="E85" s="32" t="s">
        <v>223</v>
      </c>
      <c r="F85" s="33" t="s">
        <v>213</v>
      </c>
      <c r="G85" s="34">
        <v>46143</v>
      </c>
      <c r="H85" s="35">
        <f t="shared" si="4"/>
        <v>28</v>
      </c>
      <c r="I85" s="35">
        <f t="shared" si="5"/>
        <v>24</v>
      </c>
      <c r="J85" s="36">
        <f t="shared" si="6"/>
        <v>14996</v>
      </c>
      <c r="K85" s="37">
        <v>1</v>
      </c>
      <c r="L85" s="37"/>
      <c r="M85" s="37"/>
      <c r="N85" s="37">
        <v>2</v>
      </c>
      <c r="O85" s="37"/>
      <c r="P85" s="37">
        <v>1</v>
      </c>
      <c r="Q85" s="37"/>
      <c r="R85" s="37"/>
      <c r="S85" s="37"/>
      <c r="T85" s="37"/>
      <c r="U85" s="37">
        <v>22</v>
      </c>
      <c r="V85" s="37"/>
      <c r="W85" s="37"/>
      <c r="X85" s="37"/>
      <c r="Y85" s="37"/>
      <c r="Z85" s="37"/>
      <c r="AA85" s="37">
        <v>2</v>
      </c>
      <c r="AB85" s="37"/>
      <c r="AC85" s="37"/>
      <c r="AD85" s="37"/>
      <c r="AE85" s="37"/>
      <c r="AF85" s="37"/>
      <c r="AG85" s="37"/>
      <c r="AH85" s="37">
        <v>24</v>
      </c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t="s">
        <v>75</v>
      </c>
      <c r="BD85">
        <v>80</v>
      </c>
      <c r="BF85" s="30">
        <f>IF($BD85="","",SUMIF($BD$6:$BD$2000,$BD85,$J$6:$J$2000))</f>
        <v>14996</v>
      </c>
    </row>
    <row r="86" spans="1:58" ht="19.5" customHeight="1" x14ac:dyDescent="0.25">
      <c r="A86" s="96" t="s">
        <v>2054</v>
      </c>
      <c r="B86" s="26" t="s">
        <v>71</v>
      </c>
      <c r="C86" s="27">
        <v>82</v>
      </c>
      <c r="D86" s="26" t="s">
        <v>224</v>
      </c>
      <c r="E86" s="26" t="s">
        <v>225</v>
      </c>
      <c r="F86" s="27" t="s">
        <v>226</v>
      </c>
      <c r="G86" s="28">
        <v>46235</v>
      </c>
      <c r="H86" s="29">
        <f t="shared" si="4"/>
        <v>31</v>
      </c>
      <c r="I86" s="29">
        <f t="shared" si="5"/>
        <v>28</v>
      </c>
      <c r="J86" s="30">
        <f t="shared" si="6"/>
        <v>17548</v>
      </c>
      <c r="K86" s="31">
        <v>1</v>
      </c>
      <c r="L86" s="31"/>
      <c r="M86" s="31"/>
      <c r="N86" s="31"/>
      <c r="O86" s="31"/>
      <c r="P86" s="31"/>
      <c r="Q86" s="31"/>
      <c r="R86" s="31"/>
      <c r="S86" s="31"/>
      <c r="T86" s="31"/>
      <c r="U86" s="31">
        <v>26</v>
      </c>
      <c r="V86" s="31"/>
      <c r="W86" s="31"/>
      <c r="X86" s="31"/>
      <c r="Y86" s="31"/>
      <c r="Z86" s="31"/>
      <c r="AA86" s="31">
        <v>4</v>
      </c>
      <c r="AB86" s="31"/>
      <c r="AC86" s="31"/>
      <c r="AD86" s="31"/>
      <c r="AE86" s="31"/>
      <c r="AF86" s="31"/>
      <c r="AG86" s="31"/>
      <c r="AH86" s="31">
        <v>28</v>
      </c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t="s">
        <v>75</v>
      </c>
      <c r="BD86">
        <v>81</v>
      </c>
      <c r="BF86" s="30">
        <f>IF($BD86="","",SUMIF($BD$6:$BD$2000,$BD86,$J$6:$J$2000))</f>
        <v>17548</v>
      </c>
    </row>
    <row r="87" spans="1:58" ht="19.5" customHeight="1" x14ac:dyDescent="0.25">
      <c r="A87" s="96" t="s">
        <v>2054</v>
      </c>
      <c r="B87" s="32" t="s">
        <v>71</v>
      </c>
      <c r="C87" s="33">
        <v>83</v>
      </c>
      <c r="D87" s="32" t="s">
        <v>227</v>
      </c>
      <c r="E87" s="32" t="s">
        <v>228</v>
      </c>
      <c r="F87" s="33" t="s">
        <v>229</v>
      </c>
      <c r="G87" s="34">
        <v>46174</v>
      </c>
      <c r="H87" s="35">
        <f t="shared" si="4"/>
        <v>103</v>
      </c>
      <c r="I87" s="35">
        <f t="shared" si="5"/>
        <v>47</v>
      </c>
      <c r="J87" s="36">
        <f t="shared" si="6"/>
        <v>31675</v>
      </c>
      <c r="K87" s="37">
        <v>48</v>
      </c>
      <c r="L87" s="37"/>
      <c r="M87" s="37">
        <v>6</v>
      </c>
      <c r="N87" s="37">
        <v>33</v>
      </c>
      <c r="O87" s="37"/>
      <c r="P87" s="37">
        <v>3</v>
      </c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>
        <v>13</v>
      </c>
      <c r="AB87" s="37"/>
      <c r="AC87" s="37"/>
      <c r="AD87" s="37"/>
      <c r="AE87" s="37"/>
      <c r="AF87" s="37"/>
      <c r="AG87" s="37"/>
      <c r="AH87" s="37">
        <v>47</v>
      </c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t="s">
        <v>75</v>
      </c>
      <c r="BD87">
        <v>82</v>
      </c>
      <c r="BF87" s="30">
        <f>IF($BD87="","",SUMIF($BD$6:$BD$2000,$BD87,$J$6:$J$2000))</f>
        <v>31675</v>
      </c>
    </row>
    <row r="88" spans="1:58" ht="19.5" customHeight="1" x14ac:dyDescent="0.25">
      <c r="A88" s="96" t="s">
        <v>2054</v>
      </c>
      <c r="B88" s="26" t="s">
        <v>71</v>
      </c>
      <c r="C88" s="27">
        <v>84</v>
      </c>
      <c r="D88" s="26" t="s">
        <v>230</v>
      </c>
      <c r="E88" s="26" t="s">
        <v>231</v>
      </c>
      <c r="F88" s="27" t="s">
        <v>232</v>
      </c>
      <c r="G88" s="28">
        <v>46142</v>
      </c>
      <c r="H88" s="29">
        <f t="shared" si="4"/>
        <v>40</v>
      </c>
      <c r="I88" s="29">
        <f t="shared" si="5"/>
        <v>20</v>
      </c>
      <c r="J88" s="30">
        <f t="shared" si="6"/>
        <v>13939</v>
      </c>
      <c r="K88" s="31">
        <v>9</v>
      </c>
      <c r="L88" s="31"/>
      <c r="M88" s="31"/>
      <c r="N88" s="31">
        <v>12</v>
      </c>
      <c r="O88" s="31">
        <v>6</v>
      </c>
      <c r="P88" s="31"/>
      <c r="Q88" s="31"/>
      <c r="R88" s="31"/>
      <c r="S88" s="31"/>
      <c r="T88" s="31"/>
      <c r="U88" s="31">
        <v>3</v>
      </c>
      <c r="V88" s="31"/>
      <c r="W88" s="31"/>
      <c r="X88" s="31"/>
      <c r="Y88" s="31"/>
      <c r="Z88" s="31"/>
      <c r="AA88" s="31">
        <v>10</v>
      </c>
      <c r="AB88" s="31"/>
      <c r="AC88" s="31"/>
      <c r="AD88" s="31"/>
      <c r="AE88" s="31"/>
      <c r="AF88" s="31"/>
      <c r="AG88" s="31"/>
      <c r="AH88" s="31">
        <v>20</v>
      </c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t="s">
        <v>75</v>
      </c>
      <c r="BD88">
        <v>83</v>
      </c>
      <c r="BF88" s="30">
        <f>IF($BD88="","",SUMIF($BD$6:$BD$2000,$BD88,$J$6:$J$2000))</f>
        <v>13939</v>
      </c>
    </row>
    <row r="89" spans="1:58" ht="19.5" customHeight="1" x14ac:dyDescent="0.25">
      <c r="A89" s="96" t="s">
        <v>2054</v>
      </c>
      <c r="B89" s="32" t="s">
        <v>71</v>
      </c>
      <c r="C89" s="33">
        <v>85</v>
      </c>
      <c r="D89" s="32" t="s">
        <v>233</v>
      </c>
      <c r="E89" s="32" t="s">
        <v>225</v>
      </c>
      <c r="F89" s="33" t="s">
        <v>226</v>
      </c>
      <c r="G89" s="34">
        <v>46082</v>
      </c>
      <c r="H89" s="35">
        <f t="shared" si="4"/>
        <v>59</v>
      </c>
      <c r="I89" s="35">
        <f t="shared" si="5"/>
        <v>43</v>
      </c>
      <c r="J89" s="36">
        <f t="shared" si="6"/>
        <v>27495</v>
      </c>
      <c r="K89" s="37">
        <v>17</v>
      </c>
      <c r="L89" s="37"/>
      <c r="M89" s="37"/>
      <c r="N89" s="37">
        <v>23</v>
      </c>
      <c r="O89" s="37">
        <v>3</v>
      </c>
      <c r="P89" s="37">
        <v>1</v>
      </c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>
        <v>15</v>
      </c>
      <c r="AB89" s="37"/>
      <c r="AC89" s="37"/>
      <c r="AD89" s="37"/>
      <c r="AE89" s="37"/>
      <c r="AF89" s="37"/>
      <c r="AG89" s="37"/>
      <c r="AH89" s="37">
        <v>43</v>
      </c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t="s">
        <v>75</v>
      </c>
      <c r="BD89">
        <v>84</v>
      </c>
      <c r="BF89" s="30">
        <f>IF($BD89="","",SUMIF($BD$6:$BD$2000,$BD89,$J$6:$J$2000))</f>
        <v>27495</v>
      </c>
    </row>
    <row r="90" spans="1:58" ht="19.5" customHeight="1" x14ac:dyDescent="0.25">
      <c r="A90" s="96" t="s">
        <v>2054</v>
      </c>
      <c r="B90" s="26" t="s">
        <v>71</v>
      </c>
      <c r="C90" s="27">
        <v>86</v>
      </c>
      <c r="D90" s="26" t="s">
        <v>234</v>
      </c>
      <c r="E90" s="26" t="s">
        <v>220</v>
      </c>
      <c r="F90" s="27" t="s">
        <v>221</v>
      </c>
      <c r="G90" s="28">
        <v>46142</v>
      </c>
      <c r="H90" s="29">
        <f t="shared" si="4"/>
        <v>67</v>
      </c>
      <c r="I90" s="29">
        <f t="shared" si="5"/>
        <v>51</v>
      </c>
      <c r="J90" s="30">
        <f t="shared" si="6"/>
        <v>31905</v>
      </c>
      <c r="K90" s="31">
        <v>16</v>
      </c>
      <c r="L90" s="31"/>
      <c r="M90" s="31">
        <v>14</v>
      </c>
      <c r="N90" s="31">
        <v>15</v>
      </c>
      <c r="O90" s="31">
        <v>7</v>
      </c>
      <c r="P90" s="31">
        <v>2</v>
      </c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>
        <v>13</v>
      </c>
      <c r="AB90" s="31"/>
      <c r="AC90" s="31"/>
      <c r="AD90" s="31"/>
      <c r="AE90" s="31"/>
      <c r="AF90" s="31"/>
      <c r="AG90" s="31"/>
      <c r="AH90" s="31">
        <v>51</v>
      </c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t="s">
        <v>75</v>
      </c>
      <c r="BD90">
        <v>85</v>
      </c>
      <c r="BF90" s="30">
        <f>IF($BD90="","",SUMIF($BD$6:$BD$2000,$BD90,$J$6:$J$2000))</f>
        <v>31905</v>
      </c>
    </row>
    <row r="91" spans="1:58" ht="19.5" customHeight="1" x14ac:dyDescent="0.25">
      <c r="A91" s="96" t="s">
        <v>2054</v>
      </c>
      <c r="B91" s="32" t="s">
        <v>71</v>
      </c>
      <c r="C91" s="33">
        <v>87</v>
      </c>
      <c r="D91" s="32" t="s">
        <v>235</v>
      </c>
      <c r="E91" s="32" t="s">
        <v>236</v>
      </c>
      <c r="F91" s="33" t="s">
        <v>237</v>
      </c>
      <c r="G91" s="34">
        <v>46174</v>
      </c>
      <c r="H91" s="35">
        <f t="shared" si="4"/>
        <v>48</v>
      </c>
      <c r="I91" s="35">
        <f t="shared" si="5"/>
        <v>48</v>
      </c>
      <c r="J91" s="36">
        <f t="shared" si="6"/>
        <v>29045</v>
      </c>
      <c r="K91" s="37">
        <v>17</v>
      </c>
      <c r="L91" s="37"/>
      <c r="M91" s="37"/>
      <c r="N91" s="37">
        <v>17</v>
      </c>
      <c r="O91" s="37">
        <v>5</v>
      </c>
      <c r="P91" s="37"/>
      <c r="Q91" s="37"/>
      <c r="R91" s="37"/>
      <c r="S91" s="37">
        <v>1</v>
      </c>
      <c r="T91" s="37"/>
      <c r="U91" s="37"/>
      <c r="V91" s="37"/>
      <c r="W91" s="37"/>
      <c r="X91" s="37"/>
      <c r="Y91" s="37"/>
      <c r="Z91" s="37"/>
      <c r="AA91" s="37">
        <v>8</v>
      </c>
      <c r="AB91" s="37"/>
      <c r="AC91" s="37"/>
      <c r="AD91" s="37"/>
      <c r="AE91" s="37"/>
      <c r="AF91" s="37"/>
      <c r="AG91" s="37"/>
      <c r="AH91" s="37">
        <v>48</v>
      </c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t="s">
        <v>75</v>
      </c>
      <c r="BD91">
        <v>86</v>
      </c>
      <c r="BF91" s="30">
        <f>IF($BD91="","",SUMIF($BD$6:$BD$2000,$BD91,$J$6:$J$2000))</f>
        <v>29045</v>
      </c>
    </row>
    <row r="92" spans="1:58" ht="19.5" customHeight="1" x14ac:dyDescent="0.25">
      <c r="A92" s="96" t="s">
        <v>2054</v>
      </c>
      <c r="B92" s="26" t="s">
        <v>71</v>
      </c>
      <c r="C92" s="27">
        <v>89</v>
      </c>
      <c r="D92" s="26" t="s">
        <v>238</v>
      </c>
      <c r="E92" s="26" t="s">
        <v>239</v>
      </c>
      <c r="F92" s="27" t="s">
        <v>229</v>
      </c>
      <c r="G92" s="28">
        <v>46235</v>
      </c>
      <c r="H92" s="29">
        <f t="shared" si="4"/>
        <v>80</v>
      </c>
      <c r="I92" s="29">
        <f t="shared" si="5"/>
        <v>32</v>
      </c>
      <c r="J92" s="30">
        <f t="shared" si="6"/>
        <v>23540</v>
      </c>
      <c r="K92" s="31">
        <v>25</v>
      </c>
      <c r="L92" s="31"/>
      <c r="M92" s="31"/>
      <c r="N92" s="31">
        <v>1</v>
      </c>
      <c r="O92" s="31">
        <v>33</v>
      </c>
      <c r="P92" s="31">
        <v>3</v>
      </c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>
        <v>18</v>
      </c>
      <c r="AB92" s="31"/>
      <c r="AC92" s="31"/>
      <c r="AD92" s="31"/>
      <c r="AE92" s="31"/>
      <c r="AF92" s="31"/>
      <c r="AG92" s="31"/>
      <c r="AH92" s="31">
        <v>32</v>
      </c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t="s">
        <v>75</v>
      </c>
      <c r="BD92">
        <v>87</v>
      </c>
      <c r="BF92" s="30">
        <f>IF($BD92="","",SUMIF($BD$6:$BD$2000,$BD92,$J$6:$J$2000))</f>
        <v>23540</v>
      </c>
    </row>
    <row r="93" spans="1:58" ht="19.5" customHeight="1" x14ac:dyDescent="0.25">
      <c r="A93" s="96" t="s">
        <v>2054</v>
      </c>
      <c r="B93" s="32" t="s">
        <v>71</v>
      </c>
      <c r="C93" s="33">
        <v>90</v>
      </c>
      <c r="D93" s="32" t="s">
        <v>240</v>
      </c>
      <c r="E93" s="32" t="s">
        <v>239</v>
      </c>
      <c r="F93" s="33" t="s">
        <v>229</v>
      </c>
      <c r="G93" s="34">
        <v>46204</v>
      </c>
      <c r="H93" s="35">
        <f t="shared" si="4"/>
        <v>37</v>
      </c>
      <c r="I93" s="35">
        <f t="shared" si="5"/>
        <v>27</v>
      </c>
      <c r="J93" s="36">
        <f t="shared" si="6"/>
        <v>16885</v>
      </c>
      <c r="K93" s="37">
        <v>11</v>
      </c>
      <c r="L93" s="37"/>
      <c r="M93" s="37"/>
      <c r="N93" s="37">
        <v>20</v>
      </c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>
        <v>6</v>
      </c>
      <c r="AB93" s="37"/>
      <c r="AC93" s="37"/>
      <c r="AD93" s="37"/>
      <c r="AE93" s="37"/>
      <c r="AF93" s="37"/>
      <c r="AG93" s="37"/>
      <c r="AH93" s="37">
        <v>27</v>
      </c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t="s">
        <v>75</v>
      </c>
      <c r="BD93">
        <v>88</v>
      </c>
      <c r="BF93" s="30">
        <f>IF($BD93="","",SUMIF($BD$6:$BD$2000,$BD93,$J$6:$J$2000))</f>
        <v>16885</v>
      </c>
    </row>
    <row r="94" spans="1:58" ht="19.5" customHeight="1" x14ac:dyDescent="0.25">
      <c r="A94" s="96" t="s">
        <v>2054</v>
      </c>
      <c r="B94" s="26" t="s">
        <v>71</v>
      </c>
      <c r="C94" s="27">
        <v>91</v>
      </c>
      <c r="D94" s="26" t="s">
        <v>241</v>
      </c>
      <c r="E94" s="26" t="s">
        <v>242</v>
      </c>
      <c r="F94" s="27" t="s">
        <v>243</v>
      </c>
      <c r="G94" s="28">
        <v>46143</v>
      </c>
      <c r="H94" s="29">
        <f t="shared" si="4"/>
        <v>28</v>
      </c>
      <c r="I94" s="29">
        <f t="shared" si="5"/>
        <v>20</v>
      </c>
      <c r="J94" s="30">
        <f t="shared" si="6"/>
        <v>12875</v>
      </c>
      <c r="K94" s="31"/>
      <c r="L94" s="31"/>
      <c r="M94" s="31"/>
      <c r="N94" s="31">
        <v>1</v>
      </c>
      <c r="O94" s="31"/>
      <c r="P94" s="31">
        <v>1</v>
      </c>
      <c r="Q94" s="31"/>
      <c r="R94" s="31"/>
      <c r="S94" s="31"/>
      <c r="T94" s="31"/>
      <c r="U94" s="31">
        <v>25</v>
      </c>
      <c r="V94" s="31"/>
      <c r="W94" s="31"/>
      <c r="X94" s="31"/>
      <c r="Y94" s="31"/>
      <c r="Z94" s="31"/>
      <c r="AA94" s="31">
        <v>1</v>
      </c>
      <c r="AB94" s="31"/>
      <c r="AC94" s="31"/>
      <c r="AD94" s="31"/>
      <c r="AE94" s="31"/>
      <c r="AF94" s="31"/>
      <c r="AG94" s="31"/>
      <c r="AH94" s="31">
        <v>20</v>
      </c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t="s">
        <v>75</v>
      </c>
      <c r="BD94">
        <v>89</v>
      </c>
      <c r="BF94" s="30">
        <f>IF($BD94="","",SUMIF($BD$6:$BD$2000,$BD94,$J$6:$J$2000))</f>
        <v>12875</v>
      </c>
    </row>
    <row r="95" spans="1:58" ht="19.5" customHeight="1" x14ac:dyDescent="0.25">
      <c r="A95" s="96" t="s">
        <v>2054</v>
      </c>
      <c r="B95" s="32" t="s">
        <v>71</v>
      </c>
      <c r="C95" s="33">
        <v>92</v>
      </c>
      <c r="D95" s="32" t="s">
        <v>244</v>
      </c>
      <c r="E95" s="32" t="s">
        <v>245</v>
      </c>
      <c r="F95" s="33" t="s">
        <v>246</v>
      </c>
      <c r="G95" s="34">
        <v>46054</v>
      </c>
      <c r="H95" s="35">
        <f t="shared" si="4"/>
        <v>25</v>
      </c>
      <c r="I95" s="35">
        <f t="shared" si="5"/>
        <v>20</v>
      </c>
      <c r="J95" s="36">
        <f t="shared" si="6"/>
        <v>19037</v>
      </c>
      <c r="K95" s="37">
        <v>7</v>
      </c>
      <c r="L95" s="37"/>
      <c r="M95" s="37"/>
      <c r="N95" s="37"/>
      <c r="O95" s="37"/>
      <c r="P95" s="37"/>
      <c r="Q95" s="37"/>
      <c r="R95" s="37"/>
      <c r="S95" s="37"/>
      <c r="T95" s="37"/>
      <c r="U95" s="37">
        <v>9</v>
      </c>
      <c r="V95" s="37"/>
      <c r="W95" s="37"/>
      <c r="X95" s="37"/>
      <c r="Y95" s="37"/>
      <c r="Z95" s="37"/>
      <c r="AA95" s="37">
        <v>9</v>
      </c>
      <c r="AB95" s="37"/>
      <c r="AC95" s="37"/>
      <c r="AD95" s="37"/>
      <c r="AE95" s="37"/>
      <c r="AF95" s="37"/>
      <c r="AG95" s="37"/>
      <c r="AH95" s="37"/>
      <c r="AI95" s="37"/>
      <c r="AJ95" s="37">
        <v>20</v>
      </c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t="s">
        <v>75</v>
      </c>
      <c r="BD95">
        <v>90</v>
      </c>
      <c r="BF95" s="30">
        <f>IF($BD95="","",SUMIF($BD$6:$BD$2000,$BD95,$J$6:$J$2000))</f>
        <v>19037</v>
      </c>
    </row>
    <row r="96" spans="1:58" ht="19.5" customHeight="1" x14ac:dyDescent="0.25">
      <c r="A96" s="96" t="s">
        <v>2054</v>
      </c>
      <c r="B96" s="26" t="s">
        <v>71</v>
      </c>
      <c r="C96" s="27">
        <v>93</v>
      </c>
      <c r="D96" s="26" t="s">
        <v>247</v>
      </c>
      <c r="E96" s="26" t="s">
        <v>144</v>
      </c>
      <c r="F96" s="27" t="s">
        <v>145</v>
      </c>
      <c r="G96" s="28">
        <v>46327</v>
      </c>
      <c r="H96" s="29">
        <f t="shared" si="4"/>
        <v>50</v>
      </c>
      <c r="I96" s="29">
        <f t="shared" si="5"/>
        <v>36</v>
      </c>
      <c r="J96" s="30">
        <f t="shared" si="6"/>
        <v>23523</v>
      </c>
      <c r="K96" s="31">
        <v>16</v>
      </c>
      <c r="L96" s="31"/>
      <c r="M96" s="31"/>
      <c r="N96" s="31">
        <v>1</v>
      </c>
      <c r="O96" s="31"/>
      <c r="P96" s="31"/>
      <c r="Q96" s="31"/>
      <c r="R96" s="31"/>
      <c r="S96" s="31"/>
      <c r="T96" s="31">
        <v>3</v>
      </c>
      <c r="U96" s="31">
        <v>16</v>
      </c>
      <c r="V96" s="31"/>
      <c r="W96" s="31"/>
      <c r="X96" s="31"/>
      <c r="Y96" s="31"/>
      <c r="Z96" s="31"/>
      <c r="AA96" s="31">
        <v>14</v>
      </c>
      <c r="AB96" s="31"/>
      <c r="AC96" s="31"/>
      <c r="AD96" s="31"/>
      <c r="AE96" s="31"/>
      <c r="AF96" s="31"/>
      <c r="AG96" s="31"/>
      <c r="AH96" s="31">
        <v>36</v>
      </c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t="s">
        <v>75</v>
      </c>
      <c r="BD96">
        <v>91</v>
      </c>
      <c r="BF96" s="30">
        <f>IF($BD96="","",SUMIF($BD$6:$BD$2000,$BD96,$J$6:$J$2000))</f>
        <v>23523</v>
      </c>
    </row>
    <row r="97" spans="1:58" ht="19.5" customHeight="1" x14ac:dyDescent="0.25">
      <c r="A97" s="96" t="s">
        <v>2054</v>
      </c>
      <c r="B97" s="32" t="s">
        <v>71</v>
      </c>
      <c r="C97" s="33">
        <v>95</v>
      </c>
      <c r="D97" s="32" t="s">
        <v>248</v>
      </c>
      <c r="E97" s="32" t="s">
        <v>249</v>
      </c>
      <c r="F97" s="33" t="s">
        <v>120</v>
      </c>
      <c r="G97" s="34">
        <v>46235</v>
      </c>
      <c r="H97" s="35">
        <f t="shared" si="4"/>
        <v>35</v>
      </c>
      <c r="I97" s="35">
        <f t="shared" si="5"/>
        <v>10</v>
      </c>
      <c r="J97" s="36">
        <f t="shared" si="6"/>
        <v>9313</v>
      </c>
      <c r="K97" s="37">
        <v>10</v>
      </c>
      <c r="L97" s="37"/>
      <c r="M97" s="37"/>
      <c r="N97" s="37">
        <v>7</v>
      </c>
      <c r="O97" s="37"/>
      <c r="P97" s="37"/>
      <c r="Q97" s="37"/>
      <c r="R97" s="37"/>
      <c r="S97" s="37"/>
      <c r="T97" s="37"/>
      <c r="U97" s="37">
        <v>1</v>
      </c>
      <c r="V97" s="37"/>
      <c r="W97" s="37"/>
      <c r="X97" s="37"/>
      <c r="Y97" s="37"/>
      <c r="Z97" s="37"/>
      <c r="AA97" s="37">
        <v>16</v>
      </c>
      <c r="AB97" s="37"/>
      <c r="AC97" s="37"/>
      <c r="AD97" s="37"/>
      <c r="AE97" s="37"/>
      <c r="AF97" s="37"/>
      <c r="AG97" s="37">
        <v>1</v>
      </c>
      <c r="AH97" s="37">
        <v>10</v>
      </c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t="s">
        <v>75</v>
      </c>
      <c r="BD97">
        <v>92</v>
      </c>
      <c r="BF97" s="30">
        <f>IF($BD97="","",SUMIF($BD$6:$BD$2000,$BD97,$J$6:$J$2000))</f>
        <v>9313</v>
      </c>
    </row>
    <row r="98" spans="1:58" ht="19.5" customHeight="1" x14ac:dyDescent="0.25">
      <c r="A98" s="96" t="s">
        <v>2054</v>
      </c>
      <c r="B98" s="26" t="s">
        <v>71</v>
      </c>
      <c r="C98" s="27">
        <v>96</v>
      </c>
      <c r="D98" s="26" t="s">
        <v>250</v>
      </c>
      <c r="E98" s="26" t="s">
        <v>251</v>
      </c>
      <c r="F98" s="27" t="s">
        <v>123</v>
      </c>
      <c r="G98" s="28">
        <v>46235</v>
      </c>
      <c r="H98" s="29">
        <f t="shared" si="4"/>
        <v>30</v>
      </c>
      <c r="I98" s="29">
        <f t="shared" si="5"/>
        <v>27</v>
      </c>
      <c r="J98" s="30">
        <f t="shared" si="6"/>
        <v>17138</v>
      </c>
      <c r="K98" s="31"/>
      <c r="L98" s="31"/>
      <c r="M98" s="31">
        <v>16</v>
      </c>
      <c r="N98" s="31"/>
      <c r="O98" s="31"/>
      <c r="P98" s="31"/>
      <c r="Q98" s="31"/>
      <c r="R98" s="31"/>
      <c r="S98" s="31"/>
      <c r="T98" s="31"/>
      <c r="U98" s="31">
        <v>1</v>
      </c>
      <c r="V98" s="31"/>
      <c r="W98" s="31"/>
      <c r="X98" s="31"/>
      <c r="Y98" s="31"/>
      <c r="Z98" s="31"/>
      <c r="AA98" s="31">
        <v>13</v>
      </c>
      <c r="AB98" s="31"/>
      <c r="AC98" s="31"/>
      <c r="AD98" s="31"/>
      <c r="AE98" s="31"/>
      <c r="AF98" s="31"/>
      <c r="AG98" s="31"/>
      <c r="AH98" s="31">
        <v>27</v>
      </c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t="s">
        <v>75</v>
      </c>
      <c r="BD98">
        <v>93</v>
      </c>
      <c r="BF98" s="30">
        <f>IF($BD98="","",SUMIF($BD$6:$BD$2000,$BD98,$J$6:$J$2000))</f>
        <v>17138</v>
      </c>
    </row>
    <row r="99" spans="1:58" ht="19.5" customHeight="1" x14ac:dyDescent="0.25">
      <c r="A99" s="96" t="s">
        <v>2054</v>
      </c>
      <c r="B99" s="32" t="s">
        <v>71</v>
      </c>
      <c r="C99" s="33">
        <v>97</v>
      </c>
      <c r="D99" s="32" t="s">
        <v>252</v>
      </c>
      <c r="E99" s="32" t="s">
        <v>253</v>
      </c>
      <c r="F99" s="33" t="s">
        <v>74</v>
      </c>
      <c r="G99" s="34">
        <v>46235</v>
      </c>
      <c r="H99" s="35">
        <f t="shared" si="4"/>
        <v>24</v>
      </c>
      <c r="I99" s="35">
        <f t="shared" si="5"/>
        <v>20</v>
      </c>
      <c r="J99" s="36">
        <f t="shared" si="6"/>
        <v>12690</v>
      </c>
      <c r="K99" s="37">
        <v>7</v>
      </c>
      <c r="L99" s="37"/>
      <c r="M99" s="37">
        <v>8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>
        <v>9</v>
      </c>
      <c r="AB99" s="37"/>
      <c r="AC99" s="37"/>
      <c r="AD99" s="37"/>
      <c r="AE99" s="37"/>
      <c r="AF99" s="37"/>
      <c r="AG99" s="37"/>
      <c r="AH99" s="37">
        <v>20</v>
      </c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t="s">
        <v>75</v>
      </c>
      <c r="BD99">
        <v>94</v>
      </c>
      <c r="BF99" s="30">
        <f>IF($BD99="","",SUMIF($BD$6:$BD$2000,$BD99,$J$6:$J$2000))</f>
        <v>12690</v>
      </c>
    </row>
    <row r="100" spans="1:58" ht="19.5" customHeight="1" x14ac:dyDescent="0.25">
      <c r="A100" s="96" t="s">
        <v>2054</v>
      </c>
      <c r="B100" s="26" t="s">
        <v>71</v>
      </c>
      <c r="C100" s="27">
        <v>98</v>
      </c>
      <c r="D100" s="26" t="s">
        <v>254</v>
      </c>
      <c r="E100" s="26" t="s">
        <v>220</v>
      </c>
      <c r="F100" s="27" t="s">
        <v>221</v>
      </c>
      <c r="G100" s="28">
        <v>46142</v>
      </c>
      <c r="H100" s="29">
        <f t="shared" si="4"/>
        <v>30</v>
      </c>
      <c r="I100" s="29">
        <f t="shared" si="5"/>
        <v>28</v>
      </c>
      <c r="J100" s="30">
        <f t="shared" si="6"/>
        <v>17480</v>
      </c>
      <c r="K100" s="31">
        <v>10</v>
      </c>
      <c r="L100" s="31"/>
      <c r="M100" s="31">
        <v>5</v>
      </c>
      <c r="N100" s="31">
        <v>2</v>
      </c>
      <c r="O100" s="31">
        <v>1</v>
      </c>
      <c r="P100" s="31">
        <v>1</v>
      </c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>
        <v>11</v>
      </c>
      <c r="AB100" s="31"/>
      <c r="AC100" s="31"/>
      <c r="AD100" s="31"/>
      <c r="AE100" s="31"/>
      <c r="AF100" s="31"/>
      <c r="AG100" s="31"/>
      <c r="AH100" s="31">
        <v>28</v>
      </c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t="s">
        <v>75</v>
      </c>
      <c r="BD100">
        <v>95</v>
      </c>
      <c r="BF100" s="30">
        <f>IF($BD100="","",SUMIF($BD$6:$BD$2000,$BD100,$J$6:$J$2000))</f>
        <v>17480</v>
      </c>
    </row>
    <row r="101" spans="1:58" ht="19.5" customHeight="1" x14ac:dyDescent="0.25">
      <c r="A101" s="96" t="s">
        <v>2054</v>
      </c>
      <c r="B101" s="32" t="s">
        <v>71</v>
      </c>
      <c r="C101" s="33">
        <v>99</v>
      </c>
      <c r="D101" s="32" t="s">
        <v>255</v>
      </c>
      <c r="E101" s="32" t="s">
        <v>96</v>
      </c>
      <c r="F101" s="33" t="s">
        <v>74</v>
      </c>
      <c r="G101" s="34">
        <v>46174</v>
      </c>
      <c r="H101" s="35">
        <f t="shared" si="4"/>
        <v>27</v>
      </c>
      <c r="I101" s="35">
        <f t="shared" si="5"/>
        <v>28</v>
      </c>
      <c r="J101" s="36">
        <f t="shared" si="6"/>
        <v>16800</v>
      </c>
      <c r="K101" s="37">
        <v>12</v>
      </c>
      <c r="L101" s="37"/>
      <c r="M101" s="37"/>
      <c r="N101" s="37">
        <v>9</v>
      </c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>
        <v>6</v>
      </c>
      <c r="AB101" s="37"/>
      <c r="AC101" s="37"/>
      <c r="AD101" s="37"/>
      <c r="AE101" s="37"/>
      <c r="AF101" s="37"/>
      <c r="AG101" s="37"/>
      <c r="AH101" s="37">
        <v>28</v>
      </c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t="s">
        <v>75</v>
      </c>
      <c r="BD101">
        <v>96</v>
      </c>
      <c r="BF101" s="30">
        <f>IF($BD101="","",SUMIF($BD$6:$BD$2000,$BD101,$J$6:$J$2000))</f>
        <v>16800</v>
      </c>
    </row>
    <row r="102" spans="1:58" ht="19.5" customHeight="1" x14ac:dyDescent="0.25">
      <c r="A102" s="96" t="s">
        <v>2054</v>
      </c>
      <c r="B102" s="26" t="s">
        <v>71</v>
      </c>
      <c r="C102" s="27">
        <v>100</v>
      </c>
      <c r="D102" s="26" t="s">
        <v>256</v>
      </c>
      <c r="E102" s="26" t="s">
        <v>73</v>
      </c>
      <c r="F102" s="27" t="s">
        <v>74</v>
      </c>
      <c r="G102" s="28">
        <v>46388</v>
      </c>
      <c r="H102" s="29">
        <f t="shared" si="4"/>
        <v>30</v>
      </c>
      <c r="I102" s="29">
        <f t="shared" si="5"/>
        <v>40</v>
      </c>
      <c r="J102" s="30">
        <f t="shared" si="6"/>
        <v>35820</v>
      </c>
      <c r="K102" s="31">
        <v>12</v>
      </c>
      <c r="L102" s="31"/>
      <c r="M102" s="31">
        <v>6</v>
      </c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>
        <v>12</v>
      </c>
      <c r="AB102" s="31"/>
      <c r="AC102" s="31"/>
      <c r="AD102" s="31"/>
      <c r="AE102" s="31"/>
      <c r="AF102" s="31"/>
      <c r="AG102" s="31"/>
      <c r="AH102" s="31"/>
      <c r="AI102" s="31"/>
      <c r="AJ102" s="31">
        <v>40</v>
      </c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t="s">
        <v>75</v>
      </c>
      <c r="BD102">
        <v>97</v>
      </c>
      <c r="BF102" s="30">
        <f>IF($BD102="","",SUMIF($BD$6:$BD$2000,$BD102,$J$6:$J$2000))</f>
        <v>35820</v>
      </c>
    </row>
    <row r="103" spans="1:58" ht="19.5" customHeight="1" x14ac:dyDescent="0.25">
      <c r="A103" s="96" t="s">
        <v>2054</v>
      </c>
      <c r="B103" s="32" t="s">
        <v>71</v>
      </c>
      <c r="C103" s="33">
        <v>101</v>
      </c>
      <c r="D103" s="32" t="s">
        <v>257</v>
      </c>
      <c r="E103" s="32" t="s">
        <v>73</v>
      </c>
      <c r="F103" s="33" t="s">
        <v>74</v>
      </c>
      <c r="G103" s="34">
        <v>46235</v>
      </c>
      <c r="H103" s="35">
        <f t="shared" si="4"/>
        <v>26</v>
      </c>
      <c r="I103" s="35">
        <f t="shared" si="5"/>
        <v>8</v>
      </c>
      <c r="J103" s="36">
        <f t="shared" si="6"/>
        <v>6740</v>
      </c>
      <c r="K103" s="37">
        <v>12</v>
      </c>
      <c r="L103" s="37"/>
      <c r="M103" s="37"/>
      <c r="N103" s="37">
        <v>3</v>
      </c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>
        <v>11</v>
      </c>
      <c r="AB103" s="37"/>
      <c r="AC103" s="37"/>
      <c r="AD103" s="37"/>
      <c r="AE103" s="37"/>
      <c r="AF103" s="37"/>
      <c r="AG103" s="37"/>
      <c r="AH103" s="37">
        <v>8</v>
      </c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t="s">
        <v>75</v>
      </c>
      <c r="BD103">
        <v>98</v>
      </c>
      <c r="BF103" s="30">
        <f>IF($BD103="","",SUMIF($BD$6:$BD$2000,$BD103,$J$6:$J$2000))</f>
        <v>6740</v>
      </c>
    </row>
    <row r="104" spans="1:58" ht="19.5" customHeight="1" x14ac:dyDescent="0.25">
      <c r="A104" s="96" t="s">
        <v>2054</v>
      </c>
      <c r="B104" s="26" t="s">
        <v>71</v>
      </c>
      <c r="C104" s="27">
        <v>102</v>
      </c>
      <c r="D104" s="26" t="s">
        <v>258</v>
      </c>
      <c r="E104" s="26" t="s">
        <v>225</v>
      </c>
      <c r="F104" s="27" t="s">
        <v>226</v>
      </c>
      <c r="G104" s="28">
        <v>46174</v>
      </c>
      <c r="H104" s="29">
        <f t="shared" si="4"/>
        <v>29</v>
      </c>
      <c r="I104" s="29">
        <f t="shared" si="5"/>
        <v>24</v>
      </c>
      <c r="J104" s="30">
        <f t="shared" si="6"/>
        <v>15081</v>
      </c>
      <c r="K104" s="31"/>
      <c r="L104" s="31"/>
      <c r="M104" s="31"/>
      <c r="N104" s="31"/>
      <c r="O104" s="31"/>
      <c r="P104" s="31">
        <v>1</v>
      </c>
      <c r="Q104" s="31"/>
      <c r="R104" s="31"/>
      <c r="S104" s="31"/>
      <c r="T104" s="31"/>
      <c r="U104" s="31">
        <v>27</v>
      </c>
      <c r="V104" s="31"/>
      <c r="W104" s="31"/>
      <c r="X104" s="31"/>
      <c r="Y104" s="31"/>
      <c r="Z104" s="31"/>
      <c r="AA104" s="31">
        <v>1</v>
      </c>
      <c r="AB104" s="31"/>
      <c r="AC104" s="31"/>
      <c r="AD104" s="31"/>
      <c r="AE104" s="31"/>
      <c r="AF104" s="31"/>
      <c r="AG104" s="31"/>
      <c r="AH104" s="31">
        <v>24</v>
      </c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t="s">
        <v>75</v>
      </c>
      <c r="BD104">
        <v>99</v>
      </c>
      <c r="BF104" s="30">
        <f>IF($BD104="","",SUMIF($BD$6:$BD$2000,$BD104,$J$6:$J$2000))</f>
        <v>15081</v>
      </c>
    </row>
    <row r="105" spans="1:58" ht="19.5" customHeight="1" x14ac:dyDescent="0.25">
      <c r="A105" s="96" t="s">
        <v>2054</v>
      </c>
      <c r="B105" s="32" t="s">
        <v>71</v>
      </c>
      <c r="C105" s="33">
        <v>103</v>
      </c>
      <c r="D105" s="32" t="s">
        <v>259</v>
      </c>
      <c r="E105" s="32" t="s">
        <v>260</v>
      </c>
      <c r="F105" s="33" t="s">
        <v>261</v>
      </c>
      <c r="G105" s="34">
        <v>46023</v>
      </c>
      <c r="H105" s="35">
        <f t="shared" si="4"/>
        <v>103</v>
      </c>
      <c r="I105" s="35">
        <f t="shared" si="5"/>
        <v>64</v>
      </c>
      <c r="J105" s="36">
        <f t="shared" si="6"/>
        <v>42180</v>
      </c>
      <c r="K105" s="37">
        <v>37</v>
      </c>
      <c r="L105" s="37"/>
      <c r="M105" s="37">
        <v>33</v>
      </c>
      <c r="N105" s="37">
        <v>2</v>
      </c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>
        <v>31</v>
      </c>
      <c r="AB105" s="37"/>
      <c r="AC105" s="37"/>
      <c r="AD105" s="37"/>
      <c r="AE105" s="37"/>
      <c r="AF105" s="37"/>
      <c r="AG105" s="37"/>
      <c r="AH105" s="37">
        <v>64</v>
      </c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t="s">
        <v>75</v>
      </c>
      <c r="BD105">
        <v>100</v>
      </c>
      <c r="BF105" s="30">
        <f>IF($BD105="","",SUMIF($BD$6:$BD$2000,$BD105,$J$6:$J$2000))</f>
        <v>42180</v>
      </c>
    </row>
    <row r="106" spans="1:58" ht="19.5" customHeight="1" x14ac:dyDescent="0.25">
      <c r="A106" s="96" t="s">
        <v>2054</v>
      </c>
      <c r="B106" s="26" t="s">
        <v>71</v>
      </c>
      <c r="C106" s="27">
        <v>104</v>
      </c>
      <c r="D106" s="26" t="s">
        <v>262</v>
      </c>
      <c r="E106" s="26" t="s">
        <v>223</v>
      </c>
      <c r="F106" s="27" t="s">
        <v>213</v>
      </c>
      <c r="G106" s="28">
        <v>46204</v>
      </c>
      <c r="H106" s="29">
        <f t="shared" si="4"/>
        <v>97</v>
      </c>
      <c r="I106" s="29">
        <f t="shared" si="5"/>
        <v>68</v>
      </c>
      <c r="J106" s="30">
        <f t="shared" si="6"/>
        <v>63630</v>
      </c>
      <c r="K106" s="31">
        <v>39</v>
      </c>
      <c r="L106" s="31"/>
      <c r="M106" s="31"/>
      <c r="N106" s="31">
        <v>37</v>
      </c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>
        <v>21</v>
      </c>
      <c r="AB106" s="31"/>
      <c r="AC106" s="31"/>
      <c r="AD106" s="31"/>
      <c r="AE106" s="31"/>
      <c r="AF106" s="31"/>
      <c r="AG106" s="31"/>
      <c r="AH106" s="31"/>
      <c r="AI106" s="31"/>
      <c r="AJ106" s="31">
        <v>68</v>
      </c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t="s">
        <v>75</v>
      </c>
      <c r="BD106">
        <v>101</v>
      </c>
      <c r="BF106" s="30">
        <f>IF($BD106="","",SUMIF($BD$6:$BD$2000,$BD106,$J$6:$J$2000))</f>
        <v>63630</v>
      </c>
    </row>
    <row r="107" spans="1:58" ht="19.5" customHeight="1" x14ac:dyDescent="0.25">
      <c r="A107" s="96" t="s">
        <v>2054</v>
      </c>
      <c r="B107" s="32" t="s">
        <v>71</v>
      </c>
      <c r="C107" s="33">
        <v>105</v>
      </c>
      <c r="D107" s="32" t="s">
        <v>263</v>
      </c>
      <c r="E107" s="32" t="s">
        <v>102</v>
      </c>
      <c r="F107" s="33" t="s">
        <v>74</v>
      </c>
      <c r="G107" s="34">
        <v>46388</v>
      </c>
      <c r="H107" s="35">
        <f t="shared" si="4"/>
        <v>24</v>
      </c>
      <c r="I107" s="35">
        <f t="shared" si="5"/>
        <v>20</v>
      </c>
      <c r="J107" s="36">
        <f t="shared" si="6"/>
        <v>12540</v>
      </c>
      <c r="K107" s="37">
        <v>11</v>
      </c>
      <c r="L107" s="37"/>
      <c r="M107" s="37">
        <v>5</v>
      </c>
      <c r="N107" s="37"/>
      <c r="O107" s="37"/>
      <c r="P107" s="37"/>
      <c r="Q107" s="37">
        <v>1</v>
      </c>
      <c r="R107" s="37"/>
      <c r="S107" s="37"/>
      <c r="T107" s="37"/>
      <c r="U107" s="37"/>
      <c r="V107" s="37"/>
      <c r="W107" s="37"/>
      <c r="X107" s="37"/>
      <c r="Y107" s="37"/>
      <c r="Z107" s="37"/>
      <c r="AA107" s="37">
        <v>7</v>
      </c>
      <c r="AB107" s="37"/>
      <c r="AC107" s="37"/>
      <c r="AD107" s="37"/>
      <c r="AE107" s="37"/>
      <c r="AF107" s="37"/>
      <c r="AG107" s="37"/>
      <c r="AH107" s="37">
        <v>20</v>
      </c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t="s">
        <v>75</v>
      </c>
      <c r="BD107">
        <v>102</v>
      </c>
      <c r="BF107" s="30">
        <f>IF($BD107="","",SUMIF($BD$6:$BD$2000,$BD107,$J$6:$J$2000))</f>
        <v>12540</v>
      </c>
    </row>
    <row r="108" spans="1:58" ht="19.5" customHeight="1" x14ac:dyDescent="0.25">
      <c r="A108" s="96" t="s">
        <v>2054</v>
      </c>
      <c r="B108" s="26" t="s">
        <v>71</v>
      </c>
      <c r="C108" s="27">
        <v>106</v>
      </c>
      <c r="D108" s="26" t="s">
        <v>264</v>
      </c>
      <c r="E108" s="26" t="s">
        <v>260</v>
      </c>
      <c r="F108" s="27" t="s">
        <v>261</v>
      </c>
      <c r="G108" s="28">
        <v>46023</v>
      </c>
      <c r="H108" s="29">
        <f t="shared" si="4"/>
        <v>42</v>
      </c>
      <c r="I108" s="29">
        <f t="shared" si="5"/>
        <v>20</v>
      </c>
      <c r="J108" s="30">
        <f t="shared" si="6"/>
        <v>19494</v>
      </c>
      <c r="K108" s="31">
        <v>14</v>
      </c>
      <c r="L108" s="31"/>
      <c r="M108" s="31">
        <v>9</v>
      </c>
      <c r="N108" s="31">
        <v>1</v>
      </c>
      <c r="O108" s="31"/>
      <c r="P108" s="31">
        <v>6</v>
      </c>
      <c r="Q108" s="31"/>
      <c r="R108" s="31"/>
      <c r="S108" s="31"/>
      <c r="T108" s="31"/>
      <c r="U108" s="31">
        <v>8</v>
      </c>
      <c r="V108" s="31"/>
      <c r="W108" s="31"/>
      <c r="X108" s="31"/>
      <c r="Y108" s="31"/>
      <c r="Z108" s="31"/>
      <c r="AA108" s="31">
        <v>4</v>
      </c>
      <c r="AB108" s="31"/>
      <c r="AC108" s="31"/>
      <c r="AD108" s="31"/>
      <c r="AE108" s="31"/>
      <c r="AF108" s="31"/>
      <c r="AG108" s="31"/>
      <c r="AH108" s="31"/>
      <c r="AI108" s="31"/>
      <c r="AJ108" s="31">
        <v>20</v>
      </c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t="s">
        <v>75</v>
      </c>
      <c r="BD108">
        <v>103</v>
      </c>
      <c r="BF108" s="30">
        <f>IF($BD108="","",SUMIF($BD$6:$BD$2000,$BD108,$J$6:$J$2000))</f>
        <v>19494</v>
      </c>
    </row>
    <row r="109" spans="1:58" ht="19.5" customHeight="1" x14ac:dyDescent="0.25">
      <c r="A109" s="96" t="s">
        <v>2054</v>
      </c>
      <c r="B109" s="32" t="s">
        <v>71</v>
      </c>
      <c r="C109" s="33">
        <v>107</v>
      </c>
      <c r="D109" s="32" t="s">
        <v>265</v>
      </c>
      <c r="E109" s="32" t="s">
        <v>266</v>
      </c>
      <c r="F109" s="33" t="s">
        <v>213</v>
      </c>
      <c r="G109" s="34">
        <v>46023</v>
      </c>
      <c r="H109" s="35">
        <f t="shared" si="4"/>
        <v>39</v>
      </c>
      <c r="I109" s="35">
        <f t="shared" si="5"/>
        <v>16</v>
      </c>
      <c r="J109" s="36">
        <f t="shared" si="6"/>
        <v>12268</v>
      </c>
      <c r="K109" s="37">
        <v>11</v>
      </c>
      <c r="L109" s="37"/>
      <c r="M109" s="37"/>
      <c r="N109" s="37">
        <v>7</v>
      </c>
      <c r="O109" s="37"/>
      <c r="P109" s="37"/>
      <c r="Q109" s="37"/>
      <c r="R109" s="37"/>
      <c r="S109" s="37"/>
      <c r="T109" s="37"/>
      <c r="U109" s="37">
        <v>6</v>
      </c>
      <c r="V109" s="37"/>
      <c r="W109" s="37"/>
      <c r="X109" s="37"/>
      <c r="Y109" s="37"/>
      <c r="Z109" s="37"/>
      <c r="AA109" s="37">
        <v>15</v>
      </c>
      <c r="AB109" s="37"/>
      <c r="AC109" s="37"/>
      <c r="AD109" s="37"/>
      <c r="AE109" s="37"/>
      <c r="AF109" s="37"/>
      <c r="AG109" s="37"/>
      <c r="AH109" s="37">
        <v>16</v>
      </c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t="s">
        <v>75</v>
      </c>
      <c r="BD109">
        <v>104</v>
      </c>
      <c r="BF109" s="30">
        <f>IF($BD109="","",SUMIF($BD$6:$BD$2000,$BD109,$J$6:$J$2000))</f>
        <v>12268</v>
      </c>
    </row>
    <row r="110" spans="1:58" ht="19.5" customHeight="1" x14ac:dyDescent="0.25">
      <c r="A110" s="96" t="s">
        <v>2054</v>
      </c>
      <c r="B110" s="26" t="s">
        <v>71</v>
      </c>
      <c r="C110" s="27">
        <v>108</v>
      </c>
      <c r="D110" s="26" t="s">
        <v>267</v>
      </c>
      <c r="E110" s="26" t="s">
        <v>206</v>
      </c>
      <c r="F110" s="27" t="s">
        <v>207</v>
      </c>
      <c r="G110" s="28">
        <v>46266</v>
      </c>
      <c r="H110" s="29">
        <f t="shared" si="4"/>
        <v>50</v>
      </c>
      <c r="I110" s="29">
        <f t="shared" si="5"/>
        <v>47</v>
      </c>
      <c r="J110" s="30">
        <f t="shared" si="6"/>
        <v>41494</v>
      </c>
      <c r="K110" s="31">
        <v>23</v>
      </c>
      <c r="L110" s="31"/>
      <c r="M110" s="31"/>
      <c r="N110" s="31">
        <v>10</v>
      </c>
      <c r="O110" s="31"/>
      <c r="P110" s="31">
        <v>4</v>
      </c>
      <c r="Q110" s="31"/>
      <c r="R110" s="31"/>
      <c r="S110" s="31"/>
      <c r="T110" s="31"/>
      <c r="U110" s="31">
        <v>3</v>
      </c>
      <c r="V110" s="31"/>
      <c r="W110" s="31"/>
      <c r="X110" s="31"/>
      <c r="Y110" s="31"/>
      <c r="Z110" s="31"/>
      <c r="AA110" s="31">
        <v>10</v>
      </c>
      <c r="AB110" s="31"/>
      <c r="AC110" s="31"/>
      <c r="AD110" s="31"/>
      <c r="AE110" s="31"/>
      <c r="AF110" s="31"/>
      <c r="AG110" s="31"/>
      <c r="AH110" s="31">
        <v>4</v>
      </c>
      <c r="AI110" s="31"/>
      <c r="AJ110" s="31">
        <v>43</v>
      </c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t="s">
        <v>75</v>
      </c>
      <c r="BD110">
        <v>105</v>
      </c>
      <c r="BF110" s="30">
        <f>IF($BD110="","",SUMIF($BD$6:$BD$2000,$BD110,$J$6:$J$2000))</f>
        <v>41494</v>
      </c>
    </row>
    <row r="111" spans="1:58" ht="19.5" customHeight="1" x14ac:dyDescent="0.25">
      <c r="A111" s="96" t="s">
        <v>2054</v>
      </c>
      <c r="B111" s="32" t="s">
        <v>71</v>
      </c>
      <c r="C111" s="33">
        <v>109</v>
      </c>
      <c r="D111" s="32" t="s">
        <v>268</v>
      </c>
      <c r="E111" s="32" t="s">
        <v>269</v>
      </c>
      <c r="F111" s="33" t="s">
        <v>207</v>
      </c>
      <c r="G111" s="34">
        <v>46266</v>
      </c>
      <c r="H111" s="35">
        <f t="shared" si="4"/>
        <v>25</v>
      </c>
      <c r="I111" s="35">
        <f t="shared" si="5"/>
        <v>20</v>
      </c>
      <c r="J111" s="36">
        <f t="shared" si="6"/>
        <v>12643</v>
      </c>
      <c r="K111" s="37"/>
      <c r="L111" s="37"/>
      <c r="M111" s="37"/>
      <c r="N111" s="37"/>
      <c r="O111" s="37"/>
      <c r="P111" s="37">
        <v>3</v>
      </c>
      <c r="Q111" s="37"/>
      <c r="R111" s="37"/>
      <c r="S111" s="37"/>
      <c r="T111" s="37"/>
      <c r="U111" s="37">
        <v>21</v>
      </c>
      <c r="V111" s="37"/>
      <c r="W111" s="37"/>
      <c r="X111" s="37"/>
      <c r="Y111" s="37"/>
      <c r="Z111" s="37"/>
      <c r="AA111" s="37">
        <v>1</v>
      </c>
      <c r="AB111" s="37"/>
      <c r="AC111" s="37"/>
      <c r="AD111" s="37"/>
      <c r="AE111" s="37"/>
      <c r="AF111" s="37"/>
      <c r="AG111" s="37"/>
      <c r="AH111" s="37">
        <v>20</v>
      </c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t="s">
        <v>75</v>
      </c>
      <c r="BD111">
        <v>106</v>
      </c>
      <c r="BF111" s="30">
        <f>IF($BD111="","",SUMIF($BD$6:$BD$2000,$BD111,$J$6:$J$2000))</f>
        <v>12643</v>
      </c>
    </row>
    <row r="112" spans="1:58" ht="19.5" customHeight="1" x14ac:dyDescent="0.25">
      <c r="A112" s="96" t="s">
        <v>2054</v>
      </c>
      <c r="B112" s="26" t="s">
        <v>71</v>
      </c>
      <c r="C112" s="27">
        <v>110</v>
      </c>
      <c r="D112" s="26" t="s">
        <v>270</v>
      </c>
      <c r="E112" s="26" t="s">
        <v>212</v>
      </c>
      <c r="F112" s="27" t="s">
        <v>213</v>
      </c>
      <c r="G112" s="28">
        <v>46082</v>
      </c>
      <c r="H112" s="29">
        <f t="shared" si="4"/>
        <v>29</v>
      </c>
      <c r="I112" s="29">
        <f t="shared" si="5"/>
        <v>27</v>
      </c>
      <c r="J112" s="30">
        <f t="shared" si="6"/>
        <v>16085</v>
      </c>
      <c r="K112" s="31">
        <v>10</v>
      </c>
      <c r="L112" s="31"/>
      <c r="M112" s="31"/>
      <c r="N112" s="31">
        <v>10</v>
      </c>
      <c r="O112" s="31">
        <v>7</v>
      </c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>
        <v>2</v>
      </c>
      <c r="AB112" s="31"/>
      <c r="AC112" s="31"/>
      <c r="AD112" s="31"/>
      <c r="AE112" s="31"/>
      <c r="AF112" s="31"/>
      <c r="AG112" s="31"/>
      <c r="AH112" s="31">
        <v>27</v>
      </c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t="s">
        <v>75</v>
      </c>
      <c r="BD112">
        <v>107</v>
      </c>
      <c r="BF112" s="30">
        <f>IF($BD112="","",SUMIF($BD$6:$BD$2000,$BD112,$J$6:$J$2000))</f>
        <v>16085</v>
      </c>
    </row>
    <row r="113" spans="1:58" ht="19.5" customHeight="1" x14ac:dyDescent="0.25">
      <c r="A113" s="96" t="s">
        <v>2054</v>
      </c>
      <c r="B113" s="32" t="s">
        <v>71</v>
      </c>
      <c r="C113" s="33">
        <v>111</v>
      </c>
      <c r="D113" s="32" t="s">
        <v>271</v>
      </c>
      <c r="E113" s="32" t="s">
        <v>223</v>
      </c>
      <c r="F113" s="33" t="s">
        <v>213</v>
      </c>
      <c r="G113" s="34">
        <v>46023</v>
      </c>
      <c r="H113" s="35">
        <f t="shared" si="4"/>
        <v>43</v>
      </c>
      <c r="I113" s="35">
        <f t="shared" si="5"/>
        <v>40</v>
      </c>
      <c r="J113" s="36">
        <f t="shared" si="6"/>
        <v>36390</v>
      </c>
      <c r="K113" s="37">
        <v>19</v>
      </c>
      <c r="L113" s="37"/>
      <c r="M113" s="37"/>
      <c r="N113" s="37">
        <v>14</v>
      </c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>
        <v>10</v>
      </c>
      <c r="AB113" s="37"/>
      <c r="AC113" s="37"/>
      <c r="AD113" s="37"/>
      <c r="AE113" s="37"/>
      <c r="AF113" s="37"/>
      <c r="AG113" s="37"/>
      <c r="AH113" s="37"/>
      <c r="AI113" s="37"/>
      <c r="AJ113" s="37">
        <v>40</v>
      </c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t="s">
        <v>75</v>
      </c>
      <c r="BD113">
        <v>108</v>
      </c>
      <c r="BF113" s="30">
        <f>IF($BD113="","",SUMIF($BD$6:$BD$2000,$BD113,$J$6:$J$2000))</f>
        <v>36390</v>
      </c>
    </row>
    <row r="114" spans="1:58" ht="19.5" customHeight="1" x14ac:dyDescent="0.25">
      <c r="A114" s="96" t="s">
        <v>2054</v>
      </c>
      <c r="B114" s="26" t="s">
        <v>71</v>
      </c>
      <c r="C114" s="27">
        <v>112</v>
      </c>
      <c r="D114" s="26" t="s">
        <v>272</v>
      </c>
      <c r="E114" s="26" t="s">
        <v>223</v>
      </c>
      <c r="F114" s="27" t="s">
        <v>213</v>
      </c>
      <c r="G114" s="28">
        <v>46023</v>
      </c>
      <c r="H114" s="29">
        <f t="shared" si="4"/>
        <v>36</v>
      </c>
      <c r="I114" s="29">
        <f t="shared" si="5"/>
        <v>36</v>
      </c>
      <c r="J114" s="30">
        <f t="shared" si="6"/>
        <v>21590</v>
      </c>
      <c r="K114" s="31">
        <v>15</v>
      </c>
      <c r="L114" s="31"/>
      <c r="M114" s="31"/>
      <c r="N114" s="31"/>
      <c r="O114" s="31">
        <v>15</v>
      </c>
      <c r="P114" s="31"/>
      <c r="Q114" s="31"/>
      <c r="R114" s="31"/>
      <c r="S114" s="31"/>
      <c r="T114" s="31"/>
      <c r="U114" s="31"/>
      <c r="V114" s="31">
        <v>2</v>
      </c>
      <c r="W114" s="31"/>
      <c r="X114" s="31"/>
      <c r="Y114" s="31"/>
      <c r="Z114" s="31"/>
      <c r="AA114" s="31">
        <v>4</v>
      </c>
      <c r="AB114" s="31"/>
      <c r="AC114" s="31"/>
      <c r="AD114" s="31"/>
      <c r="AE114" s="31"/>
      <c r="AF114" s="31"/>
      <c r="AG114" s="31"/>
      <c r="AH114" s="31">
        <v>36</v>
      </c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t="s">
        <v>75</v>
      </c>
      <c r="BD114">
        <v>109</v>
      </c>
      <c r="BF114" s="30">
        <f>IF($BD114="","",SUMIF($BD$6:$BD$2000,$BD114,$J$6:$J$2000))</f>
        <v>21590</v>
      </c>
    </row>
    <row r="115" spans="1:58" ht="19.5" customHeight="1" x14ac:dyDescent="0.25">
      <c r="A115" s="96" t="s">
        <v>2054</v>
      </c>
      <c r="B115" s="32" t="s">
        <v>71</v>
      </c>
      <c r="C115" s="33">
        <v>113</v>
      </c>
      <c r="D115" s="32" t="s">
        <v>273</v>
      </c>
      <c r="E115" s="32" t="s">
        <v>231</v>
      </c>
      <c r="F115" s="33" t="s">
        <v>232</v>
      </c>
      <c r="G115" s="34">
        <v>46296</v>
      </c>
      <c r="H115" s="35">
        <f t="shared" si="4"/>
        <v>4</v>
      </c>
      <c r="I115" s="35">
        <f t="shared" si="5"/>
        <v>0</v>
      </c>
      <c r="J115" s="36">
        <f t="shared" si="6"/>
        <v>320</v>
      </c>
      <c r="K115" s="37">
        <v>2</v>
      </c>
      <c r="L115" s="37"/>
      <c r="M115" s="37"/>
      <c r="N115" s="37">
        <v>1</v>
      </c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>
        <v>1</v>
      </c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t="s">
        <v>75</v>
      </c>
      <c r="BD115">
        <v>110</v>
      </c>
      <c r="BF115" s="30">
        <f>IF($BD115="","",SUMIF($BD$6:$BD$2000,$BD115,$J$6:$J$2000))</f>
        <v>320</v>
      </c>
    </row>
    <row r="116" spans="1:58" ht="19.5" customHeight="1" x14ac:dyDescent="0.25">
      <c r="A116" s="96" t="s">
        <v>2054</v>
      </c>
      <c r="B116" s="26" t="s">
        <v>71</v>
      </c>
      <c r="C116" s="27">
        <v>114</v>
      </c>
      <c r="D116" s="26" t="s">
        <v>274</v>
      </c>
      <c r="E116" s="26" t="s">
        <v>275</v>
      </c>
      <c r="F116" s="27" t="s">
        <v>276</v>
      </c>
      <c r="G116" s="28">
        <v>46143</v>
      </c>
      <c r="H116" s="29">
        <f t="shared" si="4"/>
        <v>20</v>
      </c>
      <c r="I116" s="29">
        <f t="shared" si="5"/>
        <v>16</v>
      </c>
      <c r="J116" s="30">
        <f t="shared" si="6"/>
        <v>10596</v>
      </c>
      <c r="K116" s="31"/>
      <c r="L116" s="31"/>
      <c r="M116" s="31"/>
      <c r="N116" s="31"/>
      <c r="O116" s="31"/>
      <c r="P116" s="31">
        <v>1</v>
      </c>
      <c r="Q116" s="31"/>
      <c r="R116" s="31"/>
      <c r="S116" s="31"/>
      <c r="T116" s="31"/>
      <c r="U116" s="31">
        <v>12</v>
      </c>
      <c r="V116" s="31"/>
      <c r="W116" s="31"/>
      <c r="X116" s="31"/>
      <c r="Y116" s="31"/>
      <c r="Z116" s="31"/>
      <c r="AA116" s="31">
        <v>7</v>
      </c>
      <c r="AB116" s="31"/>
      <c r="AC116" s="31"/>
      <c r="AD116" s="31"/>
      <c r="AE116" s="31"/>
      <c r="AF116" s="31"/>
      <c r="AG116" s="31"/>
      <c r="AH116" s="31">
        <v>16</v>
      </c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t="s">
        <v>75</v>
      </c>
      <c r="BD116">
        <v>111</v>
      </c>
      <c r="BF116" s="30">
        <f>IF($BD116="","",SUMIF($BD$6:$BD$2000,$BD116,$J$6:$J$2000))</f>
        <v>10596</v>
      </c>
    </row>
    <row r="117" spans="1:58" ht="19.5" customHeight="1" x14ac:dyDescent="0.25">
      <c r="A117" s="96" t="s">
        <v>2054</v>
      </c>
      <c r="B117" s="32" t="s">
        <v>71</v>
      </c>
      <c r="C117" s="33">
        <v>115</v>
      </c>
      <c r="D117" s="32" t="s">
        <v>277</v>
      </c>
      <c r="E117" s="32" t="s">
        <v>147</v>
      </c>
      <c r="F117" s="33" t="s">
        <v>120</v>
      </c>
      <c r="G117" s="34">
        <v>46204</v>
      </c>
      <c r="H117" s="35">
        <f t="shared" si="4"/>
        <v>33</v>
      </c>
      <c r="I117" s="35">
        <f t="shared" si="5"/>
        <v>14</v>
      </c>
      <c r="J117" s="36">
        <f t="shared" si="6"/>
        <v>10510</v>
      </c>
      <c r="K117" s="37">
        <v>12</v>
      </c>
      <c r="L117" s="37"/>
      <c r="M117" s="37"/>
      <c r="N117" s="37">
        <v>8</v>
      </c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>
        <v>13</v>
      </c>
      <c r="AB117" s="37"/>
      <c r="AC117" s="37"/>
      <c r="AD117" s="37"/>
      <c r="AE117" s="37"/>
      <c r="AF117" s="37"/>
      <c r="AG117" s="37"/>
      <c r="AH117" s="37">
        <v>14</v>
      </c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t="s">
        <v>75</v>
      </c>
      <c r="BD117">
        <v>112</v>
      </c>
      <c r="BF117" s="30">
        <f>IF($BD117="","",SUMIF($BD$6:$BD$2000,$BD117,$J$6:$J$2000))</f>
        <v>10510</v>
      </c>
    </row>
    <row r="118" spans="1:58" ht="19.5" customHeight="1" x14ac:dyDescent="0.25">
      <c r="A118" s="96" t="s">
        <v>2054</v>
      </c>
      <c r="B118" s="26" t="s">
        <v>71</v>
      </c>
      <c r="C118" s="27">
        <v>116</v>
      </c>
      <c r="D118" s="26" t="s">
        <v>278</v>
      </c>
      <c r="E118" s="26" t="s">
        <v>119</v>
      </c>
      <c r="F118" s="27" t="s">
        <v>120</v>
      </c>
      <c r="G118" s="28">
        <v>46204</v>
      </c>
      <c r="H118" s="29">
        <f t="shared" si="4"/>
        <v>51</v>
      </c>
      <c r="I118" s="29">
        <f t="shared" si="5"/>
        <v>20</v>
      </c>
      <c r="J118" s="30">
        <f t="shared" si="6"/>
        <v>15150</v>
      </c>
      <c r="K118" s="31">
        <v>21</v>
      </c>
      <c r="L118" s="31"/>
      <c r="M118" s="31"/>
      <c r="N118" s="31">
        <v>12</v>
      </c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>
        <v>18</v>
      </c>
      <c r="AB118" s="31"/>
      <c r="AC118" s="31"/>
      <c r="AD118" s="31"/>
      <c r="AE118" s="31"/>
      <c r="AF118" s="31"/>
      <c r="AG118" s="31"/>
      <c r="AH118" s="31">
        <v>20</v>
      </c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t="s">
        <v>75</v>
      </c>
      <c r="BD118">
        <v>113</v>
      </c>
      <c r="BF118" s="30">
        <f>IF($BD118="","",SUMIF($BD$6:$BD$2000,$BD118,$J$6:$J$2000))</f>
        <v>15150</v>
      </c>
    </row>
    <row r="119" spans="1:58" ht="19.5" customHeight="1" x14ac:dyDescent="0.25">
      <c r="A119" s="96" t="s">
        <v>2054</v>
      </c>
      <c r="B119" s="32" t="s">
        <v>71</v>
      </c>
      <c r="C119" s="33">
        <v>117</v>
      </c>
      <c r="D119" s="32" t="s">
        <v>279</v>
      </c>
      <c r="E119" s="32" t="s">
        <v>119</v>
      </c>
      <c r="F119" s="33" t="s">
        <v>120</v>
      </c>
      <c r="G119" s="34">
        <v>46235</v>
      </c>
      <c r="H119" s="35">
        <f t="shared" si="4"/>
        <v>36</v>
      </c>
      <c r="I119" s="35">
        <f t="shared" si="5"/>
        <v>24</v>
      </c>
      <c r="J119" s="36">
        <f t="shared" si="6"/>
        <v>16875</v>
      </c>
      <c r="K119" s="37">
        <v>6</v>
      </c>
      <c r="L119" s="37"/>
      <c r="M119" s="37"/>
      <c r="N119" s="37">
        <v>8</v>
      </c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>
        <v>21</v>
      </c>
      <c r="AB119" s="37"/>
      <c r="AC119" s="37"/>
      <c r="AD119" s="37"/>
      <c r="AE119" s="37"/>
      <c r="AF119" s="37">
        <v>1</v>
      </c>
      <c r="AG119" s="37"/>
      <c r="AH119" s="37">
        <v>24</v>
      </c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t="s">
        <v>75</v>
      </c>
      <c r="BD119">
        <v>114</v>
      </c>
      <c r="BF119" s="30">
        <f>IF($BD119="","",SUMIF($BD$6:$BD$2000,$BD119,$J$6:$J$2000))</f>
        <v>16875</v>
      </c>
    </row>
    <row r="120" spans="1:58" ht="19.5" customHeight="1" x14ac:dyDescent="0.25">
      <c r="A120" s="96" t="s">
        <v>2054</v>
      </c>
      <c r="B120" s="26" t="s">
        <v>71</v>
      </c>
      <c r="C120" s="27">
        <v>118</v>
      </c>
      <c r="D120" s="26" t="s">
        <v>280</v>
      </c>
      <c r="E120" s="26" t="s">
        <v>281</v>
      </c>
      <c r="F120" s="27" t="s">
        <v>120</v>
      </c>
      <c r="G120" s="28">
        <v>46266</v>
      </c>
      <c r="H120" s="29">
        <f t="shared" si="4"/>
        <v>31</v>
      </c>
      <c r="I120" s="29">
        <f t="shared" si="5"/>
        <v>18</v>
      </c>
      <c r="J120" s="30">
        <f t="shared" si="6"/>
        <v>15915</v>
      </c>
      <c r="K120" s="31">
        <v>15</v>
      </c>
      <c r="L120" s="31"/>
      <c r="M120" s="31">
        <v>2</v>
      </c>
      <c r="N120" s="31">
        <v>8</v>
      </c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>
        <v>5</v>
      </c>
      <c r="AB120" s="31"/>
      <c r="AC120" s="31"/>
      <c r="AD120" s="31"/>
      <c r="AE120" s="31"/>
      <c r="AF120" s="31">
        <v>1</v>
      </c>
      <c r="AG120" s="31"/>
      <c r="AH120" s="31">
        <v>4</v>
      </c>
      <c r="AI120" s="31"/>
      <c r="AJ120" s="31">
        <v>14</v>
      </c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t="s">
        <v>75</v>
      </c>
      <c r="BD120">
        <v>115</v>
      </c>
      <c r="BF120" s="30">
        <f>IF($BD120="","",SUMIF($BD$6:$BD$2000,$BD120,$J$6:$J$2000))</f>
        <v>15915</v>
      </c>
    </row>
    <row r="121" spans="1:58" ht="19.5" customHeight="1" x14ac:dyDescent="0.25">
      <c r="A121" s="96" t="s">
        <v>2054</v>
      </c>
      <c r="B121" s="32" t="s">
        <v>71</v>
      </c>
      <c r="C121" s="33">
        <v>119</v>
      </c>
      <c r="D121" s="32" t="s">
        <v>282</v>
      </c>
      <c r="E121" s="32" t="s">
        <v>283</v>
      </c>
      <c r="F121" s="33" t="s">
        <v>160</v>
      </c>
      <c r="G121" s="34">
        <v>46266</v>
      </c>
      <c r="H121" s="35">
        <f t="shared" si="4"/>
        <v>26</v>
      </c>
      <c r="I121" s="35">
        <f t="shared" si="5"/>
        <v>24</v>
      </c>
      <c r="J121" s="36">
        <f t="shared" si="6"/>
        <v>21640</v>
      </c>
      <c r="K121" s="37">
        <v>11</v>
      </c>
      <c r="L121" s="37"/>
      <c r="M121" s="37">
        <v>1</v>
      </c>
      <c r="N121" s="37">
        <v>10</v>
      </c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>
        <v>4</v>
      </c>
      <c r="AB121" s="37"/>
      <c r="AC121" s="37"/>
      <c r="AD121" s="37"/>
      <c r="AE121" s="37"/>
      <c r="AF121" s="37"/>
      <c r="AG121" s="37"/>
      <c r="AH121" s="37"/>
      <c r="AI121" s="37"/>
      <c r="AJ121" s="37">
        <v>24</v>
      </c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t="s">
        <v>75</v>
      </c>
      <c r="BD121">
        <v>116</v>
      </c>
      <c r="BF121" s="30">
        <f>IF($BD121="","",SUMIF($BD$6:$BD$2000,$BD121,$J$6:$J$2000))</f>
        <v>21640</v>
      </c>
    </row>
    <row r="122" spans="1:58" ht="19.5" customHeight="1" x14ac:dyDescent="0.25">
      <c r="A122" s="96" t="s">
        <v>2054</v>
      </c>
      <c r="B122" s="26" t="s">
        <v>71</v>
      </c>
      <c r="C122" s="27">
        <v>120</v>
      </c>
      <c r="D122" s="26" t="s">
        <v>284</v>
      </c>
      <c r="E122" s="26" t="s">
        <v>73</v>
      </c>
      <c r="F122" s="27" t="s">
        <v>74</v>
      </c>
      <c r="G122" s="28">
        <v>46388</v>
      </c>
      <c r="H122" s="29">
        <f t="shared" si="4"/>
        <v>27</v>
      </c>
      <c r="I122" s="29">
        <f t="shared" si="5"/>
        <v>32</v>
      </c>
      <c r="J122" s="30">
        <f t="shared" si="6"/>
        <v>19110</v>
      </c>
      <c r="K122" s="31">
        <v>10</v>
      </c>
      <c r="L122" s="31"/>
      <c r="M122" s="31">
        <v>1</v>
      </c>
      <c r="N122" s="31">
        <v>8</v>
      </c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>
        <v>8</v>
      </c>
      <c r="AB122" s="31"/>
      <c r="AC122" s="31"/>
      <c r="AD122" s="31"/>
      <c r="AE122" s="31"/>
      <c r="AF122" s="31"/>
      <c r="AG122" s="31"/>
      <c r="AH122" s="31">
        <v>32</v>
      </c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t="s">
        <v>75</v>
      </c>
      <c r="BD122">
        <v>117</v>
      </c>
      <c r="BF122" s="30">
        <f>IF($BD122="","",SUMIF($BD$6:$BD$2000,$BD122,$J$6:$J$2000))</f>
        <v>19110</v>
      </c>
    </row>
    <row r="123" spans="1:58" ht="19.5" customHeight="1" x14ac:dyDescent="0.25">
      <c r="A123" s="96" t="s">
        <v>2054</v>
      </c>
      <c r="B123" s="32" t="s">
        <v>71</v>
      </c>
      <c r="C123" s="33">
        <v>121</v>
      </c>
      <c r="D123" s="32" t="s">
        <v>285</v>
      </c>
      <c r="E123" s="32" t="s">
        <v>286</v>
      </c>
      <c r="F123" s="33" t="s">
        <v>261</v>
      </c>
      <c r="G123" s="34">
        <v>46204</v>
      </c>
      <c r="H123" s="35">
        <f t="shared" si="4"/>
        <v>28</v>
      </c>
      <c r="I123" s="35">
        <f t="shared" si="5"/>
        <v>16</v>
      </c>
      <c r="J123" s="36">
        <f t="shared" si="6"/>
        <v>10872</v>
      </c>
      <c r="K123" s="37"/>
      <c r="L123" s="37"/>
      <c r="M123" s="37"/>
      <c r="N123" s="37"/>
      <c r="O123" s="37"/>
      <c r="P123" s="37">
        <v>2</v>
      </c>
      <c r="Q123" s="37"/>
      <c r="R123" s="37"/>
      <c r="S123" s="37"/>
      <c r="T123" s="37"/>
      <c r="U123" s="37">
        <v>24</v>
      </c>
      <c r="V123" s="37"/>
      <c r="W123" s="37"/>
      <c r="X123" s="37"/>
      <c r="Y123" s="37"/>
      <c r="Z123" s="37"/>
      <c r="AA123" s="37">
        <v>2</v>
      </c>
      <c r="AB123" s="37"/>
      <c r="AC123" s="37"/>
      <c r="AD123" s="37"/>
      <c r="AE123" s="37"/>
      <c r="AF123" s="37"/>
      <c r="AG123" s="37"/>
      <c r="AH123" s="37">
        <v>16</v>
      </c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t="s">
        <v>75</v>
      </c>
      <c r="BD123">
        <v>118</v>
      </c>
      <c r="BF123" s="30">
        <f>IF($BD123="","",SUMIF($BD$6:$BD$2000,$BD123,$J$6:$J$2000))</f>
        <v>10872</v>
      </c>
    </row>
    <row r="124" spans="1:58" ht="19.5" customHeight="1" x14ac:dyDescent="0.25">
      <c r="A124" s="96" t="s">
        <v>2054</v>
      </c>
      <c r="B124" s="26" t="s">
        <v>71</v>
      </c>
      <c r="C124" s="27">
        <v>122</v>
      </c>
      <c r="D124" s="26" t="s">
        <v>287</v>
      </c>
      <c r="E124" s="26" t="s">
        <v>119</v>
      </c>
      <c r="F124" s="27" t="s">
        <v>120</v>
      </c>
      <c r="G124" s="28">
        <v>46388</v>
      </c>
      <c r="H124" s="29">
        <f t="shared" si="4"/>
        <v>30</v>
      </c>
      <c r="I124" s="29">
        <f t="shared" si="5"/>
        <v>28</v>
      </c>
      <c r="J124" s="30">
        <f t="shared" si="6"/>
        <v>17250</v>
      </c>
      <c r="K124" s="31">
        <v>15</v>
      </c>
      <c r="L124" s="31"/>
      <c r="M124" s="31"/>
      <c r="N124" s="31">
        <v>6</v>
      </c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>
        <v>9</v>
      </c>
      <c r="AB124" s="31"/>
      <c r="AC124" s="31"/>
      <c r="AD124" s="31"/>
      <c r="AE124" s="31"/>
      <c r="AF124" s="31"/>
      <c r="AG124" s="31"/>
      <c r="AH124" s="31">
        <v>28</v>
      </c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t="s">
        <v>75</v>
      </c>
      <c r="BD124">
        <v>119</v>
      </c>
      <c r="BF124" s="30">
        <f>IF($BD124="","",SUMIF($BD$6:$BD$2000,$BD124,$J$6:$J$2000))</f>
        <v>17250</v>
      </c>
    </row>
    <row r="125" spans="1:58" ht="19.5" customHeight="1" x14ac:dyDescent="0.25">
      <c r="A125" s="96" t="s">
        <v>2054</v>
      </c>
      <c r="B125" s="32" t="s">
        <v>71</v>
      </c>
      <c r="C125" s="33">
        <v>124</v>
      </c>
      <c r="D125" s="32" t="s">
        <v>288</v>
      </c>
      <c r="E125" s="32" t="s">
        <v>289</v>
      </c>
      <c r="F125" s="33" t="s">
        <v>120</v>
      </c>
      <c r="G125" s="34">
        <v>46388</v>
      </c>
      <c r="H125" s="35">
        <f t="shared" si="4"/>
        <v>20</v>
      </c>
      <c r="I125" s="35">
        <f t="shared" si="5"/>
        <v>12</v>
      </c>
      <c r="J125" s="36">
        <f t="shared" si="6"/>
        <v>8130</v>
      </c>
      <c r="K125" s="37">
        <v>7</v>
      </c>
      <c r="L125" s="37"/>
      <c r="M125" s="37"/>
      <c r="N125" s="37">
        <v>6</v>
      </c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>
        <v>7</v>
      </c>
      <c r="AB125" s="37"/>
      <c r="AC125" s="37"/>
      <c r="AD125" s="37"/>
      <c r="AE125" s="37"/>
      <c r="AF125" s="37"/>
      <c r="AG125" s="37"/>
      <c r="AH125" s="37">
        <v>12</v>
      </c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t="s">
        <v>75</v>
      </c>
      <c r="BD125">
        <v>120</v>
      </c>
      <c r="BF125" s="30">
        <f>IF($BD125="","",SUMIF($BD$6:$BD$2000,$BD125,$J$6:$J$2000))</f>
        <v>8130</v>
      </c>
    </row>
    <row r="126" spans="1:58" ht="19.5" customHeight="1" x14ac:dyDescent="0.25">
      <c r="A126" s="96" t="s">
        <v>2054</v>
      </c>
      <c r="B126" s="26" t="s">
        <v>71</v>
      </c>
      <c r="C126" s="27">
        <v>125</v>
      </c>
      <c r="D126" s="26" t="s">
        <v>290</v>
      </c>
      <c r="E126" s="26" t="s">
        <v>291</v>
      </c>
      <c r="F126" s="27" t="s">
        <v>74</v>
      </c>
      <c r="G126" s="28">
        <v>46296</v>
      </c>
      <c r="H126" s="29">
        <f t="shared" si="4"/>
        <v>16</v>
      </c>
      <c r="I126" s="29">
        <f t="shared" si="5"/>
        <v>5</v>
      </c>
      <c r="J126" s="30">
        <f t="shared" si="6"/>
        <v>4605</v>
      </c>
      <c r="K126" s="31">
        <v>8</v>
      </c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>
        <v>8</v>
      </c>
      <c r="AB126" s="31"/>
      <c r="AC126" s="31"/>
      <c r="AD126" s="31"/>
      <c r="AE126" s="31"/>
      <c r="AF126" s="31"/>
      <c r="AG126" s="31"/>
      <c r="AH126" s="31">
        <v>4</v>
      </c>
      <c r="AI126" s="31"/>
      <c r="AJ126" s="31">
        <v>1</v>
      </c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t="s">
        <v>75</v>
      </c>
      <c r="BD126">
        <v>121</v>
      </c>
      <c r="BF126" s="30">
        <f>IF($BD126="","",SUMIF($BD$6:$BD$2000,$BD126,$J$6:$J$2000))</f>
        <v>4605</v>
      </c>
    </row>
    <row r="127" spans="1:58" ht="19.5" customHeight="1" x14ac:dyDescent="0.25">
      <c r="A127" s="96" t="s">
        <v>2054</v>
      </c>
      <c r="B127" s="32" t="s">
        <v>71</v>
      </c>
      <c r="C127" s="33">
        <v>126</v>
      </c>
      <c r="D127" s="32" t="s">
        <v>292</v>
      </c>
      <c r="E127" s="32" t="s">
        <v>73</v>
      </c>
      <c r="F127" s="33" t="s">
        <v>74</v>
      </c>
      <c r="G127" s="34">
        <v>46174</v>
      </c>
      <c r="H127" s="35">
        <f t="shared" si="4"/>
        <v>20</v>
      </c>
      <c r="I127" s="35">
        <f t="shared" si="5"/>
        <v>24</v>
      </c>
      <c r="J127" s="36">
        <f t="shared" si="6"/>
        <v>21610</v>
      </c>
      <c r="K127" s="37">
        <v>2</v>
      </c>
      <c r="L127" s="37"/>
      <c r="M127" s="37">
        <v>3</v>
      </c>
      <c r="N127" s="37">
        <v>8</v>
      </c>
      <c r="O127" s="37"/>
      <c r="P127" s="37"/>
      <c r="Q127" s="37">
        <v>1</v>
      </c>
      <c r="R127" s="37"/>
      <c r="S127" s="37"/>
      <c r="T127" s="37"/>
      <c r="U127" s="37"/>
      <c r="V127" s="37"/>
      <c r="W127" s="37"/>
      <c r="X127" s="37"/>
      <c r="Y127" s="37"/>
      <c r="Z127" s="37"/>
      <c r="AA127" s="37">
        <v>6</v>
      </c>
      <c r="AB127" s="37"/>
      <c r="AC127" s="37"/>
      <c r="AD127" s="37"/>
      <c r="AE127" s="37"/>
      <c r="AF127" s="37"/>
      <c r="AG127" s="37"/>
      <c r="AH127" s="37"/>
      <c r="AI127" s="37"/>
      <c r="AJ127" s="37">
        <v>24</v>
      </c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t="s">
        <v>75</v>
      </c>
      <c r="BD127">
        <v>122</v>
      </c>
      <c r="BF127" s="30">
        <f>IF($BD127="","",SUMIF($BD$6:$BD$2000,$BD127,$J$6:$J$2000))</f>
        <v>21610</v>
      </c>
    </row>
    <row r="128" spans="1:58" ht="19.5" customHeight="1" x14ac:dyDescent="0.25">
      <c r="A128" s="96" t="s">
        <v>2054</v>
      </c>
      <c r="B128" s="26" t="s">
        <v>71</v>
      </c>
      <c r="C128" s="27">
        <v>127</v>
      </c>
      <c r="D128" s="26" t="s">
        <v>293</v>
      </c>
      <c r="E128" s="26" t="s">
        <v>294</v>
      </c>
      <c r="F128" s="27" t="s">
        <v>74</v>
      </c>
      <c r="G128" s="28">
        <v>46143</v>
      </c>
      <c r="H128" s="29">
        <f t="shared" si="4"/>
        <v>23</v>
      </c>
      <c r="I128" s="29">
        <f t="shared" si="5"/>
        <v>24</v>
      </c>
      <c r="J128" s="30">
        <f t="shared" si="6"/>
        <v>14795</v>
      </c>
      <c r="K128" s="31">
        <v>9</v>
      </c>
      <c r="L128" s="31"/>
      <c r="M128" s="31">
        <v>1</v>
      </c>
      <c r="N128" s="31"/>
      <c r="O128" s="31"/>
      <c r="P128" s="31"/>
      <c r="Q128" s="31"/>
      <c r="R128" s="31"/>
      <c r="S128" s="31"/>
      <c r="T128" s="31"/>
      <c r="U128" s="31">
        <v>5</v>
      </c>
      <c r="V128" s="31"/>
      <c r="W128" s="31"/>
      <c r="X128" s="31"/>
      <c r="Y128" s="31"/>
      <c r="Z128" s="31"/>
      <c r="AA128" s="31">
        <v>8</v>
      </c>
      <c r="AB128" s="31"/>
      <c r="AC128" s="31"/>
      <c r="AD128" s="31"/>
      <c r="AE128" s="31"/>
      <c r="AF128" s="31"/>
      <c r="AG128" s="31"/>
      <c r="AH128" s="31">
        <v>24</v>
      </c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t="s">
        <v>75</v>
      </c>
      <c r="BD128">
        <v>123</v>
      </c>
      <c r="BF128" s="30">
        <f>IF($BD128="","",SUMIF($BD$6:$BD$2000,$BD128,$J$6:$J$2000))</f>
        <v>14795</v>
      </c>
    </row>
    <row r="129" spans="1:58" ht="19.5" customHeight="1" x14ac:dyDescent="0.25">
      <c r="A129" s="96" t="s">
        <v>2054</v>
      </c>
      <c r="B129" s="32" t="s">
        <v>71</v>
      </c>
      <c r="C129" s="33">
        <v>128</v>
      </c>
      <c r="D129" s="32" t="s">
        <v>295</v>
      </c>
      <c r="E129" s="32" t="s">
        <v>296</v>
      </c>
      <c r="F129" s="33" t="s">
        <v>74</v>
      </c>
      <c r="G129" s="34">
        <v>46143</v>
      </c>
      <c r="H129" s="35">
        <f t="shared" si="4"/>
        <v>32</v>
      </c>
      <c r="I129" s="35">
        <f t="shared" si="5"/>
        <v>18</v>
      </c>
      <c r="J129" s="36">
        <f t="shared" si="6"/>
        <v>12050</v>
      </c>
      <c r="K129" s="37">
        <v>8</v>
      </c>
      <c r="L129" s="37"/>
      <c r="M129" s="37">
        <v>14</v>
      </c>
      <c r="N129" s="37">
        <v>1</v>
      </c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>
        <v>9</v>
      </c>
      <c r="AB129" s="37"/>
      <c r="AC129" s="37"/>
      <c r="AD129" s="37"/>
      <c r="AE129" s="37"/>
      <c r="AF129" s="37"/>
      <c r="AG129" s="37"/>
      <c r="AH129" s="37">
        <v>18</v>
      </c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t="s">
        <v>75</v>
      </c>
      <c r="BD129">
        <v>124</v>
      </c>
      <c r="BF129" s="30">
        <f>IF($BD129="","",SUMIF($BD$6:$BD$2000,$BD129,$J$6:$J$2000))</f>
        <v>12050</v>
      </c>
    </row>
    <row r="130" spans="1:58" ht="19.5" customHeight="1" x14ac:dyDescent="0.25">
      <c r="A130" s="96" t="s">
        <v>2054</v>
      </c>
      <c r="B130" s="26" t="s">
        <v>71</v>
      </c>
      <c r="C130" s="27">
        <v>129</v>
      </c>
      <c r="D130" s="26" t="s">
        <v>297</v>
      </c>
      <c r="E130" s="26" t="s">
        <v>260</v>
      </c>
      <c r="F130" s="27" t="s">
        <v>261</v>
      </c>
      <c r="G130" s="28">
        <v>46204</v>
      </c>
      <c r="H130" s="29">
        <f t="shared" si="4"/>
        <v>51</v>
      </c>
      <c r="I130" s="29">
        <f t="shared" si="5"/>
        <v>51</v>
      </c>
      <c r="J130" s="30">
        <f t="shared" si="6"/>
        <v>46325</v>
      </c>
      <c r="K130" s="31">
        <v>15</v>
      </c>
      <c r="L130" s="31"/>
      <c r="M130" s="31"/>
      <c r="N130" s="31">
        <v>19</v>
      </c>
      <c r="O130" s="31">
        <v>4</v>
      </c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>
        <v>13</v>
      </c>
      <c r="AB130" s="31"/>
      <c r="AC130" s="31"/>
      <c r="AD130" s="31"/>
      <c r="AE130" s="31"/>
      <c r="AF130" s="31"/>
      <c r="AG130" s="31"/>
      <c r="AH130" s="31"/>
      <c r="AI130" s="31"/>
      <c r="AJ130" s="31">
        <v>51</v>
      </c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t="s">
        <v>75</v>
      </c>
      <c r="BD130">
        <v>125</v>
      </c>
      <c r="BF130" s="30">
        <f>IF($BD130="","",SUMIF($BD$6:$BD$2000,$BD130,$J$6:$J$2000))</f>
        <v>46325</v>
      </c>
    </row>
    <row r="131" spans="1:58" ht="19.5" customHeight="1" x14ac:dyDescent="0.25">
      <c r="A131" s="96" t="s">
        <v>2054</v>
      </c>
      <c r="B131" s="32" t="s">
        <v>71</v>
      </c>
      <c r="C131" s="33">
        <v>130</v>
      </c>
      <c r="D131" s="32" t="s">
        <v>298</v>
      </c>
      <c r="E131" s="32" t="s">
        <v>223</v>
      </c>
      <c r="F131" s="33" t="s">
        <v>197</v>
      </c>
      <c r="G131" s="34">
        <v>46082</v>
      </c>
      <c r="H131" s="35">
        <f t="shared" si="4"/>
        <v>37</v>
      </c>
      <c r="I131" s="35">
        <f t="shared" si="5"/>
        <v>40</v>
      </c>
      <c r="J131" s="36">
        <f t="shared" si="6"/>
        <v>24918</v>
      </c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>
        <v>26</v>
      </c>
      <c r="V131" s="37"/>
      <c r="W131" s="37"/>
      <c r="X131" s="37"/>
      <c r="Y131" s="37"/>
      <c r="Z131" s="37"/>
      <c r="AA131" s="37">
        <v>11</v>
      </c>
      <c r="AB131" s="37"/>
      <c r="AC131" s="37"/>
      <c r="AD131" s="37"/>
      <c r="AE131" s="37"/>
      <c r="AF131" s="37"/>
      <c r="AG131" s="37"/>
      <c r="AH131" s="37">
        <v>40</v>
      </c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t="s">
        <v>75</v>
      </c>
      <c r="BD131">
        <v>126</v>
      </c>
      <c r="BF131" s="30">
        <f>IF($BD131="","",SUMIF($BD$6:$BD$2000,$BD131,$J$6:$J$2000))</f>
        <v>24918</v>
      </c>
    </row>
    <row r="132" spans="1:58" ht="19.5" customHeight="1" x14ac:dyDescent="0.25">
      <c r="A132" s="96" t="s">
        <v>2054</v>
      </c>
      <c r="B132" s="26" t="s">
        <v>71</v>
      </c>
      <c r="C132" s="27">
        <v>131</v>
      </c>
      <c r="D132" s="26" t="s">
        <v>299</v>
      </c>
      <c r="E132" s="26" t="s">
        <v>223</v>
      </c>
      <c r="F132" s="27" t="s">
        <v>213</v>
      </c>
      <c r="G132" s="28">
        <v>46023</v>
      </c>
      <c r="H132" s="29">
        <f t="shared" si="4"/>
        <v>26</v>
      </c>
      <c r="I132" s="29">
        <f t="shared" si="5"/>
        <v>24</v>
      </c>
      <c r="J132" s="30">
        <f t="shared" si="6"/>
        <v>15445</v>
      </c>
      <c r="K132" s="31"/>
      <c r="L132" s="31"/>
      <c r="M132" s="31"/>
      <c r="N132" s="31"/>
      <c r="O132" s="31"/>
      <c r="P132" s="31">
        <v>2</v>
      </c>
      <c r="Q132" s="31"/>
      <c r="R132" s="31"/>
      <c r="S132" s="31"/>
      <c r="T132" s="31"/>
      <c r="U132" s="31">
        <v>15</v>
      </c>
      <c r="V132" s="31"/>
      <c r="W132" s="31"/>
      <c r="X132" s="31"/>
      <c r="Y132" s="31"/>
      <c r="Z132" s="31"/>
      <c r="AA132" s="31">
        <v>9</v>
      </c>
      <c r="AB132" s="31"/>
      <c r="AC132" s="31"/>
      <c r="AD132" s="31"/>
      <c r="AE132" s="31"/>
      <c r="AF132" s="31"/>
      <c r="AG132" s="31"/>
      <c r="AH132" s="31">
        <v>24</v>
      </c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t="s">
        <v>75</v>
      </c>
      <c r="BD132">
        <v>127</v>
      </c>
      <c r="BF132" s="30">
        <f>IF($BD132="","",SUMIF($BD$6:$BD$2000,$BD132,$J$6:$J$2000))</f>
        <v>15445</v>
      </c>
    </row>
    <row r="133" spans="1:58" ht="19.5" customHeight="1" x14ac:dyDescent="0.25">
      <c r="A133" s="96" t="s">
        <v>2054</v>
      </c>
      <c r="B133" s="32" t="s">
        <v>71</v>
      </c>
      <c r="C133" s="33">
        <v>132</v>
      </c>
      <c r="D133" s="32" t="s">
        <v>300</v>
      </c>
      <c r="E133" s="32" t="s">
        <v>228</v>
      </c>
      <c r="F133" s="33" t="s">
        <v>229</v>
      </c>
      <c r="G133" s="34">
        <v>46266</v>
      </c>
      <c r="H133" s="35">
        <f t="shared" si="4"/>
        <v>66</v>
      </c>
      <c r="I133" s="35">
        <f t="shared" si="5"/>
        <v>64</v>
      </c>
      <c r="J133" s="36">
        <f t="shared" si="6"/>
        <v>38360</v>
      </c>
      <c r="K133" s="37">
        <v>28</v>
      </c>
      <c r="L133" s="37"/>
      <c r="M133" s="37">
        <v>24</v>
      </c>
      <c r="N133" s="37"/>
      <c r="O133" s="37"/>
      <c r="P133" s="37">
        <v>1</v>
      </c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>
        <v>13</v>
      </c>
      <c r="AB133" s="37"/>
      <c r="AC133" s="37"/>
      <c r="AD133" s="37"/>
      <c r="AE133" s="37"/>
      <c r="AF133" s="37"/>
      <c r="AG133" s="37"/>
      <c r="AH133" s="37">
        <v>64</v>
      </c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t="s">
        <v>75</v>
      </c>
      <c r="BD133">
        <v>128</v>
      </c>
      <c r="BF133" s="30">
        <f>IF($BD133="","",SUMIF($BD$6:$BD$2000,$BD133,$J$6:$J$2000))</f>
        <v>38360</v>
      </c>
    </row>
    <row r="134" spans="1:58" ht="19.5" customHeight="1" x14ac:dyDescent="0.25">
      <c r="A134" s="96" t="s">
        <v>2054</v>
      </c>
      <c r="B134" s="26" t="s">
        <v>71</v>
      </c>
      <c r="C134" s="27">
        <v>133</v>
      </c>
      <c r="D134" s="26" t="s">
        <v>301</v>
      </c>
      <c r="E134" s="26" t="s">
        <v>73</v>
      </c>
      <c r="F134" s="27" t="s">
        <v>74</v>
      </c>
      <c r="G134" s="28">
        <v>46142</v>
      </c>
      <c r="H134" s="29">
        <f t="shared" ref="H134:H197" si="7">IF($B134="","",SUM($K134:$AG134)+SUM($AS134:$BB134))</f>
        <v>13</v>
      </c>
      <c r="I134" s="29">
        <f t="shared" ref="I134:I197" si="8">IF($B134="","",SUM($AH134:$AL134))</f>
        <v>2</v>
      </c>
      <c r="J134" s="30">
        <f t="shared" ref="J134:J197" si="9">IF($B134="","",SUMPRODUCT($K134:$BB134,$K$2:$BB$2))</f>
        <v>2740</v>
      </c>
      <c r="K134" s="31">
        <v>7</v>
      </c>
      <c r="L134" s="31"/>
      <c r="M134" s="31">
        <v>2</v>
      </c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>
        <v>4</v>
      </c>
      <c r="AB134" s="31"/>
      <c r="AC134" s="31"/>
      <c r="AD134" s="31"/>
      <c r="AE134" s="31"/>
      <c r="AF134" s="31"/>
      <c r="AG134" s="31"/>
      <c r="AH134" s="31"/>
      <c r="AI134" s="31"/>
      <c r="AJ134" s="31">
        <v>2</v>
      </c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t="s">
        <v>75</v>
      </c>
      <c r="BD134">
        <v>129</v>
      </c>
      <c r="BF134" s="30">
        <f>IF($BD134="","",SUMIF($BD$6:$BD$2000,$BD134,$J$6:$J$2000))</f>
        <v>2740</v>
      </c>
    </row>
    <row r="135" spans="1:58" ht="19.5" customHeight="1" x14ac:dyDescent="0.25">
      <c r="A135" s="96" t="s">
        <v>2054</v>
      </c>
      <c r="B135" s="32" t="s">
        <v>71</v>
      </c>
      <c r="C135" s="33">
        <v>134</v>
      </c>
      <c r="D135" s="32" t="s">
        <v>302</v>
      </c>
      <c r="E135" s="32" t="s">
        <v>303</v>
      </c>
      <c r="F135" s="33" t="s">
        <v>261</v>
      </c>
      <c r="G135" s="34">
        <v>46204</v>
      </c>
      <c r="H135" s="35">
        <f t="shared" si="7"/>
        <v>20</v>
      </c>
      <c r="I135" s="35">
        <f t="shared" si="8"/>
        <v>16</v>
      </c>
      <c r="J135" s="36">
        <f t="shared" si="9"/>
        <v>10881</v>
      </c>
      <c r="K135" s="37"/>
      <c r="L135" s="37"/>
      <c r="M135" s="37"/>
      <c r="N135" s="37"/>
      <c r="O135" s="37">
        <v>2</v>
      </c>
      <c r="P135" s="37"/>
      <c r="Q135" s="37"/>
      <c r="R135" s="37"/>
      <c r="S135" s="37"/>
      <c r="T135" s="37"/>
      <c r="U135" s="37">
        <v>7</v>
      </c>
      <c r="V135" s="37"/>
      <c r="W135" s="37"/>
      <c r="X135" s="37"/>
      <c r="Y135" s="37"/>
      <c r="Z135" s="37"/>
      <c r="AA135" s="37">
        <v>11</v>
      </c>
      <c r="AB135" s="37"/>
      <c r="AC135" s="37"/>
      <c r="AD135" s="37"/>
      <c r="AE135" s="37"/>
      <c r="AF135" s="37"/>
      <c r="AG135" s="37"/>
      <c r="AH135" s="37">
        <v>16</v>
      </c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t="s">
        <v>75</v>
      </c>
      <c r="BD135">
        <v>130</v>
      </c>
      <c r="BF135" s="30">
        <f>IF($BD135="","",SUMIF($BD$6:$BD$2000,$BD135,$J$6:$J$2000))</f>
        <v>10881</v>
      </c>
    </row>
    <row r="136" spans="1:58" ht="19.5" customHeight="1" x14ac:dyDescent="0.25">
      <c r="A136" s="96" t="s">
        <v>2054</v>
      </c>
      <c r="B136" s="26" t="s">
        <v>71</v>
      </c>
      <c r="C136" s="27">
        <v>135</v>
      </c>
      <c r="D136" s="26" t="s">
        <v>304</v>
      </c>
      <c r="E136" s="26" t="s">
        <v>236</v>
      </c>
      <c r="F136" s="27" t="s">
        <v>237</v>
      </c>
      <c r="G136" s="28">
        <v>46388</v>
      </c>
      <c r="H136" s="29">
        <f t="shared" si="7"/>
        <v>44</v>
      </c>
      <c r="I136" s="29">
        <f t="shared" si="8"/>
        <v>32</v>
      </c>
      <c r="J136" s="30">
        <f t="shared" si="9"/>
        <v>21322</v>
      </c>
      <c r="K136" s="31"/>
      <c r="L136" s="31"/>
      <c r="M136" s="31"/>
      <c r="N136" s="31">
        <v>2</v>
      </c>
      <c r="O136" s="31">
        <v>1</v>
      </c>
      <c r="P136" s="31"/>
      <c r="Q136" s="31"/>
      <c r="R136" s="31"/>
      <c r="S136" s="31"/>
      <c r="T136" s="31">
        <v>1</v>
      </c>
      <c r="U136" s="31">
        <v>29</v>
      </c>
      <c r="V136" s="31"/>
      <c r="W136" s="31"/>
      <c r="X136" s="31"/>
      <c r="Y136" s="31"/>
      <c r="Z136" s="31"/>
      <c r="AA136" s="31">
        <v>10</v>
      </c>
      <c r="AB136" s="31">
        <v>1</v>
      </c>
      <c r="AC136" s="31"/>
      <c r="AD136" s="31"/>
      <c r="AE136" s="31"/>
      <c r="AF136" s="31"/>
      <c r="AG136" s="31"/>
      <c r="AH136" s="31">
        <v>32</v>
      </c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t="s">
        <v>75</v>
      </c>
      <c r="BD136">
        <v>131</v>
      </c>
      <c r="BF136" s="30">
        <f>IF($BD136="","",SUMIF($BD$6:$BD$2000,$BD136,$J$6:$J$2000))</f>
        <v>21322</v>
      </c>
    </row>
    <row r="137" spans="1:58" ht="19.5" customHeight="1" x14ac:dyDescent="0.25">
      <c r="A137" s="96" t="s">
        <v>2054</v>
      </c>
      <c r="B137" s="32" t="s">
        <v>71</v>
      </c>
      <c r="C137" s="33">
        <v>136</v>
      </c>
      <c r="D137" s="32" t="s">
        <v>305</v>
      </c>
      <c r="E137" s="32" t="s">
        <v>223</v>
      </c>
      <c r="F137" s="33" t="s">
        <v>197</v>
      </c>
      <c r="G137" s="34">
        <v>46204</v>
      </c>
      <c r="H137" s="35">
        <f t="shared" si="7"/>
        <v>44</v>
      </c>
      <c r="I137" s="35">
        <f t="shared" si="8"/>
        <v>28</v>
      </c>
      <c r="J137" s="36">
        <f t="shared" si="9"/>
        <v>17790</v>
      </c>
      <c r="K137" s="37">
        <v>18</v>
      </c>
      <c r="L137" s="37"/>
      <c r="M137" s="37"/>
      <c r="N137" s="37">
        <v>18</v>
      </c>
      <c r="O137" s="37">
        <v>1</v>
      </c>
      <c r="P137" s="37">
        <v>1</v>
      </c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>
        <v>6</v>
      </c>
      <c r="AB137" s="37"/>
      <c r="AC137" s="37"/>
      <c r="AD137" s="37"/>
      <c r="AE137" s="37"/>
      <c r="AF137" s="37"/>
      <c r="AG137" s="37"/>
      <c r="AH137" s="37">
        <v>28</v>
      </c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t="s">
        <v>75</v>
      </c>
      <c r="BD137">
        <v>132</v>
      </c>
      <c r="BF137" s="30">
        <f>IF($BD137="","",SUMIF($BD$6:$BD$2000,$BD137,$J$6:$J$2000))</f>
        <v>17790</v>
      </c>
    </row>
    <row r="138" spans="1:58" ht="19.5" customHeight="1" x14ac:dyDescent="0.25">
      <c r="A138" s="96" t="s">
        <v>2054</v>
      </c>
      <c r="B138" s="26" t="s">
        <v>71</v>
      </c>
      <c r="C138" s="27">
        <v>137</v>
      </c>
      <c r="D138" s="26" t="s">
        <v>306</v>
      </c>
      <c r="E138" s="26" t="s">
        <v>119</v>
      </c>
      <c r="F138" s="27" t="s">
        <v>120</v>
      </c>
      <c r="G138" s="28">
        <v>46266</v>
      </c>
      <c r="H138" s="29">
        <f t="shared" si="7"/>
        <v>27</v>
      </c>
      <c r="I138" s="29">
        <f t="shared" si="8"/>
        <v>20</v>
      </c>
      <c r="J138" s="30">
        <f t="shared" si="9"/>
        <v>12741</v>
      </c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>
        <v>27</v>
      </c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>
        <v>20</v>
      </c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t="s">
        <v>75</v>
      </c>
      <c r="BD138">
        <v>133</v>
      </c>
      <c r="BF138" s="30">
        <f>IF($BD138="","",SUMIF($BD$6:$BD$2000,$BD138,$J$6:$J$2000))</f>
        <v>12741</v>
      </c>
    </row>
    <row r="139" spans="1:58" ht="19.5" customHeight="1" x14ac:dyDescent="0.25">
      <c r="A139" s="96" t="s">
        <v>2054</v>
      </c>
      <c r="B139" s="32" t="s">
        <v>71</v>
      </c>
      <c r="C139" s="33">
        <v>138</v>
      </c>
      <c r="D139" s="32" t="s">
        <v>307</v>
      </c>
      <c r="E139" s="32" t="s">
        <v>206</v>
      </c>
      <c r="F139" s="33" t="s">
        <v>207</v>
      </c>
      <c r="G139" s="34">
        <v>46174</v>
      </c>
      <c r="H139" s="35">
        <f t="shared" si="7"/>
        <v>13</v>
      </c>
      <c r="I139" s="35">
        <f t="shared" si="8"/>
        <v>14</v>
      </c>
      <c r="J139" s="36">
        <f t="shared" si="9"/>
        <v>8380</v>
      </c>
      <c r="K139" s="37">
        <v>5</v>
      </c>
      <c r="L139" s="37"/>
      <c r="M139" s="37"/>
      <c r="N139" s="37">
        <v>5</v>
      </c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>
        <v>3</v>
      </c>
      <c r="AB139" s="37"/>
      <c r="AC139" s="37"/>
      <c r="AD139" s="37"/>
      <c r="AE139" s="37"/>
      <c r="AF139" s="37"/>
      <c r="AG139" s="37"/>
      <c r="AH139" s="37">
        <v>14</v>
      </c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t="s">
        <v>75</v>
      </c>
      <c r="BD139">
        <v>134</v>
      </c>
      <c r="BF139" s="30">
        <f>IF($BD139="","",SUMIF($BD$6:$BD$2000,$BD139,$J$6:$J$2000))</f>
        <v>8380</v>
      </c>
    </row>
    <row r="140" spans="1:58" ht="19.5" customHeight="1" x14ac:dyDescent="0.25">
      <c r="A140" s="96" t="s">
        <v>2054</v>
      </c>
      <c r="B140" s="26" t="s">
        <v>71</v>
      </c>
      <c r="C140" s="27">
        <v>139</v>
      </c>
      <c r="D140" s="26" t="s">
        <v>308</v>
      </c>
      <c r="E140" s="26" t="s">
        <v>309</v>
      </c>
      <c r="F140" s="27" t="s">
        <v>276</v>
      </c>
      <c r="G140" s="28">
        <v>46143</v>
      </c>
      <c r="H140" s="29">
        <f t="shared" si="7"/>
        <v>37</v>
      </c>
      <c r="I140" s="29">
        <f t="shared" si="8"/>
        <v>36</v>
      </c>
      <c r="J140" s="30">
        <f t="shared" si="9"/>
        <v>21971</v>
      </c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>
        <v>37</v>
      </c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>
        <v>36</v>
      </c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t="s">
        <v>75</v>
      </c>
      <c r="BD140">
        <v>135</v>
      </c>
      <c r="BF140" s="30">
        <f>IF($BD140="","",SUMIF($BD$6:$BD$2000,$BD140,$J$6:$J$2000))</f>
        <v>21971</v>
      </c>
    </row>
    <row r="141" spans="1:58" ht="19.5" customHeight="1" x14ac:dyDescent="0.25">
      <c r="A141" s="96" t="s">
        <v>2054</v>
      </c>
      <c r="B141" s="32" t="s">
        <v>71</v>
      </c>
      <c r="C141" s="33">
        <v>140</v>
      </c>
      <c r="D141" s="32" t="s">
        <v>310</v>
      </c>
      <c r="E141" s="32" t="s">
        <v>309</v>
      </c>
      <c r="F141" s="33" t="s">
        <v>276</v>
      </c>
      <c r="G141" s="34">
        <v>46143</v>
      </c>
      <c r="H141" s="35">
        <f t="shared" si="7"/>
        <v>42</v>
      </c>
      <c r="I141" s="35">
        <f t="shared" si="8"/>
        <v>56</v>
      </c>
      <c r="J141" s="36">
        <f t="shared" si="9"/>
        <v>32853</v>
      </c>
      <c r="K141" s="37">
        <v>1</v>
      </c>
      <c r="L141" s="37"/>
      <c r="M141" s="37"/>
      <c r="N141" s="37"/>
      <c r="O141" s="37"/>
      <c r="P141" s="37"/>
      <c r="Q141" s="37"/>
      <c r="R141" s="37"/>
      <c r="S141" s="37"/>
      <c r="T141" s="37"/>
      <c r="U141" s="37">
        <v>41</v>
      </c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>
        <v>56</v>
      </c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t="s">
        <v>75</v>
      </c>
      <c r="BD141">
        <v>136</v>
      </c>
      <c r="BF141" s="30">
        <f>IF($BD141="","",SUMIF($BD$6:$BD$2000,$BD141,$J$6:$J$2000))</f>
        <v>32853</v>
      </c>
    </row>
    <row r="142" spans="1:58" ht="19.5" customHeight="1" x14ac:dyDescent="0.25">
      <c r="A142" s="96" t="s">
        <v>2054</v>
      </c>
      <c r="B142" s="26" t="s">
        <v>71</v>
      </c>
      <c r="C142" s="27">
        <v>141</v>
      </c>
      <c r="D142" s="26" t="s">
        <v>311</v>
      </c>
      <c r="E142" s="26" t="s">
        <v>309</v>
      </c>
      <c r="F142" s="27" t="s">
        <v>276</v>
      </c>
      <c r="G142" s="28">
        <v>46113</v>
      </c>
      <c r="H142" s="29">
        <f t="shared" si="7"/>
        <v>32</v>
      </c>
      <c r="I142" s="29">
        <f t="shared" si="8"/>
        <v>20</v>
      </c>
      <c r="J142" s="30">
        <f t="shared" si="9"/>
        <v>13831</v>
      </c>
      <c r="K142" s="31">
        <v>2</v>
      </c>
      <c r="L142" s="31"/>
      <c r="M142" s="31"/>
      <c r="N142" s="31">
        <v>1</v>
      </c>
      <c r="O142" s="31"/>
      <c r="P142" s="31">
        <v>2</v>
      </c>
      <c r="Q142" s="31"/>
      <c r="R142" s="31"/>
      <c r="S142" s="31"/>
      <c r="T142" s="31"/>
      <c r="U142" s="31">
        <v>17</v>
      </c>
      <c r="V142" s="31"/>
      <c r="W142" s="31"/>
      <c r="X142" s="31"/>
      <c r="Y142" s="31"/>
      <c r="Z142" s="31"/>
      <c r="AA142" s="31">
        <v>10</v>
      </c>
      <c r="AB142" s="31"/>
      <c r="AC142" s="31"/>
      <c r="AD142" s="31"/>
      <c r="AE142" s="31"/>
      <c r="AF142" s="31"/>
      <c r="AG142" s="31"/>
      <c r="AH142" s="31">
        <v>20</v>
      </c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t="s">
        <v>75</v>
      </c>
      <c r="BD142">
        <v>137</v>
      </c>
      <c r="BF142" s="30">
        <f>IF($BD142="","",SUMIF($BD$6:$BD$2000,$BD142,$J$6:$J$2000))</f>
        <v>13831</v>
      </c>
    </row>
    <row r="143" spans="1:58" ht="19.5" customHeight="1" x14ac:dyDescent="0.25">
      <c r="A143" s="96" t="s">
        <v>2054</v>
      </c>
      <c r="B143" s="32" t="s">
        <v>71</v>
      </c>
      <c r="C143" s="33">
        <v>142</v>
      </c>
      <c r="D143" s="32" t="s">
        <v>312</v>
      </c>
      <c r="E143" s="32" t="s">
        <v>206</v>
      </c>
      <c r="F143" s="33" t="s">
        <v>207</v>
      </c>
      <c r="G143" s="34">
        <v>46235</v>
      </c>
      <c r="H143" s="35">
        <f t="shared" si="7"/>
        <v>20</v>
      </c>
      <c r="I143" s="35">
        <f t="shared" si="8"/>
        <v>20</v>
      </c>
      <c r="J143" s="36">
        <f t="shared" si="9"/>
        <v>12160</v>
      </c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>
        <v>20</v>
      </c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>
        <v>20</v>
      </c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t="s">
        <v>75</v>
      </c>
      <c r="BD143">
        <v>138</v>
      </c>
      <c r="BF143" s="30">
        <f>IF($BD143="","",SUMIF($BD$6:$BD$2000,$BD143,$J$6:$J$2000))</f>
        <v>12160</v>
      </c>
    </row>
    <row r="144" spans="1:58" ht="19.5" customHeight="1" x14ac:dyDescent="0.25">
      <c r="A144" s="96" t="s">
        <v>2054</v>
      </c>
      <c r="B144" s="26" t="s">
        <v>71</v>
      </c>
      <c r="C144" s="27">
        <v>143</v>
      </c>
      <c r="D144" s="26" t="s">
        <v>313</v>
      </c>
      <c r="E144" s="26" t="s">
        <v>314</v>
      </c>
      <c r="F144" s="27" t="s">
        <v>210</v>
      </c>
      <c r="G144" s="28">
        <v>46388</v>
      </c>
      <c r="H144" s="29">
        <f t="shared" si="7"/>
        <v>33</v>
      </c>
      <c r="I144" s="29">
        <f t="shared" si="8"/>
        <v>24</v>
      </c>
      <c r="J144" s="30">
        <f t="shared" si="9"/>
        <v>15289</v>
      </c>
      <c r="K144" s="31">
        <v>9</v>
      </c>
      <c r="L144" s="31"/>
      <c r="M144" s="31">
        <v>1</v>
      </c>
      <c r="N144" s="31">
        <v>2</v>
      </c>
      <c r="O144" s="31">
        <v>10</v>
      </c>
      <c r="P144" s="31">
        <v>2</v>
      </c>
      <c r="Q144" s="31"/>
      <c r="R144" s="31"/>
      <c r="S144" s="31"/>
      <c r="T144" s="31"/>
      <c r="U144" s="31">
        <v>3</v>
      </c>
      <c r="V144" s="31"/>
      <c r="W144" s="31"/>
      <c r="X144" s="31"/>
      <c r="Y144" s="31"/>
      <c r="Z144" s="31"/>
      <c r="AA144" s="31">
        <v>6</v>
      </c>
      <c r="AB144" s="31"/>
      <c r="AC144" s="31"/>
      <c r="AD144" s="31"/>
      <c r="AE144" s="31"/>
      <c r="AF144" s="31"/>
      <c r="AG144" s="31"/>
      <c r="AH144" s="31">
        <v>24</v>
      </c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t="s">
        <v>75</v>
      </c>
      <c r="BD144">
        <v>139</v>
      </c>
      <c r="BF144" s="30">
        <f>IF($BD144="","",SUMIF($BD$6:$BD$2000,$BD144,$J$6:$J$2000))</f>
        <v>15289</v>
      </c>
    </row>
    <row r="145" spans="1:58" ht="19.5" customHeight="1" x14ac:dyDescent="0.25">
      <c r="A145" s="96" t="s">
        <v>2054</v>
      </c>
      <c r="B145" s="32" t="s">
        <v>71</v>
      </c>
      <c r="C145" s="33">
        <v>144</v>
      </c>
      <c r="D145" s="32" t="s">
        <v>315</v>
      </c>
      <c r="E145" s="32" t="s">
        <v>309</v>
      </c>
      <c r="F145" s="33" t="s">
        <v>276</v>
      </c>
      <c r="G145" s="34">
        <v>46143</v>
      </c>
      <c r="H145" s="35">
        <f t="shared" si="7"/>
        <v>48</v>
      </c>
      <c r="I145" s="35">
        <f t="shared" si="8"/>
        <v>48</v>
      </c>
      <c r="J145" s="36">
        <f t="shared" si="9"/>
        <v>29332</v>
      </c>
      <c r="K145" s="37"/>
      <c r="L145" s="37"/>
      <c r="M145" s="37"/>
      <c r="N145" s="37"/>
      <c r="O145" s="37"/>
      <c r="P145" s="37">
        <v>2</v>
      </c>
      <c r="Q145" s="37"/>
      <c r="R145" s="37"/>
      <c r="S145" s="37"/>
      <c r="T145" s="37"/>
      <c r="U145" s="37">
        <v>44</v>
      </c>
      <c r="V145" s="37"/>
      <c r="W145" s="37"/>
      <c r="X145" s="37"/>
      <c r="Y145" s="37"/>
      <c r="Z145" s="37"/>
      <c r="AA145" s="37">
        <v>2</v>
      </c>
      <c r="AB145" s="37"/>
      <c r="AC145" s="37"/>
      <c r="AD145" s="37"/>
      <c r="AE145" s="37"/>
      <c r="AF145" s="37"/>
      <c r="AG145" s="37"/>
      <c r="AH145" s="37">
        <v>48</v>
      </c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t="s">
        <v>75</v>
      </c>
      <c r="BD145">
        <v>140</v>
      </c>
      <c r="BF145" s="30">
        <f>IF($BD145="","",SUMIF($BD$6:$BD$2000,$BD145,$J$6:$J$2000))</f>
        <v>29332</v>
      </c>
    </row>
    <row r="146" spans="1:58" ht="19.5" customHeight="1" x14ac:dyDescent="0.25">
      <c r="A146" s="96" t="s">
        <v>2054</v>
      </c>
      <c r="B146" s="26" t="s">
        <v>71</v>
      </c>
      <c r="C146" s="27">
        <v>145</v>
      </c>
      <c r="D146" s="26" t="s">
        <v>316</v>
      </c>
      <c r="E146" s="26" t="s">
        <v>165</v>
      </c>
      <c r="F146" s="27" t="s">
        <v>160</v>
      </c>
      <c r="G146" s="28">
        <v>46388</v>
      </c>
      <c r="H146" s="29">
        <f t="shared" si="7"/>
        <v>20</v>
      </c>
      <c r="I146" s="29">
        <f t="shared" si="8"/>
        <v>20</v>
      </c>
      <c r="J146" s="30">
        <f t="shared" si="9"/>
        <v>17950</v>
      </c>
      <c r="K146" s="31">
        <v>5</v>
      </c>
      <c r="L146" s="31"/>
      <c r="M146" s="31"/>
      <c r="N146" s="31">
        <v>12</v>
      </c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>
        <v>3</v>
      </c>
      <c r="AB146" s="31"/>
      <c r="AC146" s="31"/>
      <c r="AD146" s="31"/>
      <c r="AE146" s="31"/>
      <c r="AF146" s="31"/>
      <c r="AG146" s="31"/>
      <c r="AH146" s="31"/>
      <c r="AI146" s="31"/>
      <c r="AJ146" s="31">
        <v>20</v>
      </c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t="s">
        <v>75</v>
      </c>
      <c r="BD146">
        <v>141</v>
      </c>
      <c r="BF146" s="30">
        <f>IF($BD146="","",SUMIF($BD$6:$BD$2000,$BD146,$J$6:$J$2000))</f>
        <v>17950</v>
      </c>
    </row>
    <row r="147" spans="1:58" ht="19.5" customHeight="1" x14ac:dyDescent="0.25">
      <c r="A147" s="96" t="s">
        <v>2054</v>
      </c>
      <c r="B147" s="32" t="s">
        <v>71</v>
      </c>
      <c r="C147" s="33">
        <v>146</v>
      </c>
      <c r="D147" s="32" t="s">
        <v>317</v>
      </c>
      <c r="E147" s="32" t="s">
        <v>206</v>
      </c>
      <c r="F147" s="33" t="s">
        <v>207</v>
      </c>
      <c r="G147" s="34">
        <v>46266</v>
      </c>
      <c r="H147" s="35">
        <f t="shared" si="7"/>
        <v>41</v>
      </c>
      <c r="I147" s="35">
        <f t="shared" si="8"/>
        <v>32</v>
      </c>
      <c r="J147" s="36">
        <f t="shared" si="9"/>
        <v>19792</v>
      </c>
      <c r="K147" s="37">
        <v>11</v>
      </c>
      <c r="L147" s="37"/>
      <c r="M147" s="37"/>
      <c r="N147" s="37">
        <v>12</v>
      </c>
      <c r="O147" s="37"/>
      <c r="P147" s="37">
        <v>1</v>
      </c>
      <c r="Q147" s="37"/>
      <c r="R147" s="37"/>
      <c r="S147" s="37"/>
      <c r="T147" s="37"/>
      <c r="U147" s="37">
        <v>14</v>
      </c>
      <c r="V147" s="37"/>
      <c r="W147" s="37"/>
      <c r="X147" s="37"/>
      <c r="Y147" s="37"/>
      <c r="Z147" s="37"/>
      <c r="AA147" s="37">
        <v>3</v>
      </c>
      <c r="AB147" s="37"/>
      <c r="AC147" s="37"/>
      <c r="AD147" s="37"/>
      <c r="AE147" s="37"/>
      <c r="AF147" s="37"/>
      <c r="AG147" s="37"/>
      <c r="AH147" s="37">
        <v>32</v>
      </c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t="s">
        <v>75</v>
      </c>
      <c r="BD147">
        <v>142</v>
      </c>
      <c r="BF147" s="30">
        <f>IF($BD147="","",SUMIF($BD$6:$BD$2000,$BD147,$J$6:$J$2000))</f>
        <v>19792</v>
      </c>
    </row>
    <row r="148" spans="1:58" ht="19.5" customHeight="1" x14ac:dyDescent="0.25">
      <c r="A148" s="96" t="s">
        <v>2054</v>
      </c>
      <c r="B148" s="26" t="s">
        <v>71</v>
      </c>
      <c r="C148" s="27">
        <v>147</v>
      </c>
      <c r="D148" s="26" t="s">
        <v>318</v>
      </c>
      <c r="E148" s="26" t="s">
        <v>314</v>
      </c>
      <c r="F148" s="27" t="s">
        <v>210</v>
      </c>
      <c r="G148" s="28">
        <v>46204</v>
      </c>
      <c r="H148" s="29">
        <f t="shared" si="7"/>
        <v>53</v>
      </c>
      <c r="I148" s="29">
        <f t="shared" si="8"/>
        <v>48</v>
      </c>
      <c r="J148" s="30">
        <f t="shared" si="9"/>
        <v>41200</v>
      </c>
      <c r="K148" s="31">
        <v>29</v>
      </c>
      <c r="L148" s="31"/>
      <c r="M148" s="31"/>
      <c r="N148" s="31">
        <v>3</v>
      </c>
      <c r="O148" s="31">
        <v>11</v>
      </c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>
        <v>10</v>
      </c>
      <c r="AB148" s="31"/>
      <c r="AC148" s="31"/>
      <c r="AD148" s="31"/>
      <c r="AE148" s="31"/>
      <c r="AF148" s="31"/>
      <c r="AG148" s="31"/>
      <c r="AH148" s="31">
        <v>8</v>
      </c>
      <c r="AI148" s="31"/>
      <c r="AJ148" s="31">
        <v>40</v>
      </c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t="s">
        <v>75</v>
      </c>
      <c r="BD148">
        <v>143</v>
      </c>
      <c r="BF148" s="30">
        <f>IF($BD148="","",SUMIF($BD$6:$BD$2000,$BD148,$J$6:$J$2000))</f>
        <v>41200</v>
      </c>
    </row>
    <row r="149" spans="1:58" ht="19.5" customHeight="1" x14ac:dyDescent="0.25">
      <c r="A149" s="96" t="s">
        <v>2054</v>
      </c>
      <c r="B149" s="32" t="s">
        <v>71</v>
      </c>
      <c r="C149" s="33">
        <v>148</v>
      </c>
      <c r="D149" s="32" t="s">
        <v>319</v>
      </c>
      <c r="E149" s="32" t="s">
        <v>73</v>
      </c>
      <c r="F149" s="33" t="s">
        <v>74</v>
      </c>
      <c r="G149" s="34">
        <v>46296</v>
      </c>
      <c r="H149" s="35">
        <f t="shared" si="7"/>
        <v>31</v>
      </c>
      <c r="I149" s="35">
        <f t="shared" si="8"/>
        <v>32</v>
      </c>
      <c r="J149" s="36">
        <f t="shared" si="9"/>
        <v>19340</v>
      </c>
      <c r="K149" s="37">
        <v>13</v>
      </c>
      <c r="L149" s="37"/>
      <c r="M149" s="37">
        <v>9</v>
      </c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>
        <v>9</v>
      </c>
      <c r="AB149" s="37"/>
      <c r="AC149" s="37"/>
      <c r="AD149" s="37"/>
      <c r="AE149" s="37"/>
      <c r="AF149" s="37"/>
      <c r="AG149" s="37"/>
      <c r="AH149" s="37">
        <v>32</v>
      </c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t="s">
        <v>75</v>
      </c>
      <c r="BD149">
        <v>144</v>
      </c>
      <c r="BF149" s="30">
        <f>IF($BD149="","",SUMIF($BD$6:$BD$2000,$BD149,$J$6:$J$2000))</f>
        <v>19340</v>
      </c>
    </row>
    <row r="150" spans="1:58" ht="19.5" customHeight="1" x14ac:dyDescent="0.25">
      <c r="A150" s="96" t="s">
        <v>2054</v>
      </c>
      <c r="B150" s="26" t="s">
        <v>71</v>
      </c>
      <c r="C150" s="27">
        <v>149</v>
      </c>
      <c r="D150" s="26" t="s">
        <v>320</v>
      </c>
      <c r="E150" s="26" t="s">
        <v>165</v>
      </c>
      <c r="F150" s="27" t="s">
        <v>160</v>
      </c>
      <c r="G150" s="28">
        <v>46388</v>
      </c>
      <c r="H150" s="29">
        <f t="shared" si="7"/>
        <v>22</v>
      </c>
      <c r="I150" s="29">
        <f t="shared" si="8"/>
        <v>40</v>
      </c>
      <c r="J150" s="30">
        <f t="shared" si="9"/>
        <v>22737</v>
      </c>
      <c r="K150" s="31">
        <v>2</v>
      </c>
      <c r="L150" s="31"/>
      <c r="M150" s="31"/>
      <c r="N150" s="31">
        <v>1</v>
      </c>
      <c r="O150" s="31"/>
      <c r="P150" s="31"/>
      <c r="Q150" s="31"/>
      <c r="R150" s="31"/>
      <c r="S150" s="31"/>
      <c r="T150" s="31"/>
      <c r="U150" s="31">
        <v>19</v>
      </c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>
        <v>40</v>
      </c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t="s">
        <v>75</v>
      </c>
      <c r="BD150">
        <v>145</v>
      </c>
      <c r="BF150" s="30">
        <f>IF($BD150="","",SUMIF($BD$6:$BD$2000,$BD150,$J$6:$J$2000))</f>
        <v>22737</v>
      </c>
    </row>
    <row r="151" spans="1:58" ht="19.5" customHeight="1" x14ac:dyDescent="0.25">
      <c r="A151" s="96" t="s">
        <v>2054</v>
      </c>
      <c r="B151" s="32" t="s">
        <v>71</v>
      </c>
      <c r="C151" s="33">
        <v>150</v>
      </c>
      <c r="D151" s="32" t="s">
        <v>180</v>
      </c>
      <c r="E151" s="32" t="s">
        <v>165</v>
      </c>
      <c r="F151" s="33" t="s">
        <v>160</v>
      </c>
      <c r="G151" s="34">
        <v>46266</v>
      </c>
      <c r="H151" s="35">
        <f t="shared" si="7"/>
        <v>29</v>
      </c>
      <c r="I151" s="35">
        <f t="shared" si="8"/>
        <v>28</v>
      </c>
      <c r="J151" s="36">
        <f t="shared" si="9"/>
        <v>17370</v>
      </c>
      <c r="K151" s="37">
        <v>13</v>
      </c>
      <c r="L151" s="37"/>
      <c r="M151" s="37">
        <v>4</v>
      </c>
      <c r="N151" s="37">
        <v>1</v>
      </c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>
        <v>11</v>
      </c>
      <c r="AB151" s="37"/>
      <c r="AC151" s="37"/>
      <c r="AD151" s="37"/>
      <c r="AE151" s="37"/>
      <c r="AF151" s="37"/>
      <c r="AG151" s="37"/>
      <c r="AH151" s="37">
        <v>28</v>
      </c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t="s">
        <v>75</v>
      </c>
      <c r="BD151">
        <v>146</v>
      </c>
      <c r="BF151" s="30">
        <f>IF($BD151="","",SUMIF($BD$6:$BD$2000,$BD151,$J$6:$J$2000))</f>
        <v>17370</v>
      </c>
    </row>
    <row r="152" spans="1:58" ht="19.5" customHeight="1" x14ac:dyDescent="0.25">
      <c r="A152" s="96" t="s">
        <v>2054</v>
      </c>
      <c r="B152" s="26" t="s">
        <v>71</v>
      </c>
      <c r="C152" s="27">
        <v>151</v>
      </c>
      <c r="D152" s="26" t="s">
        <v>321</v>
      </c>
      <c r="E152" s="26" t="s">
        <v>322</v>
      </c>
      <c r="F152" s="27" t="s">
        <v>74</v>
      </c>
      <c r="G152" s="28">
        <v>46235</v>
      </c>
      <c r="H152" s="29">
        <f t="shared" si="7"/>
        <v>21</v>
      </c>
      <c r="I152" s="29">
        <f t="shared" si="8"/>
        <v>14</v>
      </c>
      <c r="J152" s="30">
        <f t="shared" si="9"/>
        <v>9950</v>
      </c>
      <c r="K152" s="31">
        <v>8</v>
      </c>
      <c r="L152" s="31"/>
      <c r="M152" s="31">
        <v>6</v>
      </c>
      <c r="N152" s="31">
        <v>1</v>
      </c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>
        <v>4</v>
      </c>
      <c r="AB152" s="31"/>
      <c r="AC152" s="31"/>
      <c r="AD152" s="31">
        <v>2</v>
      </c>
      <c r="AE152" s="31"/>
      <c r="AF152" s="31"/>
      <c r="AG152" s="31"/>
      <c r="AH152" s="31">
        <v>14</v>
      </c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t="s">
        <v>75</v>
      </c>
      <c r="BD152">
        <v>147</v>
      </c>
      <c r="BF152" s="30">
        <f>IF($BD152="","",SUMIF($BD$6:$BD$2000,$BD152,$J$6:$J$2000))</f>
        <v>9950</v>
      </c>
    </row>
    <row r="153" spans="1:58" ht="19.5" customHeight="1" x14ac:dyDescent="0.25">
      <c r="A153" s="96" t="s">
        <v>2054</v>
      </c>
      <c r="B153" s="32" t="s">
        <v>71</v>
      </c>
      <c r="C153" s="33">
        <v>152</v>
      </c>
      <c r="D153" s="32" t="s">
        <v>323</v>
      </c>
      <c r="E153" s="32" t="s">
        <v>322</v>
      </c>
      <c r="F153" s="33" t="s">
        <v>74</v>
      </c>
      <c r="G153" s="34">
        <v>46235</v>
      </c>
      <c r="H153" s="35">
        <f t="shared" si="7"/>
        <v>27</v>
      </c>
      <c r="I153" s="35">
        <f t="shared" si="8"/>
        <v>40</v>
      </c>
      <c r="J153" s="36">
        <f t="shared" si="9"/>
        <v>23560</v>
      </c>
      <c r="K153" s="37">
        <v>9</v>
      </c>
      <c r="L153" s="37"/>
      <c r="M153" s="37">
        <v>7</v>
      </c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>
        <v>11</v>
      </c>
      <c r="AB153" s="37"/>
      <c r="AC153" s="37"/>
      <c r="AD153" s="37"/>
      <c r="AE153" s="37"/>
      <c r="AF153" s="37"/>
      <c r="AG153" s="37"/>
      <c r="AH153" s="37">
        <v>40</v>
      </c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t="s">
        <v>75</v>
      </c>
      <c r="BD153">
        <v>148</v>
      </c>
      <c r="BF153" s="30">
        <f>IF($BD153="","",SUMIF($BD$6:$BD$2000,$BD153,$J$6:$J$2000))</f>
        <v>23560</v>
      </c>
    </row>
    <row r="154" spans="1:58" ht="19.5" customHeight="1" x14ac:dyDescent="0.25">
      <c r="A154" s="96" t="s">
        <v>2054</v>
      </c>
      <c r="B154" s="26" t="s">
        <v>71</v>
      </c>
      <c r="C154" s="27">
        <v>153</v>
      </c>
      <c r="D154" s="26" t="s">
        <v>324</v>
      </c>
      <c r="E154" s="26" t="s">
        <v>94</v>
      </c>
      <c r="F154" s="27" t="s">
        <v>74</v>
      </c>
      <c r="G154" s="28">
        <v>46143</v>
      </c>
      <c r="H154" s="29">
        <f t="shared" si="7"/>
        <v>23</v>
      </c>
      <c r="I154" s="29">
        <f t="shared" si="8"/>
        <v>16</v>
      </c>
      <c r="J154" s="30">
        <f t="shared" si="9"/>
        <v>15280</v>
      </c>
      <c r="K154" s="31">
        <v>10</v>
      </c>
      <c r="L154" s="31"/>
      <c r="M154" s="31"/>
      <c r="N154" s="31">
        <v>5</v>
      </c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>
        <v>8</v>
      </c>
      <c r="AB154" s="31"/>
      <c r="AC154" s="31"/>
      <c r="AD154" s="31"/>
      <c r="AE154" s="31"/>
      <c r="AF154" s="31"/>
      <c r="AG154" s="31"/>
      <c r="AH154" s="31"/>
      <c r="AI154" s="31"/>
      <c r="AJ154" s="31">
        <v>16</v>
      </c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t="s">
        <v>75</v>
      </c>
      <c r="BD154">
        <v>149</v>
      </c>
      <c r="BF154" s="30">
        <f>IF($BD154="","",SUMIF($BD$6:$BD$2000,$BD154,$J$6:$J$2000))</f>
        <v>15280</v>
      </c>
    </row>
    <row r="155" spans="1:58" ht="19.5" customHeight="1" x14ac:dyDescent="0.25">
      <c r="A155" s="96" t="s">
        <v>2054</v>
      </c>
      <c r="B155" s="32" t="s">
        <v>71</v>
      </c>
      <c r="C155" s="33">
        <v>154</v>
      </c>
      <c r="D155" s="32" t="s">
        <v>325</v>
      </c>
      <c r="E155" s="32" t="s">
        <v>153</v>
      </c>
      <c r="F155" s="33" t="s">
        <v>142</v>
      </c>
      <c r="G155" s="34">
        <v>46235</v>
      </c>
      <c r="H155" s="35">
        <f t="shared" si="7"/>
        <v>56</v>
      </c>
      <c r="I155" s="35">
        <f t="shared" si="8"/>
        <v>25</v>
      </c>
      <c r="J155" s="36">
        <f t="shared" si="9"/>
        <v>25193</v>
      </c>
      <c r="K155" s="37">
        <v>20</v>
      </c>
      <c r="L155" s="37"/>
      <c r="M155" s="37">
        <v>3</v>
      </c>
      <c r="N155" s="37">
        <v>14</v>
      </c>
      <c r="O155" s="37"/>
      <c r="P155" s="37"/>
      <c r="Q155" s="37"/>
      <c r="R155" s="37"/>
      <c r="S155" s="37"/>
      <c r="T155" s="37"/>
      <c r="U155" s="37">
        <v>6</v>
      </c>
      <c r="V155" s="37"/>
      <c r="W155" s="37"/>
      <c r="X155" s="37"/>
      <c r="Y155" s="37"/>
      <c r="Z155" s="37"/>
      <c r="AA155" s="37">
        <v>13</v>
      </c>
      <c r="AB155" s="37"/>
      <c r="AC155" s="37"/>
      <c r="AD155" s="37"/>
      <c r="AE155" s="37"/>
      <c r="AF155" s="37"/>
      <c r="AG155" s="37"/>
      <c r="AH155" s="37"/>
      <c r="AI155" s="37"/>
      <c r="AJ155" s="37">
        <v>25</v>
      </c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t="s">
        <v>75</v>
      </c>
      <c r="BD155">
        <v>150</v>
      </c>
      <c r="BF155" s="30">
        <f>IF($BD155="","",SUMIF($BD$6:$BD$2000,$BD155,$J$6:$J$2000))</f>
        <v>25193</v>
      </c>
    </row>
    <row r="156" spans="1:58" ht="19.5" customHeight="1" x14ac:dyDescent="0.25">
      <c r="A156" s="96" t="s">
        <v>2054</v>
      </c>
      <c r="B156" s="26" t="s">
        <v>71</v>
      </c>
      <c r="C156" s="27">
        <v>155</v>
      </c>
      <c r="D156" s="26" t="s">
        <v>326</v>
      </c>
      <c r="E156" s="26" t="s">
        <v>165</v>
      </c>
      <c r="F156" s="27" t="s">
        <v>160</v>
      </c>
      <c r="G156" s="28">
        <v>46266</v>
      </c>
      <c r="H156" s="29">
        <f t="shared" si="7"/>
        <v>39</v>
      </c>
      <c r="I156" s="29">
        <f t="shared" si="8"/>
        <v>32</v>
      </c>
      <c r="J156" s="30">
        <f t="shared" si="9"/>
        <v>29406</v>
      </c>
      <c r="K156" s="31">
        <v>17</v>
      </c>
      <c r="L156" s="31"/>
      <c r="M156" s="31">
        <v>2</v>
      </c>
      <c r="N156" s="31">
        <v>8</v>
      </c>
      <c r="O156" s="31"/>
      <c r="P156" s="31"/>
      <c r="Q156" s="31"/>
      <c r="R156" s="31"/>
      <c r="S156" s="31"/>
      <c r="T156" s="31">
        <v>2</v>
      </c>
      <c r="U156" s="31">
        <v>2</v>
      </c>
      <c r="V156" s="31"/>
      <c r="W156" s="31"/>
      <c r="X156" s="31"/>
      <c r="Y156" s="31"/>
      <c r="Z156" s="31"/>
      <c r="AA156" s="31">
        <v>8</v>
      </c>
      <c r="AB156" s="31"/>
      <c r="AC156" s="31"/>
      <c r="AD156" s="31"/>
      <c r="AE156" s="31"/>
      <c r="AF156" s="31"/>
      <c r="AG156" s="31"/>
      <c r="AH156" s="31"/>
      <c r="AI156" s="31"/>
      <c r="AJ156" s="31">
        <v>32</v>
      </c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t="s">
        <v>75</v>
      </c>
      <c r="BD156">
        <v>151</v>
      </c>
      <c r="BF156" s="30">
        <f>IF($BD156="","",SUMIF($BD$6:$BD$2000,$BD156,$J$6:$J$2000))</f>
        <v>29406</v>
      </c>
    </row>
    <row r="157" spans="1:58" ht="19.5" customHeight="1" x14ac:dyDescent="0.25">
      <c r="A157" s="96" t="s">
        <v>2054</v>
      </c>
      <c r="B157" s="32" t="s">
        <v>71</v>
      </c>
      <c r="C157" s="33">
        <v>156</v>
      </c>
      <c r="D157" s="32" t="s">
        <v>327</v>
      </c>
      <c r="E157" s="32" t="s">
        <v>119</v>
      </c>
      <c r="F157" s="33" t="s">
        <v>120</v>
      </c>
      <c r="G157" s="34">
        <v>46235</v>
      </c>
      <c r="H157" s="35">
        <f t="shared" si="7"/>
        <v>23</v>
      </c>
      <c r="I157" s="35">
        <f t="shared" si="8"/>
        <v>32</v>
      </c>
      <c r="J157" s="36">
        <f t="shared" si="9"/>
        <v>18510</v>
      </c>
      <c r="K157" s="37">
        <v>17</v>
      </c>
      <c r="L157" s="37"/>
      <c r="M157" s="37"/>
      <c r="N157" s="37">
        <v>1</v>
      </c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>
        <v>5</v>
      </c>
      <c r="AB157" s="37"/>
      <c r="AC157" s="37"/>
      <c r="AD157" s="37"/>
      <c r="AE157" s="37"/>
      <c r="AF157" s="37"/>
      <c r="AG157" s="37"/>
      <c r="AH157" s="37">
        <v>32</v>
      </c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t="s">
        <v>75</v>
      </c>
      <c r="BD157">
        <v>152</v>
      </c>
      <c r="BF157" s="30">
        <f>IF($BD157="","",SUMIF($BD$6:$BD$2000,$BD157,$J$6:$J$2000))</f>
        <v>18510</v>
      </c>
    </row>
    <row r="158" spans="1:58" ht="19.5" customHeight="1" x14ac:dyDescent="0.25">
      <c r="A158" s="96" t="s">
        <v>2054</v>
      </c>
      <c r="B158" s="26" t="s">
        <v>71</v>
      </c>
      <c r="C158" s="27">
        <v>157</v>
      </c>
      <c r="D158" s="26" t="s">
        <v>328</v>
      </c>
      <c r="E158" s="26" t="s">
        <v>119</v>
      </c>
      <c r="F158" s="27" t="s">
        <v>120</v>
      </c>
      <c r="G158" s="28">
        <v>46082</v>
      </c>
      <c r="H158" s="29">
        <f t="shared" si="7"/>
        <v>39</v>
      </c>
      <c r="I158" s="29">
        <f t="shared" si="8"/>
        <v>41</v>
      </c>
      <c r="J158" s="30">
        <f t="shared" si="9"/>
        <v>25865</v>
      </c>
      <c r="K158" s="31">
        <v>20</v>
      </c>
      <c r="L158" s="31"/>
      <c r="M158" s="31"/>
      <c r="N158" s="31">
        <v>7</v>
      </c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>
        <v>10</v>
      </c>
      <c r="AA158" s="31">
        <v>2</v>
      </c>
      <c r="AB158" s="31"/>
      <c r="AC158" s="31"/>
      <c r="AD158" s="31"/>
      <c r="AE158" s="31"/>
      <c r="AF158" s="31"/>
      <c r="AG158" s="31"/>
      <c r="AH158" s="31">
        <v>37</v>
      </c>
      <c r="AI158" s="31"/>
      <c r="AJ158" s="31">
        <v>4</v>
      </c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t="s">
        <v>75</v>
      </c>
      <c r="BD158">
        <v>153</v>
      </c>
      <c r="BF158" s="30">
        <f>IF($BD158="","",SUMIF($BD$6:$BD$2000,$BD158,$J$6:$J$2000))</f>
        <v>25865</v>
      </c>
    </row>
    <row r="159" spans="1:58" ht="19.5" customHeight="1" x14ac:dyDescent="0.25">
      <c r="A159" s="96" t="s">
        <v>2054</v>
      </c>
      <c r="B159" s="32" t="s">
        <v>71</v>
      </c>
      <c r="C159" s="33">
        <v>158</v>
      </c>
      <c r="D159" s="32" t="s">
        <v>329</v>
      </c>
      <c r="E159" s="32" t="s">
        <v>73</v>
      </c>
      <c r="F159" s="33" t="s">
        <v>74</v>
      </c>
      <c r="G159" s="34">
        <v>46204</v>
      </c>
      <c r="H159" s="35">
        <f t="shared" si="7"/>
        <v>23</v>
      </c>
      <c r="I159" s="35">
        <f t="shared" si="8"/>
        <v>28</v>
      </c>
      <c r="J159" s="36">
        <f t="shared" si="9"/>
        <v>24690</v>
      </c>
      <c r="K159" s="37">
        <v>7</v>
      </c>
      <c r="L159" s="37"/>
      <c r="M159" s="37">
        <v>12</v>
      </c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>
        <v>4</v>
      </c>
      <c r="AB159" s="37"/>
      <c r="AC159" s="37"/>
      <c r="AD159" s="37"/>
      <c r="AE159" s="37"/>
      <c r="AF159" s="37"/>
      <c r="AG159" s="37"/>
      <c r="AH159" s="37"/>
      <c r="AI159" s="37"/>
      <c r="AJ159" s="37">
        <v>28</v>
      </c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t="s">
        <v>75</v>
      </c>
      <c r="BD159">
        <v>154</v>
      </c>
      <c r="BF159" s="30">
        <f>IF($BD159="","",SUMIF($BD$6:$BD$2000,$BD159,$J$6:$J$2000))</f>
        <v>24690</v>
      </c>
    </row>
    <row r="160" spans="1:58" ht="19.5" customHeight="1" x14ac:dyDescent="0.25">
      <c r="A160" s="96" t="s">
        <v>2054</v>
      </c>
      <c r="B160" s="26" t="s">
        <v>71</v>
      </c>
      <c r="C160" s="27">
        <v>159</v>
      </c>
      <c r="D160" s="26" t="s">
        <v>330</v>
      </c>
      <c r="E160" s="26" t="s">
        <v>73</v>
      </c>
      <c r="F160" s="27" t="s">
        <v>74</v>
      </c>
      <c r="G160" s="28">
        <v>46388</v>
      </c>
      <c r="H160" s="29">
        <f t="shared" si="7"/>
        <v>22</v>
      </c>
      <c r="I160" s="29">
        <f t="shared" si="8"/>
        <v>12</v>
      </c>
      <c r="J160" s="30">
        <f t="shared" si="9"/>
        <v>8118</v>
      </c>
      <c r="K160" s="31"/>
      <c r="L160" s="31"/>
      <c r="M160" s="31"/>
      <c r="N160" s="31"/>
      <c r="O160" s="31"/>
      <c r="P160" s="31"/>
      <c r="Q160" s="31"/>
      <c r="R160" s="31"/>
      <c r="S160" s="31"/>
      <c r="T160" s="31">
        <v>9</v>
      </c>
      <c r="U160" s="31">
        <v>11</v>
      </c>
      <c r="V160" s="31"/>
      <c r="W160" s="31"/>
      <c r="X160" s="31"/>
      <c r="Y160" s="31"/>
      <c r="Z160" s="31"/>
      <c r="AA160" s="31">
        <v>2</v>
      </c>
      <c r="AB160" s="31"/>
      <c r="AC160" s="31"/>
      <c r="AD160" s="31"/>
      <c r="AE160" s="31"/>
      <c r="AF160" s="31"/>
      <c r="AG160" s="31"/>
      <c r="AH160" s="31">
        <v>12</v>
      </c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t="s">
        <v>75</v>
      </c>
      <c r="BD160">
        <v>155</v>
      </c>
      <c r="BF160" s="30">
        <f>IF($BD160="","",SUMIF($BD$6:$BD$2000,$BD160,$J$6:$J$2000))</f>
        <v>8118</v>
      </c>
    </row>
    <row r="161" spans="1:58" ht="19.5" customHeight="1" x14ac:dyDescent="0.25">
      <c r="A161" s="96" t="s">
        <v>2054</v>
      </c>
      <c r="B161" s="32" t="s">
        <v>71</v>
      </c>
      <c r="C161" s="33">
        <v>160</v>
      </c>
      <c r="D161" s="32" t="s">
        <v>331</v>
      </c>
      <c r="E161" s="32" t="s">
        <v>332</v>
      </c>
      <c r="F161" s="33" t="s">
        <v>226</v>
      </c>
      <c r="G161" s="34">
        <v>46296</v>
      </c>
      <c r="H161" s="35">
        <f t="shared" si="7"/>
        <v>28</v>
      </c>
      <c r="I161" s="35">
        <f t="shared" si="8"/>
        <v>20</v>
      </c>
      <c r="J161" s="36">
        <f t="shared" si="9"/>
        <v>13206</v>
      </c>
      <c r="K161" s="37"/>
      <c r="L161" s="37"/>
      <c r="M161" s="37"/>
      <c r="N161" s="37"/>
      <c r="O161" s="37"/>
      <c r="P161" s="37">
        <v>1</v>
      </c>
      <c r="Q161" s="37"/>
      <c r="R161" s="37"/>
      <c r="S161" s="37"/>
      <c r="T161" s="37"/>
      <c r="U161" s="37">
        <v>22</v>
      </c>
      <c r="V161" s="37"/>
      <c r="W161" s="37"/>
      <c r="X161" s="37"/>
      <c r="Y161" s="37"/>
      <c r="Z161" s="37"/>
      <c r="AA161" s="37">
        <v>5</v>
      </c>
      <c r="AB161" s="37"/>
      <c r="AC161" s="37"/>
      <c r="AD161" s="37"/>
      <c r="AE161" s="37"/>
      <c r="AF161" s="37"/>
      <c r="AG161" s="37"/>
      <c r="AH161" s="37">
        <v>20</v>
      </c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t="s">
        <v>75</v>
      </c>
      <c r="BD161">
        <v>156</v>
      </c>
      <c r="BF161" s="30">
        <f>IF($BD161="","",SUMIF($BD$6:$BD$2000,$BD161,$J$6:$J$2000))</f>
        <v>13206</v>
      </c>
    </row>
    <row r="162" spans="1:58" ht="19.5" customHeight="1" x14ac:dyDescent="0.25">
      <c r="A162" s="96" t="s">
        <v>2054</v>
      </c>
      <c r="B162" s="26" t="s">
        <v>71</v>
      </c>
      <c r="C162" s="27">
        <v>161</v>
      </c>
      <c r="D162" s="26" t="s">
        <v>333</v>
      </c>
      <c r="E162" s="26" t="s">
        <v>334</v>
      </c>
      <c r="F162" s="27" t="s">
        <v>246</v>
      </c>
      <c r="G162" s="28">
        <v>46266</v>
      </c>
      <c r="H162" s="29">
        <f t="shared" si="7"/>
        <v>36</v>
      </c>
      <c r="I162" s="29">
        <f t="shared" si="8"/>
        <v>28</v>
      </c>
      <c r="J162" s="30">
        <f t="shared" si="9"/>
        <v>17530</v>
      </c>
      <c r="K162" s="31">
        <v>14</v>
      </c>
      <c r="L162" s="31"/>
      <c r="M162" s="31"/>
      <c r="N162" s="31">
        <v>5</v>
      </c>
      <c r="O162" s="31">
        <v>9</v>
      </c>
      <c r="P162" s="31">
        <v>1</v>
      </c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>
        <v>7</v>
      </c>
      <c r="AB162" s="31"/>
      <c r="AC162" s="31"/>
      <c r="AD162" s="31"/>
      <c r="AE162" s="31"/>
      <c r="AF162" s="31"/>
      <c r="AG162" s="31"/>
      <c r="AH162" s="31">
        <v>28</v>
      </c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t="s">
        <v>75</v>
      </c>
      <c r="BD162">
        <v>157</v>
      </c>
      <c r="BF162" s="30">
        <f>IF($BD162="","",SUMIF($BD$6:$BD$2000,$BD162,$J$6:$J$2000))</f>
        <v>17530</v>
      </c>
    </row>
    <row r="163" spans="1:58" ht="19.5" customHeight="1" x14ac:dyDescent="0.25">
      <c r="A163" s="96" t="s">
        <v>2054</v>
      </c>
      <c r="B163" s="32" t="s">
        <v>71</v>
      </c>
      <c r="C163" s="33">
        <v>162</v>
      </c>
      <c r="D163" s="32" t="s">
        <v>335</v>
      </c>
      <c r="E163" s="32" t="s">
        <v>314</v>
      </c>
      <c r="F163" s="33" t="s">
        <v>210</v>
      </c>
      <c r="G163" s="34">
        <v>46204</v>
      </c>
      <c r="H163" s="35">
        <f t="shared" si="7"/>
        <v>36</v>
      </c>
      <c r="I163" s="35">
        <f t="shared" si="8"/>
        <v>29</v>
      </c>
      <c r="J163" s="36">
        <f t="shared" si="9"/>
        <v>18145</v>
      </c>
      <c r="K163" s="37">
        <v>10</v>
      </c>
      <c r="L163" s="37"/>
      <c r="M163" s="37"/>
      <c r="N163" s="37">
        <v>4</v>
      </c>
      <c r="O163" s="37">
        <v>14</v>
      </c>
      <c r="P163" s="37">
        <v>1</v>
      </c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>
        <v>7</v>
      </c>
      <c r="AB163" s="37"/>
      <c r="AC163" s="37"/>
      <c r="AD163" s="37"/>
      <c r="AE163" s="37"/>
      <c r="AF163" s="37"/>
      <c r="AG163" s="37"/>
      <c r="AH163" s="37">
        <v>29</v>
      </c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t="s">
        <v>75</v>
      </c>
      <c r="BD163">
        <v>158</v>
      </c>
      <c r="BF163" s="30">
        <f>IF($BD163="","",SUMIF($BD$6:$BD$2000,$BD163,$J$6:$J$2000))</f>
        <v>18145</v>
      </c>
    </row>
    <row r="164" spans="1:58" ht="19.5" customHeight="1" x14ac:dyDescent="0.25">
      <c r="A164" s="96" t="s">
        <v>2054</v>
      </c>
      <c r="B164" s="26" t="s">
        <v>71</v>
      </c>
      <c r="C164" s="27">
        <v>163</v>
      </c>
      <c r="D164" s="26" t="s">
        <v>336</v>
      </c>
      <c r="E164" s="26" t="s">
        <v>337</v>
      </c>
      <c r="F164" s="27" t="s">
        <v>74</v>
      </c>
      <c r="G164" s="28">
        <v>46142</v>
      </c>
      <c r="H164" s="29">
        <f t="shared" si="7"/>
        <v>31</v>
      </c>
      <c r="I164" s="29">
        <f t="shared" si="8"/>
        <v>26</v>
      </c>
      <c r="J164" s="30">
        <f t="shared" si="9"/>
        <v>16100</v>
      </c>
      <c r="K164" s="31">
        <v>13</v>
      </c>
      <c r="L164" s="31"/>
      <c r="M164" s="31">
        <v>2</v>
      </c>
      <c r="N164" s="31">
        <v>1</v>
      </c>
      <c r="O164" s="31"/>
      <c r="P164" s="31"/>
      <c r="Q164" s="31"/>
      <c r="R164" s="31"/>
      <c r="S164" s="31"/>
      <c r="T164" s="31">
        <v>8</v>
      </c>
      <c r="U164" s="31"/>
      <c r="V164" s="31"/>
      <c r="W164" s="31"/>
      <c r="X164" s="31"/>
      <c r="Y164" s="31"/>
      <c r="Z164" s="31"/>
      <c r="AA164" s="31">
        <v>7</v>
      </c>
      <c r="AB164" s="31"/>
      <c r="AC164" s="31"/>
      <c r="AD164" s="31"/>
      <c r="AE164" s="31"/>
      <c r="AF164" s="31"/>
      <c r="AG164" s="31"/>
      <c r="AH164" s="31">
        <v>26</v>
      </c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t="s">
        <v>75</v>
      </c>
      <c r="BD164">
        <v>159</v>
      </c>
      <c r="BF164" s="30">
        <f>IF($BD164="","",SUMIF($BD$6:$BD$2000,$BD164,$J$6:$J$2000))</f>
        <v>16100</v>
      </c>
    </row>
    <row r="165" spans="1:58" ht="19.5" customHeight="1" x14ac:dyDescent="0.25">
      <c r="A165" s="96" t="s">
        <v>2054</v>
      </c>
      <c r="B165" s="32" t="s">
        <v>71</v>
      </c>
      <c r="C165" s="33">
        <v>164</v>
      </c>
      <c r="D165" s="32" t="s">
        <v>338</v>
      </c>
      <c r="E165" s="32" t="s">
        <v>334</v>
      </c>
      <c r="F165" s="33" t="s">
        <v>246</v>
      </c>
      <c r="G165" s="34">
        <v>46266</v>
      </c>
      <c r="H165" s="35">
        <f t="shared" si="7"/>
        <v>47</v>
      </c>
      <c r="I165" s="35">
        <f t="shared" si="8"/>
        <v>24</v>
      </c>
      <c r="J165" s="36">
        <f t="shared" si="9"/>
        <v>16538</v>
      </c>
      <c r="K165" s="37">
        <v>3</v>
      </c>
      <c r="L165" s="37"/>
      <c r="M165" s="37">
        <v>1</v>
      </c>
      <c r="N165" s="37">
        <v>9</v>
      </c>
      <c r="O165" s="37"/>
      <c r="P165" s="37">
        <v>3</v>
      </c>
      <c r="Q165" s="37"/>
      <c r="R165" s="37"/>
      <c r="S165" s="37"/>
      <c r="T165" s="37"/>
      <c r="U165" s="37">
        <v>26</v>
      </c>
      <c r="V165" s="37"/>
      <c r="W165" s="37"/>
      <c r="X165" s="37"/>
      <c r="Y165" s="37"/>
      <c r="Z165" s="37"/>
      <c r="AA165" s="37">
        <v>5</v>
      </c>
      <c r="AB165" s="37"/>
      <c r="AC165" s="37"/>
      <c r="AD165" s="37"/>
      <c r="AE165" s="37"/>
      <c r="AF165" s="37"/>
      <c r="AG165" s="37"/>
      <c r="AH165" s="37">
        <v>24</v>
      </c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t="s">
        <v>75</v>
      </c>
      <c r="BD165">
        <v>160</v>
      </c>
      <c r="BF165" s="30">
        <f>IF($BD165="","",SUMIF($BD$6:$BD$2000,$BD165,$J$6:$J$2000))</f>
        <v>16538</v>
      </c>
    </row>
    <row r="166" spans="1:58" ht="19.5" customHeight="1" x14ac:dyDescent="0.25">
      <c r="A166" s="96" t="s">
        <v>2054</v>
      </c>
      <c r="B166" s="26" t="s">
        <v>71</v>
      </c>
      <c r="C166" s="27">
        <v>165</v>
      </c>
      <c r="D166" s="26" t="s">
        <v>339</v>
      </c>
      <c r="E166" s="26" t="s">
        <v>340</v>
      </c>
      <c r="F166" s="27" t="s">
        <v>74</v>
      </c>
      <c r="G166" s="28">
        <v>46204</v>
      </c>
      <c r="H166" s="29">
        <f t="shared" si="7"/>
        <v>24</v>
      </c>
      <c r="I166" s="29">
        <f t="shared" si="8"/>
        <v>22</v>
      </c>
      <c r="J166" s="30">
        <f t="shared" si="9"/>
        <v>20416</v>
      </c>
      <c r="K166" s="31">
        <v>9</v>
      </c>
      <c r="L166" s="31"/>
      <c r="M166" s="31">
        <v>3</v>
      </c>
      <c r="N166" s="31">
        <v>1</v>
      </c>
      <c r="O166" s="31"/>
      <c r="P166" s="31"/>
      <c r="Q166" s="31"/>
      <c r="R166" s="31"/>
      <c r="S166" s="31"/>
      <c r="T166" s="31"/>
      <c r="U166" s="31">
        <v>2</v>
      </c>
      <c r="V166" s="31"/>
      <c r="W166" s="31"/>
      <c r="X166" s="31"/>
      <c r="Y166" s="31"/>
      <c r="Z166" s="31"/>
      <c r="AA166" s="31">
        <v>9</v>
      </c>
      <c r="AB166" s="31"/>
      <c r="AC166" s="31"/>
      <c r="AD166" s="31"/>
      <c r="AE166" s="31"/>
      <c r="AF166" s="31"/>
      <c r="AG166" s="31"/>
      <c r="AH166" s="31"/>
      <c r="AI166" s="31"/>
      <c r="AJ166" s="31">
        <v>22</v>
      </c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t="s">
        <v>75</v>
      </c>
      <c r="BD166">
        <v>161</v>
      </c>
      <c r="BF166" s="30">
        <f>IF($BD166="","",SUMIF($BD$6:$BD$2000,$BD166,$J$6:$J$2000))</f>
        <v>20416</v>
      </c>
    </row>
    <row r="167" spans="1:58" ht="19.5" customHeight="1" x14ac:dyDescent="0.25">
      <c r="A167" s="96" t="s">
        <v>2054</v>
      </c>
      <c r="B167" s="32" t="s">
        <v>71</v>
      </c>
      <c r="C167" s="33">
        <v>166</v>
      </c>
      <c r="D167" s="32" t="s">
        <v>341</v>
      </c>
      <c r="E167" s="32" t="s">
        <v>144</v>
      </c>
      <c r="F167" s="33" t="s">
        <v>145</v>
      </c>
      <c r="G167" s="34">
        <v>46296</v>
      </c>
      <c r="H167" s="35">
        <f t="shared" si="7"/>
        <v>28</v>
      </c>
      <c r="I167" s="35">
        <f t="shared" si="8"/>
        <v>12</v>
      </c>
      <c r="J167" s="36">
        <f t="shared" si="9"/>
        <v>8722</v>
      </c>
      <c r="K167" s="37">
        <v>15</v>
      </c>
      <c r="L167" s="37"/>
      <c r="M167" s="37"/>
      <c r="N167" s="37">
        <v>1</v>
      </c>
      <c r="O167" s="37"/>
      <c r="P167" s="37"/>
      <c r="Q167" s="37"/>
      <c r="R167" s="37"/>
      <c r="S167" s="37"/>
      <c r="T167" s="37"/>
      <c r="U167" s="37">
        <v>4</v>
      </c>
      <c r="V167" s="37"/>
      <c r="W167" s="37"/>
      <c r="X167" s="37"/>
      <c r="Y167" s="37"/>
      <c r="Z167" s="37"/>
      <c r="AA167" s="37">
        <v>8</v>
      </c>
      <c r="AB167" s="37"/>
      <c r="AC167" s="37"/>
      <c r="AD167" s="37"/>
      <c r="AE167" s="37"/>
      <c r="AF167" s="37"/>
      <c r="AG167" s="37"/>
      <c r="AH167" s="37">
        <v>12</v>
      </c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t="s">
        <v>75</v>
      </c>
      <c r="BD167">
        <v>162</v>
      </c>
      <c r="BF167" s="30">
        <f>IF($BD167="","",SUMIF($BD$6:$BD$2000,$BD167,$J$6:$J$2000))</f>
        <v>8722</v>
      </c>
    </row>
    <row r="168" spans="1:58" ht="19.5" customHeight="1" x14ac:dyDescent="0.25">
      <c r="A168" s="96" t="s">
        <v>2054</v>
      </c>
      <c r="B168" s="26" t="s">
        <v>71</v>
      </c>
      <c r="C168" s="27">
        <v>167</v>
      </c>
      <c r="D168" s="26" t="s">
        <v>342</v>
      </c>
      <c r="E168" s="26" t="s">
        <v>165</v>
      </c>
      <c r="F168" s="27" t="s">
        <v>160</v>
      </c>
      <c r="G168" s="28">
        <v>46204</v>
      </c>
      <c r="H168" s="29">
        <f t="shared" si="7"/>
        <v>49</v>
      </c>
      <c r="I168" s="29">
        <f t="shared" si="8"/>
        <v>48</v>
      </c>
      <c r="J168" s="30">
        <f t="shared" si="9"/>
        <v>44340</v>
      </c>
      <c r="K168" s="31">
        <v>19</v>
      </c>
      <c r="L168" s="31"/>
      <c r="M168" s="31">
        <v>1</v>
      </c>
      <c r="N168" s="31">
        <v>9</v>
      </c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>
        <v>20</v>
      </c>
      <c r="AB168" s="31"/>
      <c r="AC168" s="31"/>
      <c r="AD168" s="31"/>
      <c r="AE168" s="31"/>
      <c r="AF168" s="31"/>
      <c r="AG168" s="31"/>
      <c r="AH168" s="31"/>
      <c r="AI168" s="31"/>
      <c r="AJ168" s="31">
        <v>48</v>
      </c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t="s">
        <v>75</v>
      </c>
      <c r="BD168">
        <v>163</v>
      </c>
      <c r="BF168" s="30">
        <f>IF($BD168="","",SUMIF($BD$6:$BD$2000,$BD168,$J$6:$J$2000))</f>
        <v>44340</v>
      </c>
    </row>
    <row r="169" spans="1:58" ht="19.5" customHeight="1" x14ac:dyDescent="0.25">
      <c r="A169" s="96" t="s">
        <v>2054</v>
      </c>
      <c r="B169" s="32" t="s">
        <v>71</v>
      </c>
      <c r="C169" s="33">
        <v>168</v>
      </c>
      <c r="D169" s="32" t="s">
        <v>343</v>
      </c>
      <c r="E169" s="32" t="s">
        <v>220</v>
      </c>
      <c r="F169" s="33" t="s">
        <v>221</v>
      </c>
      <c r="G169" s="34">
        <v>46054</v>
      </c>
      <c r="H169" s="35">
        <f t="shared" si="7"/>
        <v>26</v>
      </c>
      <c r="I169" s="35">
        <f t="shared" si="8"/>
        <v>36</v>
      </c>
      <c r="J169" s="36">
        <f t="shared" si="9"/>
        <v>21140</v>
      </c>
      <c r="K169" s="37">
        <v>8</v>
      </c>
      <c r="L169" s="37"/>
      <c r="M169" s="37">
        <v>5</v>
      </c>
      <c r="N169" s="37">
        <v>4</v>
      </c>
      <c r="O169" s="37">
        <v>1</v>
      </c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>
        <v>8</v>
      </c>
      <c r="AB169" s="37"/>
      <c r="AC169" s="37"/>
      <c r="AD169" s="37"/>
      <c r="AE169" s="37"/>
      <c r="AF169" s="37"/>
      <c r="AG169" s="37"/>
      <c r="AH169" s="37">
        <v>36</v>
      </c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t="s">
        <v>75</v>
      </c>
      <c r="BD169">
        <v>164</v>
      </c>
      <c r="BF169" s="30">
        <f>IF($BD169="","",SUMIF($BD$6:$BD$2000,$BD169,$J$6:$J$2000))</f>
        <v>21140</v>
      </c>
    </row>
    <row r="170" spans="1:58" ht="19.5" customHeight="1" x14ac:dyDescent="0.25">
      <c r="A170" s="96" t="s">
        <v>2054</v>
      </c>
      <c r="B170" s="26" t="s">
        <v>71</v>
      </c>
      <c r="C170" s="27">
        <v>169</v>
      </c>
      <c r="D170" s="26" t="s">
        <v>344</v>
      </c>
      <c r="E170" s="26" t="s">
        <v>345</v>
      </c>
      <c r="F170" s="27" t="s">
        <v>133</v>
      </c>
      <c r="G170" s="28">
        <v>46204</v>
      </c>
      <c r="H170" s="29">
        <f t="shared" si="7"/>
        <v>34</v>
      </c>
      <c r="I170" s="29">
        <f t="shared" si="8"/>
        <v>32</v>
      </c>
      <c r="J170" s="30">
        <f t="shared" si="9"/>
        <v>29750</v>
      </c>
      <c r="K170" s="31">
        <v>12</v>
      </c>
      <c r="L170" s="31"/>
      <c r="M170" s="31">
        <v>7</v>
      </c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>
        <v>15</v>
      </c>
      <c r="AB170" s="31"/>
      <c r="AC170" s="31"/>
      <c r="AD170" s="31"/>
      <c r="AE170" s="31"/>
      <c r="AF170" s="31"/>
      <c r="AG170" s="31"/>
      <c r="AH170" s="31"/>
      <c r="AI170" s="31"/>
      <c r="AJ170" s="31">
        <v>32</v>
      </c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t="s">
        <v>75</v>
      </c>
      <c r="BD170">
        <v>165</v>
      </c>
      <c r="BF170" s="30">
        <f>IF($BD170="","",SUMIF($BD$6:$BD$2000,$BD170,$J$6:$J$2000))</f>
        <v>29750</v>
      </c>
    </row>
    <row r="171" spans="1:58" ht="19.5" customHeight="1" x14ac:dyDescent="0.25">
      <c r="A171" s="96" t="s">
        <v>2054</v>
      </c>
      <c r="B171" s="32" t="s">
        <v>71</v>
      </c>
      <c r="C171" s="33">
        <v>171</v>
      </c>
      <c r="D171" s="32" t="s">
        <v>346</v>
      </c>
      <c r="E171" s="32" t="s">
        <v>77</v>
      </c>
      <c r="F171" s="33" t="s">
        <v>74</v>
      </c>
      <c r="G171" s="34">
        <v>46204</v>
      </c>
      <c r="H171" s="35">
        <f t="shared" si="7"/>
        <v>26</v>
      </c>
      <c r="I171" s="35">
        <f t="shared" si="8"/>
        <v>32</v>
      </c>
      <c r="J171" s="36">
        <f t="shared" si="9"/>
        <v>18790</v>
      </c>
      <c r="K171" s="37">
        <v>13</v>
      </c>
      <c r="L171" s="37"/>
      <c r="M171" s="37">
        <v>4</v>
      </c>
      <c r="N171" s="37">
        <v>3</v>
      </c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>
        <v>6</v>
      </c>
      <c r="AB171" s="37"/>
      <c r="AC171" s="37"/>
      <c r="AD171" s="37"/>
      <c r="AE171" s="37"/>
      <c r="AF171" s="37"/>
      <c r="AG171" s="37"/>
      <c r="AH171" s="37">
        <v>32</v>
      </c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t="s">
        <v>75</v>
      </c>
      <c r="BD171">
        <v>166</v>
      </c>
      <c r="BF171" s="30">
        <f>IF($BD171="","",SUMIF($BD$6:$BD$2000,$BD171,$J$6:$J$2000))</f>
        <v>18790</v>
      </c>
    </row>
    <row r="172" spans="1:58" ht="19.5" customHeight="1" x14ac:dyDescent="0.25">
      <c r="A172" s="96" t="s">
        <v>2054</v>
      </c>
      <c r="B172" s="26" t="s">
        <v>71</v>
      </c>
      <c r="C172" s="27">
        <v>172</v>
      </c>
      <c r="D172" s="26" t="s">
        <v>347</v>
      </c>
      <c r="E172" s="26" t="s">
        <v>348</v>
      </c>
      <c r="F172" s="27" t="s">
        <v>160</v>
      </c>
      <c r="G172" s="28">
        <v>46235</v>
      </c>
      <c r="H172" s="29">
        <f t="shared" si="7"/>
        <v>23</v>
      </c>
      <c r="I172" s="29">
        <f t="shared" si="8"/>
        <v>20</v>
      </c>
      <c r="J172" s="30">
        <f t="shared" si="9"/>
        <v>13023</v>
      </c>
      <c r="K172" s="31">
        <v>1</v>
      </c>
      <c r="L172" s="31"/>
      <c r="M172" s="31"/>
      <c r="N172" s="31">
        <v>2</v>
      </c>
      <c r="O172" s="31"/>
      <c r="P172" s="31"/>
      <c r="Q172" s="31"/>
      <c r="R172" s="31"/>
      <c r="S172" s="31"/>
      <c r="T172" s="31"/>
      <c r="U172" s="31">
        <v>11</v>
      </c>
      <c r="V172" s="31"/>
      <c r="W172" s="31"/>
      <c r="X172" s="31"/>
      <c r="Y172" s="31"/>
      <c r="Z172" s="31"/>
      <c r="AA172" s="31">
        <v>9</v>
      </c>
      <c r="AB172" s="31"/>
      <c r="AC172" s="31"/>
      <c r="AD172" s="31"/>
      <c r="AE172" s="31"/>
      <c r="AF172" s="31"/>
      <c r="AG172" s="31"/>
      <c r="AH172" s="31">
        <v>20</v>
      </c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t="s">
        <v>75</v>
      </c>
      <c r="BD172">
        <v>167</v>
      </c>
      <c r="BF172" s="30">
        <f>IF($BD172="","",SUMIF($BD$6:$BD$2000,$BD172,$J$6:$J$2000))</f>
        <v>13023</v>
      </c>
    </row>
    <row r="173" spans="1:58" ht="19.5" customHeight="1" x14ac:dyDescent="0.25">
      <c r="A173" s="96" t="s">
        <v>2054</v>
      </c>
      <c r="B173" s="32" t="s">
        <v>71</v>
      </c>
      <c r="C173" s="33">
        <v>173</v>
      </c>
      <c r="D173" s="32" t="s">
        <v>349</v>
      </c>
      <c r="E173" s="32" t="s">
        <v>119</v>
      </c>
      <c r="F173" s="33" t="s">
        <v>120</v>
      </c>
      <c r="G173" s="34">
        <v>46143</v>
      </c>
      <c r="H173" s="35">
        <f t="shared" si="7"/>
        <v>24</v>
      </c>
      <c r="I173" s="35">
        <f t="shared" si="8"/>
        <v>28</v>
      </c>
      <c r="J173" s="36">
        <f t="shared" si="9"/>
        <v>16900</v>
      </c>
      <c r="K173" s="37">
        <v>11</v>
      </c>
      <c r="L173" s="37"/>
      <c r="M173" s="37">
        <v>3</v>
      </c>
      <c r="N173" s="37">
        <v>1</v>
      </c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>
        <v>9</v>
      </c>
      <c r="AB173" s="37"/>
      <c r="AC173" s="37"/>
      <c r="AD173" s="37"/>
      <c r="AE173" s="37"/>
      <c r="AF173" s="37"/>
      <c r="AG173" s="37"/>
      <c r="AH173" s="37">
        <v>28</v>
      </c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t="s">
        <v>75</v>
      </c>
      <c r="BD173">
        <v>168</v>
      </c>
      <c r="BF173" s="30">
        <f>IF($BD173="","",SUMIF($BD$6:$BD$2000,$BD173,$J$6:$J$2000))</f>
        <v>16900</v>
      </c>
    </row>
    <row r="174" spans="1:58" ht="19.5" customHeight="1" x14ac:dyDescent="0.25">
      <c r="A174" s="96" t="s">
        <v>2054</v>
      </c>
      <c r="B174" s="26" t="s">
        <v>71</v>
      </c>
      <c r="C174" s="27">
        <v>175</v>
      </c>
      <c r="D174" s="26" t="s">
        <v>350</v>
      </c>
      <c r="E174" s="26" t="s">
        <v>351</v>
      </c>
      <c r="F174" s="27" t="s">
        <v>207</v>
      </c>
      <c r="G174" s="28">
        <v>46235</v>
      </c>
      <c r="H174" s="29">
        <f t="shared" si="7"/>
        <v>16</v>
      </c>
      <c r="I174" s="29">
        <f t="shared" si="8"/>
        <v>10</v>
      </c>
      <c r="J174" s="30">
        <f t="shared" si="9"/>
        <v>6490</v>
      </c>
      <c r="K174" s="31">
        <v>5</v>
      </c>
      <c r="L174" s="31"/>
      <c r="M174" s="31"/>
      <c r="N174" s="31"/>
      <c r="O174" s="31"/>
      <c r="P174" s="31"/>
      <c r="Q174" s="31"/>
      <c r="R174" s="31"/>
      <c r="S174" s="31"/>
      <c r="T174" s="31"/>
      <c r="U174" s="31">
        <v>10</v>
      </c>
      <c r="V174" s="31"/>
      <c r="W174" s="31"/>
      <c r="X174" s="31"/>
      <c r="Y174" s="31"/>
      <c r="Z174" s="31"/>
      <c r="AA174" s="31">
        <v>1</v>
      </c>
      <c r="AB174" s="31"/>
      <c r="AC174" s="31"/>
      <c r="AD174" s="31"/>
      <c r="AE174" s="31"/>
      <c r="AF174" s="31"/>
      <c r="AG174" s="31"/>
      <c r="AH174" s="31">
        <v>10</v>
      </c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t="s">
        <v>75</v>
      </c>
      <c r="BD174">
        <v>169</v>
      </c>
      <c r="BF174" s="30">
        <f>IF($BD174="","",SUMIF($BD$6:$BD$2000,$BD174,$J$6:$J$2000))</f>
        <v>6490</v>
      </c>
    </row>
    <row r="175" spans="1:58" ht="19.5" customHeight="1" x14ac:dyDescent="0.25">
      <c r="A175" s="96" t="s">
        <v>2054</v>
      </c>
      <c r="B175" s="32" t="s">
        <v>71</v>
      </c>
      <c r="C175" s="33">
        <v>176</v>
      </c>
      <c r="D175" s="32" t="s">
        <v>352</v>
      </c>
      <c r="E175" s="32" t="s">
        <v>260</v>
      </c>
      <c r="F175" s="33" t="s">
        <v>261</v>
      </c>
      <c r="G175" s="34">
        <v>46266</v>
      </c>
      <c r="H175" s="35">
        <f t="shared" si="7"/>
        <v>25</v>
      </c>
      <c r="I175" s="35">
        <f t="shared" si="8"/>
        <v>24</v>
      </c>
      <c r="J175" s="36">
        <f t="shared" si="9"/>
        <v>14685</v>
      </c>
      <c r="K175" s="37">
        <v>7</v>
      </c>
      <c r="L175" s="37"/>
      <c r="M175" s="37"/>
      <c r="N175" s="37">
        <v>6</v>
      </c>
      <c r="O175" s="37"/>
      <c r="P175" s="37">
        <v>2</v>
      </c>
      <c r="Q175" s="37"/>
      <c r="R175" s="37"/>
      <c r="S175" s="37"/>
      <c r="T175" s="37"/>
      <c r="U175" s="37">
        <v>5</v>
      </c>
      <c r="V175" s="37"/>
      <c r="W175" s="37"/>
      <c r="X175" s="37"/>
      <c r="Y175" s="37"/>
      <c r="Z175" s="37"/>
      <c r="AA175" s="37">
        <v>5</v>
      </c>
      <c r="AB175" s="37"/>
      <c r="AC175" s="37"/>
      <c r="AD175" s="37"/>
      <c r="AE175" s="37"/>
      <c r="AF175" s="37"/>
      <c r="AG175" s="37"/>
      <c r="AH175" s="37">
        <v>24</v>
      </c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t="s">
        <v>75</v>
      </c>
      <c r="BD175">
        <v>170</v>
      </c>
      <c r="BF175" s="30">
        <f>IF($BD175="","",SUMIF($BD$6:$BD$2000,$BD175,$J$6:$J$2000))</f>
        <v>14685</v>
      </c>
    </row>
    <row r="176" spans="1:58" ht="19.5" customHeight="1" x14ac:dyDescent="0.25">
      <c r="A176" s="96" t="s">
        <v>2054</v>
      </c>
      <c r="B176" s="26" t="s">
        <v>71</v>
      </c>
      <c r="C176" s="27">
        <v>177</v>
      </c>
      <c r="D176" s="26" t="s">
        <v>353</v>
      </c>
      <c r="E176" s="26" t="s">
        <v>231</v>
      </c>
      <c r="F176" s="27" t="s">
        <v>232</v>
      </c>
      <c r="G176" s="28">
        <v>46142</v>
      </c>
      <c r="H176" s="29">
        <f t="shared" si="7"/>
        <v>26</v>
      </c>
      <c r="I176" s="29">
        <f t="shared" si="8"/>
        <v>28</v>
      </c>
      <c r="J176" s="30">
        <f t="shared" si="9"/>
        <v>17435</v>
      </c>
      <c r="K176" s="31">
        <v>1</v>
      </c>
      <c r="L176" s="31"/>
      <c r="M176" s="31"/>
      <c r="N176" s="31"/>
      <c r="O176" s="31"/>
      <c r="P176" s="31">
        <v>2</v>
      </c>
      <c r="Q176" s="31"/>
      <c r="R176" s="31"/>
      <c r="S176" s="31"/>
      <c r="T176" s="31"/>
      <c r="U176" s="31">
        <v>15</v>
      </c>
      <c r="V176" s="31"/>
      <c r="W176" s="31"/>
      <c r="X176" s="31"/>
      <c r="Y176" s="31"/>
      <c r="Z176" s="31"/>
      <c r="AA176" s="31">
        <v>8</v>
      </c>
      <c r="AB176" s="31"/>
      <c r="AC176" s="31"/>
      <c r="AD176" s="31"/>
      <c r="AE176" s="31"/>
      <c r="AF176" s="31"/>
      <c r="AG176" s="31"/>
      <c r="AH176" s="31">
        <v>28</v>
      </c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t="s">
        <v>75</v>
      </c>
      <c r="BD176">
        <v>171</v>
      </c>
      <c r="BF176" s="30">
        <f>IF($BD176="","",SUMIF($BD$6:$BD$2000,$BD176,$J$6:$J$2000))</f>
        <v>17435</v>
      </c>
    </row>
    <row r="177" spans="1:58" ht="19.5" customHeight="1" x14ac:dyDescent="0.25">
      <c r="A177" s="96" t="s">
        <v>2054</v>
      </c>
      <c r="B177" s="32" t="s">
        <v>71</v>
      </c>
      <c r="C177" s="33">
        <v>178</v>
      </c>
      <c r="D177" s="32" t="s">
        <v>354</v>
      </c>
      <c r="E177" s="32" t="s">
        <v>200</v>
      </c>
      <c r="F177" s="33" t="s">
        <v>201</v>
      </c>
      <c r="G177" s="34">
        <v>46235</v>
      </c>
      <c r="H177" s="35">
        <f t="shared" si="7"/>
        <v>21</v>
      </c>
      <c r="I177" s="35">
        <f t="shared" si="8"/>
        <v>10</v>
      </c>
      <c r="J177" s="36">
        <f t="shared" si="9"/>
        <v>7573</v>
      </c>
      <c r="K177" s="37">
        <v>7</v>
      </c>
      <c r="L177" s="37"/>
      <c r="M177" s="37"/>
      <c r="N177" s="37"/>
      <c r="O177" s="37"/>
      <c r="P177" s="37"/>
      <c r="Q177" s="37"/>
      <c r="R177" s="37"/>
      <c r="S177" s="37"/>
      <c r="T177" s="37">
        <v>2</v>
      </c>
      <c r="U177" s="37">
        <v>1</v>
      </c>
      <c r="V177" s="37"/>
      <c r="W177" s="37"/>
      <c r="X177" s="37"/>
      <c r="Y177" s="37"/>
      <c r="Z177" s="37"/>
      <c r="AA177" s="37">
        <v>11</v>
      </c>
      <c r="AB177" s="37"/>
      <c r="AC177" s="37"/>
      <c r="AD177" s="37"/>
      <c r="AE177" s="37"/>
      <c r="AF177" s="37"/>
      <c r="AG177" s="37"/>
      <c r="AH177" s="37">
        <v>10</v>
      </c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t="s">
        <v>75</v>
      </c>
      <c r="BD177">
        <v>172</v>
      </c>
      <c r="BF177" s="30">
        <f>IF($BD177="","",SUMIF($BD$6:$BD$2000,$BD177,$J$6:$J$2000))</f>
        <v>7573</v>
      </c>
    </row>
    <row r="178" spans="1:58" ht="19.5" customHeight="1" x14ac:dyDescent="0.25">
      <c r="A178" s="96" t="s">
        <v>2054</v>
      </c>
      <c r="B178" s="26" t="s">
        <v>71</v>
      </c>
      <c r="C178" s="27">
        <v>179</v>
      </c>
      <c r="D178" s="26" t="s">
        <v>355</v>
      </c>
      <c r="E178" s="26" t="s">
        <v>356</v>
      </c>
      <c r="F178" s="27" t="s">
        <v>74</v>
      </c>
      <c r="G178" s="28">
        <v>46266</v>
      </c>
      <c r="H178" s="29">
        <f t="shared" si="7"/>
        <v>24</v>
      </c>
      <c r="I178" s="29">
        <f t="shared" si="8"/>
        <v>14</v>
      </c>
      <c r="J178" s="30">
        <f t="shared" si="9"/>
        <v>9360</v>
      </c>
      <c r="K178" s="31">
        <v>8</v>
      </c>
      <c r="L178" s="31"/>
      <c r="M178" s="31">
        <v>7</v>
      </c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>
        <v>9</v>
      </c>
      <c r="AA178" s="31"/>
      <c r="AB178" s="31"/>
      <c r="AC178" s="31"/>
      <c r="AD178" s="31"/>
      <c r="AE178" s="31"/>
      <c r="AF178" s="31"/>
      <c r="AG178" s="31"/>
      <c r="AH178" s="31">
        <v>14</v>
      </c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t="s">
        <v>75</v>
      </c>
      <c r="BD178">
        <v>173</v>
      </c>
      <c r="BF178" s="30">
        <f>IF($BD178="","",SUMIF($BD$6:$BD$2000,$BD178,$J$6:$J$2000))</f>
        <v>9360</v>
      </c>
    </row>
    <row r="179" spans="1:58" ht="19.5" customHeight="1" x14ac:dyDescent="0.25">
      <c r="A179" s="96" t="s">
        <v>2054</v>
      </c>
      <c r="B179" s="32" t="s">
        <v>71</v>
      </c>
      <c r="C179" s="33">
        <v>180</v>
      </c>
      <c r="D179" s="32" t="s">
        <v>357</v>
      </c>
      <c r="E179" s="32" t="s">
        <v>220</v>
      </c>
      <c r="F179" s="33" t="s">
        <v>221</v>
      </c>
      <c r="G179" s="34">
        <v>46142</v>
      </c>
      <c r="H179" s="35">
        <f t="shared" si="7"/>
        <v>67</v>
      </c>
      <c r="I179" s="35">
        <f t="shared" si="8"/>
        <v>44</v>
      </c>
      <c r="J179" s="36">
        <f t="shared" si="9"/>
        <v>28164</v>
      </c>
      <c r="K179" s="37">
        <v>24</v>
      </c>
      <c r="L179" s="37"/>
      <c r="M179" s="37"/>
      <c r="N179" s="37">
        <v>24</v>
      </c>
      <c r="O179" s="37"/>
      <c r="P179" s="37"/>
      <c r="Q179" s="37"/>
      <c r="R179" s="37"/>
      <c r="S179" s="37"/>
      <c r="T179" s="37"/>
      <c r="U179" s="37">
        <v>8</v>
      </c>
      <c r="V179" s="37"/>
      <c r="W179" s="37"/>
      <c r="X179" s="37"/>
      <c r="Y179" s="37"/>
      <c r="Z179" s="37"/>
      <c r="AA179" s="37">
        <v>11</v>
      </c>
      <c r="AB179" s="37"/>
      <c r="AC179" s="37"/>
      <c r="AD179" s="37"/>
      <c r="AE179" s="37"/>
      <c r="AF179" s="37"/>
      <c r="AG179" s="37"/>
      <c r="AH179" s="37">
        <v>44</v>
      </c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t="s">
        <v>75</v>
      </c>
      <c r="BD179">
        <v>174</v>
      </c>
      <c r="BF179" s="30">
        <f>IF($BD179="","",SUMIF($BD$6:$BD$2000,$BD179,$J$6:$J$2000))</f>
        <v>28164</v>
      </c>
    </row>
    <row r="180" spans="1:58" ht="19.5" customHeight="1" x14ac:dyDescent="0.25">
      <c r="A180" s="96" t="s">
        <v>2054</v>
      </c>
      <c r="B180" s="26" t="s">
        <v>71</v>
      </c>
      <c r="C180" s="27">
        <v>181</v>
      </c>
      <c r="D180" s="26" t="s">
        <v>358</v>
      </c>
      <c r="E180" s="26" t="s">
        <v>359</v>
      </c>
      <c r="F180" s="27" t="s">
        <v>74</v>
      </c>
      <c r="G180" s="28">
        <v>46204</v>
      </c>
      <c r="H180" s="29">
        <f t="shared" si="7"/>
        <v>19</v>
      </c>
      <c r="I180" s="29">
        <f t="shared" si="8"/>
        <v>16</v>
      </c>
      <c r="J180" s="30">
        <f t="shared" si="9"/>
        <v>9960</v>
      </c>
      <c r="K180" s="31">
        <v>8</v>
      </c>
      <c r="L180" s="31"/>
      <c r="M180" s="31"/>
      <c r="N180" s="31">
        <v>6</v>
      </c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>
        <v>5</v>
      </c>
      <c r="AB180" s="31"/>
      <c r="AC180" s="31"/>
      <c r="AD180" s="31"/>
      <c r="AE180" s="31"/>
      <c r="AF180" s="31"/>
      <c r="AG180" s="31"/>
      <c r="AH180" s="31">
        <v>16</v>
      </c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t="s">
        <v>75</v>
      </c>
      <c r="BD180">
        <v>175</v>
      </c>
      <c r="BF180" s="30">
        <f>IF($BD180="","",SUMIF($BD$6:$BD$2000,$BD180,$J$6:$J$2000))</f>
        <v>9960</v>
      </c>
    </row>
    <row r="181" spans="1:58" ht="19.5" customHeight="1" x14ac:dyDescent="0.25">
      <c r="A181" s="96" t="s">
        <v>2054</v>
      </c>
      <c r="B181" s="32" t="s">
        <v>71</v>
      </c>
      <c r="C181" s="33">
        <v>182</v>
      </c>
      <c r="D181" s="32" t="s">
        <v>360</v>
      </c>
      <c r="E181" s="32" t="s">
        <v>177</v>
      </c>
      <c r="F181" s="33" t="s">
        <v>74</v>
      </c>
      <c r="G181" s="34">
        <v>46082</v>
      </c>
      <c r="H181" s="35">
        <f t="shared" si="7"/>
        <v>3</v>
      </c>
      <c r="I181" s="35">
        <f t="shared" si="8"/>
        <v>0</v>
      </c>
      <c r="J181" s="36">
        <f t="shared" si="9"/>
        <v>249</v>
      </c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>
        <v>3</v>
      </c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t="s">
        <v>75</v>
      </c>
      <c r="BD181">
        <v>176</v>
      </c>
      <c r="BF181" s="30">
        <f>IF($BD181="","",SUMIF($BD$6:$BD$2000,$BD181,$J$6:$J$2000))</f>
        <v>249</v>
      </c>
    </row>
    <row r="182" spans="1:58" ht="19.5" customHeight="1" x14ac:dyDescent="0.25">
      <c r="A182" s="96" t="s">
        <v>2054</v>
      </c>
      <c r="B182" s="26" t="s">
        <v>71</v>
      </c>
      <c r="C182" s="27">
        <v>183</v>
      </c>
      <c r="D182" s="26" t="s">
        <v>361</v>
      </c>
      <c r="E182" s="26" t="s">
        <v>111</v>
      </c>
      <c r="F182" s="27" t="s">
        <v>74</v>
      </c>
      <c r="G182" s="28">
        <v>46204</v>
      </c>
      <c r="H182" s="29">
        <f t="shared" si="7"/>
        <v>17</v>
      </c>
      <c r="I182" s="29">
        <f t="shared" si="8"/>
        <v>6</v>
      </c>
      <c r="J182" s="30">
        <f t="shared" si="9"/>
        <v>4770</v>
      </c>
      <c r="K182" s="31">
        <v>5</v>
      </c>
      <c r="L182" s="31"/>
      <c r="M182" s="31">
        <v>5</v>
      </c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>
        <v>7</v>
      </c>
      <c r="AB182" s="31"/>
      <c r="AC182" s="31"/>
      <c r="AD182" s="31"/>
      <c r="AE182" s="31"/>
      <c r="AF182" s="31"/>
      <c r="AG182" s="31"/>
      <c r="AH182" s="31">
        <v>6</v>
      </c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t="s">
        <v>75</v>
      </c>
      <c r="BD182">
        <v>177</v>
      </c>
      <c r="BF182" s="30">
        <f>IF($BD182="","",SUMIF($BD$6:$BD$2000,$BD182,$J$6:$J$2000))</f>
        <v>4770</v>
      </c>
    </row>
    <row r="183" spans="1:58" ht="19.5" customHeight="1" x14ac:dyDescent="0.25">
      <c r="A183" s="96" t="s">
        <v>2054</v>
      </c>
      <c r="B183" s="32" t="s">
        <v>71</v>
      </c>
      <c r="C183" s="33">
        <v>184</v>
      </c>
      <c r="D183" s="32" t="s">
        <v>362</v>
      </c>
      <c r="E183" s="32" t="s">
        <v>363</v>
      </c>
      <c r="F183" s="33" t="s">
        <v>74</v>
      </c>
      <c r="G183" s="34">
        <v>46266</v>
      </c>
      <c r="H183" s="35">
        <f t="shared" si="7"/>
        <v>27</v>
      </c>
      <c r="I183" s="35">
        <f t="shared" si="8"/>
        <v>10</v>
      </c>
      <c r="J183" s="36">
        <f t="shared" si="9"/>
        <v>7843</v>
      </c>
      <c r="K183" s="37">
        <v>15</v>
      </c>
      <c r="L183" s="37"/>
      <c r="M183" s="37"/>
      <c r="N183" s="37"/>
      <c r="O183" s="37"/>
      <c r="P183" s="37"/>
      <c r="Q183" s="37"/>
      <c r="R183" s="37"/>
      <c r="S183" s="37"/>
      <c r="T183" s="37"/>
      <c r="U183" s="37">
        <v>1</v>
      </c>
      <c r="V183" s="37"/>
      <c r="W183" s="37"/>
      <c r="X183" s="37"/>
      <c r="Y183" s="37"/>
      <c r="Z183" s="37"/>
      <c r="AA183" s="37">
        <v>11</v>
      </c>
      <c r="AB183" s="37"/>
      <c r="AC183" s="37"/>
      <c r="AD183" s="37"/>
      <c r="AE183" s="37"/>
      <c r="AF183" s="37"/>
      <c r="AG183" s="37"/>
      <c r="AH183" s="37">
        <v>10</v>
      </c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t="s">
        <v>75</v>
      </c>
      <c r="BD183">
        <v>178</v>
      </c>
      <c r="BF183" s="30">
        <f>IF($BD183="","",SUMIF($BD$6:$BD$2000,$BD183,$J$6:$J$2000))</f>
        <v>7843</v>
      </c>
    </row>
    <row r="184" spans="1:58" ht="19.5" customHeight="1" x14ac:dyDescent="0.25">
      <c r="A184" s="96" t="s">
        <v>2054</v>
      </c>
      <c r="B184" s="26" t="s">
        <v>71</v>
      </c>
      <c r="C184" s="27">
        <v>185</v>
      </c>
      <c r="D184" s="26" t="s">
        <v>364</v>
      </c>
      <c r="E184" s="26" t="s">
        <v>173</v>
      </c>
      <c r="F184" s="27" t="s">
        <v>74</v>
      </c>
      <c r="G184" s="28">
        <v>46143</v>
      </c>
      <c r="H184" s="29">
        <f t="shared" si="7"/>
        <v>25</v>
      </c>
      <c r="I184" s="29">
        <f t="shared" si="8"/>
        <v>8</v>
      </c>
      <c r="J184" s="30">
        <f t="shared" si="9"/>
        <v>6550</v>
      </c>
      <c r="K184" s="31">
        <v>12</v>
      </c>
      <c r="L184" s="31"/>
      <c r="M184" s="31">
        <v>3</v>
      </c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>
        <v>10</v>
      </c>
      <c r="AB184" s="31"/>
      <c r="AC184" s="31"/>
      <c r="AD184" s="31"/>
      <c r="AE184" s="31"/>
      <c r="AF184" s="31"/>
      <c r="AG184" s="31"/>
      <c r="AH184" s="31">
        <v>8</v>
      </c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t="s">
        <v>75</v>
      </c>
      <c r="BD184">
        <v>179</v>
      </c>
      <c r="BF184" s="30">
        <f>IF($BD184="","",SUMIF($BD$6:$BD$2000,$BD184,$J$6:$J$2000))</f>
        <v>6550</v>
      </c>
    </row>
    <row r="185" spans="1:58" ht="19.5" customHeight="1" x14ac:dyDescent="0.25">
      <c r="A185" s="96" t="s">
        <v>2054</v>
      </c>
      <c r="B185" s="32" t="s">
        <v>71</v>
      </c>
      <c r="C185" s="33">
        <v>186</v>
      </c>
      <c r="D185" s="32" t="s">
        <v>365</v>
      </c>
      <c r="E185" s="32" t="s">
        <v>291</v>
      </c>
      <c r="F185" s="33" t="s">
        <v>74</v>
      </c>
      <c r="G185" s="34">
        <v>46296</v>
      </c>
      <c r="H185" s="35">
        <f t="shared" si="7"/>
        <v>28</v>
      </c>
      <c r="I185" s="35">
        <f t="shared" si="8"/>
        <v>16</v>
      </c>
      <c r="J185" s="36">
        <f t="shared" si="9"/>
        <v>11120</v>
      </c>
      <c r="K185" s="37">
        <v>16</v>
      </c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>
        <v>12</v>
      </c>
      <c r="AB185" s="37"/>
      <c r="AC185" s="37"/>
      <c r="AD185" s="37"/>
      <c r="AE185" s="37"/>
      <c r="AF185" s="37"/>
      <c r="AG185" s="37"/>
      <c r="AH185" s="37">
        <v>16</v>
      </c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t="s">
        <v>75</v>
      </c>
      <c r="BD185">
        <v>180</v>
      </c>
      <c r="BF185" s="30">
        <f>IF($BD185="","",SUMIF($BD$6:$BD$2000,$BD185,$J$6:$J$2000))</f>
        <v>11120</v>
      </c>
    </row>
    <row r="186" spans="1:58" ht="19.5" customHeight="1" x14ac:dyDescent="0.25">
      <c r="A186" s="96" t="s">
        <v>2054</v>
      </c>
      <c r="B186" s="26" t="s">
        <v>71</v>
      </c>
      <c r="C186" s="27">
        <v>187</v>
      </c>
      <c r="D186" s="26" t="s">
        <v>366</v>
      </c>
      <c r="E186" s="26" t="s">
        <v>73</v>
      </c>
      <c r="F186" s="27" t="s">
        <v>74</v>
      </c>
      <c r="G186" s="28">
        <v>46082</v>
      </c>
      <c r="H186" s="29">
        <f t="shared" si="7"/>
        <v>18</v>
      </c>
      <c r="I186" s="29">
        <f t="shared" si="8"/>
        <v>12</v>
      </c>
      <c r="J186" s="30">
        <f t="shared" si="9"/>
        <v>11290</v>
      </c>
      <c r="K186" s="31">
        <v>9</v>
      </c>
      <c r="L186" s="31"/>
      <c r="M186" s="31"/>
      <c r="N186" s="31">
        <v>5</v>
      </c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>
        <v>4</v>
      </c>
      <c r="AB186" s="31"/>
      <c r="AC186" s="31"/>
      <c r="AD186" s="31"/>
      <c r="AE186" s="31"/>
      <c r="AF186" s="31"/>
      <c r="AG186" s="31"/>
      <c r="AH186" s="31"/>
      <c r="AI186" s="31"/>
      <c r="AJ186" s="31">
        <v>12</v>
      </c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t="s">
        <v>75</v>
      </c>
      <c r="BD186">
        <v>181</v>
      </c>
      <c r="BF186" s="30">
        <f>IF($BD186="","",SUMIF($BD$6:$BD$2000,$BD186,$J$6:$J$2000))</f>
        <v>11290</v>
      </c>
    </row>
    <row r="187" spans="1:58" ht="19.5" customHeight="1" x14ac:dyDescent="0.25">
      <c r="A187" s="96" t="s">
        <v>2054</v>
      </c>
      <c r="B187" s="32" t="s">
        <v>71</v>
      </c>
      <c r="C187" s="33">
        <v>188</v>
      </c>
      <c r="D187" s="32" t="s">
        <v>367</v>
      </c>
      <c r="E187" s="32" t="s">
        <v>73</v>
      </c>
      <c r="F187" s="33" t="s">
        <v>74</v>
      </c>
      <c r="G187" s="34">
        <v>46142</v>
      </c>
      <c r="H187" s="35">
        <f t="shared" si="7"/>
        <v>14</v>
      </c>
      <c r="I187" s="35">
        <f t="shared" si="8"/>
        <v>12</v>
      </c>
      <c r="J187" s="36">
        <f t="shared" si="9"/>
        <v>7539</v>
      </c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>
        <v>13</v>
      </c>
      <c r="V187" s="37"/>
      <c r="W187" s="37"/>
      <c r="X187" s="37"/>
      <c r="Y187" s="37"/>
      <c r="Z187" s="37"/>
      <c r="AA187" s="37">
        <v>1</v>
      </c>
      <c r="AB187" s="37"/>
      <c r="AC187" s="37"/>
      <c r="AD187" s="37"/>
      <c r="AE187" s="37"/>
      <c r="AF187" s="37"/>
      <c r="AG187" s="37"/>
      <c r="AH187" s="37">
        <v>12</v>
      </c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t="s">
        <v>75</v>
      </c>
      <c r="BD187">
        <v>182</v>
      </c>
      <c r="BF187" s="30">
        <f>IF($BD187="","",SUMIF($BD$6:$BD$2000,$BD187,$J$6:$J$2000))</f>
        <v>7539</v>
      </c>
    </row>
    <row r="188" spans="1:58" ht="19.5" customHeight="1" x14ac:dyDescent="0.25">
      <c r="A188" s="96" t="s">
        <v>2054</v>
      </c>
      <c r="B188" s="26" t="s">
        <v>71</v>
      </c>
      <c r="C188" s="27">
        <v>189</v>
      </c>
      <c r="D188" s="26" t="s">
        <v>368</v>
      </c>
      <c r="E188" s="26" t="s">
        <v>153</v>
      </c>
      <c r="F188" s="27" t="s">
        <v>142</v>
      </c>
      <c r="G188" s="28">
        <v>46296</v>
      </c>
      <c r="H188" s="29">
        <f t="shared" si="7"/>
        <v>20</v>
      </c>
      <c r="I188" s="29">
        <f t="shared" si="8"/>
        <v>10</v>
      </c>
      <c r="J188" s="30">
        <f t="shared" si="9"/>
        <v>7470</v>
      </c>
      <c r="K188" s="31">
        <v>8</v>
      </c>
      <c r="L188" s="31"/>
      <c r="M188" s="31"/>
      <c r="N188" s="31">
        <v>1</v>
      </c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>
        <v>11</v>
      </c>
      <c r="AB188" s="31"/>
      <c r="AC188" s="31"/>
      <c r="AD188" s="31"/>
      <c r="AE188" s="31"/>
      <c r="AF188" s="31"/>
      <c r="AG188" s="31"/>
      <c r="AH188" s="31">
        <v>10</v>
      </c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t="s">
        <v>75</v>
      </c>
      <c r="BD188">
        <v>183</v>
      </c>
      <c r="BF188" s="30">
        <f>IF($BD188="","",SUMIF($BD$6:$BD$2000,$BD188,$J$6:$J$2000))</f>
        <v>7470</v>
      </c>
    </row>
    <row r="189" spans="1:58" ht="19.5" customHeight="1" x14ac:dyDescent="0.25">
      <c r="A189" s="96" t="s">
        <v>2054</v>
      </c>
      <c r="B189" s="32" t="s">
        <v>71</v>
      </c>
      <c r="C189" s="33">
        <v>191</v>
      </c>
      <c r="D189" s="32" t="s">
        <v>369</v>
      </c>
      <c r="E189" s="32" t="s">
        <v>370</v>
      </c>
      <c r="F189" s="33" t="s">
        <v>142</v>
      </c>
      <c r="G189" s="34">
        <v>46419</v>
      </c>
      <c r="H189" s="35">
        <f t="shared" si="7"/>
        <v>16</v>
      </c>
      <c r="I189" s="35">
        <f t="shared" si="8"/>
        <v>8</v>
      </c>
      <c r="J189" s="36">
        <f t="shared" si="9"/>
        <v>5990</v>
      </c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>
        <v>10</v>
      </c>
      <c r="V189" s="37"/>
      <c r="W189" s="37"/>
      <c r="X189" s="37"/>
      <c r="Y189" s="37"/>
      <c r="Z189" s="37"/>
      <c r="AA189" s="37">
        <v>6</v>
      </c>
      <c r="AB189" s="37"/>
      <c r="AC189" s="37"/>
      <c r="AD189" s="37"/>
      <c r="AE189" s="37"/>
      <c r="AF189" s="37"/>
      <c r="AG189" s="37"/>
      <c r="AH189" s="37">
        <v>8</v>
      </c>
      <c r="AI189" s="37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t="s">
        <v>75</v>
      </c>
      <c r="BD189">
        <v>184</v>
      </c>
      <c r="BF189" s="30">
        <f>IF($BD189="","",SUMIF($BD$6:$BD$2000,$BD189,$J$6:$J$2000))</f>
        <v>5990</v>
      </c>
    </row>
    <row r="190" spans="1:58" ht="19.5" customHeight="1" x14ac:dyDescent="0.25">
      <c r="A190" s="96" t="s">
        <v>2054</v>
      </c>
      <c r="B190" s="26" t="s">
        <v>71</v>
      </c>
      <c r="C190" s="27">
        <v>192</v>
      </c>
      <c r="D190" s="26" t="s">
        <v>371</v>
      </c>
      <c r="E190" s="26" t="s">
        <v>135</v>
      </c>
      <c r="F190" s="27" t="s">
        <v>133</v>
      </c>
      <c r="G190" s="28">
        <v>46142</v>
      </c>
      <c r="H190" s="29">
        <f t="shared" si="7"/>
        <v>18</v>
      </c>
      <c r="I190" s="29">
        <f t="shared" si="8"/>
        <v>16</v>
      </c>
      <c r="J190" s="30">
        <f t="shared" si="9"/>
        <v>15024</v>
      </c>
      <c r="K190" s="31">
        <v>4</v>
      </c>
      <c r="L190" s="31"/>
      <c r="M190" s="31"/>
      <c r="N190" s="31"/>
      <c r="O190" s="31"/>
      <c r="P190" s="31"/>
      <c r="Q190" s="31"/>
      <c r="R190" s="31"/>
      <c r="S190" s="31"/>
      <c r="T190" s="31"/>
      <c r="U190" s="31">
        <v>8</v>
      </c>
      <c r="V190" s="31"/>
      <c r="W190" s="31"/>
      <c r="X190" s="31"/>
      <c r="Y190" s="31"/>
      <c r="Z190" s="31"/>
      <c r="AA190" s="31">
        <v>6</v>
      </c>
      <c r="AB190" s="31"/>
      <c r="AC190" s="31"/>
      <c r="AD190" s="31"/>
      <c r="AE190" s="31"/>
      <c r="AF190" s="31"/>
      <c r="AG190" s="31"/>
      <c r="AH190" s="31"/>
      <c r="AI190" s="31"/>
      <c r="AJ190" s="31">
        <v>16</v>
      </c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t="s">
        <v>75</v>
      </c>
      <c r="BD190">
        <v>185</v>
      </c>
      <c r="BF190" s="30">
        <f>IF($BD190="","",SUMIF($BD$6:$BD$2000,$BD190,$J$6:$J$2000))</f>
        <v>15024</v>
      </c>
    </row>
    <row r="191" spans="1:58" ht="19.5" customHeight="1" x14ac:dyDescent="0.25">
      <c r="A191" s="96" t="s">
        <v>2054</v>
      </c>
      <c r="B191" s="32" t="s">
        <v>71</v>
      </c>
      <c r="C191" s="33">
        <v>193</v>
      </c>
      <c r="D191" s="32" t="s">
        <v>372</v>
      </c>
      <c r="E191" s="32" t="s">
        <v>373</v>
      </c>
      <c r="F191" s="33" t="s">
        <v>74</v>
      </c>
      <c r="G191" s="34">
        <v>46235</v>
      </c>
      <c r="H191" s="35">
        <f t="shared" si="7"/>
        <v>13</v>
      </c>
      <c r="I191" s="35">
        <f t="shared" si="8"/>
        <v>8</v>
      </c>
      <c r="J191" s="36">
        <f t="shared" si="9"/>
        <v>4850</v>
      </c>
      <c r="K191" s="37">
        <v>5</v>
      </c>
      <c r="L191" s="37"/>
      <c r="M191" s="37">
        <v>8</v>
      </c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  <c r="AF191" s="37"/>
      <c r="AG191" s="37"/>
      <c r="AH191" s="37">
        <v>8</v>
      </c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t="s">
        <v>75</v>
      </c>
      <c r="BD191">
        <v>186</v>
      </c>
      <c r="BF191" s="30">
        <f>IF($BD191="","",SUMIF($BD$6:$BD$2000,$BD191,$J$6:$J$2000))</f>
        <v>4850</v>
      </c>
    </row>
    <row r="192" spans="1:58" ht="19.5" customHeight="1" x14ac:dyDescent="0.25">
      <c r="A192" s="96" t="s">
        <v>2054</v>
      </c>
      <c r="B192" s="26" t="s">
        <v>71</v>
      </c>
      <c r="C192" s="27">
        <v>194</v>
      </c>
      <c r="D192" s="26" t="s">
        <v>374</v>
      </c>
      <c r="E192" s="26" t="s">
        <v>188</v>
      </c>
      <c r="F192" s="27" t="s">
        <v>123</v>
      </c>
      <c r="G192" s="28">
        <v>46419</v>
      </c>
      <c r="H192" s="29">
        <f t="shared" si="7"/>
        <v>26</v>
      </c>
      <c r="I192" s="29">
        <f t="shared" si="8"/>
        <v>20</v>
      </c>
      <c r="J192" s="30">
        <f t="shared" si="9"/>
        <v>18671</v>
      </c>
      <c r="K192" s="31">
        <v>13</v>
      </c>
      <c r="L192" s="31"/>
      <c r="M192" s="31"/>
      <c r="N192" s="31"/>
      <c r="O192" s="31"/>
      <c r="P192" s="31"/>
      <c r="Q192" s="31"/>
      <c r="R192" s="31"/>
      <c r="S192" s="31"/>
      <c r="T192" s="31">
        <v>3</v>
      </c>
      <c r="U192" s="31">
        <v>2</v>
      </c>
      <c r="V192" s="31"/>
      <c r="W192" s="31"/>
      <c r="X192" s="31"/>
      <c r="Y192" s="31"/>
      <c r="Z192" s="31">
        <v>6</v>
      </c>
      <c r="AA192" s="31">
        <v>2</v>
      </c>
      <c r="AB192" s="31"/>
      <c r="AC192" s="31"/>
      <c r="AD192" s="31"/>
      <c r="AE192" s="31"/>
      <c r="AF192" s="31"/>
      <c r="AG192" s="31"/>
      <c r="AH192" s="31"/>
      <c r="AI192" s="31"/>
      <c r="AJ192" s="31">
        <v>20</v>
      </c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t="s">
        <v>75</v>
      </c>
      <c r="BD192">
        <v>187</v>
      </c>
      <c r="BF192" s="30">
        <f>IF($BD192="","",SUMIF($BD$6:$BD$2000,$BD192,$J$6:$J$2000))</f>
        <v>18671</v>
      </c>
    </row>
    <row r="193" spans="1:58" ht="19.5" customHeight="1" x14ac:dyDescent="0.25">
      <c r="A193" s="96" t="s">
        <v>2054</v>
      </c>
      <c r="B193" s="32" t="s">
        <v>71</v>
      </c>
      <c r="C193" s="33">
        <v>195</v>
      </c>
      <c r="D193" s="32" t="s">
        <v>375</v>
      </c>
      <c r="E193" s="32" t="s">
        <v>283</v>
      </c>
      <c r="F193" s="33" t="s">
        <v>160</v>
      </c>
      <c r="G193" s="34">
        <v>46388</v>
      </c>
      <c r="H193" s="35">
        <f t="shared" si="7"/>
        <v>17</v>
      </c>
      <c r="I193" s="35">
        <f t="shared" si="8"/>
        <v>10</v>
      </c>
      <c r="J193" s="36">
        <f t="shared" si="9"/>
        <v>6661</v>
      </c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>
        <v>17</v>
      </c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  <c r="AF193" s="37"/>
      <c r="AG193" s="37"/>
      <c r="AH193" s="37">
        <v>10</v>
      </c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t="s">
        <v>75</v>
      </c>
      <c r="BD193">
        <v>188</v>
      </c>
      <c r="BF193" s="30">
        <f>IF($BD193="","",SUMIF($BD$6:$BD$2000,$BD193,$J$6:$J$2000))</f>
        <v>6661</v>
      </c>
    </row>
    <row r="194" spans="1:58" ht="19.5" customHeight="1" x14ac:dyDescent="0.25">
      <c r="A194" s="96" t="s">
        <v>2054</v>
      </c>
      <c r="B194" s="26" t="s">
        <v>71</v>
      </c>
      <c r="C194" s="27">
        <v>196</v>
      </c>
      <c r="D194" s="26" t="s">
        <v>376</v>
      </c>
      <c r="E194" s="26" t="s">
        <v>348</v>
      </c>
      <c r="F194" s="27" t="s">
        <v>160</v>
      </c>
      <c r="G194" s="28">
        <v>46266</v>
      </c>
      <c r="H194" s="29">
        <f t="shared" si="7"/>
        <v>20</v>
      </c>
      <c r="I194" s="29">
        <f t="shared" si="8"/>
        <v>20</v>
      </c>
      <c r="J194" s="30">
        <f t="shared" si="9"/>
        <v>12299</v>
      </c>
      <c r="K194" s="31"/>
      <c r="L194" s="31"/>
      <c r="M194" s="31"/>
      <c r="N194" s="31">
        <v>4</v>
      </c>
      <c r="O194" s="31"/>
      <c r="P194" s="31"/>
      <c r="Q194" s="31"/>
      <c r="R194" s="31"/>
      <c r="S194" s="31"/>
      <c r="T194" s="31"/>
      <c r="U194" s="31">
        <v>13</v>
      </c>
      <c r="V194" s="31"/>
      <c r="W194" s="31"/>
      <c r="X194" s="31"/>
      <c r="Y194" s="31"/>
      <c r="Z194" s="31"/>
      <c r="AA194" s="31">
        <v>3</v>
      </c>
      <c r="AB194" s="31"/>
      <c r="AC194" s="31"/>
      <c r="AD194" s="31"/>
      <c r="AE194" s="31"/>
      <c r="AF194" s="31"/>
      <c r="AG194" s="31"/>
      <c r="AH194" s="31">
        <v>20</v>
      </c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t="s">
        <v>75</v>
      </c>
      <c r="BD194">
        <v>189</v>
      </c>
      <c r="BF194" s="30">
        <f>IF($BD194="","",SUMIF($BD$6:$BD$2000,$BD194,$J$6:$J$2000))</f>
        <v>12299</v>
      </c>
    </row>
    <row r="195" spans="1:58" ht="19.5" customHeight="1" x14ac:dyDescent="0.25">
      <c r="A195" s="96" t="s">
        <v>2054</v>
      </c>
      <c r="B195" s="32" t="s">
        <v>71</v>
      </c>
      <c r="C195" s="33">
        <v>199</v>
      </c>
      <c r="D195" s="32" t="s">
        <v>377</v>
      </c>
      <c r="E195" s="32" t="s">
        <v>378</v>
      </c>
      <c r="F195" s="33" t="s">
        <v>160</v>
      </c>
      <c r="G195" s="34">
        <v>46142</v>
      </c>
      <c r="H195" s="35">
        <f t="shared" si="7"/>
        <v>36</v>
      </c>
      <c r="I195" s="35">
        <f t="shared" si="8"/>
        <v>20</v>
      </c>
      <c r="J195" s="36">
        <f t="shared" si="9"/>
        <v>12890</v>
      </c>
      <c r="K195" s="37">
        <v>12</v>
      </c>
      <c r="L195" s="37"/>
      <c r="M195" s="37">
        <v>17</v>
      </c>
      <c r="N195" s="37">
        <v>1</v>
      </c>
      <c r="O195" s="37"/>
      <c r="P195" s="37">
        <v>1</v>
      </c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>
        <v>5</v>
      </c>
      <c r="AB195" s="37"/>
      <c r="AC195" s="37"/>
      <c r="AD195" s="37"/>
      <c r="AE195" s="37"/>
      <c r="AF195" s="37"/>
      <c r="AG195" s="37"/>
      <c r="AH195" s="37">
        <v>20</v>
      </c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t="s">
        <v>75</v>
      </c>
      <c r="BD195">
        <v>190</v>
      </c>
      <c r="BF195" s="30">
        <f>IF($BD195="","",SUMIF($BD$6:$BD$2000,$BD195,$J$6:$J$2000))</f>
        <v>12890</v>
      </c>
    </row>
    <row r="196" spans="1:58" ht="19.5" customHeight="1" x14ac:dyDescent="0.25">
      <c r="A196" s="96" t="s">
        <v>2054</v>
      </c>
      <c r="B196" s="26" t="s">
        <v>71</v>
      </c>
      <c r="C196" s="27">
        <v>200</v>
      </c>
      <c r="D196" s="26" t="s">
        <v>379</v>
      </c>
      <c r="E196" s="26" t="s">
        <v>73</v>
      </c>
      <c r="F196" s="27" t="s">
        <v>74</v>
      </c>
      <c r="G196" s="28">
        <v>46235</v>
      </c>
      <c r="H196" s="29">
        <f t="shared" si="7"/>
        <v>41</v>
      </c>
      <c r="I196" s="29">
        <f t="shared" si="8"/>
        <v>26</v>
      </c>
      <c r="J196" s="30">
        <f t="shared" si="9"/>
        <v>17350</v>
      </c>
      <c r="K196" s="31">
        <v>17</v>
      </c>
      <c r="L196" s="31"/>
      <c r="M196" s="31">
        <v>9</v>
      </c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>
        <v>15</v>
      </c>
      <c r="AB196" s="31"/>
      <c r="AC196" s="31"/>
      <c r="AD196" s="31"/>
      <c r="AE196" s="31"/>
      <c r="AF196" s="31"/>
      <c r="AG196" s="31"/>
      <c r="AH196" s="31">
        <v>26</v>
      </c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t="s">
        <v>75</v>
      </c>
      <c r="BD196">
        <v>191</v>
      </c>
      <c r="BF196" s="30">
        <f>IF($BD196="","",SUMIF($BD$6:$BD$2000,$BD196,$J$6:$J$2000))</f>
        <v>17350</v>
      </c>
    </row>
    <row r="197" spans="1:58" ht="19.5" customHeight="1" x14ac:dyDescent="0.25">
      <c r="A197" s="96" t="s">
        <v>2054</v>
      </c>
      <c r="B197" s="38" t="s">
        <v>71</v>
      </c>
      <c r="C197" s="33">
        <v>201</v>
      </c>
      <c r="D197" s="32" t="s">
        <v>380</v>
      </c>
      <c r="E197" s="32" t="s">
        <v>188</v>
      </c>
      <c r="F197" s="33" t="s">
        <v>123</v>
      </c>
      <c r="G197" s="34">
        <v>46419</v>
      </c>
      <c r="H197" s="35">
        <f t="shared" si="7"/>
        <v>19</v>
      </c>
      <c r="I197" s="35">
        <f t="shared" si="8"/>
        <v>12</v>
      </c>
      <c r="J197" s="36">
        <f t="shared" si="9"/>
        <v>11743</v>
      </c>
      <c r="K197" s="37">
        <v>10</v>
      </c>
      <c r="L197" s="37"/>
      <c r="M197" s="37"/>
      <c r="N197" s="37"/>
      <c r="O197" s="37"/>
      <c r="P197" s="37"/>
      <c r="Q197" s="37"/>
      <c r="R197" s="37"/>
      <c r="S197" s="37"/>
      <c r="T197" s="37"/>
      <c r="U197" s="37">
        <v>1</v>
      </c>
      <c r="V197" s="37"/>
      <c r="W197" s="37"/>
      <c r="X197" s="37"/>
      <c r="Y197" s="37"/>
      <c r="Z197" s="37">
        <v>1</v>
      </c>
      <c r="AA197" s="37">
        <v>7</v>
      </c>
      <c r="AB197" s="37"/>
      <c r="AC197" s="37"/>
      <c r="AD197" s="37"/>
      <c r="AE197" s="37"/>
      <c r="AF197" s="37"/>
      <c r="AG197" s="37"/>
      <c r="AH197" s="37"/>
      <c r="AI197" s="37"/>
      <c r="AJ197" s="37">
        <v>12</v>
      </c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t="s">
        <v>75</v>
      </c>
      <c r="BD197">
        <v>192</v>
      </c>
      <c r="BF197" s="30">
        <f>IF($BD197="","",SUMIF($BD$6:$BD$2000,$BD197,$J$6:$J$2000))</f>
        <v>11743</v>
      </c>
    </row>
    <row r="198" spans="1:58" ht="19.5" customHeight="1" x14ac:dyDescent="0.25">
      <c r="A198" s="96" t="s">
        <v>2054</v>
      </c>
      <c r="B198" s="26" t="s">
        <v>71</v>
      </c>
      <c r="C198" s="27">
        <v>202</v>
      </c>
      <c r="D198" s="26" t="s">
        <v>381</v>
      </c>
      <c r="E198" s="26" t="s">
        <v>220</v>
      </c>
      <c r="F198" s="27" t="s">
        <v>221</v>
      </c>
      <c r="G198" s="28">
        <v>46142</v>
      </c>
      <c r="H198" s="29">
        <f t="shared" ref="H198:H261" si="10">IF($B198="","",SUM($K198:$AG198)+SUM($AS198:$BB198))</f>
        <v>25</v>
      </c>
      <c r="I198" s="29">
        <f t="shared" ref="I198:I261" si="11">IF($B198="","",SUM($AH198:$AL198))</f>
        <v>24</v>
      </c>
      <c r="J198" s="30">
        <f t="shared" ref="J198:J261" si="12">IF($B198="","",SUMPRODUCT($K198:$BB198,$K$2:$BB$2))</f>
        <v>15190</v>
      </c>
      <c r="K198" s="31">
        <v>10</v>
      </c>
      <c r="L198" s="31"/>
      <c r="M198" s="31">
        <v>2</v>
      </c>
      <c r="N198" s="31"/>
      <c r="O198" s="31">
        <v>1</v>
      </c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>
        <v>12</v>
      </c>
      <c r="AB198" s="31"/>
      <c r="AC198" s="31"/>
      <c r="AD198" s="31"/>
      <c r="AE198" s="31"/>
      <c r="AF198" s="31"/>
      <c r="AG198" s="31"/>
      <c r="AH198" s="31">
        <v>24</v>
      </c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t="s">
        <v>75</v>
      </c>
      <c r="BD198">
        <v>193</v>
      </c>
      <c r="BF198" s="30">
        <f>IF($BD198="","",SUMIF($BD$6:$BD$2000,$BD198,$J$6:$J$2000))</f>
        <v>15190</v>
      </c>
    </row>
    <row r="199" spans="1:58" ht="19.5" customHeight="1" x14ac:dyDescent="0.25">
      <c r="A199" s="96" t="s">
        <v>2054</v>
      </c>
      <c r="B199" s="32" t="s">
        <v>71</v>
      </c>
      <c r="C199" s="33">
        <v>26</v>
      </c>
      <c r="D199" s="32" t="s">
        <v>382</v>
      </c>
      <c r="E199" s="32" t="s">
        <v>383</v>
      </c>
      <c r="F199" s="33" t="s">
        <v>126</v>
      </c>
      <c r="G199" s="34">
        <v>46235</v>
      </c>
      <c r="H199" s="35">
        <f t="shared" si="10"/>
        <v>24</v>
      </c>
      <c r="I199" s="35">
        <f t="shared" si="11"/>
        <v>24</v>
      </c>
      <c r="J199" s="36">
        <f t="shared" si="12"/>
        <v>14900</v>
      </c>
      <c r="K199" s="37">
        <v>10</v>
      </c>
      <c r="L199" s="37"/>
      <c r="M199" s="37">
        <v>4</v>
      </c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>
        <v>10</v>
      </c>
      <c r="AB199" s="37"/>
      <c r="AC199" s="37"/>
      <c r="AD199" s="37"/>
      <c r="AE199" s="37"/>
      <c r="AF199" s="37"/>
      <c r="AG199" s="37"/>
      <c r="AH199" s="37">
        <v>24</v>
      </c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t="s">
        <v>75</v>
      </c>
      <c r="BD199">
        <v>194</v>
      </c>
      <c r="BF199" s="30">
        <f>IF($BD199="","",SUMIF($BD$6:$BD$2000,$BD199,$J$6:$J$2000))</f>
        <v>14900</v>
      </c>
    </row>
    <row r="200" spans="1:58" ht="19.5" customHeight="1" x14ac:dyDescent="0.25">
      <c r="A200" s="96" t="s">
        <v>2054</v>
      </c>
      <c r="B200" s="26" t="s">
        <v>71</v>
      </c>
      <c r="C200" s="27">
        <v>204</v>
      </c>
      <c r="D200" s="26" t="s">
        <v>384</v>
      </c>
      <c r="E200" s="26" t="s">
        <v>119</v>
      </c>
      <c r="F200" s="27" t="s">
        <v>120</v>
      </c>
      <c r="G200" s="28">
        <v>46388</v>
      </c>
      <c r="H200" s="29">
        <f t="shared" si="10"/>
        <v>31</v>
      </c>
      <c r="I200" s="29">
        <f t="shared" si="11"/>
        <v>14</v>
      </c>
      <c r="J200" s="30">
        <f t="shared" si="12"/>
        <v>10410</v>
      </c>
      <c r="K200" s="31"/>
      <c r="L200" s="31"/>
      <c r="M200" s="31"/>
      <c r="N200" s="31">
        <v>19</v>
      </c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>
        <v>12</v>
      </c>
      <c r="AB200" s="31"/>
      <c r="AC200" s="31"/>
      <c r="AD200" s="31"/>
      <c r="AE200" s="31"/>
      <c r="AF200" s="31"/>
      <c r="AG200" s="31"/>
      <c r="AH200" s="31">
        <v>14</v>
      </c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  <c r="AZ200" s="31"/>
      <c r="BA200" s="31"/>
      <c r="BB200" s="31"/>
      <c r="BC200" t="s">
        <v>75</v>
      </c>
      <c r="BD200">
        <v>195</v>
      </c>
      <c r="BF200" s="30">
        <f>IF($BD200="","",SUMIF($BD$6:$BD$2000,$BD200,$J$6:$J$2000))</f>
        <v>10410</v>
      </c>
    </row>
    <row r="201" spans="1:58" ht="19.5" customHeight="1" x14ac:dyDescent="0.25">
      <c r="A201" s="96" t="s">
        <v>2054</v>
      </c>
      <c r="B201" s="32" t="s">
        <v>71</v>
      </c>
      <c r="C201" s="33">
        <v>205</v>
      </c>
      <c r="D201" s="32" t="s">
        <v>385</v>
      </c>
      <c r="E201" s="32" t="s">
        <v>386</v>
      </c>
      <c r="F201" s="33" t="s">
        <v>120</v>
      </c>
      <c r="G201" s="34">
        <v>46235</v>
      </c>
      <c r="H201" s="35">
        <f t="shared" si="10"/>
        <v>38</v>
      </c>
      <c r="I201" s="35">
        <f t="shared" si="11"/>
        <v>27</v>
      </c>
      <c r="J201" s="36">
        <f t="shared" si="12"/>
        <v>17820</v>
      </c>
      <c r="K201" s="37">
        <v>21</v>
      </c>
      <c r="L201" s="37"/>
      <c r="M201" s="37"/>
      <c r="N201" s="37">
        <v>1</v>
      </c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>
        <v>15</v>
      </c>
      <c r="AB201" s="37"/>
      <c r="AC201" s="37"/>
      <c r="AD201" s="37"/>
      <c r="AE201" s="37"/>
      <c r="AF201" s="37">
        <v>1</v>
      </c>
      <c r="AG201" s="37"/>
      <c r="AH201" s="37">
        <v>27</v>
      </c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t="s">
        <v>75</v>
      </c>
      <c r="BD201">
        <v>196</v>
      </c>
      <c r="BF201" s="30">
        <f>IF($BD201="","",SUMIF($BD$6:$BD$2000,$BD201,$J$6:$J$2000))</f>
        <v>17820</v>
      </c>
    </row>
    <row r="202" spans="1:58" ht="19.5" customHeight="1" x14ac:dyDescent="0.25">
      <c r="A202" s="96" t="s">
        <v>2054</v>
      </c>
      <c r="B202" s="26" t="s">
        <v>71</v>
      </c>
      <c r="C202" s="27">
        <v>206</v>
      </c>
      <c r="D202" s="26" t="s">
        <v>387</v>
      </c>
      <c r="E202" s="26" t="s">
        <v>173</v>
      </c>
      <c r="F202" s="27" t="s">
        <v>74</v>
      </c>
      <c r="G202" s="28">
        <v>46388</v>
      </c>
      <c r="H202" s="29">
        <f t="shared" si="10"/>
        <v>15</v>
      </c>
      <c r="I202" s="29">
        <f t="shared" si="11"/>
        <v>20</v>
      </c>
      <c r="J202" s="30">
        <f t="shared" si="12"/>
        <v>11470</v>
      </c>
      <c r="K202" s="31">
        <v>4</v>
      </c>
      <c r="L202" s="31"/>
      <c r="M202" s="31">
        <v>9</v>
      </c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>
        <v>2</v>
      </c>
      <c r="AB202" s="31"/>
      <c r="AC202" s="31"/>
      <c r="AD202" s="31"/>
      <c r="AE202" s="31"/>
      <c r="AF202" s="31"/>
      <c r="AG202" s="31"/>
      <c r="AH202" s="31">
        <v>20</v>
      </c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  <c r="AZ202" s="31"/>
      <c r="BA202" s="31"/>
      <c r="BB202" s="31"/>
      <c r="BC202" t="s">
        <v>75</v>
      </c>
      <c r="BD202">
        <v>197</v>
      </c>
      <c r="BF202" s="30">
        <f>IF($BD202="","",SUMIF($BD$6:$BD$2000,$BD202,$J$6:$J$2000))</f>
        <v>11470</v>
      </c>
    </row>
    <row r="203" spans="1:58" ht="19.5" customHeight="1" x14ac:dyDescent="0.25">
      <c r="A203" s="96" t="s">
        <v>2054</v>
      </c>
      <c r="B203" s="32" t="s">
        <v>71</v>
      </c>
      <c r="C203" s="33">
        <v>207</v>
      </c>
      <c r="D203" s="32" t="s">
        <v>388</v>
      </c>
      <c r="E203" s="32" t="s">
        <v>119</v>
      </c>
      <c r="F203" s="33" t="s">
        <v>120</v>
      </c>
      <c r="G203" s="34">
        <v>46388</v>
      </c>
      <c r="H203" s="35">
        <f t="shared" si="10"/>
        <v>22</v>
      </c>
      <c r="I203" s="35">
        <f t="shared" si="11"/>
        <v>24</v>
      </c>
      <c r="J203" s="36">
        <f t="shared" si="12"/>
        <v>14581</v>
      </c>
      <c r="K203" s="37"/>
      <c r="L203" s="37"/>
      <c r="M203" s="37"/>
      <c r="N203" s="37">
        <v>10</v>
      </c>
      <c r="O203" s="37"/>
      <c r="P203" s="37"/>
      <c r="Q203" s="37"/>
      <c r="R203" s="37"/>
      <c r="S203" s="37"/>
      <c r="T203" s="37"/>
      <c r="U203" s="37">
        <v>7</v>
      </c>
      <c r="V203" s="37"/>
      <c r="W203" s="37"/>
      <c r="X203" s="37"/>
      <c r="Y203" s="37"/>
      <c r="Z203" s="37"/>
      <c r="AA203" s="37">
        <v>5</v>
      </c>
      <c r="AB203" s="37"/>
      <c r="AC203" s="37"/>
      <c r="AD203" s="37"/>
      <c r="AE203" s="37"/>
      <c r="AF203" s="37"/>
      <c r="AG203" s="37"/>
      <c r="AH203" s="37">
        <v>24</v>
      </c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t="s">
        <v>75</v>
      </c>
      <c r="BD203">
        <v>198</v>
      </c>
      <c r="BF203" s="30">
        <f>IF($BD203="","",SUMIF($BD$6:$BD$2000,$BD203,$J$6:$J$2000))</f>
        <v>14581</v>
      </c>
    </row>
    <row r="204" spans="1:58" ht="19.5" customHeight="1" x14ac:dyDescent="0.25">
      <c r="A204" s="96" t="s">
        <v>2054</v>
      </c>
      <c r="B204" s="26" t="s">
        <v>71</v>
      </c>
      <c r="C204" s="27">
        <v>208</v>
      </c>
      <c r="D204" s="26" t="s">
        <v>389</v>
      </c>
      <c r="E204" s="26" t="s">
        <v>390</v>
      </c>
      <c r="F204" s="27" t="s">
        <v>120</v>
      </c>
      <c r="G204" s="28">
        <v>46082</v>
      </c>
      <c r="H204" s="29">
        <f t="shared" si="10"/>
        <v>17</v>
      </c>
      <c r="I204" s="29">
        <f t="shared" si="11"/>
        <v>18</v>
      </c>
      <c r="J204" s="30">
        <f t="shared" si="12"/>
        <v>10900</v>
      </c>
      <c r="K204" s="31">
        <v>7</v>
      </c>
      <c r="L204" s="31"/>
      <c r="M204" s="31"/>
      <c r="N204" s="31">
        <v>5</v>
      </c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>
        <v>5</v>
      </c>
      <c r="AB204" s="31"/>
      <c r="AC204" s="31"/>
      <c r="AD204" s="31"/>
      <c r="AE204" s="31"/>
      <c r="AF204" s="31"/>
      <c r="AG204" s="31"/>
      <c r="AH204" s="31">
        <v>18</v>
      </c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  <c r="AZ204" s="31"/>
      <c r="BA204" s="31"/>
      <c r="BB204" s="31"/>
      <c r="BC204" t="s">
        <v>75</v>
      </c>
      <c r="BD204">
        <v>199</v>
      </c>
      <c r="BF204" s="30">
        <f>IF($BD204="","",SUMIF($BD$6:$BD$2000,$BD204,$J$6:$J$2000))</f>
        <v>10900</v>
      </c>
    </row>
    <row r="205" spans="1:58" ht="19.5" customHeight="1" x14ac:dyDescent="0.25">
      <c r="A205" s="96" t="s">
        <v>2054</v>
      </c>
      <c r="B205" s="32" t="s">
        <v>71</v>
      </c>
      <c r="C205" s="33">
        <v>209</v>
      </c>
      <c r="D205" s="32" t="s">
        <v>391</v>
      </c>
      <c r="E205" s="32" t="s">
        <v>392</v>
      </c>
      <c r="F205" s="33" t="s">
        <v>393</v>
      </c>
      <c r="G205" s="34">
        <v>46296</v>
      </c>
      <c r="H205" s="35">
        <f t="shared" si="10"/>
        <v>27</v>
      </c>
      <c r="I205" s="35">
        <f t="shared" si="11"/>
        <v>24</v>
      </c>
      <c r="J205" s="36">
        <f t="shared" si="12"/>
        <v>15140</v>
      </c>
      <c r="K205" s="37"/>
      <c r="L205" s="37"/>
      <c r="M205" s="37"/>
      <c r="N205" s="37">
        <v>13</v>
      </c>
      <c r="O205" s="37"/>
      <c r="P205" s="37">
        <v>6</v>
      </c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>
        <v>8</v>
      </c>
      <c r="AB205" s="37"/>
      <c r="AC205" s="37"/>
      <c r="AD205" s="37"/>
      <c r="AE205" s="37"/>
      <c r="AF205" s="37"/>
      <c r="AG205" s="37"/>
      <c r="AH205" s="37">
        <v>24</v>
      </c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t="s">
        <v>75</v>
      </c>
      <c r="BD205">
        <v>200</v>
      </c>
      <c r="BF205" s="30">
        <f>IF($BD205="","",SUMIF($BD$6:$BD$2000,$BD205,$J$6:$J$2000))</f>
        <v>15140</v>
      </c>
    </row>
    <row r="206" spans="1:58" ht="19.5" customHeight="1" x14ac:dyDescent="0.25">
      <c r="A206" s="96" t="s">
        <v>2054</v>
      </c>
      <c r="B206" s="26" t="s">
        <v>71</v>
      </c>
      <c r="C206" s="27">
        <v>28</v>
      </c>
      <c r="D206" s="26" t="s">
        <v>394</v>
      </c>
      <c r="E206" s="26" t="s">
        <v>128</v>
      </c>
      <c r="F206" s="27" t="s">
        <v>126</v>
      </c>
      <c r="G206" s="28">
        <v>46235</v>
      </c>
      <c r="H206" s="29">
        <f t="shared" si="10"/>
        <v>26</v>
      </c>
      <c r="I206" s="29">
        <f t="shared" si="11"/>
        <v>40</v>
      </c>
      <c r="J206" s="30">
        <f t="shared" si="12"/>
        <v>23510</v>
      </c>
      <c r="K206" s="31">
        <v>12</v>
      </c>
      <c r="L206" s="31"/>
      <c r="M206" s="31">
        <v>3</v>
      </c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>
        <v>11</v>
      </c>
      <c r="AB206" s="31"/>
      <c r="AC206" s="31"/>
      <c r="AD206" s="31"/>
      <c r="AE206" s="31"/>
      <c r="AF206" s="31"/>
      <c r="AG206" s="31"/>
      <c r="AH206" s="31">
        <v>40</v>
      </c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  <c r="AZ206" s="31"/>
      <c r="BA206" s="31"/>
      <c r="BB206" s="31"/>
      <c r="BC206" t="s">
        <v>75</v>
      </c>
      <c r="BD206">
        <v>201</v>
      </c>
      <c r="BF206" s="30">
        <f>IF($BD206="","",SUMIF($BD$6:$BD$2000,$BD206,$J$6:$J$2000))</f>
        <v>23510</v>
      </c>
    </row>
    <row r="207" spans="1:58" ht="19.5" customHeight="1" x14ac:dyDescent="0.25">
      <c r="A207" s="96" t="s">
        <v>2054</v>
      </c>
      <c r="B207" s="32" t="s">
        <v>71</v>
      </c>
      <c r="C207" s="33">
        <v>212</v>
      </c>
      <c r="D207" s="32" t="s">
        <v>395</v>
      </c>
      <c r="E207" s="32" t="s">
        <v>73</v>
      </c>
      <c r="F207" s="33" t="s">
        <v>74</v>
      </c>
      <c r="G207" s="34">
        <v>46204</v>
      </c>
      <c r="H207" s="35">
        <f t="shared" si="10"/>
        <v>18</v>
      </c>
      <c r="I207" s="35">
        <f t="shared" si="11"/>
        <v>8</v>
      </c>
      <c r="J207" s="36">
        <f t="shared" si="12"/>
        <v>7980</v>
      </c>
      <c r="K207" s="37">
        <v>6</v>
      </c>
      <c r="L207" s="37"/>
      <c r="M207" s="37"/>
      <c r="N207" s="37">
        <v>6</v>
      </c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>
        <v>6</v>
      </c>
      <c r="AB207" s="37"/>
      <c r="AC207" s="37"/>
      <c r="AD207" s="37"/>
      <c r="AE207" s="37"/>
      <c r="AF207" s="37"/>
      <c r="AG207" s="37"/>
      <c r="AH207" s="37"/>
      <c r="AI207" s="37">
        <v>8</v>
      </c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t="s">
        <v>75</v>
      </c>
      <c r="BD207">
        <v>202</v>
      </c>
      <c r="BF207" s="30">
        <f>IF($BD207="","",SUMIF($BD$6:$BD$2000,$BD207,$J$6:$J$2000))</f>
        <v>7980</v>
      </c>
    </row>
    <row r="208" spans="1:58" ht="19.5" customHeight="1" x14ac:dyDescent="0.25">
      <c r="A208" s="96" t="s">
        <v>2054</v>
      </c>
      <c r="B208" s="26" t="s">
        <v>71</v>
      </c>
      <c r="C208" s="27">
        <v>213</v>
      </c>
      <c r="D208" s="26" t="s">
        <v>396</v>
      </c>
      <c r="E208" s="26" t="s">
        <v>73</v>
      </c>
      <c r="F208" s="27" t="s">
        <v>74</v>
      </c>
      <c r="G208" s="28">
        <v>46054</v>
      </c>
      <c r="H208" s="29">
        <f t="shared" si="10"/>
        <v>34</v>
      </c>
      <c r="I208" s="29">
        <f t="shared" si="11"/>
        <v>10</v>
      </c>
      <c r="J208" s="30">
        <f t="shared" si="12"/>
        <v>8050</v>
      </c>
      <c r="K208" s="31">
        <v>19</v>
      </c>
      <c r="L208" s="31"/>
      <c r="M208" s="31">
        <v>5</v>
      </c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>
        <v>10</v>
      </c>
      <c r="AB208" s="31"/>
      <c r="AC208" s="31"/>
      <c r="AD208" s="31"/>
      <c r="AE208" s="31"/>
      <c r="AF208" s="31"/>
      <c r="AG208" s="31"/>
      <c r="AH208" s="31">
        <v>10</v>
      </c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BB208" s="31"/>
      <c r="BC208" t="s">
        <v>75</v>
      </c>
      <c r="BD208">
        <v>203</v>
      </c>
      <c r="BF208" s="30">
        <f>IF($BD208="","",SUMIF($BD$6:$BD$2000,$BD208,$J$6:$J$2000))</f>
        <v>8050</v>
      </c>
    </row>
    <row r="209" spans="1:58" ht="19.5" customHeight="1" x14ac:dyDescent="0.25">
      <c r="A209" s="96" t="s">
        <v>2054</v>
      </c>
      <c r="B209" s="32" t="s">
        <v>71</v>
      </c>
      <c r="C209" s="33">
        <v>215</v>
      </c>
      <c r="D209" s="32" t="s">
        <v>397</v>
      </c>
      <c r="E209" s="32" t="s">
        <v>398</v>
      </c>
      <c r="F209" s="33" t="s">
        <v>120</v>
      </c>
      <c r="G209" s="34">
        <v>46143</v>
      </c>
      <c r="H209" s="35">
        <f t="shared" si="10"/>
        <v>26</v>
      </c>
      <c r="I209" s="35">
        <f t="shared" si="11"/>
        <v>20</v>
      </c>
      <c r="J209" s="36">
        <f t="shared" si="12"/>
        <v>14890</v>
      </c>
      <c r="K209" s="37">
        <v>7</v>
      </c>
      <c r="L209" s="37"/>
      <c r="M209" s="37"/>
      <c r="N209" s="37">
        <v>14</v>
      </c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>
        <v>5</v>
      </c>
      <c r="AB209" s="37"/>
      <c r="AC209" s="37"/>
      <c r="AD209" s="37"/>
      <c r="AE209" s="37"/>
      <c r="AF209" s="37"/>
      <c r="AG209" s="37"/>
      <c r="AH209" s="37">
        <v>12</v>
      </c>
      <c r="AI209" s="37"/>
      <c r="AJ209" s="37">
        <v>8</v>
      </c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t="s">
        <v>75</v>
      </c>
      <c r="BD209">
        <v>204</v>
      </c>
      <c r="BF209" s="30">
        <f>IF($BD209="","",SUMIF($BD$6:$BD$2000,$BD209,$J$6:$J$2000))</f>
        <v>14890</v>
      </c>
    </row>
    <row r="210" spans="1:58" ht="19.5" customHeight="1" x14ac:dyDescent="0.25">
      <c r="A210" s="96" t="s">
        <v>2054</v>
      </c>
      <c r="B210" s="26" t="s">
        <v>71</v>
      </c>
      <c r="C210" s="27">
        <v>216</v>
      </c>
      <c r="D210" s="26" t="s">
        <v>399</v>
      </c>
      <c r="E210" s="26" t="s">
        <v>260</v>
      </c>
      <c r="F210" s="27" t="s">
        <v>261</v>
      </c>
      <c r="G210" s="28">
        <v>46142</v>
      </c>
      <c r="H210" s="29">
        <f t="shared" si="10"/>
        <v>28</v>
      </c>
      <c r="I210" s="29">
        <f t="shared" si="11"/>
        <v>20</v>
      </c>
      <c r="J210" s="30">
        <f t="shared" si="12"/>
        <v>18720</v>
      </c>
      <c r="K210" s="31">
        <v>6</v>
      </c>
      <c r="L210" s="31"/>
      <c r="M210" s="31"/>
      <c r="N210" s="31">
        <v>16</v>
      </c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>
        <v>6</v>
      </c>
      <c r="AB210" s="31"/>
      <c r="AC210" s="31"/>
      <c r="AD210" s="31"/>
      <c r="AE210" s="31"/>
      <c r="AF210" s="31"/>
      <c r="AG210" s="31"/>
      <c r="AH210" s="31"/>
      <c r="AI210" s="31"/>
      <c r="AJ210" s="31">
        <v>20</v>
      </c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  <c r="AZ210" s="31"/>
      <c r="BA210" s="31"/>
      <c r="BB210" s="31"/>
      <c r="BC210" t="s">
        <v>75</v>
      </c>
      <c r="BD210">
        <v>205</v>
      </c>
      <c r="BF210" s="30">
        <f>IF($BD210="","",SUMIF($BD$6:$BD$2000,$BD210,$J$6:$J$2000))</f>
        <v>18720</v>
      </c>
    </row>
    <row r="211" spans="1:58" ht="19.5" customHeight="1" x14ac:dyDescent="0.25">
      <c r="A211" s="96" t="s">
        <v>2054</v>
      </c>
      <c r="B211" s="32" t="s">
        <v>71</v>
      </c>
      <c r="C211" s="33">
        <v>218</v>
      </c>
      <c r="D211" s="32" t="s">
        <v>400</v>
      </c>
      <c r="E211" s="32" t="s">
        <v>77</v>
      </c>
      <c r="F211" s="33" t="s">
        <v>74</v>
      </c>
      <c r="G211" s="34">
        <v>46388</v>
      </c>
      <c r="H211" s="35">
        <f t="shared" si="10"/>
        <v>15</v>
      </c>
      <c r="I211" s="35">
        <f t="shared" si="11"/>
        <v>7</v>
      </c>
      <c r="J211" s="36">
        <f t="shared" si="12"/>
        <v>10028</v>
      </c>
      <c r="K211" s="37">
        <v>5</v>
      </c>
      <c r="L211" s="37"/>
      <c r="M211" s="37">
        <v>1</v>
      </c>
      <c r="N211" s="37"/>
      <c r="O211" s="37"/>
      <c r="P211" s="37"/>
      <c r="Q211" s="37"/>
      <c r="R211" s="37"/>
      <c r="S211" s="37"/>
      <c r="T211" s="37"/>
      <c r="U211" s="37">
        <v>6</v>
      </c>
      <c r="V211" s="37"/>
      <c r="W211" s="37"/>
      <c r="X211" s="37"/>
      <c r="Y211" s="37"/>
      <c r="Z211" s="37"/>
      <c r="AA211" s="37">
        <v>3</v>
      </c>
      <c r="AB211" s="37"/>
      <c r="AC211" s="37"/>
      <c r="AD211" s="37"/>
      <c r="AE211" s="37"/>
      <c r="AF211" s="37"/>
      <c r="AG211" s="37"/>
      <c r="AH211" s="37"/>
      <c r="AI211" s="37"/>
      <c r="AJ211" s="37"/>
      <c r="AK211" s="37">
        <v>7</v>
      </c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t="s">
        <v>75</v>
      </c>
      <c r="BD211">
        <v>206</v>
      </c>
      <c r="BF211" s="30">
        <f>IF($BD211="","",SUMIF($BD$6:$BD$2000,$BD211,$J$6:$J$2000))</f>
        <v>10028</v>
      </c>
    </row>
    <row r="212" spans="1:58" ht="19.5" customHeight="1" x14ac:dyDescent="0.25">
      <c r="A212" s="96" t="s">
        <v>2054</v>
      </c>
      <c r="B212" s="26" t="s">
        <v>71</v>
      </c>
      <c r="C212" s="27">
        <v>219</v>
      </c>
      <c r="D212" s="26" t="s">
        <v>401</v>
      </c>
      <c r="E212" s="26" t="s">
        <v>334</v>
      </c>
      <c r="F212" s="27" t="s">
        <v>246</v>
      </c>
      <c r="G212" s="28">
        <v>46266</v>
      </c>
      <c r="H212" s="29">
        <f t="shared" si="10"/>
        <v>30</v>
      </c>
      <c r="I212" s="29">
        <f t="shared" si="11"/>
        <v>20</v>
      </c>
      <c r="J212" s="30">
        <f t="shared" si="12"/>
        <v>13300</v>
      </c>
      <c r="K212" s="31">
        <v>10</v>
      </c>
      <c r="L212" s="31"/>
      <c r="M212" s="31"/>
      <c r="N212" s="31">
        <v>9</v>
      </c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>
        <v>11</v>
      </c>
      <c r="AB212" s="31"/>
      <c r="AC212" s="31"/>
      <c r="AD212" s="31"/>
      <c r="AE212" s="31"/>
      <c r="AF212" s="31"/>
      <c r="AG212" s="31"/>
      <c r="AH212" s="31">
        <v>20</v>
      </c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  <c r="AZ212" s="31"/>
      <c r="BA212" s="31"/>
      <c r="BB212" s="31"/>
      <c r="BC212" t="s">
        <v>75</v>
      </c>
      <c r="BD212">
        <v>207</v>
      </c>
      <c r="BF212" s="30">
        <f>IF($BD212="","",SUMIF($BD$6:$BD$2000,$BD212,$J$6:$J$2000))</f>
        <v>13300</v>
      </c>
    </row>
    <row r="213" spans="1:58" ht="19.5" customHeight="1" x14ac:dyDescent="0.25">
      <c r="A213" s="96" t="s">
        <v>2054</v>
      </c>
      <c r="B213" s="32" t="s">
        <v>71</v>
      </c>
      <c r="C213" s="33">
        <v>220</v>
      </c>
      <c r="D213" s="32" t="s">
        <v>402</v>
      </c>
      <c r="E213" s="32" t="s">
        <v>228</v>
      </c>
      <c r="F213" s="33" t="s">
        <v>229</v>
      </c>
      <c r="G213" s="34">
        <v>46082</v>
      </c>
      <c r="H213" s="35">
        <f t="shared" si="10"/>
        <v>75</v>
      </c>
      <c r="I213" s="35">
        <f t="shared" si="11"/>
        <v>40</v>
      </c>
      <c r="J213" s="36">
        <f t="shared" si="12"/>
        <v>30598</v>
      </c>
      <c r="K213" s="37">
        <v>7</v>
      </c>
      <c r="L213" s="37"/>
      <c r="M213" s="37"/>
      <c r="N213" s="37"/>
      <c r="O213" s="37"/>
      <c r="P213" s="37">
        <v>5</v>
      </c>
      <c r="Q213" s="37"/>
      <c r="R213" s="37"/>
      <c r="S213" s="37"/>
      <c r="T213" s="37"/>
      <c r="U213" s="37">
        <v>16</v>
      </c>
      <c r="V213" s="37"/>
      <c r="W213" s="37"/>
      <c r="X213" s="37"/>
      <c r="Y213" s="37"/>
      <c r="Z213" s="37"/>
      <c r="AA213" s="37">
        <v>47</v>
      </c>
      <c r="AB213" s="37"/>
      <c r="AC213" s="37"/>
      <c r="AD213" s="37"/>
      <c r="AE213" s="37"/>
      <c r="AF213" s="37"/>
      <c r="AG213" s="37"/>
      <c r="AH213" s="37">
        <v>40</v>
      </c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t="s">
        <v>75</v>
      </c>
      <c r="BD213">
        <v>208</v>
      </c>
      <c r="BF213" s="30">
        <f>IF($BD213="","",SUMIF($BD$6:$BD$2000,$BD213,$J$6:$J$2000))</f>
        <v>30598</v>
      </c>
    </row>
    <row r="214" spans="1:58" ht="19.5" customHeight="1" x14ac:dyDescent="0.25">
      <c r="A214" s="96" t="s">
        <v>2054</v>
      </c>
      <c r="B214" s="26" t="s">
        <v>71</v>
      </c>
      <c r="C214" s="27">
        <v>220</v>
      </c>
      <c r="D214" s="26" t="s">
        <v>402</v>
      </c>
      <c r="E214" s="26" t="s">
        <v>228</v>
      </c>
      <c r="F214" s="27" t="s">
        <v>229</v>
      </c>
      <c r="G214" s="28">
        <v>46023</v>
      </c>
      <c r="H214" s="29">
        <f t="shared" si="10"/>
        <v>75</v>
      </c>
      <c r="I214" s="29">
        <f t="shared" si="11"/>
        <v>40</v>
      </c>
      <c r="J214" s="30">
        <f t="shared" si="12"/>
        <v>30598</v>
      </c>
      <c r="K214" s="31">
        <v>7</v>
      </c>
      <c r="L214" s="31"/>
      <c r="M214" s="31"/>
      <c r="N214" s="31"/>
      <c r="O214" s="31"/>
      <c r="P214" s="31">
        <v>5</v>
      </c>
      <c r="Q214" s="31"/>
      <c r="R214" s="31"/>
      <c r="S214" s="31"/>
      <c r="T214" s="31"/>
      <c r="U214" s="31">
        <v>16</v>
      </c>
      <c r="V214" s="31"/>
      <c r="W214" s="31"/>
      <c r="X214" s="31"/>
      <c r="Y214" s="31"/>
      <c r="Z214" s="31"/>
      <c r="AA214" s="31">
        <v>47</v>
      </c>
      <c r="AB214" s="31"/>
      <c r="AC214" s="31"/>
      <c r="AD214" s="31"/>
      <c r="AE214" s="31"/>
      <c r="AF214" s="31"/>
      <c r="AG214" s="31"/>
      <c r="AH214" s="31">
        <v>40</v>
      </c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  <c r="AZ214" s="31"/>
      <c r="BA214" s="31"/>
      <c r="BB214" s="31"/>
      <c r="BC214" t="s">
        <v>75</v>
      </c>
      <c r="BD214">
        <v>209</v>
      </c>
      <c r="BF214" s="30">
        <f>IF($BD214="","",SUMIF($BD$6:$BD$2000,$BD214,$J$6:$J$2000))</f>
        <v>30598</v>
      </c>
    </row>
    <row r="215" spans="1:58" ht="19.5" customHeight="1" x14ac:dyDescent="0.25">
      <c r="A215" s="96" t="s">
        <v>2054</v>
      </c>
      <c r="B215" s="32" t="s">
        <v>71</v>
      </c>
      <c r="C215" s="33">
        <v>221</v>
      </c>
      <c r="D215" s="32" t="s">
        <v>403</v>
      </c>
      <c r="E215" s="32" t="s">
        <v>404</v>
      </c>
      <c r="F215" s="33" t="s">
        <v>261</v>
      </c>
      <c r="G215" s="34">
        <v>46023</v>
      </c>
      <c r="H215" s="35">
        <f t="shared" si="10"/>
        <v>21</v>
      </c>
      <c r="I215" s="35">
        <f t="shared" si="11"/>
        <v>12</v>
      </c>
      <c r="J215" s="36">
        <f t="shared" si="12"/>
        <v>8422</v>
      </c>
      <c r="K215" s="37"/>
      <c r="L215" s="37"/>
      <c r="M215" s="37"/>
      <c r="N215" s="37"/>
      <c r="O215" s="37"/>
      <c r="P215" s="37">
        <v>2</v>
      </c>
      <c r="Q215" s="37"/>
      <c r="R215" s="37"/>
      <c r="S215" s="37"/>
      <c r="T215" s="37"/>
      <c r="U215" s="37">
        <v>14</v>
      </c>
      <c r="V215" s="37"/>
      <c r="W215" s="37"/>
      <c r="X215" s="37"/>
      <c r="Y215" s="37"/>
      <c r="Z215" s="37"/>
      <c r="AA215" s="37">
        <v>5</v>
      </c>
      <c r="AB215" s="37"/>
      <c r="AC215" s="37"/>
      <c r="AD215" s="37"/>
      <c r="AE215" s="37"/>
      <c r="AF215" s="37"/>
      <c r="AG215" s="37"/>
      <c r="AH215" s="37">
        <v>12</v>
      </c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t="s">
        <v>75</v>
      </c>
      <c r="BD215">
        <v>210</v>
      </c>
      <c r="BF215" s="30">
        <f>IF($BD215="","",SUMIF($BD$6:$BD$2000,$BD215,$J$6:$J$2000))</f>
        <v>8422</v>
      </c>
    </row>
    <row r="216" spans="1:58" ht="19.5" customHeight="1" x14ac:dyDescent="0.25">
      <c r="A216" s="96" t="s">
        <v>2054</v>
      </c>
      <c r="B216" s="26" t="s">
        <v>71</v>
      </c>
      <c r="C216" s="27">
        <v>222</v>
      </c>
      <c r="D216" s="26" t="s">
        <v>405</v>
      </c>
      <c r="E216" s="26" t="s">
        <v>206</v>
      </c>
      <c r="F216" s="27" t="s">
        <v>207</v>
      </c>
      <c r="G216" s="28">
        <v>46204</v>
      </c>
      <c r="H216" s="29">
        <f t="shared" si="10"/>
        <v>18</v>
      </c>
      <c r="I216" s="29">
        <f t="shared" si="11"/>
        <v>20</v>
      </c>
      <c r="J216" s="30">
        <f t="shared" si="12"/>
        <v>12453</v>
      </c>
      <c r="K216" s="31"/>
      <c r="L216" s="31"/>
      <c r="M216" s="31"/>
      <c r="N216" s="31"/>
      <c r="O216" s="31"/>
      <c r="P216" s="31">
        <v>1</v>
      </c>
      <c r="Q216" s="31"/>
      <c r="R216" s="31"/>
      <c r="S216" s="31"/>
      <c r="T216" s="31"/>
      <c r="U216" s="31">
        <v>11</v>
      </c>
      <c r="V216" s="31"/>
      <c r="W216" s="31"/>
      <c r="X216" s="31"/>
      <c r="Y216" s="31"/>
      <c r="Z216" s="31"/>
      <c r="AA216" s="31">
        <v>6</v>
      </c>
      <c r="AB216" s="31"/>
      <c r="AC216" s="31"/>
      <c r="AD216" s="31"/>
      <c r="AE216" s="31"/>
      <c r="AF216" s="31"/>
      <c r="AG216" s="31"/>
      <c r="AH216" s="31">
        <v>20</v>
      </c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  <c r="AZ216" s="31"/>
      <c r="BA216" s="31"/>
      <c r="BB216" s="31"/>
      <c r="BC216" t="s">
        <v>75</v>
      </c>
      <c r="BD216">
        <v>211</v>
      </c>
      <c r="BF216" s="30">
        <f>IF($BD216="","",SUMIF($BD$6:$BD$2000,$BD216,$J$6:$J$2000))</f>
        <v>12453</v>
      </c>
    </row>
    <row r="217" spans="1:58" ht="19.5" customHeight="1" x14ac:dyDescent="0.25">
      <c r="A217" s="96" t="s">
        <v>2054</v>
      </c>
      <c r="B217" s="32" t="s">
        <v>71</v>
      </c>
      <c r="C217" s="33">
        <v>223</v>
      </c>
      <c r="D217" s="32" t="s">
        <v>406</v>
      </c>
      <c r="E217" s="32" t="s">
        <v>144</v>
      </c>
      <c r="F217" s="33" t="s">
        <v>145</v>
      </c>
      <c r="G217" s="34">
        <v>46296</v>
      </c>
      <c r="H217" s="35">
        <f t="shared" si="10"/>
        <v>19</v>
      </c>
      <c r="I217" s="35">
        <f t="shared" si="11"/>
        <v>12</v>
      </c>
      <c r="J217" s="36">
        <f t="shared" si="12"/>
        <v>8185</v>
      </c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>
        <v>15</v>
      </c>
      <c r="V217" s="37"/>
      <c r="W217" s="37"/>
      <c r="X217" s="37"/>
      <c r="Y217" s="37"/>
      <c r="Z217" s="37"/>
      <c r="AA217" s="37">
        <v>4</v>
      </c>
      <c r="AB217" s="37"/>
      <c r="AC217" s="37"/>
      <c r="AD217" s="37"/>
      <c r="AE217" s="37"/>
      <c r="AF217" s="37"/>
      <c r="AG217" s="37"/>
      <c r="AH217" s="37">
        <v>12</v>
      </c>
      <c r="AI217" s="37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t="s">
        <v>75</v>
      </c>
      <c r="BD217">
        <v>212</v>
      </c>
      <c r="BF217" s="30">
        <f>IF($BD217="","",SUMIF($BD$6:$BD$2000,$BD217,$J$6:$J$2000))</f>
        <v>8185</v>
      </c>
    </row>
    <row r="218" spans="1:58" ht="19.5" customHeight="1" x14ac:dyDescent="0.25">
      <c r="A218" s="96" t="s">
        <v>2054</v>
      </c>
      <c r="B218" s="26" t="s">
        <v>71</v>
      </c>
      <c r="C218" s="27">
        <v>224</v>
      </c>
      <c r="D218" s="26" t="s">
        <v>407</v>
      </c>
      <c r="E218" s="26" t="s">
        <v>408</v>
      </c>
      <c r="F218" s="27" t="s">
        <v>261</v>
      </c>
      <c r="G218" s="28">
        <v>46023</v>
      </c>
      <c r="H218" s="29">
        <f t="shared" si="10"/>
        <v>14</v>
      </c>
      <c r="I218" s="29">
        <f t="shared" si="11"/>
        <v>16</v>
      </c>
      <c r="J218" s="30">
        <f t="shared" si="12"/>
        <v>9924</v>
      </c>
      <c r="K218" s="31"/>
      <c r="L218" s="31"/>
      <c r="M218" s="31"/>
      <c r="N218" s="31">
        <v>1</v>
      </c>
      <c r="O218" s="31"/>
      <c r="P218" s="31"/>
      <c r="Q218" s="31"/>
      <c r="R218" s="31"/>
      <c r="S218" s="31"/>
      <c r="T218" s="31"/>
      <c r="U218" s="31">
        <v>8</v>
      </c>
      <c r="V218" s="31"/>
      <c r="W218" s="31"/>
      <c r="X218" s="31"/>
      <c r="Y218" s="31"/>
      <c r="Z218" s="31"/>
      <c r="AA218" s="31">
        <v>5</v>
      </c>
      <c r="AB218" s="31"/>
      <c r="AC218" s="31"/>
      <c r="AD218" s="31"/>
      <c r="AE218" s="31"/>
      <c r="AF218" s="31"/>
      <c r="AG218" s="31"/>
      <c r="AH218" s="31">
        <v>16</v>
      </c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  <c r="AZ218" s="31"/>
      <c r="BA218" s="31"/>
      <c r="BB218" s="31"/>
      <c r="BC218" t="s">
        <v>75</v>
      </c>
      <c r="BD218">
        <v>213</v>
      </c>
      <c r="BF218" s="30">
        <f>IF($BD218="","",SUMIF($BD$6:$BD$2000,$BD218,$J$6:$J$2000))</f>
        <v>9924</v>
      </c>
    </row>
    <row r="219" spans="1:58" ht="19.5" customHeight="1" x14ac:dyDescent="0.25">
      <c r="A219" s="96" t="s">
        <v>2054</v>
      </c>
      <c r="B219" s="32" t="s">
        <v>71</v>
      </c>
      <c r="C219" s="33">
        <v>225</v>
      </c>
      <c r="D219" s="32" t="s">
        <v>409</v>
      </c>
      <c r="E219" s="32" t="s">
        <v>314</v>
      </c>
      <c r="F219" s="33" t="s">
        <v>210</v>
      </c>
      <c r="G219" s="34">
        <v>46388</v>
      </c>
      <c r="H219" s="35">
        <f t="shared" si="10"/>
        <v>21</v>
      </c>
      <c r="I219" s="35">
        <f t="shared" si="11"/>
        <v>24</v>
      </c>
      <c r="J219" s="36">
        <f t="shared" si="12"/>
        <v>14805</v>
      </c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>
        <v>15</v>
      </c>
      <c r="V219" s="37"/>
      <c r="W219" s="37"/>
      <c r="X219" s="37"/>
      <c r="Y219" s="37"/>
      <c r="Z219" s="37"/>
      <c r="AA219" s="37">
        <v>6</v>
      </c>
      <c r="AB219" s="37"/>
      <c r="AC219" s="37"/>
      <c r="AD219" s="37"/>
      <c r="AE219" s="37"/>
      <c r="AF219" s="37"/>
      <c r="AG219" s="37"/>
      <c r="AH219" s="37">
        <v>24</v>
      </c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t="s">
        <v>75</v>
      </c>
      <c r="BD219">
        <v>214</v>
      </c>
      <c r="BF219" s="30">
        <f>IF($BD219="","",SUMIF($BD$6:$BD$2000,$BD219,$J$6:$J$2000))</f>
        <v>14805</v>
      </c>
    </row>
    <row r="220" spans="1:58" ht="19.5" customHeight="1" x14ac:dyDescent="0.25">
      <c r="A220" s="96" t="s">
        <v>2054</v>
      </c>
      <c r="B220" s="26" t="s">
        <v>71</v>
      </c>
      <c r="C220" s="27">
        <v>226</v>
      </c>
      <c r="D220" s="26" t="s">
        <v>410</v>
      </c>
      <c r="E220" s="26" t="s">
        <v>153</v>
      </c>
      <c r="F220" s="27" t="s">
        <v>142</v>
      </c>
      <c r="G220" s="28">
        <v>46419</v>
      </c>
      <c r="H220" s="29">
        <f t="shared" si="10"/>
        <v>23</v>
      </c>
      <c r="I220" s="29">
        <f t="shared" si="11"/>
        <v>14</v>
      </c>
      <c r="J220" s="30">
        <f t="shared" si="12"/>
        <v>9620</v>
      </c>
      <c r="K220" s="31">
        <v>11</v>
      </c>
      <c r="L220" s="31"/>
      <c r="M220" s="31"/>
      <c r="N220" s="31">
        <v>2</v>
      </c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>
        <v>10</v>
      </c>
      <c r="AB220" s="31"/>
      <c r="AC220" s="31"/>
      <c r="AD220" s="31"/>
      <c r="AE220" s="31"/>
      <c r="AF220" s="31"/>
      <c r="AG220" s="31"/>
      <c r="AH220" s="31">
        <v>14</v>
      </c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  <c r="AZ220" s="31"/>
      <c r="BA220" s="31"/>
      <c r="BB220" s="31"/>
      <c r="BC220" t="s">
        <v>75</v>
      </c>
      <c r="BD220">
        <v>215</v>
      </c>
      <c r="BF220" s="30">
        <f>IF($BD220="","",SUMIF($BD$6:$BD$2000,$BD220,$J$6:$J$2000))</f>
        <v>9620</v>
      </c>
    </row>
    <row r="221" spans="1:58" ht="19.5" customHeight="1" x14ac:dyDescent="0.25">
      <c r="A221" s="96" t="s">
        <v>2054</v>
      </c>
      <c r="B221" s="32" t="s">
        <v>71</v>
      </c>
      <c r="C221" s="33">
        <v>227</v>
      </c>
      <c r="D221" s="32" t="s">
        <v>411</v>
      </c>
      <c r="E221" s="32" t="s">
        <v>412</v>
      </c>
      <c r="F221" s="33" t="s">
        <v>114</v>
      </c>
      <c r="G221" s="34">
        <v>46388</v>
      </c>
      <c r="H221" s="35">
        <f t="shared" si="10"/>
        <v>18</v>
      </c>
      <c r="I221" s="35">
        <f t="shared" si="11"/>
        <v>10</v>
      </c>
      <c r="J221" s="36">
        <f t="shared" si="12"/>
        <v>10063</v>
      </c>
      <c r="K221" s="37">
        <v>9</v>
      </c>
      <c r="L221" s="37"/>
      <c r="M221" s="37"/>
      <c r="N221" s="37"/>
      <c r="O221" s="37"/>
      <c r="P221" s="37"/>
      <c r="Q221" s="37"/>
      <c r="R221" s="37"/>
      <c r="S221" s="37"/>
      <c r="T221" s="37"/>
      <c r="U221" s="37">
        <v>1</v>
      </c>
      <c r="V221" s="37"/>
      <c r="W221" s="37"/>
      <c r="X221" s="37"/>
      <c r="Y221" s="37"/>
      <c r="Z221" s="37"/>
      <c r="AA221" s="37">
        <v>8</v>
      </c>
      <c r="AB221" s="37"/>
      <c r="AC221" s="37"/>
      <c r="AD221" s="37"/>
      <c r="AE221" s="37"/>
      <c r="AF221" s="37"/>
      <c r="AG221" s="37"/>
      <c r="AH221" s="37"/>
      <c r="AI221" s="37"/>
      <c r="AJ221" s="37">
        <v>10</v>
      </c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t="s">
        <v>75</v>
      </c>
      <c r="BD221">
        <v>216</v>
      </c>
      <c r="BF221" s="30">
        <f>IF($BD221="","",SUMIF($BD$6:$BD$2000,$BD221,$J$6:$J$2000))</f>
        <v>10063</v>
      </c>
    </row>
    <row r="222" spans="1:58" ht="19.5" customHeight="1" x14ac:dyDescent="0.25">
      <c r="A222" s="96" t="s">
        <v>2054</v>
      </c>
      <c r="B222" s="26" t="s">
        <v>71</v>
      </c>
      <c r="C222" s="27">
        <v>228</v>
      </c>
      <c r="D222" s="26" t="s">
        <v>413</v>
      </c>
      <c r="E222" s="26" t="s">
        <v>137</v>
      </c>
      <c r="F222" s="27" t="s">
        <v>133</v>
      </c>
      <c r="G222" s="28">
        <v>46054</v>
      </c>
      <c r="H222" s="29">
        <f t="shared" si="10"/>
        <v>15</v>
      </c>
      <c r="I222" s="29">
        <f t="shared" si="11"/>
        <v>16</v>
      </c>
      <c r="J222" s="30">
        <f t="shared" si="12"/>
        <v>10184</v>
      </c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>
        <v>8</v>
      </c>
      <c r="V222" s="31"/>
      <c r="W222" s="31"/>
      <c r="X222" s="31"/>
      <c r="Y222" s="31"/>
      <c r="Z222" s="31"/>
      <c r="AA222" s="31">
        <v>7</v>
      </c>
      <c r="AB222" s="31"/>
      <c r="AC222" s="31"/>
      <c r="AD222" s="31"/>
      <c r="AE222" s="31"/>
      <c r="AF222" s="31"/>
      <c r="AG222" s="31"/>
      <c r="AH222" s="31">
        <v>16</v>
      </c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  <c r="AZ222" s="31"/>
      <c r="BA222" s="31"/>
      <c r="BB222" s="31"/>
      <c r="BC222" t="s">
        <v>75</v>
      </c>
      <c r="BD222">
        <v>217</v>
      </c>
      <c r="BF222" s="30">
        <f>IF($BD222="","",SUMIF($BD$6:$BD$2000,$BD222,$J$6:$J$2000))</f>
        <v>10184</v>
      </c>
    </row>
    <row r="223" spans="1:58" ht="19.5" customHeight="1" x14ac:dyDescent="0.25">
      <c r="A223" s="96" t="s">
        <v>2054</v>
      </c>
      <c r="B223" s="32" t="s">
        <v>71</v>
      </c>
      <c r="C223" s="33">
        <v>229</v>
      </c>
      <c r="D223" s="32" t="s">
        <v>414</v>
      </c>
      <c r="E223" s="32" t="s">
        <v>415</v>
      </c>
      <c r="F223" s="33" t="s">
        <v>416</v>
      </c>
      <c r="G223" s="34">
        <v>46023</v>
      </c>
      <c r="H223" s="35">
        <f t="shared" si="10"/>
        <v>35</v>
      </c>
      <c r="I223" s="35">
        <f t="shared" si="11"/>
        <v>28</v>
      </c>
      <c r="J223" s="36">
        <f t="shared" si="12"/>
        <v>18292</v>
      </c>
      <c r="K223" s="37"/>
      <c r="L223" s="37"/>
      <c r="M223" s="37"/>
      <c r="N223" s="37"/>
      <c r="O223" s="37"/>
      <c r="P223" s="37">
        <v>2</v>
      </c>
      <c r="Q223" s="37"/>
      <c r="R223" s="37"/>
      <c r="S223" s="37"/>
      <c r="T223" s="37"/>
      <c r="U223" s="37">
        <v>24</v>
      </c>
      <c r="V223" s="37"/>
      <c r="W223" s="37"/>
      <c r="X223" s="37"/>
      <c r="Y223" s="37"/>
      <c r="Z223" s="37"/>
      <c r="AA223" s="37">
        <v>9</v>
      </c>
      <c r="AB223" s="37"/>
      <c r="AC223" s="37"/>
      <c r="AD223" s="37"/>
      <c r="AE223" s="37"/>
      <c r="AF223" s="37"/>
      <c r="AG223" s="37"/>
      <c r="AH223" s="37">
        <v>28</v>
      </c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t="s">
        <v>75</v>
      </c>
      <c r="BD223">
        <v>218</v>
      </c>
      <c r="BF223" s="30">
        <f>IF($BD223="","",SUMIF($BD$6:$BD$2000,$BD223,$J$6:$J$2000))</f>
        <v>18292</v>
      </c>
    </row>
    <row r="224" spans="1:58" ht="19.5" customHeight="1" x14ac:dyDescent="0.25">
      <c r="A224" s="96" t="s">
        <v>2054</v>
      </c>
      <c r="B224" s="26" t="s">
        <v>71</v>
      </c>
      <c r="C224" s="27">
        <v>230</v>
      </c>
      <c r="D224" s="26" t="s">
        <v>417</v>
      </c>
      <c r="E224" s="26" t="s">
        <v>337</v>
      </c>
      <c r="F224" s="27" t="s">
        <v>74</v>
      </c>
      <c r="G224" s="28">
        <v>46204</v>
      </c>
      <c r="H224" s="29">
        <f t="shared" si="10"/>
        <v>21</v>
      </c>
      <c r="I224" s="29">
        <f t="shared" si="11"/>
        <v>16</v>
      </c>
      <c r="J224" s="30">
        <f t="shared" si="12"/>
        <v>14976</v>
      </c>
      <c r="K224" s="31">
        <v>12</v>
      </c>
      <c r="L224" s="31"/>
      <c r="M224" s="31">
        <v>1</v>
      </c>
      <c r="N224" s="31"/>
      <c r="O224" s="31"/>
      <c r="P224" s="31"/>
      <c r="Q224" s="31"/>
      <c r="R224" s="31"/>
      <c r="S224" s="31"/>
      <c r="T224" s="31"/>
      <c r="U224" s="31">
        <v>2</v>
      </c>
      <c r="V224" s="31"/>
      <c r="W224" s="31"/>
      <c r="X224" s="31"/>
      <c r="Y224" s="31"/>
      <c r="Z224" s="31"/>
      <c r="AA224" s="31">
        <v>6</v>
      </c>
      <c r="AB224" s="31"/>
      <c r="AC224" s="31"/>
      <c r="AD224" s="31"/>
      <c r="AE224" s="31"/>
      <c r="AF224" s="31"/>
      <c r="AG224" s="31"/>
      <c r="AH224" s="31"/>
      <c r="AI224" s="31"/>
      <c r="AJ224" s="31">
        <v>16</v>
      </c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t="s">
        <v>75</v>
      </c>
      <c r="BD224">
        <v>219</v>
      </c>
      <c r="BF224" s="30">
        <f>IF($BD224="","",SUMIF($BD$6:$BD$2000,$BD224,$J$6:$J$2000))</f>
        <v>14976</v>
      </c>
    </row>
    <row r="225" spans="1:58" ht="19.5" customHeight="1" x14ac:dyDescent="0.25">
      <c r="A225" s="96" t="s">
        <v>2054</v>
      </c>
      <c r="B225" s="32" t="s">
        <v>71</v>
      </c>
      <c r="C225" s="33">
        <v>231</v>
      </c>
      <c r="D225" s="32" t="s">
        <v>418</v>
      </c>
      <c r="E225" s="32" t="s">
        <v>309</v>
      </c>
      <c r="F225" s="33" t="s">
        <v>276</v>
      </c>
      <c r="G225" s="34">
        <v>46143</v>
      </c>
      <c r="H225" s="35">
        <f t="shared" si="10"/>
        <v>30</v>
      </c>
      <c r="I225" s="35">
        <f t="shared" si="11"/>
        <v>16</v>
      </c>
      <c r="J225" s="36">
        <f t="shared" si="12"/>
        <v>11429</v>
      </c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>
        <v>23</v>
      </c>
      <c r="V225" s="37"/>
      <c r="W225" s="37"/>
      <c r="X225" s="37"/>
      <c r="Y225" s="37"/>
      <c r="Z225" s="37"/>
      <c r="AA225" s="37">
        <v>7</v>
      </c>
      <c r="AB225" s="37"/>
      <c r="AC225" s="37"/>
      <c r="AD225" s="37"/>
      <c r="AE225" s="37"/>
      <c r="AF225" s="37"/>
      <c r="AG225" s="37"/>
      <c r="AH225" s="37">
        <v>16</v>
      </c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t="s">
        <v>75</v>
      </c>
      <c r="BD225">
        <v>220</v>
      </c>
      <c r="BF225" s="30">
        <f>IF($BD225="","",SUMIF($BD$6:$BD$2000,$BD225,$J$6:$J$2000))</f>
        <v>11429</v>
      </c>
    </row>
    <row r="226" spans="1:58" ht="19.5" customHeight="1" x14ac:dyDescent="0.25">
      <c r="A226" s="96" t="s">
        <v>2054</v>
      </c>
      <c r="B226" s="26" t="s">
        <v>71</v>
      </c>
      <c r="C226" s="27">
        <v>232</v>
      </c>
      <c r="D226" s="26" t="s">
        <v>419</v>
      </c>
      <c r="E226" s="26" t="s">
        <v>73</v>
      </c>
      <c r="F226" s="27" t="s">
        <v>74</v>
      </c>
      <c r="G226" s="28">
        <v>46235</v>
      </c>
      <c r="H226" s="29">
        <f t="shared" si="10"/>
        <v>26</v>
      </c>
      <c r="I226" s="29">
        <f t="shared" si="11"/>
        <v>14</v>
      </c>
      <c r="J226" s="30">
        <f t="shared" si="12"/>
        <v>9640</v>
      </c>
      <c r="K226" s="31">
        <v>15</v>
      </c>
      <c r="L226" s="31"/>
      <c r="M226" s="31">
        <v>2</v>
      </c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>
        <v>9</v>
      </c>
      <c r="AB226" s="31"/>
      <c r="AC226" s="31"/>
      <c r="AD226" s="31"/>
      <c r="AE226" s="31"/>
      <c r="AF226" s="31"/>
      <c r="AG226" s="31"/>
      <c r="AH226" s="31">
        <v>14</v>
      </c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  <c r="AZ226" s="31"/>
      <c r="BA226" s="31"/>
      <c r="BB226" s="31"/>
      <c r="BC226" t="s">
        <v>75</v>
      </c>
      <c r="BD226">
        <v>221</v>
      </c>
      <c r="BF226" s="30">
        <f>IF($BD226="","",SUMIF($BD$6:$BD$2000,$BD226,$J$6:$J$2000))</f>
        <v>9640</v>
      </c>
    </row>
    <row r="227" spans="1:58" ht="19.5" customHeight="1" x14ac:dyDescent="0.25">
      <c r="A227" s="96" t="s">
        <v>2054</v>
      </c>
      <c r="B227" s="32" t="s">
        <v>71</v>
      </c>
      <c r="C227" s="33">
        <v>233</v>
      </c>
      <c r="D227" s="32" t="s">
        <v>420</v>
      </c>
      <c r="E227" s="32" t="s">
        <v>73</v>
      </c>
      <c r="F227" s="33" t="s">
        <v>74</v>
      </c>
      <c r="G227" s="34">
        <v>46083</v>
      </c>
      <c r="H227" s="35">
        <f t="shared" si="10"/>
        <v>23</v>
      </c>
      <c r="I227" s="35">
        <f t="shared" si="11"/>
        <v>8</v>
      </c>
      <c r="J227" s="36">
        <f t="shared" si="12"/>
        <v>8280</v>
      </c>
      <c r="K227" s="37">
        <v>9</v>
      </c>
      <c r="L227" s="37"/>
      <c r="M227" s="37">
        <v>9</v>
      </c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>
        <v>1</v>
      </c>
      <c r="AA227" s="37">
        <v>4</v>
      </c>
      <c r="AB227" s="37"/>
      <c r="AC227" s="37"/>
      <c r="AD227" s="37"/>
      <c r="AE227" s="37"/>
      <c r="AF227" s="37"/>
      <c r="AG227" s="37"/>
      <c r="AH227" s="37"/>
      <c r="AI227" s="37"/>
      <c r="AJ227" s="37">
        <v>8</v>
      </c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t="s">
        <v>75</v>
      </c>
      <c r="BD227">
        <v>222</v>
      </c>
      <c r="BF227" s="30">
        <f>IF($BD227="","",SUMIF($BD$6:$BD$2000,$BD227,$J$6:$J$2000))</f>
        <v>8280</v>
      </c>
    </row>
    <row r="228" spans="1:58" ht="19.5" customHeight="1" x14ac:dyDescent="0.25">
      <c r="A228" s="96" t="s">
        <v>2054</v>
      </c>
      <c r="B228" s="26" t="s">
        <v>71</v>
      </c>
      <c r="C228" s="27">
        <v>234</v>
      </c>
      <c r="D228" s="26" t="s">
        <v>421</v>
      </c>
      <c r="E228" s="26" t="s">
        <v>422</v>
      </c>
      <c r="F228" s="27" t="s">
        <v>74</v>
      </c>
      <c r="G228" s="28">
        <v>46388</v>
      </c>
      <c r="H228" s="29">
        <f t="shared" si="10"/>
        <v>20</v>
      </c>
      <c r="I228" s="29">
        <f t="shared" si="11"/>
        <v>16</v>
      </c>
      <c r="J228" s="30">
        <f t="shared" si="12"/>
        <v>10080</v>
      </c>
      <c r="K228" s="31">
        <v>9</v>
      </c>
      <c r="L228" s="31"/>
      <c r="M228" s="31">
        <v>3</v>
      </c>
      <c r="N228" s="31">
        <v>2</v>
      </c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>
        <v>6</v>
      </c>
      <c r="AB228" s="31"/>
      <c r="AC228" s="31"/>
      <c r="AD228" s="31"/>
      <c r="AE228" s="31"/>
      <c r="AF228" s="31"/>
      <c r="AG228" s="31"/>
      <c r="AH228" s="31">
        <v>16</v>
      </c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  <c r="AZ228" s="31"/>
      <c r="BA228" s="31"/>
      <c r="BB228" s="31"/>
      <c r="BC228" t="s">
        <v>75</v>
      </c>
      <c r="BD228">
        <v>223</v>
      </c>
      <c r="BF228" s="30">
        <f>IF($BD228="","",SUMIF($BD$6:$BD$2000,$BD228,$J$6:$J$2000))</f>
        <v>10080</v>
      </c>
    </row>
    <row r="229" spans="1:58" ht="19.5" customHeight="1" x14ac:dyDescent="0.25">
      <c r="A229" s="96" t="s">
        <v>2054</v>
      </c>
      <c r="B229" s="32" t="s">
        <v>71</v>
      </c>
      <c r="C229" s="33">
        <v>236</v>
      </c>
      <c r="D229" s="32" t="s">
        <v>423</v>
      </c>
      <c r="E229" s="32" t="s">
        <v>135</v>
      </c>
      <c r="F229" s="33" t="s">
        <v>133</v>
      </c>
      <c r="G229" s="34">
        <v>46204</v>
      </c>
      <c r="H229" s="35">
        <f t="shared" si="10"/>
        <v>23</v>
      </c>
      <c r="I229" s="35">
        <f t="shared" si="11"/>
        <v>20</v>
      </c>
      <c r="J229" s="36">
        <f t="shared" si="12"/>
        <v>12804</v>
      </c>
      <c r="K229" s="37">
        <v>6</v>
      </c>
      <c r="L229" s="37"/>
      <c r="M229" s="37"/>
      <c r="N229" s="37">
        <v>1</v>
      </c>
      <c r="O229" s="37"/>
      <c r="P229" s="37"/>
      <c r="Q229" s="37"/>
      <c r="R229" s="37"/>
      <c r="S229" s="37"/>
      <c r="T229" s="37"/>
      <c r="U229" s="37">
        <v>8</v>
      </c>
      <c r="V229" s="37"/>
      <c r="W229" s="37"/>
      <c r="X229" s="37"/>
      <c r="Y229" s="37"/>
      <c r="Z229" s="37"/>
      <c r="AA229" s="37">
        <v>8</v>
      </c>
      <c r="AB229" s="37"/>
      <c r="AC229" s="37"/>
      <c r="AD229" s="37"/>
      <c r="AE229" s="37"/>
      <c r="AF229" s="37"/>
      <c r="AG229" s="37"/>
      <c r="AH229" s="37">
        <v>20</v>
      </c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t="s">
        <v>75</v>
      </c>
      <c r="BD229">
        <v>224</v>
      </c>
      <c r="BF229" s="30">
        <f>IF($BD229="","",SUMIF($BD$6:$BD$2000,$BD229,$J$6:$J$2000))</f>
        <v>12804</v>
      </c>
    </row>
    <row r="230" spans="1:58" ht="19.5" customHeight="1" x14ac:dyDescent="0.25">
      <c r="A230" s="96" t="s">
        <v>2054</v>
      </c>
      <c r="B230" s="26" t="s">
        <v>71</v>
      </c>
      <c r="C230" s="27">
        <v>237</v>
      </c>
      <c r="D230" s="26" t="s">
        <v>424</v>
      </c>
      <c r="E230" s="26" t="s">
        <v>119</v>
      </c>
      <c r="F230" s="27" t="s">
        <v>120</v>
      </c>
      <c r="G230" s="28">
        <v>46235</v>
      </c>
      <c r="H230" s="29">
        <f t="shared" si="10"/>
        <v>27</v>
      </c>
      <c r="I230" s="29">
        <f t="shared" si="11"/>
        <v>10</v>
      </c>
      <c r="J230" s="30">
        <f t="shared" si="12"/>
        <v>7930</v>
      </c>
      <c r="K230" s="31">
        <v>8</v>
      </c>
      <c r="L230" s="31"/>
      <c r="M230" s="31"/>
      <c r="N230" s="31">
        <v>7</v>
      </c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>
        <v>3</v>
      </c>
      <c r="AA230" s="31">
        <v>9</v>
      </c>
      <c r="AB230" s="31"/>
      <c r="AC230" s="31"/>
      <c r="AD230" s="31"/>
      <c r="AE230" s="31"/>
      <c r="AF230" s="31"/>
      <c r="AG230" s="31"/>
      <c r="AH230" s="31">
        <v>10</v>
      </c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  <c r="AZ230" s="31"/>
      <c r="BA230" s="31"/>
      <c r="BB230" s="31"/>
      <c r="BC230" t="s">
        <v>75</v>
      </c>
      <c r="BD230">
        <v>225</v>
      </c>
      <c r="BF230" s="30">
        <f>IF($BD230="","",SUMIF($BD$6:$BD$2000,$BD230,$J$6:$J$2000))</f>
        <v>7930</v>
      </c>
    </row>
    <row r="231" spans="1:58" ht="19.5" customHeight="1" x14ac:dyDescent="0.25">
      <c r="A231" s="96" t="s">
        <v>2054</v>
      </c>
      <c r="B231" s="32" t="s">
        <v>71</v>
      </c>
      <c r="C231" s="33">
        <v>238</v>
      </c>
      <c r="D231" s="32" t="s">
        <v>425</v>
      </c>
      <c r="E231" s="32" t="s">
        <v>231</v>
      </c>
      <c r="F231" s="33" t="s">
        <v>232</v>
      </c>
      <c r="G231" s="34">
        <v>46142</v>
      </c>
      <c r="H231" s="35">
        <f t="shared" si="10"/>
        <v>27</v>
      </c>
      <c r="I231" s="35">
        <f t="shared" si="11"/>
        <v>28</v>
      </c>
      <c r="J231" s="36">
        <f t="shared" si="12"/>
        <v>17694</v>
      </c>
      <c r="K231" s="37">
        <v>5</v>
      </c>
      <c r="L231" s="37"/>
      <c r="M231" s="37"/>
      <c r="N231" s="37"/>
      <c r="O231" s="37"/>
      <c r="P231" s="37">
        <v>2</v>
      </c>
      <c r="Q231" s="37"/>
      <c r="R231" s="37"/>
      <c r="S231" s="37"/>
      <c r="T231" s="37"/>
      <c r="U231" s="37">
        <v>8</v>
      </c>
      <c r="V231" s="37"/>
      <c r="W231" s="37"/>
      <c r="X231" s="37"/>
      <c r="Y231" s="37"/>
      <c r="Z231" s="37"/>
      <c r="AA231" s="37">
        <v>12</v>
      </c>
      <c r="AB231" s="37"/>
      <c r="AC231" s="37"/>
      <c r="AD231" s="37"/>
      <c r="AE231" s="37"/>
      <c r="AF231" s="37"/>
      <c r="AG231" s="37"/>
      <c r="AH231" s="37">
        <v>28</v>
      </c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t="s">
        <v>75</v>
      </c>
      <c r="BD231">
        <v>226</v>
      </c>
      <c r="BF231" s="30">
        <f>IF($BD231="","",SUMIF($BD$6:$BD$2000,$BD231,$J$6:$J$2000))</f>
        <v>17694</v>
      </c>
    </row>
    <row r="232" spans="1:58" ht="19.5" customHeight="1" x14ac:dyDescent="0.25">
      <c r="A232" s="96" t="s">
        <v>2054</v>
      </c>
      <c r="B232" s="26" t="s">
        <v>71</v>
      </c>
      <c r="C232" s="27">
        <v>239</v>
      </c>
      <c r="D232" s="26" t="s">
        <v>426</v>
      </c>
      <c r="E232" s="26" t="s">
        <v>171</v>
      </c>
      <c r="F232" s="27" t="s">
        <v>74</v>
      </c>
      <c r="G232" s="28">
        <v>46388</v>
      </c>
      <c r="H232" s="29">
        <f t="shared" si="10"/>
        <v>16</v>
      </c>
      <c r="I232" s="29">
        <f t="shared" si="11"/>
        <v>8</v>
      </c>
      <c r="J232" s="30">
        <f t="shared" si="12"/>
        <v>5770</v>
      </c>
      <c r="K232" s="31">
        <v>7</v>
      </c>
      <c r="L232" s="31"/>
      <c r="M232" s="31">
        <v>2</v>
      </c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>
        <v>7</v>
      </c>
      <c r="AB232" s="31"/>
      <c r="AC232" s="31"/>
      <c r="AD232" s="31"/>
      <c r="AE232" s="31"/>
      <c r="AF232" s="31"/>
      <c r="AG232" s="31"/>
      <c r="AH232" s="31">
        <v>8</v>
      </c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  <c r="AZ232" s="31"/>
      <c r="BA232" s="31"/>
      <c r="BB232" s="31"/>
      <c r="BC232" t="s">
        <v>75</v>
      </c>
      <c r="BD232">
        <v>227</v>
      </c>
      <c r="BF232" s="30">
        <f>IF($BD232="","",SUMIF($BD$6:$BD$2000,$BD232,$J$6:$J$2000))</f>
        <v>5770</v>
      </c>
    </row>
    <row r="233" spans="1:58" ht="19.5" customHeight="1" x14ac:dyDescent="0.25">
      <c r="A233" s="96" t="s">
        <v>2054</v>
      </c>
      <c r="B233" s="32" t="s">
        <v>71</v>
      </c>
      <c r="C233" s="33">
        <v>244</v>
      </c>
      <c r="D233" s="32" t="s">
        <v>427</v>
      </c>
      <c r="E233" s="32" t="s">
        <v>428</v>
      </c>
      <c r="F233" s="33" t="s">
        <v>213</v>
      </c>
      <c r="G233" s="34">
        <v>46023</v>
      </c>
      <c r="H233" s="35">
        <f t="shared" si="10"/>
        <v>17</v>
      </c>
      <c r="I233" s="35">
        <f t="shared" si="11"/>
        <v>14</v>
      </c>
      <c r="J233" s="36">
        <f t="shared" si="12"/>
        <v>8970</v>
      </c>
      <c r="K233" s="37">
        <v>10</v>
      </c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>
        <v>7</v>
      </c>
      <c r="AB233" s="37"/>
      <c r="AC233" s="37"/>
      <c r="AD233" s="37"/>
      <c r="AE233" s="37"/>
      <c r="AF233" s="37"/>
      <c r="AG233" s="37"/>
      <c r="AH233" s="37">
        <v>14</v>
      </c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t="s">
        <v>75</v>
      </c>
      <c r="BD233">
        <v>228</v>
      </c>
      <c r="BF233" s="30">
        <f>IF($BD233="","",SUMIF($BD$6:$BD$2000,$BD233,$J$6:$J$2000))</f>
        <v>8970</v>
      </c>
    </row>
    <row r="234" spans="1:58" ht="19.5" customHeight="1" x14ac:dyDescent="0.25">
      <c r="A234" s="96" t="s">
        <v>2054</v>
      </c>
      <c r="B234" s="26" t="s">
        <v>71</v>
      </c>
      <c r="C234" s="27">
        <v>245</v>
      </c>
      <c r="D234" s="26" t="s">
        <v>429</v>
      </c>
      <c r="E234" s="26" t="s">
        <v>430</v>
      </c>
      <c r="F234" s="27" t="s">
        <v>133</v>
      </c>
      <c r="G234" s="28">
        <v>46142</v>
      </c>
      <c r="H234" s="29">
        <f t="shared" si="10"/>
        <v>25</v>
      </c>
      <c r="I234" s="29">
        <f t="shared" si="11"/>
        <v>24</v>
      </c>
      <c r="J234" s="30">
        <f t="shared" si="12"/>
        <v>15027</v>
      </c>
      <c r="K234" s="31">
        <v>8</v>
      </c>
      <c r="L234" s="31"/>
      <c r="M234" s="31"/>
      <c r="N234" s="31"/>
      <c r="O234" s="31"/>
      <c r="P234" s="31"/>
      <c r="Q234" s="31"/>
      <c r="R234" s="31"/>
      <c r="S234" s="31"/>
      <c r="T234" s="31"/>
      <c r="U234" s="31">
        <v>9</v>
      </c>
      <c r="V234" s="31"/>
      <c r="W234" s="31"/>
      <c r="X234" s="31"/>
      <c r="Y234" s="31"/>
      <c r="Z234" s="31"/>
      <c r="AA234" s="31">
        <v>8</v>
      </c>
      <c r="AB234" s="31"/>
      <c r="AC234" s="31"/>
      <c r="AD234" s="31"/>
      <c r="AE234" s="31"/>
      <c r="AF234" s="31"/>
      <c r="AG234" s="31"/>
      <c r="AH234" s="31">
        <v>24</v>
      </c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  <c r="AZ234" s="31"/>
      <c r="BA234" s="31"/>
      <c r="BB234" s="31"/>
      <c r="BC234" t="s">
        <v>75</v>
      </c>
      <c r="BD234">
        <v>229</v>
      </c>
      <c r="BF234" s="30">
        <f>IF($BD234="","",SUMIF($BD$6:$BD$2000,$BD234,$J$6:$J$2000))</f>
        <v>15027</v>
      </c>
    </row>
    <row r="235" spans="1:58" ht="19.5" customHeight="1" x14ac:dyDescent="0.25">
      <c r="A235" s="96" t="s">
        <v>2054</v>
      </c>
      <c r="B235" s="32" t="s">
        <v>71</v>
      </c>
      <c r="C235" s="33">
        <v>246</v>
      </c>
      <c r="D235" s="32" t="s">
        <v>431</v>
      </c>
      <c r="E235" s="32" t="s">
        <v>251</v>
      </c>
      <c r="F235" s="33" t="s">
        <v>123</v>
      </c>
      <c r="G235" s="34">
        <v>46235</v>
      </c>
      <c r="H235" s="35">
        <f t="shared" si="10"/>
        <v>11</v>
      </c>
      <c r="I235" s="35">
        <f t="shared" si="11"/>
        <v>6</v>
      </c>
      <c r="J235" s="36">
        <f t="shared" si="12"/>
        <v>4030</v>
      </c>
      <c r="K235" s="37">
        <v>8</v>
      </c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>
        <v>3</v>
      </c>
      <c r="AB235" s="37"/>
      <c r="AC235" s="37"/>
      <c r="AD235" s="37"/>
      <c r="AE235" s="37"/>
      <c r="AF235" s="37"/>
      <c r="AG235" s="37"/>
      <c r="AH235" s="37">
        <v>6</v>
      </c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t="s">
        <v>75</v>
      </c>
      <c r="BD235">
        <v>230</v>
      </c>
      <c r="BF235" s="30">
        <f>IF($BD235="","",SUMIF($BD$6:$BD$2000,$BD235,$J$6:$J$2000))</f>
        <v>4030</v>
      </c>
    </row>
    <row r="236" spans="1:58" ht="19.5" customHeight="1" x14ac:dyDescent="0.25">
      <c r="A236" s="96" t="s">
        <v>2054</v>
      </c>
      <c r="B236" s="26" t="s">
        <v>71</v>
      </c>
      <c r="C236" s="27">
        <v>247</v>
      </c>
      <c r="D236" s="26" t="s">
        <v>432</v>
      </c>
      <c r="E236" s="26" t="s">
        <v>225</v>
      </c>
      <c r="F236" s="27" t="s">
        <v>226</v>
      </c>
      <c r="G236" s="28">
        <v>46174</v>
      </c>
      <c r="H236" s="29">
        <f t="shared" si="10"/>
        <v>28</v>
      </c>
      <c r="I236" s="29">
        <f t="shared" si="11"/>
        <v>32</v>
      </c>
      <c r="J236" s="30">
        <f t="shared" si="12"/>
        <v>19210</v>
      </c>
      <c r="K236" s="31">
        <v>17</v>
      </c>
      <c r="L236" s="31"/>
      <c r="M236" s="31"/>
      <c r="N236" s="31">
        <v>2</v>
      </c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>
        <v>9</v>
      </c>
      <c r="AB236" s="31"/>
      <c r="AC236" s="31"/>
      <c r="AD236" s="31"/>
      <c r="AE236" s="31"/>
      <c r="AF236" s="31"/>
      <c r="AG236" s="31"/>
      <c r="AH236" s="31">
        <v>32</v>
      </c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  <c r="AZ236" s="31"/>
      <c r="BA236" s="31"/>
      <c r="BB236" s="31"/>
      <c r="BC236" t="s">
        <v>75</v>
      </c>
      <c r="BD236">
        <v>231</v>
      </c>
      <c r="BF236" s="30">
        <f>IF($BD236="","",SUMIF($BD$6:$BD$2000,$BD236,$J$6:$J$2000))</f>
        <v>19210</v>
      </c>
    </row>
    <row r="237" spans="1:58" ht="19.5" customHeight="1" x14ac:dyDescent="0.25">
      <c r="A237" s="96" t="s">
        <v>2054</v>
      </c>
      <c r="B237" s="32" t="s">
        <v>71</v>
      </c>
      <c r="C237" s="33">
        <v>248</v>
      </c>
      <c r="D237" s="32" t="s">
        <v>433</v>
      </c>
      <c r="E237" s="32" t="s">
        <v>73</v>
      </c>
      <c r="F237" s="33" t="s">
        <v>74</v>
      </c>
      <c r="G237" s="34">
        <v>46296</v>
      </c>
      <c r="H237" s="35">
        <f t="shared" si="10"/>
        <v>19</v>
      </c>
      <c r="I237" s="35">
        <f t="shared" si="11"/>
        <v>8</v>
      </c>
      <c r="J237" s="36">
        <f t="shared" si="12"/>
        <v>5863</v>
      </c>
      <c r="K237" s="37">
        <v>10</v>
      </c>
      <c r="L237" s="37"/>
      <c r="M237" s="37"/>
      <c r="N237" s="37">
        <v>2</v>
      </c>
      <c r="O237" s="37"/>
      <c r="P237" s="37"/>
      <c r="Q237" s="37"/>
      <c r="R237" s="37"/>
      <c r="S237" s="37"/>
      <c r="T237" s="37"/>
      <c r="U237" s="37">
        <v>1</v>
      </c>
      <c r="V237" s="37"/>
      <c r="W237" s="37"/>
      <c r="X237" s="37"/>
      <c r="Y237" s="37"/>
      <c r="Z237" s="37"/>
      <c r="AA237" s="37">
        <v>6</v>
      </c>
      <c r="AB237" s="37"/>
      <c r="AC237" s="37"/>
      <c r="AD237" s="37"/>
      <c r="AE237" s="37"/>
      <c r="AF237" s="37"/>
      <c r="AG237" s="37"/>
      <c r="AH237" s="37">
        <v>8</v>
      </c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t="s">
        <v>75</v>
      </c>
      <c r="BD237">
        <v>232</v>
      </c>
      <c r="BF237" s="30">
        <f>IF($BD237="","",SUMIF($BD$6:$BD$2000,$BD237,$J$6:$J$2000))</f>
        <v>5863</v>
      </c>
    </row>
    <row r="238" spans="1:58" ht="19.5" customHeight="1" x14ac:dyDescent="0.25">
      <c r="A238" s="96" t="s">
        <v>2054</v>
      </c>
      <c r="B238" s="26" t="s">
        <v>71</v>
      </c>
      <c r="C238" s="27">
        <v>250</v>
      </c>
      <c r="D238" s="26" t="s">
        <v>434</v>
      </c>
      <c r="E238" s="26" t="s">
        <v>435</v>
      </c>
      <c r="F238" s="27" t="s">
        <v>74</v>
      </c>
      <c r="G238" s="28">
        <v>46235</v>
      </c>
      <c r="H238" s="29">
        <f t="shared" si="10"/>
        <v>19</v>
      </c>
      <c r="I238" s="29">
        <f t="shared" si="11"/>
        <v>16</v>
      </c>
      <c r="J238" s="30">
        <f t="shared" si="12"/>
        <v>10240</v>
      </c>
      <c r="K238" s="31">
        <v>4</v>
      </c>
      <c r="L238" s="31"/>
      <c r="M238" s="31"/>
      <c r="N238" s="31">
        <v>6</v>
      </c>
      <c r="O238" s="31"/>
      <c r="P238" s="31">
        <v>2</v>
      </c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>
        <v>7</v>
      </c>
      <c r="AB238" s="31"/>
      <c r="AC238" s="31"/>
      <c r="AD238" s="31"/>
      <c r="AE238" s="31"/>
      <c r="AF238" s="31"/>
      <c r="AG238" s="31"/>
      <c r="AH238" s="31">
        <v>16</v>
      </c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  <c r="AZ238" s="31"/>
      <c r="BA238" s="31"/>
      <c r="BB238" s="31"/>
      <c r="BC238" t="s">
        <v>75</v>
      </c>
      <c r="BD238">
        <v>233</v>
      </c>
      <c r="BF238" s="30">
        <f>IF($BD238="","",SUMIF($BD$6:$BD$2000,$BD238,$J$6:$J$2000))</f>
        <v>10240</v>
      </c>
    </row>
    <row r="239" spans="1:58" ht="19.5" customHeight="1" x14ac:dyDescent="0.25">
      <c r="A239" s="96" t="s">
        <v>2054</v>
      </c>
      <c r="B239" s="32" t="s">
        <v>71</v>
      </c>
      <c r="C239" s="33">
        <v>251</v>
      </c>
      <c r="D239" s="32" t="s">
        <v>436</v>
      </c>
      <c r="E239" s="32" t="s">
        <v>437</v>
      </c>
      <c r="F239" s="33" t="s">
        <v>114</v>
      </c>
      <c r="G239" s="34">
        <v>46266</v>
      </c>
      <c r="H239" s="35">
        <f t="shared" si="10"/>
        <v>17</v>
      </c>
      <c r="I239" s="35">
        <f t="shared" si="11"/>
        <v>10</v>
      </c>
      <c r="J239" s="36">
        <f t="shared" si="12"/>
        <v>7130</v>
      </c>
      <c r="K239" s="37">
        <v>4</v>
      </c>
      <c r="L239" s="37"/>
      <c r="M239" s="37"/>
      <c r="N239" s="37">
        <v>4</v>
      </c>
      <c r="O239" s="37"/>
      <c r="P239" s="37"/>
      <c r="Q239" s="37"/>
      <c r="R239" s="37"/>
      <c r="S239" s="37"/>
      <c r="T239" s="37"/>
      <c r="U239" s="37"/>
      <c r="V239" s="37"/>
      <c r="W239" s="37">
        <v>2</v>
      </c>
      <c r="X239" s="37"/>
      <c r="Y239" s="37"/>
      <c r="Z239" s="37"/>
      <c r="AA239" s="37">
        <v>7</v>
      </c>
      <c r="AB239" s="37"/>
      <c r="AC239" s="37"/>
      <c r="AD239" s="37"/>
      <c r="AE239" s="37"/>
      <c r="AF239" s="37"/>
      <c r="AG239" s="37"/>
      <c r="AH239" s="37">
        <v>10</v>
      </c>
      <c r="AI239" s="37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t="s">
        <v>75</v>
      </c>
      <c r="BD239">
        <v>234</v>
      </c>
      <c r="BF239" s="30">
        <f>IF($BD239="","",SUMIF($BD$6:$BD$2000,$BD239,$J$6:$J$2000))</f>
        <v>7130</v>
      </c>
    </row>
    <row r="240" spans="1:58" ht="19.5" customHeight="1" x14ac:dyDescent="0.25">
      <c r="A240" s="96" t="s">
        <v>2054</v>
      </c>
      <c r="B240" s="26" t="s">
        <v>71</v>
      </c>
      <c r="C240" s="27">
        <v>252</v>
      </c>
      <c r="D240" s="26" t="s">
        <v>438</v>
      </c>
      <c r="E240" s="26" t="s">
        <v>107</v>
      </c>
      <c r="F240" s="27" t="s">
        <v>108</v>
      </c>
      <c r="G240" s="28">
        <v>46266</v>
      </c>
      <c r="H240" s="29">
        <f t="shared" si="10"/>
        <v>20</v>
      </c>
      <c r="I240" s="29">
        <f t="shared" si="11"/>
        <v>15</v>
      </c>
      <c r="J240" s="30">
        <f t="shared" si="12"/>
        <v>10173</v>
      </c>
      <c r="K240" s="31">
        <v>4</v>
      </c>
      <c r="L240" s="31"/>
      <c r="M240" s="31"/>
      <c r="N240" s="31"/>
      <c r="O240" s="31"/>
      <c r="P240" s="31"/>
      <c r="Q240" s="31"/>
      <c r="R240" s="31"/>
      <c r="S240" s="31"/>
      <c r="T240" s="31"/>
      <c r="U240" s="31">
        <v>6</v>
      </c>
      <c r="V240" s="31"/>
      <c r="W240" s="31">
        <v>1</v>
      </c>
      <c r="X240" s="31"/>
      <c r="Y240" s="31"/>
      <c r="Z240" s="31"/>
      <c r="AA240" s="31">
        <v>9</v>
      </c>
      <c r="AB240" s="31"/>
      <c r="AC240" s="31"/>
      <c r="AD240" s="31"/>
      <c r="AE240" s="31"/>
      <c r="AF240" s="31"/>
      <c r="AG240" s="31"/>
      <c r="AH240" s="31">
        <v>15</v>
      </c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  <c r="AZ240" s="31"/>
      <c r="BA240" s="31"/>
      <c r="BB240" s="31"/>
      <c r="BC240" t="s">
        <v>75</v>
      </c>
      <c r="BD240">
        <v>235</v>
      </c>
      <c r="BF240" s="30">
        <f>IF($BD240="","",SUMIF($BD$6:$BD$2000,$BD240,$J$6:$J$2000))</f>
        <v>10173</v>
      </c>
    </row>
    <row r="241" spans="1:58" ht="19.5" customHeight="1" x14ac:dyDescent="0.25">
      <c r="A241" s="96" t="s">
        <v>2054</v>
      </c>
      <c r="B241" s="32" t="s">
        <v>71</v>
      </c>
      <c r="C241" s="33">
        <v>253</v>
      </c>
      <c r="D241" s="32" t="s">
        <v>439</v>
      </c>
      <c r="E241" s="32" t="s">
        <v>322</v>
      </c>
      <c r="F241" s="33" t="s">
        <v>74</v>
      </c>
      <c r="G241" s="34">
        <v>46174</v>
      </c>
      <c r="H241" s="35">
        <f t="shared" si="10"/>
        <v>20</v>
      </c>
      <c r="I241" s="35">
        <f t="shared" si="11"/>
        <v>8</v>
      </c>
      <c r="J241" s="36">
        <f t="shared" si="12"/>
        <v>6350</v>
      </c>
      <c r="K241" s="37">
        <v>5</v>
      </c>
      <c r="L241" s="37"/>
      <c r="M241" s="37"/>
      <c r="N241" s="37">
        <v>5</v>
      </c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>
        <v>10</v>
      </c>
      <c r="AB241" s="37"/>
      <c r="AC241" s="37"/>
      <c r="AD241" s="37"/>
      <c r="AE241" s="37"/>
      <c r="AF241" s="37"/>
      <c r="AG241" s="37"/>
      <c r="AH241" s="37">
        <v>8</v>
      </c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t="s">
        <v>75</v>
      </c>
      <c r="BD241">
        <v>236</v>
      </c>
      <c r="BF241" s="30">
        <f>IF($BD241="","",SUMIF($BD$6:$BD$2000,$BD241,$J$6:$J$2000))</f>
        <v>6350</v>
      </c>
    </row>
    <row r="242" spans="1:58" ht="19.5" customHeight="1" x14ac:dyDescent="0.25">
      <c r="A242" s="96" t="s">
        <v>2054</v>
      </c>
      <c r="B242" s="26" t="s">
        <v>71</v>
      </c>
      <c r="C242" s="27">
        <v>254</v>
      </c>
      <c r="D242" s="26" t="s">
        <v>440</v>
      </c>
      <c r="E242" s="26" t="s">
        <v>441</v>
      </c>
      <c r="F242" s="27" t="s">
        <v>276</v>
      </c>
      <c r="G242" s="28">
        <v>46296</v>
      </c>
      <c r="H242" s="29">
        <f t="shared" si="10"/>
        <v>23</v>
      </c>
      <c r="I242" s="29">
        <f t="shared" si="11"/>
        <v>12</v>
      </c>
      <c r="J242" s="30">
        <f t="shared" si="12"/>
        <v>8317</v>
      </c>
      <c r="K242" s="31"/>
      <c r="L242" s="31"/>
      <c r="M242" s="31"/>
      <c r="N242" s="31">
        <v>2</v>
      </c>
      <c r="O242" s="31"/>
      <c r="P242" s="31"/>
      <c r="Q242" s="31"/>
      <c r="R242" s="31"/>
      <c r="S242" s="31"/>
      <c r="T242" s="31"/>
      <c r="U242" s="31">
        <v>19</v>
      </c>
      <c r="V242" s="31"/>
      <c r="W242" s="31"/>
      <c r="X242" s="31"/>
      <c r="Y242" s="31"/>
      <c r="Z242" s="31"/>
      <c r="AA242" s="31">
        <v>2</v>
      </c>
      <c r="AB242" s="31"/>
      <c r="AC242" s="31"/>
      <c r="AD242" s="31"/>
      <c r="AE242" s="31"/>
      <c r="AF242" s="31"/>
      <c r="AG242" s="31"/>
      <c r="AH242" s="31">
        <v>12</v>
      </c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  <c r="AZ242" s="31"/>
      <c r="BA242" s="31"/>
      <c r="BB242" s="31"/>
      <c r="BC242" t="s">
        <v>75</v>
      </c>
      <c r="BD242">
        <v>237</v>
      </c>
      <c r="BF242" s="30">
        <f>IF($BD242="","",SUMIF($BD$6:$BD$2000,$BD242,$J$6:$J$2000))</f>
        <v>8317</v>
      </c>
    </row>
    <row r="243" spans="1:58" ht="19.5" customHeight="1" x14ac:dyDescent="0.25">
      <c r="A243" s="96" t="s">
        <v>2054</v>
      </c>
      <c r="B243" s="32" t="s">
        <v>71</v>
      </c>
      <c r="C243" s="33">
        <v>255</v>
      </c>
      <c r="D243" s="32" t="s">
        <v>442</v>
      </c>
      <c r="E243" s="32" t="s">
        <v>443</v>
      </c>
      <c r="F243" s="33" t="s">
        <v>74</v>
      </c>
      <c r="G243" s="34">
        <v>46266</v>
      </c>
      <c r="H243" s="35">
        <f t="shared" si="10"/>
        <v>24</v>
      </c>
      <c r="I243" s="35">
        <f t="shared" si="11"/>
        <v>24</v>
      </c>
      <c r="J243" s="36">
        <f t="shared" si="12"/>
        <v>14930</v>
      </c>
      <c r="K243" s="37">
        <v>11</v>
      </c>
      <c r="L243" s="37"/>
      <c r="M243" s="37"/>
      <c r="N243" s="37">
        <v>3</v>
      </c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>
        <v>10</v>
      </c>
      <c r="AB243" s="37"/>
      <c r="AC243" s="37"/>
      <c r="AD243" s="37"/>
      <c r="AE243" s="37"/>
      <c r="AF243" s="37"/>
      <c r="AG243" s="37"/>
      <c r="AH243" s="37">
        <v>24</v>
      </c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t="s">
        <v>75</v>
      </c>
      <c r="BD243">
        <v>238</v>
      </c>
      <c r="BF243" s="30">
        <f>IF($BD243="","",SUMIF($BD$6:$BD$2000,$BD243,$J$6:$J$2000))</f>
        <v>14930</v>
      </c>
    </row>
    <row r="244" spans="1:58" ht="19.5" customHeight="1" x14ac:dyDescent="0.25">
      <c r="A244" s="96" t="s">
        <v>2054</v>
      </c>
      <c r="B244" s="26" t="s">
        <v>71</v>
      </c>
      <c r="C244" s="27">
        <v>256</v>
      </c>
      <c r="D244" s="26" t="s">
        <v>444</v>
      </c>
      <c r="E244" s="26" t="s">
        <v>445</v>
      </c>
      <c r="F244" s="27" t="s">
        <v>74</v>
      </c>
      <c r="G244" s="28">
        <v>46054</v>
      </c>
      <c r="H244" s="29">
        <f t="shared" si="10"/>
        <v>20</v>
      </c>
      <c r="I244" s="29">
        <f t="shared" si="11"/>
        <v>12</v>
      </c>
      <c r="J244" s="30">
        <f t="shared" si="12"/>
        <v>8180</v>
      </c>
      <c r="K244" s="31">
        <v>8</v>
      </c>
      <c r="L244" s="31"/>
      <c r="M244" s="31">
        <v>4</v>
      </c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>
        <v>8</v>
      </c>
      <c r="AB244" s="31"/>
      <c r="AC244" s="31"/>
      <c r="AD244" s="31"/>
      <c r="AE244" s="31"/>
      <c r="AF244" s="31"/>
      <c r="AG244" s="31"/>
      <c r="AH244" s="31">
        <v>12</v>
      </c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  <c r="AZ244" s="31"/>
      <c r="BA244" s="31"/>
      <c r="BB244" s="31"/>
      <c r="BC244" t="s">
        <v>75</v>
      </c>
      <c r="BD244">
        <v>239</v>
      </c>
      <c r="BF244" s="30">
        <f>IF($BD244="","",SUMIF($BD$6:$BD$2000,$BD244,$J$6:$J$2000))</f>
        <v>8180</v>
      </c>
    </row>
    <row r="245" spans="1:58" ht="19.5" customHeight="1" x14ac:dyDescent="0.25">
      <c r="A245" s="96" t="s">
        <v>2054</v>
      </c>
      <c r="B245" s="32" t="s">
        <v>71</v>
      </c>
      <c r="C245" s="33">
        <v>257</v>
      </c>
      <c r="D245" s="32" t="s">
        <v>446</v>
      </c>
      <c r="E245" s="32" t="s">
        <v>447</v>
      </c>
      <c r="F245" s="33" t="s">
        <v>114</v>
      </c>
      <c r="G245" s="34">
        <v>46235</v>
      </c>
      <c r="H245" s="35">
        <f t="shared" si="10"/>
        <v>20</v>
      </c>
      <c r="I245" s="35">
        <f t="shared" si="11"/>
        <v>20</v>
      </c>
      <c r="J245" s="36">
        <f t="shared" si="12"/>
        <v>18870</v>
      </c>
      <c r="K245" s="37">
        <v>3</v>
      </c>
      <c r="L245" s="37"/>
      <c r="M245" s="37"/>
      <c r="N245" s="37">
        <v>5</v>
      </c>
      <c r="O245" s="37"/>
      <c r="P245" s="37"/>
      <c r="Q245" s="37"/>
      <c r="R245" s="37"/>
      <c r="S245" s="37"/>
      <c r="T245" s="37"/>
      <c r="U245" s="37"/>
      <c r="V245" s="37"/>
      <c r="W245" s="37">
        <v>1</v>
      </c>
      <c r="X245" s="37"/>
      <c r="Y245" s="37"/>
      <c r="Z245" s="37"/>
      <c r="AA245" s="37">
        <v>11</v>
      </c>
      <c r="AB245" s="37"/>
      <c r="AC245" s="37"/>
      <c r="AD245" s="37"/>
      <c r="AE245" s="37"/>
      <c r="AF245" s="37"/>
      <c r="AG245" s="37"/>
      <c r="AH245" s="37"/>
      <c r="AI245" s="37"/>
      <c r="AJ245" s="37">
        <v>20</v>
      </c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t="s">
        <v>75</v>
      </c>
      <c r="BD245">
        <v>240</v>
      </c>
      <c r="BF245" s="30">
        <f>IF($BD245="","",SUMIF($BD$6:$BD$2000,$BD245,$J$6:$J$2000))</f>
        <v>18870</v>
      </c>
    </row>
    <row r="246" spans="1:58" ht="19.5" customHeight="1" x14ac:dyDescent="0.25">
      <c r="A246" s="96" t="s">
        <v>2054</v>
      </c>
      <c r="B246" s="26" t="s">
        <v>71</v>
      </c>
      <c r="C246" s="27">
        <v>258</v>
      </c>
      <c r="D246" s="26" t="s">
        <v>448</v>
      </c>
      <c r="E246" s="26" t="s">
        <v>449</v>
      </c>
      <c r="F246" s="27" t="s">
        <v>207</v>
      </c>
      <c r="G246" s="28">
        <v>46143</v>
      </c>
      <c r="H246" s="29">
        <f t="shared" si="10"/>
        <v>19</v>
      </c>
      <c r="I246" s="29">
        <f t="shared" si="11"/>
        <v>10</v>
      </c>
      <c r="J246" s="30">
        <f t="shared" si="12"/>
        <v>7146</v>
      </c>
      <c r="K246" s="31">
        <v>9</v>
      </c>
      <c r="L246" s="31"/>
      <c r="M246" s="31"/>
      <c r="N246" s="31"/>
      <c r="O246" s="31"/>
      <c r="P246" s="31"/>
      <c r="Q246" s="31"/>
      <c r="R246" s="31"/>
      <c r="S246" s="31"/>
      <c r="T246" s="31"/>
      <c r="U246" s="31">
        <v>2</v>
      </c>
      <c r="V246" s="31"/>
      <c r="W246" s="31"/>
      <c r="X246" s="31"/>
      <c r="Y246" s="31"/>
      <c r="Z246" s="31"/>
      <c r="AA246" s="31">
        <v>8</v>
      </c>
      <c r="AB246" s="31"/>
      <c r="AC246" s="31"/>
      <c r="AD246" s="31"/>
      <c r="AE246" s="31"/>
      <c r="AF246" s="31"/>
      <c r="AG246" s="31"/>
      <c r="AH246" s="31">
        <v>10</v>
      </c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  <c r="AZ246" s="31"/>
      <c r="BA246" s="31"/>
      <c r="BB246" s="31"/>
      <c r="BC246" t="s">
        <v>75</v>
      </c>
      <c r="BD246">
        <v>241</v>
      </c>
      <c r="BF246" s="30">
        <f>IF($BD246="","",SUMIF($BD$6:$BD$2000,$BD246,$J$6:$J$2000))</f>
        <v>7146</v>
      </c>
    </row>
    <row r="247" spans="1:58" ht="19.5" customHeight="1" x14ac:dyDescent="0.25">
      <c r="A247" s="96" t="s">
        <v>2054</v>
      </c>
      <c r="B247" s="32" t="s">
        <v>71</v>
      </c>
      <c r="C247" s="33">
        <v>259</v>
      </c>
      <c r="D247" s="32" t="s">
        <v>450</v>
      </c>
      <c r="E247" s="32" t="s">
        <v>220</v>
      </c>
      <c r="F247" s="33" t="s">
        <v>221</v>
      </c>
      <c r="G247" s="34">
        <v>46142</v>
      </c>
      <c r="H247" s="35">
        <f t="shared" si="10"/>
        <v>29</v>
      </c>
      <c r="I247" s="35">
        <f t="shared" si="11"/>
        <v>24</v>
      </c>
      <c r="J247" s="36">
        <f t="shared" si="12"/>
        <v>15214</v>
      </c>
      <c r="K247" s="37">
        <v>12</v>
      </c>
      <c r="L247" s="37"/>
      <c r="M247" s="37"/>
      <c r="N247" s="37"/>
      <c r="O247" s="37"/>
      <c r="P247" s="37"/>
      <c r="Q247" s="37"/>
      <c r="R247" s="37"/>
      <c r="S247" s="37"/>
      <c r="T247" s="37">
        <v>5</v>
      </c>
      <c r="U247" s="37">
        <v>3</v>
      </c>
      <c r="V247" s="37"/>
      <c r="W247" s="37"/>
      <c r="X247" s="37"/>
      <c r="Y247" s="37"/>
      <c r="Z247" s="37"/>
      <c r="AA247" s="37">
        <v>9</v>
      </c>
      <c r="AB247" s="37"/>
      <c r="AC247" s="37"/>
      <c r="AD247" s="37"/>
      <c r="AE247" s="37"/>
      <c r="AF247" s="37"/>
      <c r="AG247" s="37"/>
      <c r="AH247" s="37">
        <v>24</v>
      </c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t="s">
        <v>75</v>
      </c>
      <c r="BD247">
        <v>242</v>
      </c>
      <c r="BF247" s="30">
        <f>IF($BD247="","",SUMIF($BD$6:$BD$2000,$BD247,$J$6:$J$2000))</f>
        <v>15214</v>
      </c>
    </row>
    <row r="248" spans="1:58" ht="19.5" customHeight="1" x14ac:dyDescent="0.25">
      <c r="A248" s="96" t="s">
        <v>2054</v>
      </c>
      <c r="B248" s="26" t="s">
        <v>71</v>
      </c>
      <c r="C248" s="27">
        <v>260</v>
      </c>
      <c r="D248" s="26" t="s">
        <v>451</v>
      </c>
      <c r="E248" s="26" t="s">
        <v>452</v>
      </c>
      <c r="F248" s="27" t="s">
        <v>142</v>
      </c>
      <c r="G248" s="28">
        <v>46419</v>
      </c>
      <c r="H248" s="29">
        <f t="shared" si="10"/>
        <v>24</v>
      </c>
      <c r="I248" s="29">
        <f t="shared" si="11"/>
        <v>12</v>
      </c>
      <c r="J248" s="30">
        <f t="shared" si="12"/>
        <v>8763</v>
      </c>
      <c r="K248" s="31">
        <v>10</v>
      </c>
      <c r="L248" s="31"/>
      <c r="M248" s="31"/>
      <c r="N248" s="31">
        <v>2</v>
      </c>
      <c r="O248" s="31"/>
      <c r="P248" s="31"/>
      <c r="Q248" s="31"/>
      <c r="R248" s="31"/>
      <c r="S248" s="31"/>
      <c r="T248" s="31"/>
      <c r="U248" s="31">
        <v>1</v>
      </c>
      <c r="V248" s="31"/>
      <c r="W248" s="31"/>
      <c r="X248" s="31"/>
      <c r="Y248" s="31"/>
      <c r="Z248" s="31"/>
      <c r="AA248" s="31">
        <v>11</v>
      </c>
      <c r="AB248" s="31"/>
      <c r="AC248" s="31"/>
      <c r="AD248" s="31"/>
      <c r="AE248" s="31"/>
      <c r="AF248" s="31"/>
      <c r="AG248" s="31"/>
      <c r="AH248" s="31">
        <v>12</v>
      </c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  <c r="AZ248" s="31"/>
      <c r="BA248" s="31"/>
      <c r="BB248" s="31"/>
      <c r="BC248" t="s">
        <v>75</v>
      </c>
      <c r="BD248">
        <v>243</v>
      </c>
      <c r="BF248" s="30">
        <f>IF($BD248="","",SUMIF($BD$6:$BD$2000,$BD248,$J$6:$J$2000))</f>
        <v>8763</v>
      </c>
    </row>
    <row r="249" spans="1:58" ht="19.5" customHeight="1" x14ac:dyDescent="0.25">
      <c r="A249" s="96" t="s">
        <v>2054</v>
      </c>
      <c r="B249" s="32" t="s">
        <v>71</v>
      </c>
      <c r="C249" s="33">
        <v>261</v>
      </c>
      <c r="D249" s="32" t="s">
        <v>453</v>
      </c>
      <c r="E249" s="32" t="s">
        <v>454</v>
      </c>
      <c r="F249" s="33" t="s">
        <v>455</v>
      </c>
      <c r="G249" s="34">
        <v>46388</v>
      </c>
      <c r="H249" s="35">
        <f t="shared" si="10"/>
        <v>22</v>
      </c>
      <c r="I249" s="35">
        <f t="shared" si="11"/>
        <v>11</v>
      </c>
      <c r="J249" s="36">
        <f t="shared" si="12"/>
        <v>10675</v>
      </c>
      <c r="K249" s="37">
        <v>5</v>
      </c>
      <c r="L249" s="37"/>
      <c r="M249" s="37"/>
      <c r="N249" s="37"/>
      <c r="O249" s="37"/>
      <c r="P249" s="37"/>
      <c r="Q249" s="37"/>
      <c r="R249" s="37"/>
      <c r="S249" s="37"/>
      <c r="T249" s="37"/>
      <c r="U249" s="37">
        <v>10</v>
      </c>
      <c r="V249" s="37"/>
      <c r="W249" s="37">
        <v>1</v>
      </c>
      <c r="X249" s="37"/>
      <c r="Y249" s="37"/>
      <c r="Z249" s="37"/>
      <c r="AA249" s="37">
        <v>6</v>
      </c>
      <c r="AB249" s="37"/>
      <c r="AC249" s="37"/>
      <c r="AD249" s="37"/>
      <c r="AE249" s="37"/>
      <c r="AF249" s="37"/>
      <c r="AG249" s="37"/>
      <c r="AH249" s="37">
        <v>1</v>
      </c>
      <c r="AI249" s="37">
        <v>10</v>
      </c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t="s">
        <v>75</v>
      </c>
      <c r="BD249">
        <v>244</v>
      </c>
      <c r="BF249" s="30">
        <f>IF($BD249="","",SUMIF($BD$6:$BD$2000,$BD249,$J$6:$J$2000))</f>
        <v>10675</v>
      </c>
    </row>
    <row r="250" spans="1:58" ht="19.5" customHeight="1" x14ac:dyDescent="0.25">
      <c r="A250" s="96" t="s">
        <v>2054</v>
      </c>
      <c r="B250" s="26" t="s">
        <v>71</v>
      </c>
      <c r="C250" s="27">
        <v>262</v>
      </c>
      <c r="D250" s="26" t="s">
        <v>456</v>
      </c>
      <c r="E250" s="26" t="s">
        <v>206</v>
      </c>
      <c r="F250" s="27" t="s">
        <v>207</v>
      </c>
      <c r="G250" s="28">
        <v>46054</v>
      </c>
      <c r="H250" s="29">
        <f t="shared" si="10"/>
        <v>26</v>
      </c>
      <c r="I250" s="29">
        <f t="shared" si="11"/>
        <v>16</v>
      </c>
      <c r="J250" s="30">
        <f t="shared" si="12"/>
        <v>10866</v>
      </c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>
        <v>22</v>
      </c>
      <c r="V250" s="31"/>
      <c r="W250" s="31"/>
      <c r="X250" s="31"/>
      <c r="Y250" s="31"/>
      <c r="Z250" s="31"/>
      <c r="AA250" s="31">
        <v>4</v>
      </c>
      <c r="AB250" s="31"/>
      <c r="AC250" s="31"/>
      <c r="AD250" s="31"/>
      <c r="AE250" s="31"/>
      <c r="AF250" s="31"/>
      <c r="AG250" s="31"/>
      <c r="AH250" s="31">
        <v>16</v>
      </c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  <c r="AZ250" s="31"/>
      <c r="BA250" s="31"/>
      <c r="BB250" s="31"/>
      <c r="BC250" t="s">
        <v>75</v>
      </c>
      <c r="BD250">
        <v>245</v>
      </c>
      <c r="BF250" s="30">
        <f>IF($BD250="","",SUMIF($BD$6:$BD$2000,$BD250,$J$6:$J$2000))</f>
        <v>10866</v>
      </c>
    </row>
    <row r="251" spans="1:58" ht="19.5" customHeight="1" x14ac:dyDescent="0.25">
      <c r="A251" s="96" t="s">
        <v>2054</v>
      </c>
      <c r="B251" s="32" t="s">
        <v>71</v>
      </c>
      <c r="C251" s="33">
        <v>263</v>
      </c>
      <c r="D251" s="32" t="s">
        <v>457</v>
      </c>
      <c r="E251" s="32" t="s">
        <v>171</v>
      </c>
      <c r="F251" s="33" t="s">
        <v>74</v>
      </c>
      <c r="G251" s="34">
        <v>46388</v>
      </c>
      <c r="H251" s="35">
        <f t="shared" si="10"/>
        <v>24</v>
      </c>
      <c r="I251" s="35">
        <f t="shared" si="11"/>
        <v>16</v>
      </c>
      <c r="J251" s="36">
        <f t="shared" si="12"/>
        <v>10133</v>
      </c>
      <c r="K251" s="37">
        <v>9</v>
      </c>
      <c r="L251" s="37"/>
      <c r="M251" s="37">
        <v>6</v>
      </c>
      <c r="N251" s="37"/>
      <c r="O251" s="37"/>
      <c r="P251" s="37"/>
      <c r="Q251" s="37"/>
      <c r="R251" s="37"/>
      <c r="S251" s="37"/>
      <c r="T251" s="37">
        <v>4</v>
      </c>
      <c r="U251" s="37">
        <v>1</v>
      </c>
      <c r="V251" s="37"/>
      <c r="W251" s="37"/>
      <c r="X251" s="37"/>
      <c r="Y251" s="37"/>
      <c r="Z251" s="37"/>
      <c r="AA251" s="37">
        <v>4</v>
      </c>
      <c r="AB251" s="37"/>
      <c r="AC251" s="37"/>
      <c r="AD251" s="37"/>
      <c r="AE251" s="37"/>
      <c r="AF251" s="37"/>
      <c r="AG251" s="37"/>
      <c r="AH251" s="37">
        <v>16</v>
      </c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t="s">
        <v>75</v>
      </c>
      <c r="BD251">
        <v>246</v>
      </c>
      <c r="BF251" s="30">
        <f>IF($BD251="","",SUMIF($BD$6:$BD$2000,$BD251,$J$6:$J$2000))</f>
        <v>10133</v>
      </c>
    </row>
    <row r="252" spans="1:58" ht="19.5" customHeight="1" x14ac:dyDescent="0.25">
      <c r="A252" s="96" t="s">
        <v>2054</v>
      </c>
      <c r="B252" s="26" t="s">
        <v>71</v>
      </c>
      <c r="C252" s="27">
        <v>264</v>
      </c>
      <c r="D252" s="26" t="s">
        <v>458</v>
      </c>
      <c r="E252" s="26" t="s">
        <v>459</v>
      </c>
      <c r="F252" s="27" t="s">
        <v>74</v>
      </c>
      <c r="G252" s="28">
        <v>46204</v>
      </c>
      <c r="H252" s="29">
        <f t="shared" si="10"/>
        <v>18</v>
      </c>
      <c r="I252" s="29">
        <f t="shared" si="11"/>
        <v>5</v>
      </c>
      <c r="J252" s="30">
        <f t="shared" si="12"/>
        <v>4295</v>
      </c>
      <c r="K252" s="31">
        <v>7</v>
      </c>
      <c r="L252" s="31"/>
      <c r="M252" s="31">
        <v>4</v>
      </c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>
        <v>7</v>
      </c>
      <c r="AB252" s="31"/>
      <c r="AC252" s="31"/>
      <c r="AD252" s="31"/>
      <c r="AE252" s="31"/>
      <c r="AF252" s="31"/>
      <c r="AG252" s="31"/>
      <c r="AH252" s="31">
        <v>5</v>
      </c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  <c r="AZ252" s="31"/>
      <c r="BA252" s="31"/>
      <c r="BB252" s="31"/>
      <c r="BC252" t="s">
        <v>75</v>
      </c>
      <c r="BD252">
        <v>247</v>
      </c>
      <c r="BF252" s="30">
        <f>IF($BD252="","",SUMIF($BD$6:$BD$2000,$BD252,$J$6:$J$2000))</f>
        <v>4295</v>
      </c>
    </row>
    <row r="253" spans="1:58" ht="19.5" customHeight="1" x14ac:dyDescent="0.25">
      <c r="A253" s="96" t="s">
        <v>2054</v>
      </c>
      <c r="B253" s="32" t="s">
        <v>71</v>
      </c>
      <c r="C253" s="33">
        <v>265</v>
      </c>
      <c r="D253" s="32" t="s">
        <v>460</v>
      </c>
      <c r="E253" s="32" t="s">
        <v>144</v>
      </c>
      <c r="F253" s="33" t="s">
        <v>145</v>
      </c>
      <c r="G253" s="34">
        <v>46266</v>
      </c>
      <c r="H253" s="35">
        <f t="shared" si="10"/>
        <v>14</v>
      </c>
      <c r="I253" s="35">
        <f t="shared" si="11"/>
        <v>6</v>
      </c>
      <c r="J253" s="36">
        <f t="shared" si="12"/>
        <v>4576</v>
      </c>
      <c r="K253" s="37">
        <v>6</v>
      </c>
      <c r="L253" s="37"/>
      <c r="M253" s="37"/>
      <c r="N253" s="37"/>
      <c r="O253" s="37"/>
      <c r="P253" s="37"/>
      <c r="Q253" s="37"/>
      <c r="R253" s="37"/>
      <c r="S253" s="37"/>
      <c r="T253" s="37"/>
      <c r="U253" s="37">
        <v>2</v>
      </c>
      <c r="V253" s="37"/>
      <c r="W253" s="37"/>
      <c r="X253" s="37"/>
      <c r="Y253" s="37"/>
      <c r="Z253" s="37"/>
      <c r="AA253" s="37">
        <v>6</v>
      </c>
      <c r="AB253" s="37"/>
      <c r="AC253" s="37"/>
      <c r="AD253" s="37"/>
      <c r="AE253" s="37"/>
      <c r="AF253" s="37"/>
      <c r="AG253" s="37"/>
      <c r="AH253" s="37">
        <v>6</v>
      </c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t="s">
        <v>75</v>
      </c>
      <c r="BD253">
        <v>248</v>
      </c>
      <c r="BF253" s="30">
        <f>IF($BD253="","",SUMIF($BD$6:$BD$2000,$BD253,$J$6:$J$2000))</f>
        <v>4576</v>
      </c>
    </row>
    <row r="254" spans="1:58" ht="19.5" customHeight="1" x14ac:dyDescent="0.25">
      <c r="A254" s="96" t="s">
        <v>2054</v>
      </c>
      <c r="B254" s="26" t="s">
        <v>71</v>
      </c>
      <c r="C254" s="27">
        <v>267</v>
      </c>
      <c r="D254" s="26" t="s">
        <v>461</v>
      </c>
      <c r="E254" s="26" t="s">
        <v>462</v>
      </c>
      <c r="F254" s="27" t="s">
        <v>74</v>
      </c>
      <c r="G254" s="28">
        <v>46296</v>
      </c>
      <c r="H254" s="29">
        <f t="shared" si="10"/>
        <v>24</v>
      </c>
      <c r="I254" s="29">
        <f t="shared" si="11"/>
        <v>6</v>
      </c>
      <c r="J254" s="30">
        <f t="shared" si="12"/>
        <v>5142</v>
      </c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>
        <v>24</v>
      </c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>
        <v>6</v>
      </c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  <c r="AZ254" s="31"/>
      <c r="BA254" s="31"/>
      <c r="BB254" s="31"/>
      <c r="BC254" t="s">
        <v>75</v>
      </c>
      <c r="BD254">
        <v>249</v>
      </c>
      <c r="BF254" s="30">
        <f>IF($BD254="","",SUMIF($BD$6:$BD$2000,$BD254,$J$6:$J$2000))</f>
        <v>5142</v>
      </c>
    </row>
    <row r="255" spans="1:58" ht="19.5" customHeight="1" x14ac:dyDescent="0.25">
      <c r="A255" s="96" t="s">
        <v>2054</v>
      </c>
      <c r="B255" s="32" t="s">
        <v>71</v>
      </c>
      <c r="C255" s="33">
        <v>268</v>
      </c>
      <c r="D255" s="32" t="s">
        <v>463</v>
      </c>
      <c r="E255" s="32" t="s">
        <v>464</v>
      </c>
      <c r="F255" s="33" t="s">
        <v>74</v>
      </c>
      <c r="G255" s="34">
        <v>46235</v>
      </c>
      <c r="H255" s="35">
        <f t="shared" si="10"/>
        <v>16</v>
      </c>
      <c r="I255" s="35">
        <f t="shared" si="11"/>
        <v>16</v>
      </c>
      <c r="J255" s="36">
        <f t="shared" si="12"/>
        <v>9760</v>
      </c>
      <c r="K255" s="37">
        <v>6</v>
      </c>
      <c r="L255" s="37"/>
      <c r="M255" s="37">
        <v>4</v>
      </c>
      <c r="N255" s="37">
        <v>1</v>
      </c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>
        <v>5</v>
      </c>
      <c r="AB255" s="37"/>
      <c r="AC255" s="37"/>
      <c r="AD255" s="37"/>
      <c r="AE255" s="37"/>
      <c r="AF255" s="37"/>
      <c r="AG255" s="37"/>
      <c r="AH255" s="37">
        <v>16</v>
      </c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t="s">
        <v>75</v>
      </c>
      <c r="BD255">
        <v>250</v>
      </c>
      <c r="BF255" s="30">
        <f>IF($BD255="","",SUMIF($BD$6:$BD$2000,$BD255,$J$6:$J$2000))</f>
        <v>9760</v>
      </c>
    </row>
    <row r="256" spans="1:58" ht="19.5" customHeight="1" x14ac:dyDescent="0.25">
      <c r="A256" s="96" t="s">
        <v>2054</v>
      </c>
      <c r="B256" s="26" t="s">
        <v>71</v>
      </c>
      <c r="C256" s="27">
        <v>269</v>
      </c>
      <c r="D256" s="26" t="s">
        <v>465</v>
      </c>
      <c r="E256" s="26" t="s">
        <v>119</v>
      </c>
      <c r="F256" s="27" t="s">
        <v>120</v>
      </c>
      <c r="G256" s="28">
        <v>46235</v>
      </c>
      <c r="H256" s="29">
        <f t="shared" si="10"/>
        <v>21</v>
      </c>
      <c r="I256" s="29">
        <f t="shared" si="11"/>
        <v>18</v>
      </c>
      <c r="J256" s="30">
        <f t="shared" si="12"/>
        <v>12000</v>
      </c>
      <c r="K256" s="31">
        <v>3</v>
      </c>
      <c r="L256" s="31"/>
      <c r="M256" s="31"/>
      <c r="N256" s="31">
        <v>4</v>
      </c>
      <c r="O256" s="31"/>
      <c r="P256" s="31">
        <v>1</v>
      </c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>
        <v>13</v>
      </c>
      <c r="AB256" s="31"/>
      <c r="AC256" s="31"/>
      <c r="AD256" s="31"/>
      <c r="AE256" s="31"/>
      <c r="AF256" s="31"/>
      <c r="AG256" s="31"/>
      <c r="AH256" s="31">
        <v>18</v>
      </c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t="s">
        <v>75</v>
      </c>
      <c r="BD256">
        <v>251</v>
      </c>
      <c r="BF256" s="30">
        <f>IF($BD256="","",SUMIF($BD$6:$BD$2000,$BD256,$J$6:$J$2000))</f>
        <v>12000</v>
      </c>
    </row>
    <row r="257" spans="1:58" ht="19.5" customHeight="1" x14ac:dyDescent="0.25">
      <c r="A257" s="96" t="s">
        <v>2054</v>
      </c>
      <c r="B257" s="32" t="s">
        <v>71</v>
      </c>
      <c r="C257" s="33">
        <v>270</v>
      </c>
      <c r="D257" s="32" t="s">
        <v>466</v>
      </c>
      <c r="E257" s="32" t="s">
        <v>94</v>
      </c>
      <c r="F257" s="33" t="s">
        <v>74</v>
      </c>
      <c r="G257" s="34">
        <v>46142</v>
      </c>
      <c r="H257" s="35">
        <f t="shared" si="10"/>
        <v>1564</v>
      </c>
      <c r="I257" s="35">
        <f t="shared" si="11"/>
        <v>279</v>
      </c>
      <c r="J257" s="36">
        <f t="shared" si="12"/>
        <v>313043</v>
      </c>
      <c r="K257" s="37">
        <v>967</v>
      </c>
      <c r="L257" s="37"/>
      <c r="M257" s="37">
        <v>256</v>
      </c>
      <c r="N257" s="37">
        <v>258</v>
      </c>
      <c r="O257" s="37"/>
      <c r="P257" s="37"/>
      <c r="Q257" s="37"/>
      <c r="R257" s="37"/>
      <c r="S257" s="37"/>
      <c r="T257" s="37">
        <v>7</v>
      </c>
      <c r="U257" s="37">
        <v>21</v>
      </c>
      <c r="V257" s="37"/>
      <c r="W257" s="37"/>
      <c r="X257" s="37"/>
      <c r="Y257" s="37"/>
      <c r="Z257" s="37"/>
      <c r="AA257" s="37">
        <v>54</v>
      </c>
      <c r="AB257" s="37"/>
      <c r="AC257" s="37"/>
      <c r="AD257" s="37"/>
      <c r="AE257" s="37"/>
      <c r="AF257" s="37"/>
      <c r="AG257" s="37">
        <v>1</v>
      </c>
      <c r="AH257" s="37">
        <v>17</v>
      </c>
      <c r="AI257" s="37"/>
      <c r="AJ257" s="37">
        <v>262</v>
      </c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t="s">
        <v>75</v>
      </c>
      <c r="BD257">
        <v>252</v>
      </c>
      <c r="BF257" s="30">
        <f>IF($BD257="","",SUMIF($BD$6:$BD$2000,$BD257,$J$6:$J$2000))</f>
        <v>313043</v>
      </c>
    </row>
    <row r="258" spans="1:58" ht="19.5" customHeight="1" x14ac:dyDescent="0.25">
      <c r="A258" s="96" t="s">
        <v>2054</v>
      </c>
      <c r="B258" s="26" t="s">
        <v>71</v>
      </c>
      <c r="C258" s="27">
        <v>271</v>
      </c>
      <c r="D258" s="26" t="s">
        <v>467</v>
      </c>
      <c r="E258" s="26" t="s">
        <v>468</v>
      </c>
      <c r="F258" s="27" t="s">
        <v>114</v>
      </c>
      <c r="G258" s="28">
        <v>46054</v>
      </c>
      <c r="H258" s="29">
        <f t="shared" si="10"/>
        <v>24</v>
      </c>
      <c r="I258" s="29">
        <f t="shared" si="11"/>
        <v>10</v>
      </c>
      <c r="J258" s="30">
        <f t="shared" si="12"/>
        <v>6990</v>
      </c>
      <c r="K258" s="31">
        <v>10</v>
      </c>
      <c r="L258" s="31"/>
      <c r="M258" s="31"/>
      <c r="N258" s="31">
        <v>10</v>
      </c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>
        <v>4</v>
      </c>
      <c r="AB258" s="31"/>
      <c r="AC258" s="31"/>
      <c r="AD258" s="31"/>
      <c r="AE258" s="31"/>
      <c r="AF258" s="31"/>
      <c r="AG258" s="31"/>
      <c r="AH258" s="31">
        <v>10</v>
      </c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  <c r="AZ258" s="31"/>
      <c r="BA258" s="31"/>
      <c r="BB258" s="31"/>
      <c r="BC258" t="s">
        <v>75</v>
      </c>
      <c r="BD258">
        <v>253</v>
      </c>
      <c r="BF258" s="30">
        <f>IF($BD258="","",SUMIF($BD$6:$BD$2000,$BD258,$J$6:$J$2000))</f>
        <v>6990</v>
      </c>
    </row>
    <row r="259" spans="1:58" ht="19.5" customHeight="1" x14ac:dyDescent="0.25">
      <c r="A259" s="96" t="s">
        <v>2054</v>
      </c>
      <c r="B259" s="32" t="s">
        <v>71</v>
      </c>
      <c r="C259" s="33">
        <v>272</v>
      </c>
      <c r="D259" s="32" t="s">
        <v>469</v>
      </c>
      <c r="E259" s="32" t="s">
        <v>470</v>
      </c>
      <c r="F259" s="33" t="s">
        <v>160</v>
      </c>
      <c r="G259" s="34">
        <v>46296</v>
      </c>
      <c r="H259" s="35">
        <f t="shared" si="10"/>
        <v>25</v>
      </c>
      <c r="I259" s="35">
        <f t="shared" si="11"/>
        <v>12</v>
      </c>
      <c r="J259" s="36">
        <f t="shared" si="12"/>
        <v>8339</v>
      </c>
      <c r="K259" s="37"/>
      <c r="L259" s="37"/>
      <c r="M259" s="37"/>
      <c r="N259" s="37"/>
      <c r="O259" s="37"/>
      <c r="P259" s="37"/>
      <c r="Q259" s="37"/>
      <c r="R259" s="37"/>
      <c r="S259" s="37"/>
      <c r="T259" s="37">
        <v>2</v>
      </c>
      <c r="U259" s="37">
        <v>23</v>
      </c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  <c r="AF259" s="37"/>
      <c r="AG259" s="37"/>
      <c r="AH259" s="37">
        <v>12</v>
      </c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t="s">
        <v>75</v>
      </c>
      <c r="BD259">
        <v>254</v>
      </c>
      <c r="BF259" s="30">
        <f>IF($BD259="","",SUMIF($BD$6:$BD$2000,$BD259,$J$6:$J$2000))</f>
        <v>8339</v>
      </c>
    </row>
    <row r="260" spans="1:58" ht="19.5" customHeight="1" x14ac:dyDescent="0.25">
      <c r="A260" s="96" t="s">
        <v>2054</v>
      </c>
      <c r="B260" s="26" t="s">
        <v>71</v>
      </c>
      <c r="C260" s="27">
        <v>273</v>
      </c>
      <c r="D260" s="26" t="s">
        <v>471</v>
      </c>
      <c r="E260" s="26" t="s">
        <v>472</v>
      </c>
      <c r="F260" s="27" t="s">
        <v>114</v>
      </c>
      <c r="G260" s="28">
        <v>46235</v>
      </c>
      <c r="H260" s="29">
        <f t="shared" si="10"/>
        <v>15</v>
      </c>
      <c r="I260" s="29">
        <f t="shared" si="11"/>
        <v>10</v>
      </c>
      <c r="J260" s="30">
        <f t="shared" si="12"/>
        <v>6420</v>
      </c>
      <c r="K260" s="31">
        <v>7</v>
      </c>
      <c r="L260" s="31"/>
      <c r="M260" s="31"/>
      <c r="N260" s="31"/>
      <c r="O260" s="31"/>
      <c r="P260" s="31"/>
      <c r="Q260" s="31"/>
      <c r="R260" s="31"/>
      <c r="S260" s="31"/>
      <c r="T260" s="31">
        <v>4</v>
      </c>
      <c r="U260" s="31"/>
      <c r="V260" s="31"/>
      <c r="W260" s="31"/>
      <c r="X260" s="31"/>
      <c r="Y260" s="31"/>
      <c r="Z260" s="31">
        <v>4</v>
      </c>
      <c r="AA260" s="31"/>
      <c r="AB260" s="31"/>
      <c r="AC260" s="31"/>
      <c r="AD260" s="31"/>
      <c r="AE260" s="31"/>
      <c r="AF260" s="31"/>
      <c r="AG260" s="31"/>
      <c r="AH260" s="31">
        <v>10</v>
      </c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  <c r="AZ260" s="31"/>
      <c r="BA260" s="31"/>
      <c r="BB260" s="31"/>
      <c r="BC260" t="s">
        <v>75</v>
      </c>
      <c r="BD260">
        <v>255</v>
      </c>
      <c r="BF260" s="30">
        <f>IF($BD260="","",SUMIF($BD$6:$BD$2000,$BD260,$J$6:$J$2000))</f>
        <v>6420</v>
      </c>
    </row>
    <row r="261" spans="1:58" ht="19.5" customHeight="1" x14ac:dyDescent="0.25">
      <c r="A261" s="96" t="s">
        <v>2054</v>
      </c>
      <c r="B261" s="32" t="s">
        <v>71</v>
      </c>
      <c r="C261" s="33">
        <v>274</v>
      </c>
      <c r="D261" s="32" t="s">
        <v>473</v>
      </c>
      <c r="E261" s="32" t="s">
        <v>169</v>
      </c>
      <c r="F261" s="33" t="s">
        <v>114</v>
      </c>
      <c r="G261" s="34">
        <v>46235</v>
      </c>
      <c r="H261" s="35">
        <f t="shared" si="10"/>
        <v>16</v>
      </c>
      <c r="I261" s="35">
        <f t="shared" si="11"/>
        <v>6</v>
      </c>
      <c r="J261" s="36">
        <f t="shared" si="12"/>
        <v>4750</v>
      </c>
      <c r="K261" s="37">
        <v>6</v>
      </c>
      <c r="L261" s="37"/>
      <c r="M261" s="37"/>
      <c r="N261" s="37">
        <v>3</v>
      </c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>
        <v>7</v>
      </c>
      <c r="AB261" s="37"/>
      <c r="AC261" s="37"/>
      <c r="AD261" s="37"/>
      <c r="AE261" s="37"/>
      <c r="AF261" s="37"/>
      <c r="AG261" s="37"/>
      <c r="AH261" s="37">
        <v>6</v>
      </c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t="s">
        <v>75</v>
      </c>
      <c r="BD261">
        <v>256</v>
      </c>
      <c r="BF261" s="30">
        <f>IF($BD261="","",SUMIF($BD$6:$BD$2000,$BD261,$J$6:$J$2000))</f>
        <v>4750</v>
      </c>
    </row>
    <row r="262" spans="1:58" ht="19.5" customHeight="1" x14ac:dyDescent="0.25">
      <c r="A262" s="96" t="s">
        <v>2054</v>
      </c>
      <c r="B262" s="26" t="s">
        <v>71</v>
      </c>
      <c r="C262" s="27">
        <v>275</v>
      </c>
      <c r="D262" s="26" t="s">
        <v>474</v>
      </c>
      <c r="E262" s="26" t="s">
        <v>475</v>
      </c>
      <c r="F262" s="27" t="s">
        <v>74</v>
      </c>
      <c r="G262" s="28">
        <v>46204</v>
      </c>
      <c r="H262" s="29">
        <f t="shared" ref="H262:H325" si="13">IF($B262="","",SUM($K262:$AG262)+SUM($AS262:$BB262))</f>
        <v>22</v>
      </c>
      <c r="I262" s="29">
        <f t="shared" ref="I262:I325" si="14">IF($B262="","",SUM($AH262:$AL262))</f>
        <v>24</v>
      </c>
      <c r="J262" s="30">
        <f t="shared" ref="J262:J325" si="15">IF($B262="","",SUMPRODUCT($K262:$BB262,$K$2:$BB$2))</f>
        <v>21915</v>
      </c>
      <c r="K262" s="31">
        <v>4</v>
      </c>
      <c r="L262" s="31"/>
      <c r="M262" s="31"/>
      <c r="N262" s="31">
        <v>3</v>
      </c>
      <c r="O262" s="31"/>
      <c r="P262" s="31"/>
      <c r="Q262" s="31"/>
      <c r="R262" s="31"/>
      <c r="S262" s="31"/>
      <c r="T262" s="31">
        <v>7</v>
      </c>
      <c r="U262" s="31"/>
      <c r="V262" s="31"/>
      <c r="W262" s="31"/>
      <c r="X262" s="31"/>
      <c r="Y262" s="31"/>
      <c r="Z262" s="31"/>
      <c r="AA262" s="31">
        <v>8</v>
      </c>
      <c r="AB262" s="31"/>
      <c r="AC262" s="31"/>
      <c r="AD262" s="31"/>
      <c r="AE262" s="31"/>
      <c r="AF262" s="31"/>
      <c r="AG262" s="31"/>
      <c r="AH262" s="31"/>
      <c r="AI262" s="31"/>
      <c r="AJ262" s="31">
        <v>24</v>
      </c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  <c r="AZ262" s="31"/>
      <c r="BA262" s="31"/>
      <c r="BB262" s="31"/>
      <c r="BC262" t="s">
        <v>75</v>
      </c>
      <c r="BD262">
        <v>257</v>
      </c>
      <c r="BF262" s="30">
        <f>IF($BD262="","",SUMIF($BD$6:$BD$2000,$BD262,$J$6:$J$2000))</f>
        <v>21915</v>
      </c>
    </row>
    <row r="263" spans="1:58" ht="19.5" customHeight="1" x14ac:dyDescent="0.25">
      <c r="A263" s="96" t="s">
        <v>2054</v>
      </c>
      <c r="B263" s="32" t="s">
        <v>71</v>
      </c>
      <c r="C263" s="33">
        <v>276</v>
      </c>
      <c r="D263" s="32" t="s">
        <v>476</v>
      </c>
      <c r="E263" s="32" t="s">
        <v>477</v>
      </c>
      <c r="F263" s="33" t="s">
        <v>276</v>
      </c>
      <c r="G263" s="34">
        <v>46143</v>
      </c>
      <c r="H263" s="35">
        <f t="shared" si="13"/>
        <v>20</v>
      </c>
      <c r="I263" s="35">
        <f t="shared" si="14"/>
        <v>24</v>
      </c>
      <c r="J263" s="36">
        <f t="shared" si="15"/>
        <v>14411</v>
      </c>
      <c r="K263" s="37"/>
      <c r="L263" s="37"/>
      <c r="M263" s="37"/>
      <c r="N263" s="37"/>
      <c r="O263" s="37"/>
      <c r="P263" s="37">
        <v>1</v>
      </c>
      <c r="Q263" s="37"/>
      <c r="R263" s="37"/>
      <c r="S263" s="37"/>
      <c r="T263" s="37"/>
      <c r="U263" s="37">
        <v>17</v>
      </c>
      <c r="V263" s="37"/>
      <c r="W263" s="37"/>
      <c r="X263" s="37"/>
      <c r="Y263" s="37"/>
      <c r="Z263" s="37"/>
      <c r="AA263" s="37">
        <v>2</v>
      </c>
      <c r="AB263" s="37"/>
      <c r="AC263" s="37"/>
      <c r="AD263" s="37"/>
      <c r="AE263" s="37"/>
      <c r="AF263" s="37"/>
      <c r="AG263" s="37"/>
      <c r="AH263" s="37">
        <v>24</v>
      </c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t="s">
        <v>75</v>
      </c>
      <c r="BD263">
        <v>258</v>
      </c>
      <c r="BF263" s="30">
        <f>IF($BD263="","",SUMIF($BD$6:$BD$2000,$BD263,$J$6:$J$2000))</f>
        <v>14411</v>
      </c>
    </row>
    <row r="264" spans="1:58" ht="19.5" customHeight="1" x14ac:dyDescent="0.25">
      <c r="A264" s="96" t="s">
        <v>2054</v>
      </c>
      <c r="B264" s="26" t="s">
        <v>71</v>
      </c>
      <c r="C264" s="27">
        <v>277</v>
      </c>
      <c r="D264" s="26" t="s">
        <v>478</v>
      </c>
      <c r="E264" s="26" t="s">
        <v>309</v>
      </c>
      <c r="F264" s="27" t="s">
        <v>276</v>
      </c>
      <c r="G264" s="28">
        <v>46143</v>
      </c>
      <c r="H264" s="29">
        <f t="shared" si="13"/>
        <v>20</v>
      </c>
      <c r="I264" s="29">
        <f t="shared" si="14"/>
        <v>28</v>
      </c>
      <c r="J264" s="30">
        <f t="shared" si="15"/>
        <v>25276</v>
      </c>
      <c r="K264" s="31">
        <v>7</v>
      </c>
      <c r="L264" s="31"/>
      <c r="M264" s="31"/>
      <c r="N264" s="31">
        <v>1</v>
      </c>
      <c r="O264" s="31"/>
      <c r="P264" s="31"/>
      <c r="Q264" s="31"/>
      <c r="R264" s="31"/>
      <c r="S264" s="31"/>
      <c r="T264" s="31"/>
      <c r="U264" s="31">
        <v>2</v>
      </c>
      <c r="V264" s="31"/>
      <c r="W264" s="31"/>
      <c r="X264" s="31"/>
      <c r="Y264" s="31"/>
      <c r="Z264" s="31"/>
      <c r="AA264" s="31">
        <v>10</v>
      </c>
      <c r="AB264" s="31"/>
      <c r="AC264" s="31"/>
      <c r="AD264" s="31"/>
      <c r="AE264" s="31"/>
      <c r="AF264" s="31"/>
      <c r="AG264" s="31"/>
      <c r="AH264" s="31"/>
      <c r="AI264" s="31"/>
      <c r="AJ264" s="31">
        <v>28</v>
      </c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  <c r="AZ264" s="31"/>
      <c r="BA264" s="31"/>
      <c r="BB264" s="31"/>
      <c r="BC264" t="s">
        <v>75</v>
      </c>
      <c r="BD264">
        <v>259</v>
      </c>
      <c r="BF264" s="30">
        <f>IF($BD264="","",SUMIF($BD$6:$BD$2000,$BD264,$J$6:$J$2000))</f>
        <v>25276</v>
      </c>
    </row>
    <row r="265" spans="1:58" ht="19.5" customHeight="1" x14ac:dyDescent="0.25">
      <c r="A265" s="96" t="s">
        <v>2054</v>
      </c>
      <c r="B265" s="32" t="s">
        <v>71</v>
      </c>
      <c r="C265" s="33">
        <v>278</v>
      </c>
      <c r="D265" s="32" t="s">
        <v>479</v>
      </c>
      <c r="E265" s="32" t="s">
        <v>480</v>
      </c>
      <c r="F265" s="33" t="s">
        <v>114</v>
      </c>
      <c r="G265" s="34">
        <v>46266</v>
      </c>
      <c r="H265" s="35">
        <f t="shared" si="13"/>
        <v>17</v>
      </c>
      <c r="I265" s="35">
        <f t="shared" si="14"/>
        <v>20</v>
      </c>
      <c r="J265" s="36">
        <f t="shared" si="15"/>
        <v>12200</v>
      </c>
      <c r="K265" s="37">
        <v>4</v>
      </c>
      <c r="L265" s="37"/>
      <c r="M265" s="37"/>
      <c r="N265" s="37">
        <v>4</v>
      </c>
      <c r="O265" s="37">
        <v>2</v>
      </c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>
        <v>7</v>
      </c>
      <c r="AB265" s="37"/>
      <c r="AC265" s="37"/>
      <c r="AD265" s="37"/>
      <c r="AE265" s="37"/>
      <c r="AF265" s="37"/>
      <c r="AG265" s="37"/>
      <c r="AH265" s="37">
        <v>20</v>
      </c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t="s">
        <v>75</v>
      </c>
      <c r="BD265">
        <v>260</v>
      </c>
      <c r="BF265" s="30">
        <f>IF($BD265="","",SUMIF($BD$6:$BD$2000,$BD265,$J$6:$J$2000))</f>
        <v>12200</v>
      </c>
    </row>
    <row r="266" spans="1:58" ht="19.5" customHeight="1" x14ac:dyDescent="0.25">
      <c r="A266" s="96" t="s">
        <v>2054</v>
      </c>
      <c r="B266" s="26" t="s">
        <v>71</v>
      </c>
      <c r="C266" s="27">
        <v>279</v>
      </c>
      <c r="D266" s="26" t="s">
        <v>481</v>
      </c>
      <c r="E266" s="26" t="s">
        <v>454</v>
      </c>
      <c r="F266" s="27" t="s">
        <v>455</v>
      </c>
      <c r="G266" s="28">
        <v>46174</v>
      </c>
      <c r="H266" s="29">
        <f t="shared" si="13"/>
        <v>16</v>
      </c>
      <c r="I266" s="29">
        <f t="shared" si="14"/>
        <v>9</v>
      </c>
      <c r="J266" s="30">
        <f t="shared" si="15"/>
        <v>6251</v>
      </c>
      <c r="K266" s="31">
        <v>8</v>
      </c>
      <c r="L266" s="31"/>
      <c r="M266" s="31"/>
      <c r="N266" s="31"/>
      <c r="O266" s="31"/>
      <c r="P266" s="31"/>
      <c r="Q266" s="31"/>
      <c r="R266" s="31"/>
      <c r="S266" s="31"/>
      <c r="T266" s="31"/>
      <c r="U266" s="31">
        <v>2</v>
      </c>
      <c r="V266" s="31"/>
      <c r="W266" s="31"/>
      <c r="X266" s="31"/>
      <c r="Y266" s="31"/>
      <c r="Z266" s="31"/>
      <c r="AA266" s="31">
        <v>6</v>
      </c>
      <c r="AB266" s="31"/>
      <c r="AC266" s="31"/>
      <c r="AD266" s="31"/>
      <c r="AE266" s="31"/>
      <c r="AF266" s="31"/>
      <c r="AG266" s="31"/>
      <c r="AH266" s="31">
        <v>9</v>
      </c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  <c r="AZ266" s="31"/>
      <c r="BA266" s="31"/>
      <c r="BB266" s="31"/>
      <c r="BC266" t="s">
        <v>75</v>
      </c>
      <c r="BD266">
        <v>261</v>
      </c>
      <c r="BF266" s="30">
        <f>IF($BD266="","",SUMIF($BD$6:$BD$2000,$BD266,$J$6:$J$2000))</f>
        <v>6251</v>
      </c>
    </row>
    <row r="267" spans="1:58" ht="19.5" customHeight="1" x14ac:dyDescent="0.25">
      <c r="A267" s="96" t="s">
        <v>2054</v>
      </c>
      <c r="B267" s="32" t="s">
        <v>71</v>
      </c>
      <c r="C267" s="33">
        <v>280</v>
      </c>
      <c r="D267" s="32" t="s">
        <v>482</v>
      </c>
      <c r="E267" s="32" t="s">
        <v>286</v>
      </c>
      <c r="F267" s="33" t="s">
        <v>261</v>
      </c>
      <c r="G267" s="34">
        <v>46388</v>
      </c>
      <c r="H267" s="35">
        <f t="shared" si="13"/>
        <v>20</v>
      </c>
      <c r="I267" s="35">
        <f t="shared" si="14"/>
        <v>16</v>
      </c>
      <c r="J267" s="36">
        <f t="shared" si="15"/>
        <v>10540</v>
      </c>
      <c r="K267" s="37">
        <v>6</v>
      </c>
      <c r="L267" s="37"/>
      <c r="M267" s="37"/>
      <c r="N267" s="37">
        <v>4</v>
      </c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>
        <v>10</v>
      </c>
      <c r="AB267" s="37"/>
      <c r="AC267" s="37"/>
      <c r="AD267" s="37"/>
      <c r="AE267" s="37"/>
      <c r="AF267" s="37"/>
      <c r="AG267" s="37"/>
      <c r="AH267" s="37">
        <v>16</v>
      </c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t="s">
        <v>75</v>
      </c>
      <c r="BD267">
        <v>262</v>
      </c>
      <c r="BF267" s="30">
        <f>IF($BD267="","",SUMIF($BD$6:$BD$2000,$BD267,$J$6:$J$2000))</f>
        <v>10540</v>
      </c>
    </row>
    <row r="268" spans="1:58" ht="19.5" customHeight="1" x14ac:dyDescent="0.25">
      <c r="A268" s="96" t="s">
        <v>2054</v>
      </c>
      <c r="B268" s="26" t="s">
        <v>71</v>
      </c>
      <c r="C268" s="27">
        <v>281</v>
      </c>
      <c r="D268" s="26" t="s">
        <v>483</v>
      </c>
      <c r="E268" s="26" t="s">
        <v>484</v>
      </c>
      <c r="F268" s="27" t="s">
        <v>120</v>
      </c>
      <c r="G268" s="28">
        <v>46235</v>
      </c>
      <c r="H268" s="29">
        <f t="shared" si="13"/>
        <v>19</v>
      </c>
      <c r="I268" s="29">
        <f t="shared" si="14"/>
        <v>10</v>
      </c>
      <c r="J268" s="30">
        <f t="shared" si="15"/>
        <v>7100</v>
      </c>
      <c r="K268" s="31">
        <v>9</v>
      </c>
      <c r="L268" s="31"/>
      <c r="M268" s="31"/>
      <c r="N268" s="31">
        <v>2</v>
      </c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>
        <v>8</v>
      </c>
      <c r="AB268" s="31"/>
      <c r="AC268" s="31"/>
      <c r="AD268" s="31"/>
      <c r="AE268" s="31"/>
      <c r="AF268" s="31"/>
      <c r="AG268" s="31"/>
      <c r="AH268" s="31">
        <v>10</v>
      </c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  <c r="AZ268" s="31"/>
      <c r="BA268" s="31"/>
      <c r="BB268" s="31"/>
      <c r="BC268" t="s">
        <v>75</v>
      </c>
      <c r="BD268">
        <v>263</v>
      </c>
      <c r="BF268" s="30">
        <f>IF($BD268="","",SUMIF($BD$6:$BD$2000,$BD268,$J$6:$J$2000))</f>
        <v>7100</v>
      </c>
    </row>
    <row r="269" spans="1:58" ht="19.5" customHeight="1" x14ac:dyDescent="0.25">
      <c r="A269" s="96" t="s">
        <v>2054</v>
      </c>
      <c r="B269" s="32" t="s">
        <v>71</v>
      </c>
      <c r="C269" s="33">
        <v>283</v>
      </c>
      <c r="D269" s="32" t="s">
        <v>485</v>
      </c>
      <c r="E269" s="32" t="s">
        <v>486</v>
      </c>
      <c r="F269" s="33" t="s">
        <v>74</v>
      </c>
      <c r="G269" s="34">
        <v>46142</v>
      </c>
      <c r="H269" s="35">
        <f t="shared" si="13"/>
        <v>15</v>
      </c>
      <c r="I269" s="35">
        <f t="shared" si="14"/>
        <v>8</v>
      </c>
      <c r="J269" s="36">
        <f t="shared" si="15"/>
        <v>5750</v>
      </c>
      <c r="K269" s="37">
        <v>7</v>
      </c>
      <c r="L269" s="37"/>
      <c r="M269" s="37"/>
      <c r="N269" s="37"/>
      <c r="O269" s="37"/>
      <c r="P269" s="37">
        <v>1</v>
      </c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>
        <v>7</v>
      </c>
      <c r="AB269" s="37"/>
      <c r="AC269" s="37"/>
      <c r="AD269" s="37"/>
      <c r="AE269" s="37"/>
      <c r="AF269" s="37"/>
      <c r="AG269" s="37"/>
      <c r="AH269" s="37">
        <v>8</v>
      </c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t="s">
        <v>75</v>
      </c>
      <c r="BD269">
        <v>264</v>
      </c>
      <c r="BF269" s="30">
        <f>IF($BD269="","",SUMIF($BD$6:$BD$2000,$BD269,$J$6:$J$2000))</f>
        <v>5750</v>
      </c>
    </row>
    <row r="270" spans="1:58" ht="19.5" customHeight="1" x14ac:dyDescent="0.25">
      <c r="A270" s="96" t="s">
        <v>2054</v>
      </c>
      <c r="B270" s="26" t="s">
        <v>71</v>
      </c>
      <c r="C270" s="27">
        <v>284</v>
      </c>
      <c r="D270" s="26" t="s">
        <v>487</v>
      </c>
      <c r="E270" s="26" t="s">
        <v>488</v>
      </c>
      <c r="F270" s="27" t="s">
        <v>237</v>
      </c>
      <c r="G270" s="28">
        <v>46204</v>
      </c>
      <c r="H270" s="29">
        <f t="shared" si="13"/>
        <v>24</v>
      </c>
      <c r="I270" s="29">
        <f t="shared" si="14"/>
        <v>20</v>
      </c>
      <c r="J270" s="30">
        <f t="shared" si="15"/>
        <v>13144</v>
      </c>
      <c r="K270" s="31">
        <v>1</v>
      </c>
      <c r="L270" s="31"/>
      <c r="M270" s="31"/>
      <c r="N270" s="31">
        <v>2</v>
      </c>
      <c r="O270" s="31">
        <v>3</v>
      </c>
      <c r="P270" s="31"/>
      <c r="Q270" s="31"/>
      <c r="R270" s="31"/>
      <c r="S270" s="31"/>
      <c r="T270" s="31"/>
      <c r="U270" s="31">
        <v>8</v>
      </c>
      <c r="V270" s="31"/>
      <c r="W270" s="31"/>
      <c r="X270" s="31"/>
      <c r="Y270" s="31"/>
      <c r="Z270" s="31"/>
      <c r="AA270" s="31">
        <v>10</v>
      </c>
      <c r="AB270" s="31"/>
      <c r="AC270" s="31"/>
      <c r="AD270" s="31"/>
      <c r="AE270" s="31"/>
      <c r="AF270" s="31"/>
      <c r="AG270" s="31"/>
      <c r="AH270" s="31">
        <v>20</v>
      </c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  <c r="AZ270" s="31"/>
      <c r="BA270" s="31"/>
      <c r="BB270" s="31"/>
      <c r="BC270" t="s">
        <v>75</v>
      </c>
      <c r="BD270">
        <v>265</v>
      </c>
      <c r="BF270" s="30">
        <f>IF($BD270="","",SUMIF($BD$6:$BD$2000,$BD270,$J$6:$J$2000))</f>
        <v>13144</v>
      </c>
    </row>
    <row r="271" spans="1:58" ht="19.5" customHeight="1" x14ac:dyDescent="0.25">
      <c r="A271" s="96" t="s">
        <v>2054</v>
      </c>
      <c r="B271" s="32" t="s">
        <v>71</v>
      </c>
      <c r="C271" s="33">
        <v>285</v>
      </c>
      <c r="D271" s="32" t="s">
        <v>489</v>
      </c>
      <c r="E271" s="32" t="s">
        <v>117</v>
      </c>
      <c r="F271" s="33" t="s">
        <v>74</v>
      </c>
      <c r="G271" s="34">
        <v>46142</v>
      </c>
      <c r="H271" s="35">
        <f t="shared" si="13"/>
        <v>19</v>
      </c>
      <c r="I271" s="35">
        <f t="shared" si="14"/>
        <v>4</v>
      </c>
      <c r="J271" s="36">
        <f t="shared" si="15"/>
        <v>4050</v>
      </c>
      <c r="K271" s="37">
        <v>9</v>
      </c>
      <c r="L271" s="37"/>
      <c r="M271" s="37"/>
      <c r="N271" s="37">
        <v>1</v>
      </c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>
        <v>9</v>
      </c>
      <c r="AB271" s="37"/>
      <c r="AC271" s="37"/>
      <c r="AD271" s="37"/>
      <c r="AE271" s="37"/>
      <c r="AF271" s="37"/>
      <c r="AG271" s="37"/>
      <c r="AH271" s="37">
        <v>4</v>
      </c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t="s">
        <v>75</v>
      </c>
      <c r="BD271">
        <v>266</v>
      </c>
      <c r="BF271" s="30">
        <f>IF($BD271="","",SUMIF($BD$6:$BD$2000,$BD271,$J$6:$J$2000))</f>
        <v>4050</v>
      </c>
    </row>
    <row r="272" spans="1:58" ht="19.5" customHeight="1" x14ac:dyDescent="0.25">
      <c r="A272" s="96" t="s">
        <v>2054</v>
      </c>
      <c r="B272" s="26" t="s">
        <v>71</v>
      </c>
      <c r="C272" s="27">
        <v>287</v>
      </c>
      <c r="D272" s="26" t="s">
        <v>490</v>
      </c>
      <c r="E272" s="26" t="s">
        <v>183</v>
      </c>
      <c r="F272" s="27" t="s">
        <v>123</v>
      </c>
      <c r="G272" s="28">
        <v>46235</v>
      </c>
      <c r="H272" s="29">
        <f t="shared" si="13"/>
        <v>7</v>
      </c>
      <c r="I272" s="29">
        <f t="shared" si="14"/>
        <v>8</v>
      </c>
      <c r="J272" s="30">
        <f t="shared" si="15"/>
        <v>4781</v>
      </c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>
        <v>7</v>
      </c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>
        <v>8</v>
      </c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  <c r="AZ272" s="31"/>
      <c r="BA272" s="31"/>
      <c r="BB272" s="31"/>
      <c r="BC272" t="s">
        <v>75</v>
      </c>
      <c r="BD272">
        <v>267</v>
      </c>
      <c r="BF272" s="30">
        <f>IF($BD272="","",SUMIF($BD$6:$BD$2000,$BD272,$J$6:$J$2000))</f>
        <v>4781</v>
      </c>
    </row>
    <row r="273" spans="1:58" ht="19.5" customHeight="1" x14ac:dyDescent="0.25">
      <c r="A273" s="96" t="s">
        <v>2054</v>
      </c>
      <c r="B273" s="32" t="s">
        <v>71</v>
      </c>
      <c r="C273" s="33">
        <v>288</v>
      </c>
      <c r="D273" s="32" t="s">
        <v>491</v>
      </c>
      <c r="E273" s="32" t="s">
        <v>73</v>
      </c>
      <c r="F273" s="33" t="s">
        <v>74</v>
      </c>
      <c r="G273" s="34">
        <v>46203</v>
      </c>
      <c r="H273" s="35">
        <f t="shared" si="13"/>
        <v>29</v>
      </c>
      <c r="I273" s="35">
        <f t="shared" si="14"/>
        <v>12</v>
      </c>
      <c r="J273" s="36">
        <f t="shared" si="15"/>
        <v>9440</v>
      </c>
      <c r="K273" s="37">
        <v>10</v>
      </c>
      <c r="L273" s="37"/>
      <c r="M273" s="37"/>
      <c r="N273" s="37">
        <v>4</v>
      </c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>
        <v>15</v>
      </c>
      <c r="AB273" s="37"/>
      <c r="AC273" s="37"/>
      <c r="AD273" s="37"/>
      <c r="AE273" s="37"/>
      <c r="AF273" s="37"/>
      <c r="AG273" s="37"/>
      <c r="AH273" s="37">
        <v>12</v>
      </c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t="s">
        <v>75</v>
      </c>
      <c r="BD273">
        <v>268</v>
      </c>
      <c r="BF273" s="30">
        <f>IF($BD273="","",SUMIF($BD$6:$BD$2000,$BD273,$J$6:$J$2000))</f>
        <v>9440</v>
      </c>
    </row>
    <row r="274" spans="1:58" ht="19.5" customHeight="1" x14ac:dyDescent="0.25">
      <c r="A274" s="96" t="s">
        <v>2054</v>
      </c>
      <c r="B274" s="26" t="s">
        <v>71</v>
      </c>
      <c r="C274" s="27">
        <v>289</v>
      </c>
      <c r="D274" s="26" t="s">
        <v>492</v>
      </c>
      <c r="E274" s="26" t="s">
        <v>493</v>
      </c>
      <c r="F274" s="27" t="s">
        <v>74</v>
      </c>
      <c r="G274" s="28">
        <v>46204</v>
      </c>
      <c r="H274" s="29">
        <f t="shared" si="13"/>
        <v>16</v>
      </c>
      <c r="I274" s="29">
        <f t="shared" si="14"/>
        <v>8</v>
      </c>
      <c r="J274" s="30">
        <f t="shared" si="15"/>
        <v>5480</v>
      </c>
      <c r="K274" s="31">
        <v>8</v>
      </c>
      <c r="L274" s="31"/>
      <c r="M274" s="31"/>
      <c r="N274" s="31">
        <v>4</v>
      </c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>
        <v>4</v>
      </c>
      <c r="AB274" s="31"/>
      <c r="AC274" s="31"/>
      <c r="AD274" s="31"/>
      <c r="AE274" s="31"/>
      <c r="AF274" s="31"/>
      <c r="AG274" s="31"/>
      <c r="AH274" s="31">
        <v>8</v>
      </c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  <c r="AZ274" s="31"/>
      <c r="BA274" s="31"/>
      <c r="BB274" s="31"/>
      <c r="BC274" t="s">
        <v>75</v>
      </c>
      <c r="BD274">
        <v>269</v>
      </c>
      <c r="BF274" s="30">
        <f>IF($BD274="","",SUMIF($BD$6:$BD$2000,$BD274,$J$6:$J$2000))</f>
        <v>5480</v>
      </c>
    </row>
    <row r="275" spans="1:58" ht="19.5" customHeight="1" x14ac:dyDescent="0.25">
      <c r="A275" s="96" t="s">
        <v>2054</v>
      </c>
      <c r="B275" s="32" t="s">
        <v>71</v>
      </c>
      <c r="C275" s="33">
        <v>290</v>
      </c>
      <c r="D275" s="32" t="s">
        <v>494</v>
      </c>
      <c r="E275" s="32" t="s">
        <v>495</v>
      </c>
      <c r="F275" s="33" t="s">
        <v>216</v>
      </c>
      <c r="G275" s="34">
        <v>46388</v>
      </c>
      <c r="H275" s="35">
        <f t="shared" si="13"/>
        <v>23</v>
      </c>
      <c r="I275" s="35">
        <f t="shared" si="14"/>
        <v>12</v>
      </c>
      <c r="J275" s="36">
        <f t="shared" si="15"/>
        <v>8403</v>
      </c>
      <c r="K275" s="37">
        <v>9</v>
      </c>
      <c r="L275" s="37"/>
      <c r="M275" s="37">
        <v>3</v>
      </c>
      <c r="N275" s="37">
        <v>1</v>
      </c>
      <c r="O275" s="37"/>
      <c r="P275" s="37">
        <v>1</v>
      </c>
      <c r="Q275" s="37"/>
      <c r="R275" s="37"/>
      <c r="S275" s="37"/>
      <c r="T275" s="37"/>
      <c r="U275" s="37">
        <v>1</v>
      </c>
      <c r="V275" s="37"/>
      <c r="W275" s="37"/>
      <c r="X275" s="37"/>
      <c r="Y275" s="37"/>
      <c r="Z275" s="37"/>
      <c r="AA275" s="37">
        <v>8</v>
      </c>
      <c r="AB275" s="37"/>
      <c r="AC275" s="37"/>
      <c r="AD275" s="37"/>
      <c r="AE275" s="37"/>
      <c r="AF275" s="37"/>
      <c r="AG275" s="37"/>
      <c r="AH275" s="37">
        <v>12</v>
      </c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t="s">
        <v>75</v>
      </c>
      <c r="BD275">
        <v>270</v>
      </c>
      <c r="BF275" s="30">
        <f>IF($BD275="","",SUMIF($BD$6:$BD$2000,$BD275,$J$6:$J$2000))</f>
        <v>8403</v>
      </c>
    </row>
    <row r="276" spans="1:58" ht="19.5" customHeight="1" x14ac:dyDescent="0.25">
      <c r="A276" s="96" t="s">
        <v>2054</v>
      </c>
      <c r="B276" s="26" t="s">
        <v>71</v>
      </c>
      <c r="C276" s="27">
        <v>291</v>
      </c>
      <c r="D276" s="26" t="s">
        <v>496</v>
      </c>
      <c r="E276" s="26" t="s">
        <v>497</v>
      </c>
      <c r="F276" s="27" t="s">
        <v>226</v>
      </c>
      <c r="G276" s="28">
        <v>46204</v>
      </c>
      <c r="H276" s="29">
        <f t="shared" si="13"/>
        <v>19</v>
      </c>
      <c r="I276" s="29">
        <f t="shared" si="14"/>
        <v>20</v>
      </c>
      <c r="J276" s="30">
        <f t="shared" si="15"/>
        <v>18260</v>
      </c>
      <c r="K276" s="31">
        <v>8</v>
      </c>
      <c r="L276" s="31"/>
      <c r="M276" s="31"/>
      <c r="N276" s="31">
        <v>4</v>
      </c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>
        <v>7</v>
      </c>
      <c r="AB276" s="31"/>
      <c r="AC276" s="31"/>
      <c r="AD276" s="31"/>
      <c r="AE276" s="31"/>
      <c r="AF276" s="31"/>
      <c r="AG276" s="31"/>
      <c r="AH276" s="31"/>
      <c r="AI276" s="31"/>
      <c r="AJ276" s="31">
        <v>20</v>
      </c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  <c r="AZ276" s="31"/>
      <c r="BA276" s="31"/>
      <c r="BB276" s="31"/>
      <c r="BC276" t="s">
        <v>75</v>
      </c>
      <c r="BD276">
        <v>271</v>
      </c>
      <c r="BF276" s="30">
        <f>IF($BD276="","",SUMIF($BD$6:$BD$2000,$BD276,$J$6:$J$2000))</f>
        <v>18260</v>
      </c>
    </row>
    <row r="277" spans="1:58" ht="19.5" customHeight="1" x14ac:dyDescent="0.25">
      <c r="A277" s="96" t="s">
        <v>2054</v>
      </c>
      <c r="B277" s="32" t="s">
        <v>71</v>
      </c>
      <c r="C277" s="33">
        <v>292</v>
      </c>
      <c r="D277" s="32" t="s">
        <v>498</v>
      </c>
      <c r="E277" s="32" t="s">
        <v>236</v>
      </c>
      <c r="F277" s="33" t="s">
        <v>237</v>
      </c>
      <c r="G277" s="34">
        <v>46266</v>
      </c>
      <c r="H277" s="35">
        <f t="shared" si="13"/>
        <v>13</v>
      </c>
      <c r="I277" s="35">
        <f t="shared" si="14"/>
        <v>12</v>
      </c>
      <c r="J277" s="36">
        <f t="shared" si="15"/>
        <v>7541</v>
      </c>
      <c r="K277" s="37"/>
      <c r="L277" s="37"/>
      <c r="M277" s="37"/>
      <c r="N277" s="37">
        <v>3</v>
      </c>
      <c r="O277" s="37"/>
      <c r="P277" s="37"/>
      <c r="Q277" s="37"/>
      <c r="R277" s="37"/>
      <c r="S277" s="37"/>
      <c r="T277" s="37"/>
      <c r="U277" s="37">
        <v>7</v>
      </c>
      <c r="V277" s="37"/>
      <c r="W277" s="37"/>
      <c r="X277" s="37"/>
      <c r="Y277" s="37"/>
      <c r="Z277" s="37"/>
      <c r="AA277" s="37">
        <v>3</v>
      </c>
      <c r="AB277" s="37"/>
      <c r="AC277" s="37"/>
      <c r="AD277" s="37"/>
      <c r="AE277" s="37"/>
      <c r="AF277" s="37"/>
      <c r="AG277" s="37"/>
      <c r="AH277" s="37">
        <v>12</v>
      </c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t="s">
        <v>75</v>
      </c>
      <c r="BD277">
        <v>272</v>
      </c>
      <c r="BF277" s="30">
        <f>IF($BD277="","",SUMIF($BD$6:$BD$2000,$BD277,$J$6:$J$2000))</f>
        <v>7541</v>
      </c>
    </row>
    <row r="278" spans="1:58" ht="19.5" customHeight="1" x14ac:dyDescent="0.25">
      <c r="A278" s="96" t="s">
        <v>2054</v>
      </c>
      <c r="B278" s="26" t="s">
        <v>71</v>
      </c>
      <c r="C278" s="27">
        <v>293</v>
      </c>
      <c r="D278" s="26" t="s">
        <v>499</v>
      </c>
      <c r="E278" s="26" t="s">
        <v>500</v>
      </c>
      <c r="F278" s="27" t="s">
        <v>74</v>
      </c>
      <c r="G278" s="28">
        <v>46054</v>
      </c>
      <c r="H278" s="29">
        <f t="shared" si="13"/>
        <v>22</v>
      </c>
      <c r="I278" s="29">
        <f t="shared" si="14"/>
        <v>10</v>
      </c>
      <c r="J278" s="30">
        <f t="shared" si="15"/>
        <v>7470</v>
      </c>
      <c r="K278" s="31">
        <v>10</v>
      </c>
      <c r="L278" s="31"/>
      <c r="M278" s="31"/>
      <c r="N278" s="31">
        <v>2</v>
      </c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>
        <v>10</v>
      </c>
      <c r="AB278" s="31"/>
      <c r="AC278" s="31"/>
      <c r="AD278" s="31"/>
      <c r="AE278" s="31"/>
      <c r="AF278" s="31"/>
      <c r="AG278" s="31"/>
      <c r="AH278" s="31">
        <v>10</v>
      </c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  <c r="AZ278" s="31"/>
      <c r="BA278" s="31"/>
      <c r="BB278" s="31"/>
      <c r="BC278" t="s">
        <v>75</v>
      </c>
      <c r="BD278">
        <v>273</v>
      </c>
      <c r="BF278" s="30">
        <f>IF($BD278="","",SUMIF($BD$6:$BD$2000,$BD278,$J$6:$J$2000))</f>
        <v>7470</v>
      </c>
    </row>
    <row r="279" spans="1:58" ht="19.5" customHeight="1" x14ac:dyDescent="0.25">
      <c r="A279" s="96" t="s">
        <v>2054</v>
      </c>
      <c r="B279" s="32" t="s">
        <v>71</v>
      </c>
      <c r="C279" s="33">
        <v>294</v>
      </c>
      <c r="D279" s="32" t="s">
        <v>501</v>
      </c>
      <c r="E279" s="32" t="s">
        <v>502</v>
      </c>
      <c r="F279" s="33" t="s">
        <v>261</v>
      </c>
      <c r="G279" s="34">
        <v>46023</v>
      </c>
      <c r="H279" s="35">
        <f t="shared" si="13"/>
        <v>24</v>
      </c>
      <c r="I279" s="35">
        <f t="shared" si="14"/>
        <v>12</v>
      </c>
      <c r="J279" s="36">
        <f t="shared" si="15"/>
        <v>11900</v>
      </c>
      <c r="K279" s="37">
        <v>8</v>
      </c>
      <c r="L279" s="37"/>
      <c r="M279" s="37"/>
      <c r="N279" s="37">
        <v>8</v>
      </c>
      <c r="O279" s="37"/>
      <c r="P279" s="37">
        <v>2</v>
      </c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>
        <v>6</v>
      </c>
      <c r="AB279" s="37"/>
      <c r="AC279" s="37"/>
      <c r="AD279" s="37"/>
      <c r="AE279" s="37"/>
      <c r="AF279" s="37"/>
      <c r="AG279" s="37"/>
      <c r="AH279" s="37"/>
      <c r="AI279" s="37"/>
      <c r="AJ279" s="37">
        <v>12</v>
      </c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t="s">
        <v>75</v>
      </c>
      <c r="BD279">
        <v>274</v>
      </c>
      <c r="BF279" s="30">
        <f>IF($BD279="","",SUMIF($BD$6:$BD$2000,$BD279,$J$6:$J$2000))</f>
        <v>11900</v>
      </c>
    </row>
    <row r="280" spans="1:58" ht="19.5" customHeight="1" x14ac:dyDescent="0.25">
      <c r="A280" s="96" t="s">
        <v>2054</v>
      </c>
      <c r="B280" s="26" t="s">
        <v>71</v>
      </c>
      <c r="C280" s="27">
        <v>295</v>
      </c>
      <c r="D280" s="26" t="s">
        <v>503</v>
      </c>
      <c r="E280" s="26" t="s">
        <v>504</v>
      </c>
      <c r="F280" s="27" t="s">
        <v>74</v>
      </c>
      <c r="G280" s="28">
        <v>46388</v>
      </c>
      <c r="H280" s="29">
        <f t="shared" si="13"/>
        <v>13</v>
      </c>
      <c r="I280" s="29">
        <f t="shared" si="14"/>
        <v>6</v>
      </c>
      <c r="J280" s="30">
        <f t="shared" si="15"/>
        <v>4370</v>
      </c>
      <c r="K280" s="31">
        <v>6</v>
      </c>
      <c r="L280" s="31"/>
      <c r="M280" s="31"/>
      <c r="N280" s="31">
        <v>2</v>
      </c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>
        <v>5</v>
      </c>
      <c r="AB280" s="31"/>
      <c r="AC280" s="31"/>
      <c r="AD280" s="31"/>
      <c r="AE280" s="31"/>
      <c r="AF280" s="31"/>
      <c r="AG280" s="31"/>
      <c r="AH280" s="31">
        <v>6</v>
      </c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  <c r="AZ280" s="31"/>
      <c r="BA280" s="31"/>
      <c r="BB280" s="31"/>
      <c r="BC280" t="s">
        <v>75</v>
      </c>
      <c r="BD280">
        <v>275</v>
      </c>
      <c r="BF280" s="30">
        <f>IF($BD280="","",SUMIF($BD$6:$BD$2000,$BD280,$J$6:$J$2000))</f>
        <v>4370</v>
      </c>
    </row>
    <row r="281" spans="1:58" ht="19.5" customHeight="1" x14ac:dyDescent="0.25">
      <c r="A281" s="96" t="s">
        <v>2054</v>
      </c>
      <c r="B281" s="32" t="s">
        <v>71</v>
      </c>
      <c r="C281" s="33">
        <v>58</v>
      </c>
      <c r="D281" s="32" t="s">
        <v>505</v>
      </c>
      <c r="E281" s="32" t="s">
        <v>128</v>
      </c>
      <c r="F281" s="33" t="s">
        <v>126</v>
      </c>
      <c r="G281" s="34">
        <v>46235</v>
      </c>
      <c r="H281" s="35">
        <f t="shared" si="13"/>
        <v>28</v>
      </c>
      <c r="I281" s="35">
        <f t="shared" si="14"/>
        <v>28</v>
      </c>
      <c r="J281" s="36">
        <f t="shared" si="15"/>
        <v>17450</v>
      </c>
      <c r="K281" s="37">
        <v>13</v>
      </c>
      <c r="L281" s="37"/>
      <c r="M281" s="37"/>
      <c r="N281" s="37">
        <v>3</v>
      </c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>
        <v>12</v>
      </c>
      <c r="AB281" s="37"/>
      <c r="AC281" s="37"/>
      <c r="AD281" s="37"/>
      <c r="AE281" s="37"/>
      <c r="AF281" s="37"/>
      <c r="AG281" s="37"/>
      <c r="AH281" s="37">
        <v>28</v>
      </c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t="s">
        <v>75</v>
      </c>
      <c r="BD281">
        <v>276</v>
      </c>
      <c r="BF281" s="30">
        <f>IF($BD281="","",SUMIF($BD$6:$BD$2000,$BD281,$J$6:$J$2000))</f>
        <v>17450</v>
      </c>
    </row>
    <row r="282" spans="1:58" ht="19.5" customHeight="1" x14ac:dyDescent="0.25">
      <c r="A282" s="96" t="s">
        <v>2054</v>
      </c>
      <c r="B282" s="26" t="s">
        <v>71</v>
      </c>
      <c r="C282" s="27">
        <v>298</v>
      </c>
      <c r="D282" s="26" t="s">
        <v>506</v>
      </c>
      <c r="E282" s="26" t="s">
        <v>507</v>
      </c>
      <c r="F282" s="27" t="s">
        <v>261</v>
      </c>
      <c r="G282" s="28">
        <v>46266</v>
      </c>
      <c r="H282" s="29">
        <f t="shared" si="13"/>
        <v>25</v>
      </c>
      <c r="I282" s="29">
        <f t="shared" si="14"/>
        <v>8</v>
      </c>
      <c r="J282" s="30">
        <f t="shared" si="15"/>
        <v>5900</v>
      </c>
      <c r="K282" s="31">
        <v>10</v>
      </c>
      <c r="L282" s="31"/>
      <c r="M282" s="31"/>
      <c r="N282" s="31">
        <v>12</v>
      </c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>
        <v>3</v>
      </c>
      <c r="AB282" s="31"/>
      <c r="AC282" s="31"/>
      <c r="AD282" s="31"/>
      <c r="AE282" s="31"/>
      <c r="AF282" s="31"/>
      <c r="AG282" s="31"/>
      <c r="AH282" s="31">
        <v>8</v>
      </c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  <c r="AZ282" s="31"/>
      <c r="BA282" s="31"/>
      <c r="BB282" s="31"/>
      <c r="BC282" t="s">
        <v>75</v>
      </c>
      <c r="BD282">
        <v>277</v>
      </c>
      <c r="BF282" s="30">
        <f>IF($BD282="","",SUMIF($BD$6:$BD$2000,$BD282,$J$6:$J$2000))</f>
        <v>5900</v>
      </c>
    </row>
    <row r="283" spans="1:58" ht="19.5" customHeight="1" x14ac:dyDescent="0.25">
      <c r="A283" s="96" t="s">
        <v>2054</v>
      </c>
      <c r="B283" s="32" t="s">
        <v>71</v>
      </c>
      <c r="C283" s="33">
        <v>300</v>
      </c>
      <c r="D283" s="32" t="s">
        <v>508</v>
      </c>
      <c r="E283" s="32" t="s">
        <v>153</v>
      </c>
      <c r="F283" s="33" t="s">
        <v>142</v>
      </c>
      <c r="G283" s="34">
        <v>46204</v>
      </c>
      <c r="H283" s="35">
        <f t="shared" si="13"/>
        <v>22</v>
      </c>
      <c r="I283" s="35">
        <f t="shared" si="14"/>
        <v>6</v>
      </c>
      <c r="J283" s="36">
        <f t="shared" si="15"/>
        <v>5470</v>
      </c>
      <c r="K283" s="37">
        <v>10</v>
      </c>
      <c r="L283" s="37"/>
      <c r="M283" s="37"/>
      <c r="N283" s="37">
        <v>1</v>
      </c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>
        <v>11</v>
      </c>
      <c r="AB283" s="37"/>
      <c r="AC283" s="37"/>
      <c r="AD283" s="37"/>
      <c r="AE283" s="37"/>
      <c r="AF283" s="37"/>
      <c r="AG283" s="37"/>
      <c r="AH283" s="37">
        <v>6</v>
      </c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t="s">
        <v>75</v>
      </c>
      <c r="BD283">
        <v>278</v>
      </c>
      <c r="BF283" s="30">
        <f>IF($BD283="","",SUMIF($BD$6:$BD$2000,$BD283,$J$6:$J$2000))</f>
        <v>5470</v>
      </c>
    </row>
    <row r="284" spans="1:58" ht="19.5" customHeight="1" x14ac:dyDescent="0.25">
      <c r="A284" s="96" t="s">
        <v>2054</v>
      </c>
      <c r="B284" s="26" t="s">
        <v>71</v>
      </c>
      <c r="C284" s="27">
        <v>352</v>
      </c>
      <c r="D284" s="26" t="s">
        <v>509</v>
      </c>
      <c r="E284" s="26" t="s">
        <v>383</v>
      </c>
      <c r="F284" s="27" t="s">
        <v>126</v>
      </c>
      <c r="G284" s="28">
        <v>46235</v>
      </c>
      <c r="H284" s="29">
        <f t="shared" si="13"/>
        <v>20</v>
      </c>
      <c r="I284" s="29">
        <f t="shared" si="14"/>
        <v>24</v>
      </c>
      <c r="J284" s="30">
        <f t="shared" si="15"/>
        <v>21350</v>
      </c>
      <c r="K284" s="31">
        <v>11</v>
      </c>
      <c r="L284" s="31"/>
      <c r="M284" s="31">
        <v>4</v>
      </c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>
        <v>5</v>
      </c>
      <c r="AB284" s="31"/>
      <c r="AC284" s="31"/>
      <c r="AD284" s="31"/>
      <c r="AE284" s="31"/>
      <c r="AF284" s="31"/>
      <c r="AG284" s="31"/>
      <c r="AH284" s="31"/>
      <c r="AI284" s="31"/>
      <c r="AJ284" s="31">
        <v>24</v>
      </c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  <c r="AZ284" s="31"/>
      <c r="BA284" s="31"/>
      <c r="BB284" s="31"/>
      <c r="BC284" t="s">
        <v>75</v>
      </c>
      <c r="BD284">
        <v>279</v>
      </c>
      <c r="BF284" s="30">
        <f>IF($BD284="","",SUMIF($BD$6:$BD$2000,$BD284,$J$6:$J$2000))</f>
        <v>21350</v>
      </c>
    </row>
    <row r="285" spans="1:58" ht="19.5" customHeight="1" x14ac:dyDescent="0.25">
      <c r="A285" s="96" t="s">
        <v>2054</v>
      </c>
      <c r="B285" s="32" t="s">
        <v>71</v>
      </c>
      <c r="C285" s="33">
        <v>302</v>
      </c>
      <c r="D285" s="32" t="s">
        <v>510</v>
      </c>
      <c r="E285" s="32" t="s">
        <v>191</v>
      </c>
      <c r="F285" s="33" t="s">
        <v>123</v>
      </c>
      <c r="G285" s="34">
        <v>46235</v>
      </c>
      <c r="H285" s="35">
        <f t="shared" si="13"/>
        <v>20</v>
      </c>
      <c r="I285" s="35">
        <f t="shared" si="14"/>
        <v>6</v>
      </c>
      <c r="J285" s="36">
        <f t="shared" si="15"/>
        <v>6790</v>
      </c>
      <c r="K285" s="37">
        <v>8</v>
      </c>
      <c r="L285" s="37"/>
      <c r="M285" s="37">
        <v>1</v>
      </c>
      <c r="N285" s="37"/>
      <c r="O285" s="37"/>
      <c r="P285" s="37"/>
      <c r="Q285" s="37"/>
      <c r="R285" s="37"/>
      <c r="S285" s="37"/>
      <c r="T285" s="37">
        <v>2</v>
      </c>
      <c r="U285" s="37"/>
      <c r="V285" s="37"/>
      <c r="W285" s="37"/>
      <c r="X285" s="37"/>
      <c r="Y285" s="37"/>
      <c r="Z285" s="37"/>
      <c r="AA285" s="37">
        <v>9</v>
      </c>
      <c r="AB285" s="37"/>
      <c r="AC285" s="37"/>
      <c r="AD285" s="37"/>
      <c r="AE285" s="37"/>
      <c r="AF285" s="37"/>
      <c r="AG285" s="37"/>
      <c r="AH285" s="37"/>
      <c r="AI285" s="37">
        <v>6</v>
      </c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t="s">
        <v>75</v>
      </c>
      <c r="BD285">
        <v>280</v>
      </c>
      <c r="BF285" s="30">
        <f>IF($BD285="","",SUMIF($BD$6:$BD$2000,$BD285,$J$6:$J$2000))</f>
        <v>6790</v>
      </c>
    </row>
    <row r="286" spans="1:58" ht="19.5" customHeight="1" x14ac:dyDescent="0.25">
      <c r="A286" s="96" t="s">
        <v>2054</v>
      </c>
      <c r="B286" s="26" t="s">
        <v>71</v>
      </c>
      <c r="C286" s="27">
        <v>303</v>
      </c>
      <c r="D286" s="26" t="s">
        <v>511</v>
      </c>
      <c r="E286" s="26" t="s">
        <v>512</v>
      </c>
      <c r="F286" s="27" t="s">
        <v>213</v>
      </c>
      <c r="G286" s="28">
        <v>46204</v>
      </c>
      <c r="H286" s="29">
        <f t="shared" si="13"/>
        <v>22</v>
      </c>
      <c r="I286" s="29">
        <f t="shared" si="14"/>
        <v>16</v>
      </c>
      <c r="J286" s="30">
        <f t="shared" si="15"/>
        <v>10423</v>
      </c>
      <c r="K286" s="31">
        <v>12</v>
      </c>
      <c r="L286" s="31"/>
      <c r="M286" s="31"/>
      <c r="N286" s="31">
        <v>1</v>
      </c>
      <c r="O286" s="31"/>
      <c r="P286" s="31"/>
      <c r="Q286" s="31"/>
      <c r="R286" s="31"/>
      <c r="S286" s="31"/>
      <c r="T286" s="31"/>
      <c r="U286" s="31">
        <v>1</v>
      </c>
      <c r="V286" s="31"/>
      <c r="W286" s="31"/>
      <c r="X286" s="31"/>
      <c r="Y286" s="31"/>
      <c r="Z286" s="31"/>
      <c r="AA286" s="31">
        <v>8</v>
      </c>
      <c r="AB286" s="31"/>
      <c r="AC286" s="31"/>
      <c r="AD286" s="31"/>
      <c r="AE286" s="31"/>
      <c r="AF286" s="31"/>
      <c r="AG286" s="31"/>
      <c r="AH286" s="31">
        <v>16</v>
      </c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  <c r="AZ286" s="31"/>
      <c r="BA286" s="31"/>
      <c r="BB286" s="31"/>
      <c r="BC286" t="s">
        <v>75</v>
      </c>
      <c r="BD286">
        <v>281</v>
      </c>
      <c r="BF286" s="30">
        <f>IF($BD286="","",SUMIF($BD$6:$BD$2000,$BD286,$J$6:$J$2000))</f>
        <v>10423</v>
      </c>
    </row>
    <row r="287" spans="1:58" ht="19.5" customHeight="1" x14ac:dyDescent="0.25">
      <c r="A287" s="96" t="s">
        <v>2054</v>
      </c>
      <c r="B287" s="32" t="s">
        <v>71</v>
      </c>
      <c r="C287" s="33">
        <v>304</v>
      </c>
      <c r="D287" s="32" t="s">
        <v>513</v>
      </c>
      <c r="E287" s="32" t="s">
        <v>514</v>
      </c>
      <c r="F287" s="33" t="s">
        <v>160</v>
      </c>
      <c r="G287" s="34">
        <v>46204</v>
      </c>
      <c r="H287" s="35">
        <f t="shared" si="13"/>
        <v>16</v>
      </c>
      <c r="I287" s="35">
        <f t="shared" si="14"/>
        <v>8</v>
      </c>
      <c r="J287" s="36">
        <f t="shared" si="15"/>
        <v>5790</v>
      </c>
      <c r="K287" s="37"/>
      <c r="L287" s="37"/>
      <c r="M287" s="37"/>
      <c r="N287" s="37"/>
      <c r="O287" s="37"/>
      <c r="P287" s="37"/>
      <c r="Q287" s="37"/>
      <c r="R287" s="37"/>
      <c r="S287" s="37">
        <v>1</v>
      </c>
      <c r="T287" s="37"/>
      <c r="U287" s="37">
        <v>15</v>
      </c>
      <c r="V287" s="37"/>
      <c r="W287" s="37"/>
      <c r="X287" s="37"/>
      <c r="Y287" s="37"/>
      <c r="Z287" s="37"/>
      <c r="AA287" s="37"/>
      <c r="AB287" s="37"/>
      <c r="AC287" s="37"/>
      <c r="AD287" s="37"/>
      <c r="AE287" s="37"/>
      <c r="AF287" s="37"/>
      <c r="AG287" s="37"/>
      <c r="AH287" s="37">
        <v>8</v>
      </c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t="s">
        <v>75</v>
      </c>
      <c r="BD287">
        <v>282</v>
      </c>
      <c r="BF287" s="30">
        <f>IF($BD287="","",SUMIF($BD$6:$BD$2000,$BD287,$J$6:$J$2000))</f>
        <v>5790</v>
      </c>
    </row>
    <row r="288" spans="1:58" ht="19.5" customHeight="1" x14ac:dyDescent="0.25">
      <c r="A288" s="96" t="s">
        <v>2054</v>
      </c>
      <c r="B288" s="26" t="s">
        <v>71</v>
      </c>
      <c r="C288" s="27">
        <v>306</v>
      </c>
      <c r="D288" s="26" t="s">
        <v>515</v>
      </c>
      <c r="E288" s="26" t="s">
        <v>175</v>
      </c>
      <c r="F288" s="27" t="s">
        <v>123</v>
      </c>
      <c r="G288" s="28">
        <v>46082</v>
      </c>
      <c r="H288" s="29">
        <f t="shared" si="13"/>
        <v>18</v>
      </c>
      <c r="I288" s="29">
        <f t="shared" si="14"/>
        <v>8</v>
      </c>
      <c r="J288" s="30">
        <f t="shared" si="15"/>
        <v>5650</v>
      </c>
      <c r="K288" s="31">
        <v>9</v>
      </c>
      <c r="L288" s="31"/>
      <c r="M288" s="31">
        <v>4</v>
      </c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>
        <v>5</v>
      </c>
      <c r="AB288" s="31"/>
      <c r="AC288" s="31"/>
      <c r="AD288" s="31"/>
      <c r="AE288" s="31"/>
      <c r="AF288" s="31"/>
      <c r="AG288" s="31"/>
      <c r="AH288" s="31">
        <v>8</v>
      </c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t="s">
        <v>75</v>
      </c>
      <c r="BD288">
        <v>283</v>
      </c>
      <c r="BF288" s="30">
        <f>IF($BD288="","",SUMIF($BD$6:$BD$2000,$BD288,$J$6:$J$2000))</f>
        <v>5650</v>
      </c>
    </row>
    <row r="289" spans="1:58" ht="19.5" customHeight="1" x14ac:dyDescent="0.25">
      <c r="A289" s="96" t="s">
        <v>2054</v>
      </c>
      <c r="B289" s="32" t="s">
        <v>71</v>
      </c>
      <c r="C289" s="33">
        <v>307</v>
      </c>
      <c r="D289" s="32" t="s">
        <v>516</v>
      </c>
      <c r="E289" s="32" t="s">
        <v>517</v>
      </c>
      <c r="F289" s="33" t="s">
        <v>114</v>
      </c>
      <c r="G289" s="34">
        <v>46235</v>
      </c>
      <c r="H289" s="35">
        <f t="shared" si="13"/>
        <v>18</v>
      </c>
      <c r="I289" s="35">
        <f t="shared" si="14"/>
        <v>10</v>
      </c>
      <c r="J289" s="36">
        <f t="shared" si="15"/>
        <v>7085</v>
      </c>
      <c r="K289" s="37"/>
      <c r="L289" s="37"/>
      <c r="M289" s="37"/>
      <c r="N289" s="37"/>
      <c r="O289" s="37"/>
      <c r="P289" s="37"/>
      <c r="Q289" s="37"/>
      <c r="R289" s="37"/>
      <c r="S289" s="37"/>
      <c r="T289" s="37">
        <v>11</v>
      </c>
      <c r="U289" s="37"/>
      <c r="V289" s="37"/>
      <c r="W289" s="37"/>
      <c r="X289" s="37"/>
      <c r="Y289" s="37"/>
      <c r="Z289" s="37"/>
      <c r="AA289" s="37">
        <v>7</v>
      </c>
      <c r="AB289" s="37"/>
      <c r="AC289" s="37"/>
      <c r="AD289" s="37"/>
      <c r="AE289" s="37"/>
      <c r="AF289" s="37"/>
      <c r="AG289" s="37"/>
      <c r="AH289" s="37">
        <v>10</v>
      </c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t="s">
        <v>75</v>
      </c>
      <c r="BD289">
        <v>284</v>
      </c>
      <c r="BF289" s="30">
        <f>IF($BD289="","",SUMIF($BD$6:$BD$2000,$BD289,$J$6:$J$2000))</f>
        <v>7085</v>
      </c>
    </row>
    <row r="290" spans="1:58" ht="19.5" customHeight="1" x14ac:dyDescent="0.25">
      <c r="A290" s="96" t="s">
        <v>2054</v>
      </c>
      <c r="B290" s="26" t="s">
        <v>71</v>
      </c>
      <c r="C290" s="27">
        <v>309</v>
      </c>
      <c r="D290" s="26" t="s">
        <v>518</v>
      </c>
      <c r="E290" s="26" t="s">
        <v>519</v>
      </c>
      <c r="F290" s="27" t="s">
        <v>74</v>
      </c>
      <c r="G290" s="28">
        <v>46054</v>
      </c>
      <c r="H290" s="29">
        <f t="shared" si="13"/>
        <v>13</v>
      </c>
      <c r="I290" s="29">
        <f t="shared" si="14"/>
        <v>8</v>
      </c>
      <c r="J290" s="30">
        <f t="shared" si="15"/>
        <v>5510</v>
      </c>
      <c r="K290" s="31">
        <v>7</v>
      </c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>
        <v>6</v>
      </c>
      <c r="AB290" s="31"/>
      <c r="AC290" s="31"/>
      <c r="AD290" s="31"/>
      <c r="AE290" s="31"/>
      <c r="AF290" s="31"/>
      <c r="AG290" s="31"/>
      <c r="AH290" s="31">
        <v>8</v>
      </c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  <c r="AZ290" s="31"/>
      <c r="BA290" s="31"/>
      <c r="BB290" s="31"/>
      <c r="BC290" t="s">
        <v>75</v>
      </c>
      <c r="BD290">
        <v>285</v>
      </c>
      <c r="BF290" s="30">
        <f>IF($BD290="","",SUMIF($BD$6:$BD$2000,$BD290,$J$6:$J$2000))</f>
        <v>5510</v>
      </c>
    </row>
    <row r="291" spans="1:58" ht="19.5" customHeight="1" x14ac:dyDescent="0.25">
      <c r="A291" s="96" t="s">
        <v>2054</v>
      </c>
      <c r="B291" s="32" t="s">
        <v>71</v>
      </c>
      <c r="C291" s="33">
        <v>460</v>
      </c>
      <c r="D291" s="32" t="s">
        <v>520</v>
      </c>
      <c r="E291" s="32" t="s">
        <v>128</v>
      </c>
      <c r="F291" s="33" t="s">
        <v>126</v>
      </c>
      <c r="G291" s="34">
        <v>46235</v>
      </c>
      <c r="H291" s="35">
        <f t="shared" si="13"/>
        <v>3</v>
      </c>
      <c r="I291" s="35">
        <f t="shared" si="14"/>
        <v>0</v>
      </c>
      <c r="J291" s="36">
        <f t="shared" si="15"/>
        <v>280</v>
      </c>
      <c r="K291" s="37"/>
      <c r="L291" s="37"/>
      <c r="M291" s="37"/>
      <c r="N291" s="37">
        <v>2</v>
      </c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>
        <v>1</v>
      </c>
      <c r="AB291" s="37"/>
      <c r="AC291" s="37"/>
      <c r="AD291" s="37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t="s">
        <v>75</v>
      </c>
      <c r="BD291">
        <v>286</v>
      </c>
      <c r="BF291" s="30">
        <f>IF($BD291="","",SUMIF($BD$6:$BD$2000,$BD291,$J$6:$J$2000))</f>
        <v>280</v>
      </c>
    </row>
    <row r="292" spans="1:58" ht="19.5" customHeight="1" x14ac:dyDescent="0.25">
      <c r="A292" s="96" t="s">
        <v>2054</v>
      </c>
      <c r="B292" s="26" t="s">
        <v>71</v>
      </c>
      <c r="C292" s="27">
        <v>312</v>
      </c>
      <c r="D292" s="26" t="s">
        <v>521</v>
      </c>
      <c r="E292" s="26" t="s">
        <v>215</v>
      </c>
      <c r="F292" s="27" t="s">
        <v>216</v>
      </c>
      <c r="G292" s="28">
        <v>46388</v>
      </c>
      <c r="H292" s="29">
        <f t="shared" si="13"/>
        <v>22</v>
      </c>
      <c r="I292" s="29">
        <f t="shared" si="14"/>
        <v>24</v>
      </c>
      <c r="J292" s="30">
        <f t="shared" si="15"/>
        <v>14283</v>
      </c>
      <c r="K292" s="31">
        <v>9</v>
      </c>
      <c r="L292" s="31"/>
      <c r="M292" s="31">
        <v>7</v>
      </c>
      <c r="N292" s="31"/>
      <c r="O292" s="31"/>
      <c r="P292" s="31"/>
      <c r="Q292" s="31"/>
      <c r="R292" s="31"/>
      <c r="S292" s="31"/>
      <c r="T292" s="31"/>
      <c r="U292" s="31">
        <v>1</v>
      </c>
      <c r="V292" s="31"/>
      <c r="W292" s="31"/>
      <c r="X292" s="31"/>
      <c r="Y292" s="31"/>
      <c r="Z292" s="31"/>
      <c r="AA292" s="31">
        <v>5</v>
      </c>
      <c r="AB292" s="31"/>
      <c r="AC292" s="31"/>
      <c r="AD292" s="31"/>
      <c r="AE292" s="31"/>
      <c r="AF292" s="31"/>
      <c r="AG292" s="31"/>
      <c r="AH292" s="31">
        <v>24</v>
      </c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  <c r="AZ292" s="31"/>
      <c r="BA292" s="31"/>
      <c r="BB292" s="31"/>
      <c r="BC292" t="s">
        <v>75</v>
      </c>
      <c r="BD292">
        <v>287</v>
      </c>
      <c r="BF292" s="30">
        <f>IF($BD292="","",SUMIF($BD$6:$BD$2000,$BD292,$J$6:$J$2000))</f>
        <v>14283</v>
      </c>
    </row>
    <row r="293" spans="1:58" ht="19.5" customHeight="1" x14ac:dyDescent="0.25">
      <c r="A293" s="96" t="s">
        <v>2054</v>
      </c>
      <c r="B293" s="32" t="s">
        <v>71</v>
      </c>
      <c r="C293" s="33">
        <v>313</v>
      </c>
      <c r="D293" s="32" t="s">
        <v>522</v>
      </c>
      <c r="E293" s="32" t="s">
        <v>175</v>
      </c>
      <c r="F293" s="33" t="s">
        <v>123</v>
      </c>
      <c r="G293" s="34">
        <v>46054</v>
      </c>
      <c r="H293" s="35">
        <f t="shared" si="13"/>
        <v>31</v>
      </c>
      <c r="I293" s="35">
        <f t="shared" si="14"/>
        <v>24</v>
      </c>
      <c r="J293" s="36">
        <f t="shared" si="15"/>
        <v>22230</v>
      </c>
      <c r="K293" s="37">
        <v>12</v>
      </c>
      <c r="L293" s="37"/>
      <c r="M293" s="37">
        <v>11</v>
      </c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37">
        <v>8</v>
      </c>
      <c r="AB293" s="37"/>
      <c r="AC293" s="37"/>
      <c r="AD293" s="37"/>
      <c r="AE293" s="37"/>
      <c r="AF293" s="37"/>
      <c r="AG293" s="37"/>
      <c r="AH293" s="37"/>
      <c r="AI293" s="37"/>
      <c r="AJ293" s="37">
        <v>24</v>
      </c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t="s">
        <v>75</v>
      </c>
      <c r="BD293">
        <v>288</v>
      </c>
      <c r="BF293" s="30">
        <f>IF($BD293="","",SUMIF($BD$6:$BD$2000,$BD293,$J$6:$J$2000))</f>
        <v>22230</v>
      </c>
    </row>
    <row r="294" spans="1:58" ht="19.5" customHeight="1" x14ac:dyDescent="0.25">
      <c r="A294" s="96" t="s">
        <v>2054</v>
      </c>
      <c r="B294" s="26" t="s">
        <v>71</v>
      </c>
      <c r="C294" s="27">
        <v>314</v>
      </c>
      <c r="D294" s="26" t="s">
        <v>523</v>
      </c>
      <c r="E294" s="26" t="s">
        <v>206</v>
      </c>
      <c r="F294" s="27" t="s">
        <v>207</v>
      </c>
      <c r="G294" s="28">
        <v>46266</v>
      </c>
      <c r="H294" s="29">
        <f t="shared" si="13"/>
        <v>29</v>
      </c>
      <c r="I294" s="29">
        <f t="shared" si="14"/>
        <v>12</v>
      </c>
      <c r="J294" s="30">
        <f t="shared" si="15"/>
        <v>9169</v>
      </c>
      <c r="K294" s="31">
        <v>6</v>
      </c>
      <c r="L294" s="31"/>
      <c r="M294" s="31"/>
      <c r="N294" s="31">
        <v>8</v>
      </c>
      <c r="O294" s="31"/>
      <c r="P294" s="31">
        <v>1</v>
      </c>
      <c r="Q294" s="31"/>
      <c r="R294" s="31"/>
      <c r="S294" s="31"/>
      <c r="T294" s="31"/>
      <c r="U294" s="31">
        <v>3</v>
      </c>
      <c r="V294" s="31"/>
      <c r="W294" s="31"/>
      <c r="X294" s="31"/>
      <c r="Y294" s="31"/>
      <c r="Z294" s="31"/>
      <c r="AA294" s="31">
        <v>11</v>
      </c>
      <c r="AB294" s="31"/>
      <c r="AC294" s="31"/>
      <c r="AD294" s="31"/>
      <c r="AE294" s="31"/>
      <c r="AF294" s="31"/>
      <c r="AG294" s="31"/>
      <c r="AH294" s="31">
        <v>12</v>
      </c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  <c r="AZ294" s="31"/>
      <c r="BA294" s="31"/>
      <c r="BB294" s="31"/>
      <c r="BC294" t="s">
        <v>75</v>
      </c>
      <c r="BD294">
        <v>289</v>
      </c>
      <c r="BF294" s="30">
        <f>IF($BD294="","",SUMIF($BD$6:$BD$2000,$BD294,$J$6:$J$2000))</f>
        <v>9169</v>
      </c>
    </row>
    <row r="295" spans="1:58" ht="19.5" customHeight="1" x14ac:dyDescent="0.25">
      <c r="A295" s="96" t="s">
        <v>2054</v>
      </c>
      <c r="B295" s="32" t="s">
        <v>71</v>
      </c>
      <c r="C295" s="33">
        <v>315</v>
      </c>
      <c r="D295" s="32" t="s">
        <v>524</v>
      </c>
      <c r="E295" s="32" t="s">
        <v>119</v>
      </c>
      <c r="F295" s="33" t="s">
        <v>120</v>
      </c>
      <c r="G295" s="34">
        <v>46082</v>
      </c>
      <c r="H295" s="35">
        <f t="shared" si="13"/>
        <v>24</v>
      </c>
      <c r="I295" s="35">
        <f t="shared" si="14"/>
        <v>12</v>
      </c>
      <c r="J295" s="36">
        <f t="shared" si="15"/>
        <v>8630</v>
      </c>
      <c r="K295" s="37">
        <v>11</v>
      </c>
      <c r="L295" s="37"/>
      <c r="M295" s="37"/>
      <c r="N295" s="37">
        <v>3</v>
      </c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>
        <v>10</v>
      </c>
      <c r="AB295" s="37"/>
      <c r="AC295" s="37"/>
      <c r="AD295" s="37"/>
      <c r="AE295" s="37"/>
      <c r="AF295" s="37"/>
      <c r="AG295" s="37"/>
      <c r="AH295" s="37">
        <v>12</v>
      </c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t="s">
        <v>75</v>
      </c>
      <c r="BD295">
        <v>290</v>
      </c>
      <c r="BF295" s="30">
        <f>IF($BD295="","",SUMIF($BD$6:$BD$2000,$BD295,$J$6:$J$2000))</f>
        <v>8630</v>
      </c>
    </row>
    <row r="296" spans="1:58" ht="19.5" customHeight="1" x14ac:dyDescent="0.25">
      <c r="A296" s="96" t="s">
        <v>2054</v>
      </c>
      <c r="B296" s="26" t="s">
        <v>71</v>
      </c>
      <c r="C296" s="27">
        <v>316</v>
      </c>
      <c r="D296" s="26" t="s">
        <v>525</v>
      </c>
      <c r="E296" s="26" t="s">
        <v>526</v>
      </c>
      <c r="F296" s="27" t="s">
        <v>123</v>
      </c>
      <c r="G296" s="28">
        <v>46082</v>
      </c>
      <c r="H296" s="29">
        <f t="shared" si="13"/>
        <v>15</v>
      </c>
      <c r="I296" s="29">
        <f t="shared" si="14"/>
        <v>12</v>
      </c>
      <c r="J296" s="30">
        <f t="shared" si="15"/>
        <v>11035</v>
      </c>
      <c r="K296" s="31">
        <v>6</v>
      </c>
      <c r="L296" s="31"/>
      <c r="M296" s="31">
        <v>1</v>
      </c>
      <c r="N296" s="31">
        <v>4</v>
      </c>
      <c r="O296" s="31"/>
      <c r="P296" s="31"/>
      <c r="Q296" s="31"/>
      <c r="R296" s="31"/>
      <c r="S296" s="31"/>
      <c r="T296" s="31">
        <v>1</v>
      </c>
      <c r="U296" s="31"/>
      <c r="V296" s="31"/>
      <c r="W296" s="31"/>
      <c r="X296" s="31"/>
      <c r="Y296" s="31"/>
      <c r="Z296" s="31"/>
      <c r="AA296" s="31">
        <v>3</v>
      </c>
      <c r="AB296" s="31"/>
      <c r="AC296" s="31"/>
      <c r="AD296" s="31"/>
      <c r="AE296" s="31"/>
      <c r="AF296" s="31"/>
      <c r="AG296" s="31"/>
      <c r="AH296" s="31"/>
      <c r="AI296" s="31"/>
      <c r="AJ296" s="31">
        <v>12</v>
      </c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  <c r="AZ296" s="31"/>
      <c r="BA296" s="31"/>
      <c r="BB296" s="31"/>
      <c r="BC296" t="s">
        <v>75</v>
      </c>
      <c r="BD296">
        <v>291</v>
      </c>
      <c r="BF296" s="30">
        <f>IF($BD296="","",SUMIF($BD$6:$BD$2000,$BD296,$J$6:$J$2000))</f>
        <v>11035</v>
      </c>
    </row>
    <row r="297" spans="1:58" ht="19.5" customHeight="1" x14ac:dyDescent="0.25">
      <c r="A297" s="96" t="s">
        <v>2054</v>
      </c>
      <c r="B297" s="32" t="s">
        <v>71</v>
      </c>
      <c r="C297" s="33">
        <v>317</v>
      </c>
      <c r="D297" s="32" t="s">
        <v>527</v>
      </c>
      <c r="E297" s="32" t="s">
        <v>528</v>
      </c>
      <c r="F297" s="33" t="s">
        <v>120</v>
      </c>
      <c r="G297" s="34">
        <v>46082</v>
      </c>
      <c r="H297" s="35">
        <f t="shared" si="13"/>
        <v>20</v>
      </c>
      <c r="I297" s="35">
        <f t="shared" si="14"/>
        <v>8</v>
      </c>
      <c r="J297" s="36">
        <f t="shared" si="15"/>
        <v>5750</v>
      </c>
      <c r="K297" s="37">
        <v>8</v>
      </c>
      <c r="L297" s="37"/>
      <c r="M297" s="37">
        <v>7</v>
      </c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>
        <v>5</v>
      </c>
      <c r="AB297" s="37"/>
      <c r="AC297" s="37"/>
      <c r="AD297" s="37"/>
      <c r="AE297" s="37"/>
      <c r="AF297" s="37"/>
      <c r="AG297" s="37"/>
      <c r="AH297" s="37">
        <v>8</v>
      </c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t="s">
        <v>75</v>
      </c>
      <c r="BD297">
        <v>292</v>
      </c>
      <c r="BF297" s="30">
        <f>IF($BD297="","",SUMIF($BD$6:$BD$2000,$BD297,$J$6:$J$2000))</f>
        <v>5750</v>
      </c>
    </row>
    <row r="298" spans="1:58" ht="19.5" customHeight="1" x14ac:dyDescent="0.25">
      <c r="A298" s="96" t="s">
        <v>2054</v>
      </c>
      <c r="B298" s="26" t="s">
        <v>71</v>
      </c>
      <c r="C298" s="27">
        <v>318</v>
      </c>
      <c r="D298" s="26" t="s">
        <v>529</v>
      </c>
      <c r="E298" s="26" t="s">
        <v>530</v>
      </c>
      <c r="F298" s="27" t="s">
        <v>232</v>
      </c>
      <c r="G298" s="28">
        <v>46296</v>
      </c>
      <c r="H298" s="29">
        <f t="shared" si="13"/>
        <v>16</v>
      </c>
      <c r="I298" s="29">
        <f t="shared" si="14"/>
        <v>8</v>
      </c>
      <c r="J298" s="30">
        <f t="shared" si="15"/>
        <v>5830</v>
      </c>
      <c r="K298" s="31">
        <v>3</v>
      </c>
      <c r="L298" s="31"/>
      <c r="M298" s="31"/>
      <c r="N298" s="31">
        <v>6</v>
      </c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>
        <v>7</v>
      </c>
      <c r="AB298" s="31"/>
      <c r="AC298" s="31"/>
      <c r="AD298" s="31"/>
      <c r="AE298" s="31"/>
      <c r="AF298" s="31"/>
      <c r="AG298" s="31"/>
      <c r="AH298" s="31">
        <v>8</v>
      </c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  <c r="AZ298" s="31"/>
      <c r="BA298" s="31"/>
      <c r="BB298" s="31"/>
      <c r="BC298" t="s">
        <v>75</v>
      </c>
      <c r="BD298">
        <v>293</v>
      </c>
      <c r="BF298" s="30">
        <f>IF($BD298="","",SUMIF($BD$6:$BD$2000,$BD298,$J$6:$J$2000))</f>
        <v>5830</v>
      </c>
    </row>
    <row r="299" spans="1:58" ht="19.5" customHeight="1" x14ac:dyDescent="0.25">
      <c r="A299" s="96" t="s">
        <v>2054</v>
      </c>
      <c r="B299" s="32" t="s">
        <v>71</v>
      </c>
      <c r="C299" s="33">
        <v>319</v>
      </c>
      <c r="D299" s="32" t="s">
        <v>531</v>
      </c>
      <c r="E299" s="32" t="s">
        <v>94</v>
      </c>
      <c r="F299" s="33" t="s">
        <v>74</v>
      </c>
      <c r="G299" s="34">
        <v>46203</v>
      </c>
      <c r="H299" s="35">
        <f t="shared" si="13"/>
        <v>12</v>
      </c>
      <c r="I299" s="35">
        <f t="shared" si="14"/>
        <v>6</v>
      </c>
      <c r="J299" s="36">
        <f t="shared" si="15"/>
        <v>4190</v>
      </c>
      <c r="K299" s="37">
        <v>6</v>
      </c>
      <c r="L299" s="37"/>
      <c r="M299" s="37">
        <v>2</v>
      </c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>
        <v>4</v>
      </c>
      <c r="AB299" s="37"/>
      <c r="AC299" s="37"/>
      <c r="AD299" s="37"/>
      <c r="AE299" s="37"/>
      <c r="AF299" s="37"/>
      <c r="AG299" s="37"/>
      <c r="AH299" s="37">
        <v>6</v>
      </c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t="s">
        <v>75</v>
      </c>
      <c r="BD299">
        <v>294</v>
      </c>
      <c r="BF299" s="30">
        <f>IF($BD299="","",SUMIF($BD$6:$BD$2000,$BD299,$J$6:$J$2000))</f>
        <v>4190</v>
      </c>
    </row>
    <row r="300" spans="1:58" ht="19.5" customHeight="1" x14ac:dyDescent="0.25">
      <c r="A300" s="96" t="s">
        <v>2054</v>
      </c>
      <c r="B300" s="26" t="s">
        <v>71</v>
      </c>
      <c r="C300" s="27">
        <v>321</v>
      </c>
      <c r="D300" s="26" t="s">
        <v>532</v>
      </c>
      <c r="E300" s="26" t="s">
        <v>533</v>
      </c>
      <c r="F300" s="27" t="s">
        <v>74</v>
      </c>
      <c r="G300" s="28">
        <v>46204</v>
      </c>
      <c r="H300" s="29">
        <f t="shared" si="13"/>
        <v>15</v>
      </c>
      <c r="I300" s="29">
        <f t="shared" si="14"/>
        <v>8</v>
      </c>
      <c r="J300" s="30">
        <f t="shared" si="15"/>
        <v>6380</v>
      </c>
      <c r="K300" s="31"/>
      <c r="L300" s="31"/>
      <c r="M300" s="31">
        <v>12</v>
      </c>
      <c r="N300" s="31">
        <v>1</v>
      </c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>
        <v>2</v>
      </c>
      <c r="AB300" s="31"/>
      <c r="AC300" s="31"/>
      <c r="AD300" s="31"/>
      <c r="AE300" s="31"/>
      <c r="AF300" s="31"/>
      <c r="AG300" s="31"/>
      <c r="AH300" s="31">
        <v>4</v>
      </c>
      <c r="AI300" s="31"/>
      <c r="AJ300" s="31">
        <v>4</v>
      </c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  <c r="AZ300" s="31"/>
      <c r="BA300" s="31"/>
      <c r="BB300" s="31"/>
      <c r="BC300" t="s">
        <v>75</v>
      </c>
      <c r="BD300">
        <v>295</v>
      </c>
      <c r="BF300" s="30">
        <f>IF($BD300="","",SUMIF($BD$6:$BD$2000,$BD300,$J$6:$J$2000))</f>
        <v>6380</v>
      </c>
    </row>
    <row r="301" spans="1:58" ht="19.5" customHeight="1" x14ac:dyDescent="0.25">
      <c r="A301" s="96" t="s">
        <v>2054</v>
      </c>
      <c r="B301" s="32" t="s">
        <v>71</v>
      </c>
      <c r="C301" s="33">
        <v>323</v>
      </c>
      <c r="D301" s="32" t="s">
        <v>534</v>
      </c>
      <c r="E301" s="32" t="s">
        <v>159</v>
      </c>
      <c r="F301" s="33" t="s">
        <v>160</v>
      </c>
      <c r="G301" s="34">
        <v>46203</v>
      </c>
      <c r="H301" s="35">
        <f t="shared" si="13"/>
        <v>23</v>
      </c>
      <c r="I301" s="35">
        <f t="shared" si="14"/>
        <v>16</v>
      </c>
      <c r="J301" s="36">
        <f t="shared" si="15"/>
        <v>11154</v>
      </c>
      <c r="K301" s="37">
        <v>1</v>
      </c>
      <c r="L301" s="37"/>
      <c r="M301" s="37"/>
      <c r="N301" s="37"/>
      <c r="O301" s="37"/>
      <c r="P301" s="37"/>
      <c r="Q301" s="37"/>
      <c r="R301" s="37"/>
      <c r="S301" s="37">
        <v>1</v>
      </c>
      <c r="T301" s="37"/>
      <c r="U301" s="37">
        <v>13</v>
      </c>
      <c r="V301" s="37"/>
      <c r="W301" s="37"/>
      <c r="X301" s="37"/>
      <c r="Y301" s="37"/>
      <c r="Z301" s="37"/>
      <c r="AA301" s="37">
        <v>8</v>
      </c>
      <c r="AB301" s="37"/>
      <c r="AC301" s="37"/>
      <c r="AD301" s="37"/>
      <c r="AE301" s="37"/>
      <c r="AF301" s="37"/>
      <c r="AG301" s="37"/>
      <c r="AH301" s="37">
        <v>16</v>
      </c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t="s">
        <v>75</v>
      </c>
      <c r="BD301">
        <v>296</v>
      </c>
      <c r="BF301" s="30">
        <f>IF($BD301="","",SUMIF($BD$6:$BD$2000,$BD301,$J$6:$J$2000))</f>
        <v>11154</v>
      </c>
    </row>
    <row r="302" spans="1:58" ht="19.5" customHeight="1" x14ac:dyDescent="0.25">
      <c r="A302" s="96" t="s">
        <v>2054</v>
      </c>
      <c r="B302" s="26" t="s">
        <v>71</v>
      </c>
      <c r="C302" s="27">
        <v>330</v>
      </c>
      <c r="D302" s="26" t="s">
        <v>535</v>
      </c>
      <c r="E302" s="26" t="s">
        <v>119</v>
      </c>
      <c r="F302" s="27" t="s">
        <v>120</v>
      </c>
      <c r="G302" s="28">
        <v>46388</v>
      </c>
      <c r="H302" s="29">
        <f t="shared" si="13"/>
        <v>18</v>
      </c>
      <c r="I302" s="29">
        <f t="shared" si="14"/>
        <v>20</v>
      </c>
      <c r="J302" s="30">
        <f t="shared" si="15"/>
        <v>12280</v>
      </c>
      <c r="K302" s="31">
        <v>6</v>
      </c>
      <c r="L302" s="31"/>
      <c r="M302" s="31">
        <v>4</v>
      </c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>
        <v>8</v>
      </c>
      <c r="AB302" s="31"/>
      <c r="AC302" s="31"/>
      <c r="AD302" s="31"/>
      <c r="AE302" s="31"/>
      <c r="AF302" s="31"/>
      <c r="AG302" s="31"/>
      <c r="AH302" s="31">
        <v>20</v>
      </c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t="s">
        <v>75</v>
      </c>
      <c r="BD302">
        <v>297</v>
      </c>
      <c r="BF302" s="30">
        <f>IF($BD302="","",SUMIF($BD$6:$BD$2000,$BD302,$J$6:$J$2000))</f>
        <v>12280</v>
      </c>
    </row>
    <row r="303" spans="1:58" ht="19.5" customHeight="1" x14ac:dyDescent="0.25">
      <c r="A303" s="96" t="s">
        <v>2054</v>
      </c>
      <c r="B303" s="32" t="s">
        <v>71</v>
      </c>
      <c r="C303" s="33">
        <v>333</v>
      </c>
      <c r="D303" s="32" t="s">
        <v>536</v>
      </c>
      <c r="E303" s="32" t="s">
        <v>266</v>
      </c>
      <c r="F303" s="33" t="s">
        <v>213</v>
      </c>
      <c r="G303" s="34">
        <v>46204</v>
      </c>
      <c r="H303" s="35">
        <f t="shared" si="13"/>
        <v>23</v>
      </c>
      <c r="I303" s="35">
        <f t="shared" si="14"/>
        <v>20</v>
      </c>
      <c r="J303" s="36">
        <f t="shared" si="15"/>
        <v>12486</v>
      </c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>
        <v>22</v>
      </c>
      <c r="V303" s="37"/>
      <c r="W303" s="37"/>
      <c r="X303" s="37"/>
      <c r="Y303" s="37"/>
      <c r="Z303" s="37"/>
      <c r="AA303" s="37">
        <v>1</v>
      </c>
      <c r="AB303" s="37"/>
      <c r="AC303" s="37"/>
      <c r="AD303" s="37"/>
      <c r="AE303" s="37"/>
      <c r="AF303" s="37"/>
      <c r="AG303" s="37"/>
      <c r="AH303" s="37">
        <v>20</v>
      </c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t="s">
        <v>75</v>
      </c>
      <c r="BD303">
        <v>298</v>
      </c>
      <c r="BF303" s="30">
        <f>IF($BD303="","",SUMIF($BD$6:$BD$2000,$BD303,$J$6:$J$2000))</f>
        <v>12486</v>
      </c>
    </row>
    <row r="304" spans="1:58" ht="19.5" customHeight="1" x14ac:dyDescent="0.25">
      <c r="A304" s="96" t="s">
        <v>2054</v>
      </c>
      <c r="B304" s="26" t="s">
        <v>71</v>
      </c>
      <c r="C304" s="27">
        <v>27</v>
      </c>
      <c r="D304" s="26" t="s">
        <v>537</v>
      </c>
      <c r="E304" s="26" t="s">
        <v>538</v>
      </c>
      <c r="F304" s="27" t="s">
        <v>126</v>
      </c>
      <c r="G304" s="28">
        <v>46266</v>
      </c>
      <c r="H304" s="29">
        <f t="shared" si="13"/>
        <v>37</v>
      </c>
      <c r="I304" s="29">
        <f t="shared" si="14"/>
        <v>18</v>
      </c>
      <c r="J304" s="30">
        <f t="shared" si="15"/>
        <v>12930</v>
      </c>
      <c r="K304" s="31">
        <v>17</v>
      </c>
      <c r="L304" s="31"/>
      <c r="M304" s="31"/>
      <c r="N304" s="31"/>
      <c r="O304" s="31"/>
      <c r="P304" s="31"/>
      <c r="Q304" s="31"/>
      <c r="R304" s="31"/>
      <c r="S304" s="31"/>
      <c r="T304" s="31">
        <v>6</v>
      </c>
      <c r="U304" s="31"/>
      <c r="V304" s="31"/>
      <c r="W304" s="31">
        <v>5</v>
      </c>
      <c r="X304" s="31"/>
      <c r="Y304" s="31"/>
      <c r="Z304" s="31"/>
      <c r="AA304" s="31">
        <v>9</v>
      </c>
      <c r="AB304" s="31"/>
      <c r="AC304" s="31"/>
      <c r="AD304" s="31"/>
      <c r="AE304" s="31"/>
      <c r="AF304" s="31"/>
      <c r="AG304" s="31"/>
      <c r="AH304" s="31">
        <v>18</v>
      </c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t="s">
        <v>75</v>
      </c>
      <c r="BD304">
        <v>299</v>
      </c>
      <c r="BF304" s="30">
        <f>IF($BD304="","",SUMIF($BD$6:$BD$2000,$BD304,$J$6:$J$2000))</f>
        <v>12930</v>
      </c>
    </row>
    <row r="305" spans="1:58" ht="19.5" customHeight="1" x14ac:dyDescent="0.25">
      <c r="A305" s="96" t="s">
        <v>2054</v>
      </c>
      <c r="B305" s="32" t="s">
        <v>71</v>
      </c>
      <c r="C305" s="33">
        <v>335</v>
      </c>
      <c r="D305" s="32" t="s">
        <v>539</v>
      </c>
      <c r="E305" s="32" t="s">
        <v>540</v>
      </c>
      <c r="F305" s="33" t="s">
        <v>120</v>
      </c>
      <c r="G305" s="34">
        <v>46388</v>
      </c>
      <c r="H305" s="35">
        <f t="shared" si="13"/>
        <v>13</v>
      </c>
      <c r="I305" s="35">
        <f t="shared" si="14"/>
        <v>8</v>
      </c>
      <c r="J305" s="36">
        <f t="shared" si="15"/>
        <v>5356</v>
      </c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>
        <v>12</v>
      </c>
      <c r="V305" s="37"/>
      <c r="W305" s="37"/>
      <c r="X305" s="37"/>
      <c r="Y305" s="37"/>
      <c r="Z305" s="37"/>
      <c r="AA305" s="37">
        <v>1</v>
      </c>
      <c r="AB305" s="37"/>
      <c r="AC305" s="37"/>
      <c r="AD305" s="37"/>
      <c r="AE305" s="37"/>
      <c r="AF305" s="37"/>
      <c r="AG305" s="37"/>
      <c r="AH305" s="37">
        <v>8</v>
      </c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t="s">
        <v>75</v>
      </c>
      <c r="BD305">
        <v>300</v>
      </c>
      <c r="BF305" s="30">
        <f>IF($BD305="","",SUMIF($BD$6:$BD$2000,$BD305,$J$6:$J$2000))</f>
        <v>5356</v>
      </c>
    </row>
    <row r="306" spans="1:58" ht="19.5" customHeight="1" x14ac:dyDescent="0.25">
      <c r="A306" s="96" t="s">
        <v>2054</v>
      </c>
      <c r="B306" s="26" t="s">
        <v>71</v>
      </c>
      <c r="C306" s="27">
        <v>336</v>
      </c>
      <c r="D306" s="26" t="s">
        <v>541</v>
      </c>
      <c r="E306" s="26" t="s">
        <v>542</v>
      </c>
      <c r="F306" s="27" t="s">
        <v>120</v>
      </c>
      <c r="G306" s="28">
        <v>46143</v>
      </c>
      <c r="H306" s="29">
        <f t="shared" si="13"/>
        <v>21</v>
      </c>
      <c r="I306" s="29">
        <f t="shared" si="14"/>
        <v>20</v>
      </c>
      <c r="J306" s="30">
        <f t="shared" si="15"/>
        <v>12100</v>
      </c>
      <c r="K306" s="31">
        <v>6</v>
      </c>
      <c r="L306" s="31"/>
      <c r="M306" s="31"/>
      <c r="N306" s="31">
        <v>11</v>
      </c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>
        <v>4</v>
      </c>
      <c r="AB306" s="31"/>
      <c r="AC306" s="31"/>
      <c r="AD306" s="31"/>
      <c r="AE306" s="31"/>
      <c r="AF306" s="31"/>
      <c r="AG306" s="31"/>
      <c r="AH306" s="31">
        <v>20</v>
      </c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t="s">
        <v>75</v>
      </c>
      <c r="BD306">
        <v>301</v>
      </c>
      <c r="BF306" s="30">
        <f>IF($BD306="","",SUMIF($BD$6:$BD$2000,$BD306,$J$6:$J$2000))</f>
        <v>12100</v>
      </c>
    </row>
    <row r="307" spans="1:58" ht="19.5" customHeight="1" x14ac:dyDescent="0.25">
      <c r="A307" s="96" t="s">
        <v>2054</v>
      </c>
      <c r="B307" s="32" t="s">
        <v>71</v>
      </c>
      <c r="C307" s="33">
        <v>68</v>
      </c>
      <c r="D307" s="32" t="s">
        <v>543</v>
      </c>
      <c r="E307" s="32" t="s">
        <v>544</v>
      </c>
      <c r="F307" s="33" t="s">
        <v>126</v>
      </c>
      <c r="G307" s="34">
        <v>46266</v>
      </c>
      <c r="H307" s="35">
        <f t="shared" si="13"/>
        <v>28</v>
      </c>
      <c r="I307" s="35">
        <f t="shared" si="14"/>
        <v>18</v>
      </c>
      <c r="J307" s="36">
        <f t="shared" si="15"/>
        <v>11796</v>
      </c>
      <c r="K307" s="37">
        <v>8</v>
      </c>
      <c r="L307" s="37"/>
      <c r="M307" s="37">
        <v>3</v>
      </c>
      <c r="N307" s="37"/>
      <c r="O307" s="37"/>
      <c r="P307" s="37"/>
      <c r="Q307" s="37"/>
      <c r="R307" s="37"/>
      <c r="S307" s="37"/>
      <c r="T307" s="37"/>
      <c r="U307" s="37">
        <v>12</v>
      </c>
      <c r="V307" s="37"/>
      <c r="W307" s="37"/>
      <c r="X307" s="37"/>
      <c r="Y307" s="37"/>
      <c r="Z307" s="37"/>
      <c r="AA307" s="37">
        <v>5</v>
      </c>
      <c r="AB307" s="37"/>
      <c r="AC307" s="37"/>
      <c r="AD307" s="37"/>
      <c r="AE307" s="37"/>
      <c r="AF307" s="37"/>
      <c r="AG307" s="37"/>
      <c r="AH307" s="37">
        <v>18</v>
      </c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t="s">
        <v>75</v>
      </c>
      <c r="BD307">
        <v>302</v>
      </c>
      <c r="BF307" s="30">
        <f>IF($BD307="","",SUMIF($BD$6:$BD$2000,$BD307,$J$6:$J$2000))</f>
        <v>11796</v>
      </c>
    </row>
    <row r="308" spans="1:58" ht="19.5" customHeight="1" x14ac:dyDescent="0.25">
      <c r="A308" s="96" t="s">
        <v>2054</v>
      </c>
      <c r="B308" s="26" t="s">
        <v>71</v>
      </c>
      <c r="C308" s="27">
        <v>339</v>
      </c>
      <c r="D308" s="26" t="s">
        <v>545</v>
      </c>
      <c r="E308" s="26" t="s">
        <v>546</v>
      </c>
      <c r="F308" s="27" t="s">
        <v>114</v>
      </c>
      <c r="G308" s="28">
        <v>46054</v>
      </c>
      <c r="H308" s="29">
        <f t="shared" si="13"/>
        <v>19</v>
      </c>
      <c r="I308" s="29">
        <f t="shared" si="14"/>
        <v>16</v>
      </c>
      <c r="J308" s="30">
        <f t="shared" si="15"/>
        <v>10015</v>
      </c>
      <c r="K308" s="31"/>
      <c r="L308" s="31"/>
      <c r="M308" s="31"/>
      <c r="N308" s="31"/>
      <c r="O308" s="31"/>
      <c r="P308" s="31"/>
      <c r="Q308" s="31"/>
      <c r="R308" s="31"/>
      <c r="S308" s="31"/>
      <c r="T308" s="31">
        <v>15</v>
      </c>
      <c r="U308" s="31"/>
      <c r="V308" s="31"/>
      <c r="W308" s="31"/>
      <c r="X308" s="31"/>
      <c r="Y308" s="31"/>
      <c r="Z308" s="31"/>
      <c r="AA308" s="31">
        <v>4</v>
      </c>
      <c r="AB308" s="31"/>
      <c r="AC308" s="31"/>
      <c r="AD308" s="31"/>
      <c r="AE308" s="31"/>
      <c r="AF308" s="31"/>
      <c r="AG308" s="31"/>
      <c r="AH308" s="31">
        <v>16</v>
      </c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t="s">
        <v>75</v>
      </c>
      <c r="BD308">
        <v>303</v>
      </c>
      <c r="BF308" s="30">
        <f>IF($BD308="","",SUMIF($BD$6:$BD$2000,$BD308,$J$6:$J$2000))</f>
        <v>10015</v>
      </c>
    </row>
    <row r="309" spans="1:58" ht="19.5" customHeight="1" x14ac:dyDescent="0.25">
      <c r="A309" s="96" t="s">
        <v>2054</v>
      </c>
      <c r="B309" s="32" t="s">
        <v>71</v>
      </c>
      <c r="C309" s="33">
        <v>341</v>
      </c>
      <c r="D309" s="32" t="s">
        <v>547</v>
      </c>
      <c r="E309" s="32" t="s">
        <v>215</v>
      </c>
      <c r="F309" s="33" t="s">
        <v>216</v>
      </c>
      <c r="G309" s="34">
        <v>46388</v>
      </c>
      <c r="H309" s="35">
        <f t="shared" si="13"/>
        <v>24</v>
      </c>
      <c r="I309" s="35">
        <f t="shared" si="14"/>
        <v>12</v>
      </c>
      <c r="J309" s="36">
        <f t="shared" si="15"/>
        <v>7980</v>
      </c>
      <c r="K309" s="37">
        <v>11</v>
      </c>
      <c r="L309" s="37"/>
      <c r="M309" s="37">
        <v>5</v>
      </c>
      <c r="N309" s="37">
        <v>4</v>
      </c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>
        <v>4</v>
      </c>
      <c r="AB309" s="37"/>
      <c r="AC309" s="37"/>
      <c r="AD309" s="37"/>
      <c r="AE309" s="37"/>
      <c r="AF309" s="37"/>
      <c r="AG309" s="37"/>
      <c r="AH309" s="37">
        <v>12</v>
      </c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t="s">
        <v>75</v>
      </c>
      <c r="BD309">
        <v>304</v>
      </c>
      <c r="BF309" s="30">
        <f>IF($BD309="","",SUMIF($BD$6:$BD$2000,$BD309,$J$6:$J$2000))</f>
        <v>7980</v>
      </c>
    </row>
    <row r="310" spans="1:58" ht="19.5" customHeight="1" x14ac:dyDescent="0.25">
      <c r="A310" s="96" t="s">
        <v>2054</v>
      </c>
      <c r="B310" s="26" t="s">
        <v>71</v>
      </c>
      <c r="C310" s="27">
        <v>342</v>
      </c>
      <c r="D310" s="26" t="s">
        <v>548</v>
      </c>
      <c r="E310" s="26" t="s">
        <v>548</v>
      </c>
      <c r="F310" s="27" t="s">
        <v>201</v>
      </c>
      <c r="G310" s="28">
        <v>46235</v>
      </c>
      <c r="H310" s="29">
        <f t="shared" si="13"/>
        <v>20</v>
      </c>
      <c r="I310" s="29">
        <f t="shared" si="14"/>
        <v>8</v>
      </c>
      <c r="J310" s="30">
        <f t="shared" si="15"/>
        <v>6155</v>
      </c>
      <c r="K310" s="31">
        <v>6</v>
      </c>
      <c r="L310" s="31"/>
      <c r="M310" s="31">
        <v>7</v>
      </c>
      <c r="N310" s="31"/>
      <c r="O310" s="31"/>
      <c r="P310" s="31"/>
      <c r="Q310" s="31"/>
      <c r="R310" s="31"/>
      <c r="S310" s="31">
        <v>1</v>
      </c>
      <c r="T310" s="31"/>
      <c r="U310" s="31"/>
      <c r="V310" s="31"/>
      <c r="W310" s="31"/>
      <c r="X310" s="31"/>
      <c r="Y310" s="31"/>
      <c r="Z310" s="31"/>
      <c r="AA310" s="31">
        <v>6</v>
      </c>
      <c r="AB310" s="31"/>
      <c r="AC310" s="31"/>
      <c r="AD310" s="31"/>
      <c r="AE310" s="31"/>
      <c r="AF310" s="31"/>
      <c r="AG310" s="31"/>
      <c r="AH310" s="31">
        <v>8</v>
      </c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t="s">
        <v>75</v>
      </c>
      <c r="BD310">
        <v>305</v>
      </c>
      <c r="BF310" s="30">
        <f>IF($BD310="","",SUMIF($BD$6:$BD$2000,$BD310,$J$6:$J$2000))</f>
        <v>6155</v>
      </c>
    </row>
    <row r="311" spans="1:58" ht="19.5" customHeight="1" x14ac:dyDescent="0.25">
      <c r="A311" s="96" t="s">
        <v>2054</v>
      </c>
      <c r="B311" s="32" t="s">
        <v>71</v>
      </c>
      <c r="C311" s="33">
        <v>344</v>
      </c>
      <c r="D311" s="32" t="s">
        <v>549</v>
      </c>
      <c r="E311" s="32" t="s">
        <v>550</v>
      </c>
      <c r="F311" s="33" t="s">
        <v>226</v>
      </c>
      <c r="G311" s="34">
        <v>46296</v>
      </c>
      <c r="H311" s="35">
        <f t="shared" si="13"/>
        <v>19</v>
      </c>
      <c r="I311" s="35">
        <f t="shared" si="14"/>
        <v>16</v>
      </c>
      <c r="J311" s="36">
        <f t="shared" si="15"/>
        <v>14931</v>
      </c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>
        <v>17</v>
      </c>
      <c r="V311" s="37"/>
      <c r="W311" s="37"/>
      <c r="X311" s="37"/>
      <c r="Y311" s="37"/>
      <c r="Z311" s="37"/>
      <c r="AA311" s="37">
        <v>2</v>
      </c>
      <c r="AB311" s="37"/>
      <c r="AC311" s="37"/>
      <c r="AD311" s="37"/>
      <c r="AE311" s="37"/>
      <c r="AF311" s="37"/>
      <c r="AG311" s="37"/>
      <c r="AH311" s="37"/>
      <c r="AI311" s="37"/>
      <c r="AJ311" s="37">
        <v>16</v>
      </c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t="s">
        <v>75</v>
      </c>
      <c r="BD311">
        <v>306</v>
      </c>
      <c r="BF311" s="30">
        <f>IF($BD311="","",SUMIF($BD$6:$BD$2000,$BD311,$J$6:$J$2000))</f>
        <v>14931</v>
      </c>
    </row>
    <row r="312" spans="1:58" ht="19.5" customHeight="1" x14ac:dyDescent="0.25">
      <c r="A312" s="96" t="s">
        <v>2054</v>
      </c>
      <c r="B312" s="26" t="s">
        <v>71</v>
      </c>
      <c r="C312" s="27">
        <v>345</v>
      </c>
      <c r="D312" s="26" t="s">
        <v>551</v>
      </c>
      <c r="E312" s="26" t="s">
        <v>225</v>
      </c>
      <c r="F312" s="27" t="s">
        <v>226</v>
      </c>
      <c r="G312" s="28">
        <v>46111</v>
      </c>
      <c r="H312" s="29">
        <f t="shared" si="13"/>
        <v>16</v>
      </c>
      <c r="I312" s="29">
        <f t="shared" si="14"/>
        <v>20</v>
      </c>
      <c r="J312" s="30">
        <f t="shared" si="15"/>
        <v>11905</v>
      </c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>
        <v>15</v>
      </c>
      <c r="V312" s="31"/>
      <c r="W312" s="31"/>
      <c r="X312" s="31"/>
      <c r="Y312" s="31"/>
      <c r="Z312" s="31"/>
      <c r="AA312" s="31">
        <v>1</v>
      </c>
      <c r="AB312" s="31"/>
      <c r="AC312" s="31"/>
      <c r="AD312" s="31"/>
      <c r="AE312" s="31"/>
      <c r="AF312" s="31"/>
      <c r="AG312" s="31"/>
      <c r="AH312" s="31">
        <v>20</v>
      </c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t="s">
        <v>75</v>
      </c>
      <c r="BD312">
        <v>307</v>
      </c>
      <c r="BF312" s="30">
        <f>IF($BD312="","",SUMIF($BD$6:$BD$2000,$BD312,$J$6:$J$2000))</f>
        <v>11905</v>
      </c>
    </row>
    <row r="313" spans="1:58" ht="19.5" customHeight="1" x14ac:dyDescent="0.25">
      <c r="A313" s="96" t="s">
        <v>2054</v>
      </c>
      <c r="B313" s="32" t="s">
        <v>71</v>
      </c>
      <c r="C313" s="33">
        <v>348</v>
      </c>
      <c r="D313" s="32" t="s">
        <v>552</v>
      </c>
      <c r="E313" s="32" t="s">
        <v>151</v>
      </c>
      <c r="F313" s="33" t="s">
        <v>142</v>
      </c>
      <c r="G313" s="34">
        <v>46266</v>
      </c>
      <c r="H313" s="35">
        <f t="shared" si="13"/>
        <v>12</v>
      </c>
      <c r="I313" s="35">
        <f t="shared" si="14"/>
        <v>6</v>
      </c>
      <c r="J313" s="36">
        <f t="shared" si="15"/>
        <v>4223</v>
      </c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>
        <v>11</v>
      </c>
      <c r="V313" s="37"/>
      <c r="W313" s="37"/>
      <c r="X313" s="37"/>
      <c r="Y313" s="37"/>
      <c r="Z313" s="37"/>
      <c r="AA313" s="37">
        <v>1</v>
      </c>
      <c r="AB313" s="37"/>
      <c r="AC313" s="37"/>
      <c r="AD313" s="37"/>
      <c r="AE313" s="37"/>
      <c r="AF313" s="37"/>
      <c r="AG313" s="37"/>
      <c r="AH313" s="37">
        <v>6</v>
      </c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t="s">
        <v>75</v>
      </c>
      <c r="BD313">
        <v>308</v>
      </c>
      <c r="BF313" s="30">
        <f>IF($BD313="","",SUMIF($BD$6:$BD$2000,$BD313,$J$6:$J$2000))</f>
        <v>4223</v>
      </c>
    </row>
    <row r="314" spans="1:58" ht="19.5" customHeight="1" x14ac:dyDescent="0.25">
      <c r="A314" s="96" t="s">
        <v>2054</v>
      </c>
      <c r="B314" s="26" t="s">
        <v>71</v>
      </c>
      <c r="C314" s="27">
        <v>350</v>
      </c>
      <c r="D314" s="26" t="s">
        <v>553</v>
      </c>
      <c r="E314" s="26" t="s">
        <v>206</v>
      </c>
      <c r="F314" s="27" t="s">
        <v>207</v>
      </c>
      <c r="G314" s="28">
        <v>46204</v>
      </c>
      <c r="H314" s="29">
        <f t="shared" si="13"/>
        <v>15</v>
      </c>
      <c r="I314" s="29">
        <f t="shared" si="14"/>
        <v>16</v>
      </c>
      <c r="J314" s="30">
        <f t="shared" si="15"/>
        <v>9709</v>
      </c>
      <c r="K314" s="31">
        <v>6</v>
      </c>
      <c r="L314" s="31"/>
      <c r="M314" s="31"/>
      <c r="N314" s="31">
        <v>2</v>
      </c>
      <c r="O314" s="31"/>
      <c r="P314" s="31"/>
      <c r="Q314" s="31"/>
      <c r="R314" s="31"/>
      <c r="S314" s="31"/>
      <c r="T314" s="31"/>
      <c r="U314" s="31">
        <v>3</v>
      </c>
      <c r="V314" s="31"/>
      <c r="W314" s="31"/>
      <c r="X314" s="31"/>
      <c r="Y314" s="31"/>
      <c r="Z314" s="31"/>
      <c r="AA314" s="31">
        <v>4</v>
      </c>
      <c r="AB314" s="31"/>
      <c r="AC314" s="31"/>
      <c r="AD314" s="31"/>
      <c r="AE314" s="31"/>
      <c r="AF314" s="31"/>
      <c r="AG314" s="31"/>
      <c r="AH314" s="31">
        <v>16</v>
      </c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t="s">
        <v>75</v>
      </c>
      <c r="BD314">
        <v>309</v>
      </c>
      <c r="BF314" s="30">
        <f>IF($BD314="","",SUMIF($BD$6:$BD$2000,$BD314,$J$6:$J$2000))</f>
        <v>9709</v>
      </c>
    </row>
    <row r="315" spans="1:58" ht="19.5" customHeight="1" x14ac:dyDescent="0.25">
      <c r="A315" s="96" t="s">
        <v>2054</v>
      </c>
      <c r="B315" s="32" t="s">
        <v>71</v>
      </c>
      <c r="C315" s="33">
        <v>297</v>
      </c>
      <c r="D315" s="32" t="s">
        <v>554</v>
      </c>
      <c r="E315" s="32" t="s">
        <v>555</v>
      </c>
      <c r="F315" s="33" t="s">
        <v>126</v>
      </c>
      <c r="G315" s="34">
        <v>46266</v>
      </c>
      <c r="H315" s="35">
        <f t="shared" si="13"/>
        <v>22</v>
      </c>
      <c r="I315" s="35">
        <f t="shared" si="14"/>
        <v>28</v>
      </c>
      <c r="J315" s="36">
        <f t="shared" si="15"/>
        <v>16680</v>
      </c>
      <c r="K315" s="37">
        <v>7</v>
      </c>
      <c r="L315" s="37"/>
      <c r="M315" s="37">
        <v>7</v>
      </c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>
        <v>8</v>
      </c>
      <c r="AB315" s="37"/>
      <c r="AC315" s="37"/>
      <c r="AD315" s="37"/>
      <c r="AE315" s="37"/>
      <c r="AF315" s="37"/>
      <c r="AG315" s="37"/>
      <c r="AH315" s="37">
        <v>28</v>
      </c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t="s">
        <v>75</v>
      </c>
      <c r="BD315">
        <v>310</v>
      </c>
      <c r="BF315" s="30">
        <f>IF($BD315="","",SUMIF($BD$6:$BD$2000,$BD315,$J$6:$J$2000))</f>
        <v>16680</v>
      </c>
    </row>
    <row r="316" spans="1:58" ht="19.5" customHeight="1" x14ac:dyDescent="0.25">
      <c r="A316" s="96" t="s">
        <v>2054</v>
      </c>
      <c r="B316" s="26" t="s">
        <v>71</v>
      </c>
      <c r="C316" s="27">
        <v>301</v>
      </c>
      <c r="D316" s="26" t="s">
        <v>556</v>
      </c>
      <c r="E316" s="26" t="s">
        <v>544</v>
      </c>
      <c r="F316" s="27" t="s">
        <v>126</v>
      </c>
      <c r="G316" s="28">
        <v>46266</v>
      </c>
      <c r="H316" s="29">
        <f t="shared" si="13"/>
        <v>19</v>
      </c>
      <c r="I316" s="29">
        <f t="shared" si="14"/>
        <v>16</v>
      </c>
      <c r="J316" s="30">
        <f t="shared" si="15"/>
        <v>9853</v>
      </c>
      <c r="K316" s="31"/>
      <c r="L316" s="31"/>
      <c r="M316" s="31"/>
      <c r="N316" s="31">
        <v>1</v>
      </c>
      <c r="O316" s="31"/>
      <c r="P316" s="31">
        <v>1</v>
      </c>
      <c r="Q316" s="31"/>
      <c r="R316" s="31"/>
      <c r="S316" s="31"/>
      <c r="T316" s="31">
        <v>14</v>
      </c>
      <c r="U316" s="31">
        <v>1</v>
      </c>
      <c r="V316" s="31"/>
      <c r="W316" s="31"/>
      <c r="X316" s="31"/>
      <c r="Y316" s="31"/>
      <c r="Z316" s="31"/>
      <c r="AA316" s="31">
        <v>2</v>
      </c>
      <c r="AB316" s="31"/>
      <c r="AC316" s="31"/>
      <c r="AD316" s="31"/>
      <c r="AE316" s="31"/>
      <c r="AF316" s="31"/>
      <c r="AG316" s="31"/>
      <c r="AH316" s="31">
        <v>16</v>
      </c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t="s">
        <v>75</v>
      </c>
      <c r="BD316">
        <v>311</v>
      </c>
      <c r="BF316" s="30">
        <f>IF($BD316="","",SUMIF($BD$6:$BD$2000,$BD316,$J$6:$J$2000))</f>
        <v>9853</v>
      </c>
    </row>
    <row r="317" spans="1:58" ht="19.5" customHeight="1" x14ac:dyDescent="0.25">
      <c r="A317" s="96" t="s">
        <v>2054</v>
      </c>
      <c r="B317" s="32" t="s">
        <v>71</v>
      </c>
      <c r="C317" s="33">
        <v>353</v>
      </c>
      <c r="D317" s="32" t="s">
        <v>557</v>
      </c>
      <c r="E317" s="32" t="s">
        <v>220</v>
      </c>
      <c r="F317" s="33" t="s">
        <v>221</v>
      </c>
      <c r="G317" s="34">
        <v>46142</v>
      </c>
      <c r="H317" s="35">
        <f t="shared" si="13"/>
        <v>19</v>
      </c>
      <c r="I317" s="35">
        <f t="shared" si="14"/>
        <v>14</v>
      </c>
      <c r="J317" s="36">
        <f t="shared" si="15"/>
        <v>9004</v>
      </c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>
        <v>18</v>
      </c>
      <c r="V317" s="37"/>
      <c r="W317" s="37"/>
      <c r="X317" s="37"/>
      <c r="Y317" s="37"/>
      <c r="Z317" s="37"/>
      <c r="AA317" s="37">
        <v>1</v>
      </c>
      <c r="AB317" s="37"/>
      <c r="AC317" s="37"/>
      <c r="AD317" s="37"/>
      <c r="AE317" s="37"/>
      <c r="AF317" s="37"/>
      <c r="AG317" s="37"/>
      <c r="AH317" s="37">
        <v>14</v>
      </c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t="s">
        <v>75</v>
      </c>
      <c r="BD317">
        <v>312</v>
      </c>
      <c r="BF317" s="30">
        <f>IF($BD317="","",SUMIF($BD$6:$BD$2000,$BD317,$J$6:$J$2000))</f>
        <v>9004</v>
      </c>
    </row>
    <row r="318" spans="1:58" ht="19.5" customHeight="1" x14ac:dyDescent="0.25">
      <c r="A318" s="96" t="s">
        <v>2054</v>
      </c>
      <c r="B318" s="26" t="s">
        <v>71</v>
      </c>
      <c r="C318" s="27">
        <v>354</v>
      </c>
      <c r="D318" s="26" t="s">
        <v>558</v>
      </c>
      <c r="E318" s="26" t="s">
        <v>559</v>
      </c>
      <c r="F318" s="27" t="s">
        <v>216</v>
      </c>
      <c r="G318" s="28">
        <v>46054</v>
      </c>
      <c r="H318" s="29">
        <f t="shared" si="13"/>
        <v>24</v>
      </c>
      <c r="I318" s="29">
        <f t="shared" si="14"/>
        <v>10</v>
      </c>
      <c r="J318" s="30">
        <f t="shared" si="15"/>
        <v>7535</v>
      </c>
      <c r="K318" s="31">
        <v>9</v>
      </c>
      <c r="L318" s="31"/>
      <c r="M318" s="31">
        <v>6</v>
      </c>
      <c r="N318" s="31"/>
      <c r="O318" s="31">
        <v>1</v>
      </c>
      <c r="P318" s="31"/>
      <c r="Q318" s="31"/>
      <c r="R318" s="31"/>
      <c r="S318" s="31">
        <v>1</v>
      </c>
      <c r="T318" s="31"/>
      <c r="U318" s="31"/>
      <c r="V318" s="31"/>
      <c r="W318" s="31"/>
      <c r="X318" s="31"/>
      <c r="Y318" s="31"/>
      <c r="Z318" s="31"/>
      <c r="AA318" s="31">
        <v>7</v>
      </c>
      <c r="AB318" s="31"/>
      <c r="AC318" s="31"/>
      <c r="AD318" s="31"/>
      <c r="AE318" s="31"/>
      <c r="AF318" s="31"/>
      <c r="AG318" s="31"/>
      <c r="AH318" s="31">
        <v>10</v>
      </c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t="s">
        <v>75</v>
      </c>
      <c r="BD318">
        <v>313</v>
      </c>
      <c r="BF318" s="30">
        <f>IF($BD318="","",SUMIF($BD$6:$BD$2000,$BD318,$J$6:$J$2000))</f>
        <v>7535</v>
      </c>
    </row>
    <row r="319" spans="1:58" ht="19.5" customHeight="1" x14ac:dyDescent="0.25">
      <c r="A319" s="96" t="s">
        <v>2054</v>
      </c>
      <c r="B319" s="32" t="s">
        <v>71</v>
      </c>
      <c r="C319" s="33">
        <v>355</v>
      </c>
      <c r="D319" s="32" t="s">
        <v>560</v>
      </c>
      <c r="E319" s="32" t="s">
        <v>561</v>
      </c>
      <c r="F319" s="33" t="s">
        <v>261</v>
      </c>
      <c r="G319" s="34">
        <v>46023</v>
      </c>
      <c r="H319" s="35">
        <f t="shared" si="13"/>
        <v>27</v>
      </c>
      <c r="I319" s="35">
        <f t="shared" si="14"/>
        <v>16</v>
      </c>
      <c r="J319" s="36">
        <f t="shared" si="15"/>
        <v>10630</v>
      </c>
      <c r="K319" s="37">
        <v>9</v>
      </c>
      <c r="L319" s="37"/>
      <c r="M319" s="37"/>
      <c r="N319" s="37">
        <v>11</v>
      </c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>
        <v>7</v>
      </c>
      <c r="AB319" s="37"/>
      <c r="AC319" s="37"/>
      <c r="AD319" s="37"/>
      <c r="AE319" s="37"/>
      <c r="AF319" s="37"/>
      <c r="AG319" s="37"/>
      <c r="AH319" s="37">
        <v>16</v>
      </c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t="s">
        <v>75</v>
      </c>
      <c r="BD319">
        <v>314</v>
      </c>
      <c r="BF319" s="30">
        <f>IF($BD319="","",SUMIF($BD$6:$BD$2000,$BD319,$J$6:$J$2000))</f>
        <v>10630</v>
      </c>
    </row>
    <row r="320" spans="1:58" ht="19.5" customHeight="1" x14ac:dyDescent="0.25">
      <c r="A320" s="96" t="s">
        <v>2054</v>
      </c>
      <c r="B320" s="26" t="s">
        <v>71</v>
      </c>
      <c r="C320" s="27">
        <v>356</v>
      </c>
      <c r="D320" s="26" t="s">
        <v>562</v>
      </c>
      <c r="E320" s="26" t="s">
        <v>228</v>
      </c>
      <c r="F320" s="27" t="s">
        <v>229</v>
      </c>
      <c r="G320" s="28">
        <v>46143</v>
      </c>
      <c r="H320" s="29">
        <f t="shared" si="13"/>
        <v>22</v>
      </c>
      <c r="I320" s="29">
        <f t="shared" si="14"/>
        <v>16</v>
      </c>
      <c r="J320" s="30">
        <f t="shared" si="15"/>
        <v>10355</v>
      </c>
      <c r="K320" s="31"/>
      <c r="L320" s="31"/>
      <c r="M320" s="31">
        <v>3</v>
      </c>
      <c r="N320" s="31"/>
      <c r="O320" s="31"/>
      <c r="P320" s="31">
        <v>1</v>
      </c>
      <c r="Q320" s="31"/>
      <c r="R320" s="31"/>
      <c r="S320" s="31"/>
      <c r="T320" s="31"/>
      <c r="U320" s="31">
        <v>15</v>
      </c>
      <c r="V320" s="31"/>
      <c r="W320" s="31"/>
      <c r="X320" s="31"/>
      <c r="Y320" s="31"/>
      <c r="Z320" s="31"/>
      <c r="AA320" s="31">
        <v>3</v>
      </c>
      <c r="AB320" s="31"/>
      <c r="AC320" s="31"/>
      <c r="AD320" s="31"/>
      <c r="AE320" s="31"/>
      <c r="AF320" s="31"/>
      <c r="AG320" s="31"/>
      <c r="AH320" s="31">
        <v>16</v>
      </c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t="s">
        <v>75</v>
      </c>
      <c r="BD320">
        <v>315</v>
      </c>
      <c r="BF320" s="30">
        <f>IF($BD320="","",SUMIF($BD$6:$BD$2000,$BD320,$J$6:$J$2000))</f>
        <v>10355</v>
      </c>
    </row>
    <row r="321" spans="1:58" ht="19.5" customHeight="1" x14ac:dyDescent="0.25">
      <c r="A321" s="96" t="s">
        <v>2054</v>
      </c>
      <c r="B321" s="32" t="s">
        <v>71</v>
      </c>
      <c r="C321" s="33">
        <v>357</v>
      </c>
      <c r="D321" s="32" t="s">
        <v>563</v>
      </c>
      <c r="E321" s="32" t="s">
        <v>236</v>
      </c>
      <c r="F321" s="33" t="s">
        <v>237</v>
      </c>
      <c r="G321" s="34">
        <v>46266</v>
      </c>
      <c r="H321" s="35">
        <f t="shared" si="13"/>
        <v>18</v>
      </c>
      <c r="I321" s="35">
        <f t="shared" si="14"/>
        <v>12</v>
      </c>
      <c r="J321" s="36">
        <f t="shared" si="15"/>
        <v>8030</v>
      </c>
      <c r="K321" s="37"/>
      <c r="L321" s="37"/>
      <c r="M321" s="37"/>
      <c r="N321" s="37">
        <v>3</v>
      </c>
      <c r="O321" s="37"/>
      <c r="P321" s="37">
        <v>1</v>
      </c>
      <c r="Q321" s="37"/>
      <c r="R321" s="37"/>
      <c r="S321" s="37"/>
      <c r="T321" s="37"/>
      <c r="U321" s="37">
        <v>10</v>
      </c>
      <c r="V321" s="37"/>
      <c r="W321" s="37"/>
      <c r="X321" s="37"/>
      <c r="Y321" s="37"/>
      <c r="Z321" s="37"/>
      <c r="AA321" s="37">
        <v>4</v>
      </c>
      <c r="AB321" s="37"/>
      <c r="AC321" s="37"/>
      <c r="AD321" s="37"/>
      <c r="AE321" s="37"/>
      <c r="AF321" s="37"/>
      <c r="AG321" s="37"/>
      <c r="AH321" s="37">
        <v>12</v>
      </c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t="s">
        <v>75</v>
      </c>
      <c r="BD321">
        <v>316</v>
      </c>
      <c r="BF321" s="30">
        <f>IF($BD321="","",SUMIF($BD$6:$BD$2000,$BD321,$J$6:$J$2000))</f>
        <v>8030</v>
      </c>
    </row>
    <row r="322" spans="1:58" ht="19.5" customHeight="1" x14ac:dyDescent="0.25">
      <c r="A322" s="96" t="s">
        <v>2054</v>
      </c>
      <c r="B322" s="26" t="s">
        <v>71</v>
      </c>
      <c r="C322" s="27">
        <v>358</v>
      </c>
      <c r="D322" s="26" t="s">
        <v>564</v>
      </c>
      <c r="E322" s="26" t="s">
        <v>177</v>
      </c>
      <c r="F322" s="27" t="s">
        <v>565</v>
      </c>
      <c r="G322" s="28">
        <v>46203</v>
      </c>
      <c r="H322" s="29">
        <f t="shared" si="13"/>
        <v>18</v>
      </c>
      <c r="I322" s="29">
        <f t="shared" si="14"/>
        <v>8</v>
      </c>
      <c r="J322" s="30">
        <f t="shared" si="15"/>
        <v>5760</v>
      </c>
      <c r="K322" s="31">
        <v>10</v>
      </c>
      <c r="L322" s="31"/>
      <c r="M322" s="31">
        <v>2</v>
      </c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>
        <v>6</v>
      </c>
      <c r="AB322" s="31"/>
      <c r="AC322" s="31"/>
      <c r="AD322" s="31"/>
      <c r="AE322" s="31"/>
      <c r="AF322" s="31"/>
      <c r="AG322" s="31"/>
      <c r="AH322" s="31">
        <v>8</v>
      </c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t="s">
        <v>75</v>
      </c>
      <c r="BD322">
        <v>317</v>
      </c>
      <c r="BF322" s="30">
        <f>IF($BD322="","",SUMIF($BD$6:$BD$2000,$BD322,$J$6:$J$2000))</f>
        <v>5760</v>
      </c>
    </row>
    <row r="323" spans="1:58" ht="19.5" customHeight="1" x14ac:dyDescent="0.25">
      <c r="A323" s="96" t="s">
        <v>2054</v>
      </c>
      <c r="B323" s="32" t="s">
        <v>71</v>
      </c>
      <c r="C323" s="33">
        <v>360</v>
      </c>
      <c r="D323" s="32" t="s">
        <v>566</v>
      </c>
      <c r="E323" s="32" t="s">
        <v>113</v>
      </c>
      <c r="F323" s="33" t="s">
        <v>114</v>
      </c>
      <c r="G323" s="34">
        <v>46266</v>
      </c>
      <c r="H323" s="35">
        <f t="shared" si="13"/>
        <v>15</v>
      </c>
      <c r="I323" s="35">
        <f t="shared" si="14"/>
        <v>12</v>
      </c>
      <c r="J323" s="36">
        <f t="shared" si="15"/>
        <v>10875</v>
      </c>
      <c r="K323" s="37"/>
      <c r="L323" s="37"/>
      <c r="M323" s="37"/>
      <c r="N323" s="37"/>
      <c r="O323" s="37"/>
      <c r="P323" s="37"/>
      <c r="Q323" s="37"/>
      <c r="R323" s="37"/>
      <c r="S323" s="37"/>
      <c r="T323" s="37">
        <v>15</v>
      </c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  <c r="AF323" s="37"/>
      <c r="AG323" s="37"/>
      <c r="AH323" s="37"/>
      <c r="AI323" s="37"/>
      <c r="AJ323" s="37">
        <v>12</v>
      </c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t="s">
        <v>75</v>
      </c>
      <c r="BD323">
        <v>318</v>
      </c>
      <c r="BF323" s="30">
        <f>IF($BD323="","",SUMIF($BD$6:$BD$2000,$BD323,$J$6:$J$2000))</f>
        <v>10875</v>
      </c>
    </row>
    <row r="324" spans="1:58" ht="19.5" customHeight="1" x14ac:dyDescent="0.25">
      <c r="A324" s="96" t="s">
        <v>2054</v>
      </c>
      <c r="B324" s="26" t="s">
        <v>71</v>
      </c>
      <c r="C324" s="27">
        <v>361</v>
      </c>
      <c r="D324" s="26" t="s">
        <v>567</v>
      </c>
      <c r="E324" s="26" t="s">
        <v>568</v>
      </c>
      <c r="F324" s="27" t="s">
        <v>276</v>
      </c>
      <c r="G324" s="28">
        <v>46204</v>
      </c>
      <c r="H324" s="29">
        <f t="shared" si="13"/>
        <v>19</v>
      </c>
      <c r="I324" s="29">
        <f t="shared" si="14"/>
        <v>8</v>
      </c>
      <c r="J324" s="30">
        <f t="shared" si="15"/>
        <v>6041</v>
      </c>
      <c r="K324" s="31">
        <v>6</v>
      </c>
      <c r="L324" s="31"/>
      <c r="M324" s="31"/>
      <c r="N324" s="31"/>
      <c r="O324" s="31"/>
      <c r="P324" s="31"/>
      <c r="Q324" s="31"/>
      <c r="R324" s="31"/>
      <c r="S324" s="31"/>
      <c r="T324" s="31"/>
      <c r="U324" s="31">
        <v>7</v>
      </c>
      <c r="V324" s="31"/>
      <c r="W324" s="31"/>
      <c r="X324" s="31"/>
      <c r="Y324" s="31"/>
      <c r="Z324" s="31"/>
      <c r="AA324" s="31">
        <v>6</v>
      </c>
      <c r="AB324" s="31"/>
      <c r="AC324" s="31"/>
      <c r="AD324" s="31"/>
      <c r="AE324" s="31"/>
      <c r="AF324" s="31"/>
      <c r="AG324" s="31"/>
      <c r="AH324" s="31">
        <v>8</v>
      </c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t="s">
        <v>75</v>
      </c>
      <c r="BD324">
        <v>319</v>
      </c>
      <c r="BF324" s="30">
        <f>IF($BD324="","",SUMIF($BD$6:$BD$2000,$BD324,$J$6:$J$2000))</f>
        <v>6041</v>
      </c>
    </row>
    <row r="325" spans="1:58" ht="19.5" customHeight="1" x14ac:dyDescent="0.25">
      <c r="A325" s="96" t="s">
        <v>2054</v>
      </c>
      <c r="B325" s="32" t="s">
        <v>71</v>
      </c>
      <c r="C325" s="33">
        <v>362</v>
      </c>
      <c r="D325" s="32" t="s">
        <v>569</v>
      </c>
      <c r="E325" s="32" t="s">
        <v>570</v>
      </c>
      <c r="F325" s="33" t="s">
        <v>120</v>
      </c>
      <c r="G325" s="34">
        <v>46235</v>
      </c>
      <c r="H325" s="35">
        <f t="shared" si="13"/>
        <v>21</v>
      </c>
      <c r="I325" s="35">
        <f t="shared" si="14"/>
        <v>16</v>
      </c>
      <c r="J325" s="36">
        <f t="shared" si="15"/>
        <v>10294</v>
      </c>
      <c r="K325" s="37"/>
      <c r="L325" s="37"/>
      <c r="M325" s="37"/>
      <c r="N325" s="37"/>
      <c r="O325" s="37"/>
      <c r="P325" s="37">
        <v>1</v>
      </c>
      <c r="Q325" s="37"/>
      <c r="R325" s="37"/>
      <c r="S325" s="37"/>
      <c r="T325" s="37"/>
      <c r="U325" s="37">
        <v>18</v>
      </c>
      <c r="V325" s="37"/>
      <c r="W325" s="37"/>
      <c r="X325" s="37"/>
      <c r="Y325" s="37"/>
      <c r="Z325" s="37"/>
      <c r="AA325" s="37">
        <v>2</v>
      </c>
      <c r="AB325" s="37"/>
      <c r="AC325" s="37"/>
      <c r="AD325" s="37"/>
      <c r="AE325" s="37"/>
      <c r="AF325" s="37"/>
      <c r="AG325" s="37"/>
      <c r="AH325" s="37">
        <v>16</v>
      </c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t="s">
        <v>75</v>
      </c>
      <c r="BD325">
        <v>320</v>
      </c>
      <c r="BF325" s="30">
        <f>IF($BD325="","",SUMIF($BD$6:$BD$2000,$BD325,$J$6:$J$2000))</f>
        <v>10294</v>
      </c>
    </row>
    <row r="326" spans="1:58" ht="19.5" customHeight="1" x14ac:dyDescent="0.25">
      <c r="A326" s="96" t="s">
        <v>2054</v>
      </c>
      <c r="B326" s="26" t="s">
        <v>71</v>
      </c>
      <c r="C326" s="27">
        <v>363</v>
      </c>
      <c r="D326" s="26" t="s">
        <v>571</v>
      </c>
      <c r="E326" s="26" t="s">
        <v>572</v>
      </c>
      <c r="F326" s="27" t="s">
        <v>160</v>
      </c>
      <c r="G326" s="28">
        <v>46296</v>
      </c>
      <c r="H326" s="29">
        <f t="shared" ref="H326:H389" si="16">IF($B326="","",SUM($K326:$AG326)+SUM($AS326:$BB326))</f>
        <v>15</v>
      </c>
      <c r="I326" s="29">
        <f t="shared" ref="I326:I389" si="17">IF($B326="","",SUM($AH326:$AL326))</f>
        <v>10</v>
      </c>
      <c r="J326" s="30">
        <f t="shared" ref="J326:J389" si="18">IF($B326="","",SUMPRODUCT($K326:$BB326,$K$2:$BB$2))</f>
        <v>6370</v>
      </c>
      <c r="K326" s="31">
        <v>8</v>
      </c>
      <c r="L326" s="31"/>
      <c r="M326" s="31"/>
      <c r="N326" s="31"/>
      <c r="O326" s="31"/>
      <c r="P326" s="31">
        <v>5</v>
      </c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>
        <v>2</v>
      </c>
      <c r="AB326" s="31"/>
      <c r="AC326" s="31"/>
      <c r="AD326" s="31"/>
      <c r="AE326" s="31"/>
      <c r="AF326" s="31"/>
      <c r="AG326" s="31"/>
      <c r="AH326" s="31">
        <v>10</v>
      </c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t="s">
        <v>75</v>
      </c>
      <c r="BD326">
        <v>321</v>
      </c>
      <c r="BF326" s="30">
        <f>IF($BD326="","",SUMIF($BD$6:$BD$2000,$BD326,$J$6:$J$2000))</f>
        <v>6370</v>
      </c>
    </row>
    <row r="327" spans="1:58" ht="19.5" customHeight="1" x14ac:dyDescent="0.25">
      <c r="A327" s="96" t="s">
        <v>2054</v>
      </c>
      <c r="B327" s="32" t="s">
        <v>71</v>
      </c>
      <c r="C327" s="33">
        <v>364</v>
      </c>
      <c r="D327" s="32" t="s">
        <v>573</v>
      </c>
      <c r="E327" s="32" t="s">
        <v>574</v>
      </c>
      <c r="F327" s="33" t="s">
        <v>213</v>
      </c>
      <c r="G327" s="34">
        <v>46082</v>
      </c>
      <c r="H327" s="35">
        <f t="shared" si="16"/>
        <v>21</v>
      </c>
      <c r="I327" s="35">
        <f t="shared" si="17"/>
        <v>24</v>
      </c>
      <c r="J327" s="36">
        <f t="shared" si="18"/>
        <v>14398</v>
      </c>
      <c r="K327" s="37">
        <v>8</v>
      </c>
      <c r="L327" s="37"/>
      <c r="M327" s="37">
        <v>2</v>
      </c>
      <c r="N327" s="37">
        <v>1</v>
      </c>
      <c r="O327" s="37"/>
      <c r="P327" s="37"/>
      <c r="Q327" s="37"/>
      <c r="R327" s="37"/>
      <c r="S327" s="37"/>
      <c r="T327" s="37">
        <v>3</v>
      </c>
      <c r="U327" s="37">
        <v>1</v>
      </c>
      <c r="V327" s="37"/>
      <c r="W327" s="37"/>
      <c r="X327" s="37"/>
      <c r="Y327" s="37"/>
      <c r="Z327" s="37"/>
      <c r="AA327" s="37">
        <v>6</v>
      </c>
      <c r="AB327" s="37"/>
      <c r="AC327" s="37"/>
      <c r="AD327" s="37"/>
      <c r="AE327" s="37"/>
      <c r="AF327" s="37"/>
      <c r="AG327" s="37"/>
      <c r="AH327" s="37">
        <v>24</v>
      </c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t="s">
        <v>75</v>
      </c>
      <c r="BD327">
        <v>322</v>
      </c>
      <c r="BF327" s="30">
        <f>IF($BD327="","",SUMIF($BD$6:$BD$2000,$BD327,$J$6:$J$2000))</f>
        <v>14398</v>
      </c>
    </row>
    <row r="328" spans="1:58" ht="19.5" customHeight="1" x14ac:dyDescent="0.25">
      <c r="A328" s="96" t="s">
        <v>2054</v>
      </c>
      <c r="B328" s="26" t="s">
        <v>71</v>
      </c>
      <c r="C328" s="27">
        <v>365</v>
      </c>
      <c r="D328" s="26" t="s">
        <v>575</v>
      </c>
      <c r="E328" s="26" t="s">
        <v>73</v>
      </c>
      <c r="F328" s="27" t="s">
        <v>74</v>
      </c>
      <c r="G328" s="28">
        <v>46235</v>
      </c>
      <c r="H328" s="29">
        <f t="shared" si="16"/>
        <v>22</v>
      </c>
      <c r="I328" s="29">
        <f t="shared" si="17"/>
        <v>16</v>
      </c>
      <c r="J328" s="30">
        <f t="shared" si="18"/>
        <v>10280</v>
      </c>
      <c r="K328" s="31">
        <v>7</v>
      </c>
      <c r="L328" s="31"/>
      <c r="M328" s="31">
        <v>7</v>
      </c>
      <c r="N328" s="31">
        <v>1</v>
      </c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>
        <v>7</v>
      </c>
      <c r="AB328" s="31"/>
      <c r="AC328" s="31"/>
      <c r="AD328" s="31"/>
      <c r="AE328" s="31"/>
      <c r="AF328" s="31"/>
      <c r="AG328" s="31"/>
      <c r="AH328" s="31">
        <v>16</v>
      </c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t="s">
        <v>75</v>
      </c>
      <c r="BD328">
        <v>323</v>
      </c>
      <c r="BF328" s="30">
        <f>IF($BD328="","",SUMIF($BD$6:$BD$2000,$BD328,$J$6:$J$2000))</f>
        <v>10280</v>
      </c>
    </row>
    <row r="329" spans="1:58" ht="19.5" customHeight="1" x14ac:dyDescent="0.25">
      <c r="A329" s="96" t="s">
        <v>2054</v>
      </c>
      <c r="B329" s="32" t="s">
        <v>71</v>
      </c>
      <c r="C329" s="33">
        <v>366</v>
      </c>
      <c r="D329" s="32" t="s">
        <v>576</v>
      </c>
      <c r="E329" s="32" t="s">
        <v>73</v>
      </c>
      <c r="F329" s="33" t="s">
        <v>74</v>
      </c>
      <c r="G329" s="34">
        <v>46388</v>
      </c>
      <c r="H329" s="35">
        <f t="shared" si="16"/>
        <v>22</v>
      </c>
      <c r="I329" s="35">
        <f t="shared" si="17"/>
        <v>20</v>
      </c>
      <c r="J329" s="36">
        <f t="shared" si="18"/>
        <v>13040</v>
      </c>
      <c r="K329" s="37">
        <v>8</v>
      </c>
      <c r="L329" s="37"/>
      <c r="M329" s="37">
        <v>4</v>
      </c>
      <c r="N329" s="37">
        <v>1</v>
      </c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>
        <v>8</v>
      </c>
      <c r="AB329" s="37"/>
      <c r="AC329" s="37"/>
      <c r="AD329" s="37">
        <v>1</v>
      </c>
      <c r="AE329" s="37"/>
      <c r="AF329" s="37"/>
      <c r="AG329" s="37"/>
      <c r="AH329" s="37">
        <v>20</v>
      </c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t="s">
        <v>75</v>
      </c>
      <c r="BD329">
        <v>324</v>
      </c>
      <c r="BF329" s="30">
        <f>IF($BD329="","",SUMIF($BD$6:$BD$2000,$BD329,$J$6:$J$2000))</f>
        <v>13040</v>
      </c>
    </row>
    <row r="330" spans="1:58" ht="19.5" customHeight="1" x14ac:dyDescent="0.25">
      <c r="A330" s="96" t="s">
        <v>2054</v>
      </c>
      <c r="B330" s="26" t="s">
        <v>71</v>
      </c>
      <c r="C330" s="27">
        <v>369</v>
      </c>
      <c r="D330" s="26" t="s">
        <v>577</v>
      </c>
      <c r="E330" s="26" t="s">
        <v>578</v>
      </c>
      <c r="F330" s="27" t="s">
        <v>120</v>
      </c>
      <c r="G330" s="28">
        <v>46235</v>
      </c>
      <c r="H330" s="29">
        <f t="shared" si="16"/>
        <v>17</v>
      </c>
      <c r="I330" s="29">
        <f t="shared" si="17"/>
        <v>8</v>
      </c>
      <c r="J330" s="30">
        <f t="shared" si="18"/>
        <v>5730</v>
      </c>
      <c r="K330" s="31">
        <v>9</v>
      </c>
      <c r="L330" s="31"/>
      <c r="M330" s="31"/>
      <c r="N330" s="31">
        <v>2</v>
      </c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>
        <v>6</v>
      </c>
      <c r="AB330" s="31"/>
      <c r="AC330" s="31"/>
      <c r="AD330" s="31"/>
      <c r="AE330" s="31"/>
      <c r="AF330" s="31"/>
      <c r="AG330" s="31"/>
      <c r="AH330" s="31">
        <v>8</v>
      </c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t="s">
        <v>75</v>
      </c>
      <c r="BD330">
        <v>325</v>
      </c>
      <c r="BF330" s="30">
        <f>IF($BD330="","",SUMIF($BD$6:$BD$2000,$BD330,$J$6:$J$2000))</f>
        <v>5730</v>
      </c>
    </row>
    <row r="331" spans="1:58" ht="19.5" customHeight="1" x14ac:dyDescent="0.25">
      <c r="A331" s="96" t="s">
        <v>2054</v>
      </c>
      <c r="B331" s="32" t="s">
        <v>71</v>
      </c>
      <c r="C331" s="33">
        <v>370</v>
      </c>
      <c r="D331" s="32" t="s">
        <v>579</v>
      </c>
      <c r="E331" s="32" t="s">
        <v>73</v>
      </c>
      <c r="F331" s="33" t="s">
        <v>74</v>
      </c>
      <c r="G331" s="34">
        <v>46266</v>
      </c>
      <c r="H331" s="35">
        <f t="shared" si="16"/>
        <v>2</v>
      </c>
      <c r="I331" s="35">
        <f t="shared" si="17"/>
        <v>0</v>
      </c>
      <c r="J331" s="36">
        <f t="shared" si="18"/>
        <v>220</v>
      </c>
      <c r="K331" s="37"/>
      <c r="L331" s="37"/>
      <c r="M331" s="37"/>
      <c r="N331" s="37">
        <v>1</v>
      </c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>
        <v>1</v>
      </c>
      <c r="AB331" s="37"/>
      <c r="AC331" s="37"/>
      <c r="AD331" s="37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t="s">
        <v>75</v>
      </c>
      <c r="BD331">
        <v>326</v>
      </c>
      <c r="BF331" s="30">
        <f>IF($BD331="","",SUMIF($BD$6:$BD$2000,$BD331,$J$6:$J$2000))</f>
        <v>220</v>
      </c>
    </row>
    <row r="332" spans="1:58" ht="19.5" customHeight="1" x14ac:dyDescent="0.25">
      <c r="A332" s="96" t="s">
        <v>2054</v>
      </c>
      <c r="B332" s="26" t="s">
        <v>71</v>
      </c>
      <c r="C332" s="27">
        <v>371</v>
      </c>
      <c r="D332" s="26" t="s">
        <v>580</v>
      </c>
      <c r="E332" s="26" t="s">
        <v>581</v>
      </c>
      <c r="F332" s="27" t="s">
        <v>74</v>
      </c>
      <c r="G332" s="28">
        <v>46203</v>
      </c>
      <c r="H332" s="29">
        <f t="shared" si="16"/>
        <v>18</v>
      </c>
      <c r="I332" s="29">
        <f t="shared" si="17"/>
        <v>6</v>
      </c>
      <c r="J332" s="30">
        <f t="shared" si="18"/>
        <v>4603</v>
      </c>
      <c r="K332" s="31">
        <v>4</v>
      </c>
      <c r="L332" s="31"/>
      <c r="M332" s="31">
        <v>1</v>
      </c>
      <c r="N332" s="31">
        <v>8</v>
      </c>
      <c r="O332" s="31"/>
      <c r="P332" s="31"/>
      <c r="Q332" s="31"/>
      <c r="R332" s="31"/>
      <c r="S332" s="31"/>
      <c r="T332" s="31"/>
      <c r="U332" s="31">
        <v>1</v>
      </c>
      <c r="V332" s="31"/>
      <c r="W332" s="31"/>
      <c r="X332" s="31"/>
      <c r="Y332" s="31"/>
      <c r="Z332" s="31"/>
      <c r="AA332" s="31">
        <v>4</v>
      </c>
      <c r="AB332" s="31"/>
      <c r="AC332" s="31"/>
      <c r="AD332" s="31"/>
      <c r="AE332" s="31"/>
      <c r="AF332" s="31"/>
      <c r="AG332" s="31"/>
      <c r="AH332" s="31">
        <v>6</v>
      </c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t="s">
        <v>75</v>
      </c>
      <c r="BD332">
        <v>327</v>
      </c>
      <c r="BF332" s="30">
        <f>IF($BD332="","",SUMIF($BD$6:$BD$2000,$BD332,$J$6:$J$2000))</f>
        <v>4603</v>
      </c>
    </row>
    <row r="333" spans="1:58" ht="19.5" customHeight="1" x14ac:dyDescent="0.25">
      <c r="A333" s="96" t="s">
        <v>2054</v>
      </c>
      <c r="B333" s="32" t="s">
        <v>71</v>
      </c>
      <c r="C333" s="33">
        <v>372</v>
      </c>
      <c r="D333" s="32" t="s">
        <v>582</v>
      </c>
      <c r="E333" s="32" t="s">
        <v>177</v>
      </c>
      <c r="F333" s="33" t="s">
        <v>74</v>
      </c>
      <c r="G333" s="34">
        <v>46203</v>
      </c>
      <c r="H333" s="35">
        <f t="shared" si="16"/>
        <v>21</v>
      </c>
      <c r="I333" s="35">
        <f t="shared" si="17"/>
        <v>16</v>
      </c>
      <c r="J333" s="36">
        <f t="shared" si="18"/>
        <v>10550</v>
      </c>
      <c r="K333" s="37">
        <v>10</v>
      </c>
      <c r="L333" s="37"/>
      <c r="M333" s="37">
        <v>1</v>
      </c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>
        <v>10</v>
      </c>
      <c r="AB333" s="37"/>
      <c r="AC333" s="37"/>
      <c r="AD333" s="37"/>
      <c r="AE333" s="37"/>
      <c r="AF333" s="37"/>
      <c r="AG333" s="37"/>
      <c r="AH333" s="37">
        <v>16</v>
      </c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t="s">
        <v>75</v>
      </c>
      <c r="BD333">
        <v>328</v>
      </c>
      <c r="BF333" s="30">
        <f>IF($BD333="","",SUMIF($BD$6:$BD$2000,$BD333,$J$6:$J$2000))</f>
        <v>10550</v>
      </c>
    </row>
    <row r="334" spans="1:58" ht="19.5" customHeight="1" x14ac:dyDescent="0.25">
      <c r="A334" s="96" t="s">
        <v>2054</v>
      </c>
      <c r="B334" s="26" t="s">
        <v>71</v>
      </c>
      <c r="C334" s="27">
        <v>373</v>
      </c>
      <c r="D334" s="26" t="s">
        <v>583</v>
      </c>
      <c r="E334" s="26" t="s">
        <v>73</v>
      </c>
      <c r="F334" s="27" t="s">
        <v>74</v>
      </c>
      <c r="G334" s="28">
        <v>46266</v>
      </c>
      <c r="H334" s="29">
        <f t="shared" si="16"/>
        <v>8</v>
      </c>
      <c r="I334" s="29">
        <f t="shared" si="17"/>
        <v>2</v>
      </c>
      <c r="J334" s="30">
        <f t="shared" si="18"/>
        <v>1920</v>
      </c>
      <c r="K334" s="31">
        <v>1</v>
      </c>
      <c r="L334" s="31"/>
      <c r="M334" s="31"/>
      <c r="N334" s="31">
        <v>3</v>
      </c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>
        <v>4</v>
      </c>
      <c r="AB334" s="31"/>
      <c r="AC334" s="31"/>
      <c r="AD334" s="31"/>
      <c r="AE334" s="31"/>
      <c r="AF334" s="31"/>
      <c r="AG334" s="31"/>
      <c r="AH334" s="31">
        <v>2</v>
      </c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t="s">
        <v>75</v>
      </c>
      <c r="BD334">
        <v>329</v>
      </c>
      <c r="BF334" s="30">
        <f>IF($BD334="","",SUMIF($BD$6:$BD$2000,$BD334,$J$6:$J$2000))</f>
        <v>1920</v>
      </c>
    </row>
    <row r="335" spans="1:58" ht="19.5" customHeight="1" x14ac:dyDescent="0.25">
      <c r="A335" s="96" t="s">
        <v>2054</v>
      </c>
      <c r="B335" s="32" t="s">
        <v>71</v>
      </c>
      <c r="C335" s="33">
        <v>381</v>
      </c>
      <c r="D335" s="32" t="s">
        <v>584</v>
      </c>
      <c r="E335" s="32" t="s">
        <v>119</v>
      </c>
      <c r="F335" s="33" t="s">
        <v>120</v>
      </c>
      <c r="G335" s="34">
        <v>46235</v>
      </c>
      <c r="H335" s="35">
        <f t="shared" si="16"/>
        <v>5</v>
      </c>
      <c r="I335" s="35">
        <f t="shared" si="17"/>
        <v>0</v>
      </c>
      <c r="J335" s="36">
        <f t="shared" si="18"/>
        <v>380</v>
      </c>
      <c r="K335" s="37">
        <v>2</v>
      </c>
      <c r="L335" s="37"/>
      <c r="M335" s="37"/>
      <c r="N335" s="37">
        <v>2</v>
      </c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>
        <v>1</v>
      </c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t="s">
        <v>75</v>
      </c>
      <c r="BD335">
        <v>330</v>
      </c>
      <c r="BF335" s="30">
        <f>IF($BD335="","",SUMIF($BD$6:$BD$2000,$BD335,$J$6:$J$2000))</f>
        <v>380</v>
      </c>
    </row>
    <row r="336" spans="1:58" ht="19.5" customHeight="1" x14ac:dyDescent="0.25">
      <c r="A336" s="96" t="s">
        <v>2054</v>
      </c>
      <c r="B336" s="26" t="s">
        <v>71</v>
      </c>
      <c r="C336" s="27">
        <v>382</v>
      </c>
      <c r="D336" s="26" t="s">
        <v>585</v>
      </c>
      <c r="E336" s="26" t="s">
        <v>586</v>
      </c>
      <c r="F336" s="27" t="s">
        <v>246</v>
      </c>
      <c r="G336" s="28">
        <v>46082</v>
      </c>
      <c r="H336" s="29">
        <f t="shared" si="16"/>
        <v>22</v>
      </c>
      <c r="I336" s="29">
        <f t="shared" si="17"/>
        <v>16</v>
      </c>
      <c r="J336" s="30">
        <f t="shared" si="18"/>
        <v>10457</v>
      </c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>
        <v>19</v>
      </c>
      <c r="V336" s="31"/>
      <c r="W336" s="31"/>
      <c r="X336" s="31"/>
      <c r="Y336" s="31"/>
      <c r="Z336" s="31"/>
      <c r="AA336" s="31">
        <v>3</v>
      </c>
      <c r="AB336" s="31"/>
      <c r="AC336" s="31"/>
      <c r="AD336" s="31"/>
      <c r="AE336" s="31"/>
      <c r="AF336" s="31"/>
      <c r="AG336" s="31"/>
      <c r="AH336" s="31">
        <v>16</v>
      </c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t="s">
        <v>75</v>
      </c>
      <c r="BD336">
        <v>331</v>
      </c>
      <c r="BF336" s="30">
        <f>IF($BD336="","",SUMIF($BD$6:$BD$2000,$BD336,$J$6:$J$2000))</f>
        <v>10457</v>
      </c>
    </row>
    <row r="337" spans="1:58" ht="19.5" customHeight="1" x14ac:dyDescent="0.25">
      <c r="A337" s="96" t="s">
        <v>2054</v>
      </c>
      <c r="B337" s="32" t="s">
        <v>71</v>
      </c>
      <c r="C337" s="33">
        <v>384</v>
      </c>
      <c r="D337" s="32" t="s">
        <v>587</v>
      </c>
      <c r="E337" s="32" t="s">
        <v>73</v>
      </c>
      <c r="F337" s="33" t="s">
        <v>74</v>
      </c>
      <c r="G337" s="34">
        <v>46082</v>
      </c>
      <c r="H337" s="35">
        <f t="shared" si="16"/>
        <v>3</v>
      </c>
      <c r="I337" s="35">
        <f t="shared" si="17"/>
        <v>0</v>
      </c>
      <c r="J337" s="36">
        <f t="shared" si="18"/>
        <v>293</v>
      </c>
      <c r="K337" s="37">
        <v>1</v>
      </c>
      <c r="L337" s="37"/>
      <c r="M337" s="37"/>
      <c r="N337" s="37"/>
      <c r="O337" s="37"/>
      <c r="P337" s="37"/>
      <c r="Q337" s="37"/>
      <c r="R337" s="37"/>
      <c r="S337" s="37"/>
      <c r="T337" s="37"/>
      <c r="U337" s="37">
        <v>1</v>
      </c>
      <c r="V337" s="37"/>
      <c r="W337" s="37"/>
      <c r="X337" s="37"/>
      <c r="Y337" s="37"/>
      <c r="Z337" s="37"/>
      <c r="AA337" s="37">
        <v>1</v>
      </c>
      <c r="AB337" s="37"/>
      <c r="AC337" s="37"/>
      <c r="AD337" s="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t="s">
        <v>75</v>
      </c>
      <c r="BD337">
        <v>332</v>
      </c>
      <c r="BF337" s="30">
        <f>IF($BD337="","",SUMIF($BD$6:$BD$2000,$BD337,$J$6:$J$2000))</f>
        <v>293</v>
      </c>
    </row>
    <row r="338" spans="1:58" ht="19.5" customHeight="1" x14ac:dyDescent="0.25">
      <c r="A338" s="96" t="s">
        <v>2054</v>
      </c>
      <c r="B338" s="26" t="s">
        <v>71</v>
      </c>
      <c r="C338" s="27">
        <v>385</v>
      </c>
      <c r="D338" s="26" t="s">
        <v>588</v>
      </c>
      <c r="E338" s="26" t="s">
        <v>73</v>
      </c>
      <c r="F338" s="27" t="s">
        <v>74</v>
      </c>
      <c r="G338" s="28">
        <v>46082</v>
      </c>
      <c r="H338" s="29">
        <f t="shared" si="16"/>
        <v>12</v>
      </c>
      <c r="I338" s="29">
        <f t="shared" si="17"/>
        <v>4</v>
      </c>
      <c r="J338" s="30">
        <f t="shared" si="18"/>
        <v>3250</v>
      </c>
      <c r="K338" s="31">
        <v>7</v>
      </c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>
        <v>5</v>
      </c>
      <c r="AB338" s="31"/>
      <c r="AC338" s="31"/>
      <c r="AD338" s="31"/>
      <c r="AE338" s="31"/>
      <c r="AF338" s="31"/>
      <c r="AG338" s="31"/>
      <c r="AH338" s="31">
        <v>4</v>
      </c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t="s">
        <v>75</v>
      </c>
      <c r="BD338">
        <v>333</v>
      </c>
      <c r="BF338" s="30">
        <f>IF($BD338="","",SUMIF($BD$6:$BD$2000,$BD338,$J$6:$J$2000))</f>
        <v>3250</v>
      </c>
    </row>
    <row r="339" spans="1:58" ht="19.5" customHeight="1" x14ac:dyDescent="0.25">
      <c r="A339" s="96" t="s">
        <v>2054</v>
      </c>
      <c r="B339" s="32" t="s">
        <v>71</v>
      </c>
      <c r="C339" s="33">
        <v>386</v>
      </c>
      <c r="D339" s="32" t="s">
        <v>589</v>
      </c>
      <c r="E339" s="32" t="s">
        <v>73</v>
      </c>
      <c r="F339" s="33" t="s">
        <v>74</v>
      </c>
      <c r="G339" s="34">
        <v>46388</v>
      </c>
      <c r="H339" s="35">
        <f t="shared" si="16"/>
        <v>16</v>
      </c>
      <c r="I339" s="35">
        <f t="shared" si="17"/>
        <v>8</v>
      </c>
      <c r="J339" s="36">
        <f t="shared" si="18"/>
        <v>5330</v>
      </c>
      <c r="K339" s="37">
        <v>6</v>
      </c>
      <c r="L339" s="37"/>
      <c r="M339" s="37">
        <v>7</v>
      </c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>
        <v>3</v>
      </c>
      <c r="AB339" s="37"/>
      <c r="AC339" s="37"/>
      <c r="AD339" s="37"/>
      <c r="AE339" s="37"/>
      <c r="AF339" s="37"/>
      <c r="AG339" s="37"/>
      <c r="AH339" s="37">
        <v>8</v>
      </c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t="s">
        <v>75</v>
      </c>
      <c r="BD339">
        <v>334</v>
      </c>
      <c r="BF339" s="30">
        <f>IF($BD339="","",SUMIF($BD$6:$BD$2000,$BD339,$J$6:$J$2000))</f>
        <v>5330</v>
      </c>
    </row>
    <row r="340" spans="1:58" ht="19.5" customHeight="1" x14ac:dyDescent="0.25">
      <c r="A340" s="96" t="s">
        <v>2054</v>
      </c>
      <c r="B340" s="26" t="s">
        <v>71</v>
      </c>
      <c r="C340" s="27">
        <v>387</v>
      </c>
      <c r="D340" s="26" t="s">
        <v>590</v>
      </c>
      <c r="E340" s="26" t="s">
        <v>177</v>
      </c>
      <c r="F340" s="27" t="s">
        <v>74</v>
      </c>
      <c r="G340" s="28">
        <v>46203</v>
      </c>
      <c r="H340" s="29">
        <f t="shared" si="16"/>
        <v>4</v>
      </c>
      <c r="I340" s="29">
        <f t="shared" si="17"/>
        <v>0</v>
      </c>
      <c r="J340" s="30">
        <f t="shared" si="18"/>
        <v>200</v>
      </c>
      <c r="K340" s="31">
        <v>1</v>
      </c>
      <c r="L340" s="31"/>
      <c r="M340" s="31">
        <v>3</v>
      </c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t="s">
        <v>75</v>
      </c>
      <c r="BD340">
        <v>335</v>
      </c>
      <c r="BF340" s="30">
        <f>IF($BD340="","",SUMIF($BD$6:$BD$2000,$BD340,$J$6:$J$2000))</f>
        <v>200</v>
      </c>
    </row>
    <row r="341" spans="1:58" ht="19.5" customHeight="1" x14ac:dyDescent="0.25">
      <c r="A341" s="96" t="s">
        <v>2054</v>
      </c>
      <c r="B341" s="32" t="s">
        <v>71</v>
      </c>
      <c r="C341" s="33">
        <v>389</v>
      </c>
      <c r="D341" s="32" t="s">
        <v>591</v>
      </c>
      <c r="E341" s="32" t="s">
        <v>73</v>
      </c>
      <c r="F341" s="33" t="s">
        <v>74</v>
      </c>
      <c r="G341" s="34">
        <v>46388</v>
      </c>
      <c r="H341" s="35">
        <f t="shared" si="16"/>
        <v>4</v>
      </c>
      <c r="I341" s="35">
        <f t="shared" si="17"/>
        <v>0</v>
      </c>
      <c r="J341" s="36">
        <f t="shared" si="18"/>
        <v>310</v>
      </c>
      <c r="K341" s="37">
        <v>1</v>
      </c>
      <c r="L341" s="37"/>
      <c r="M341" s="37">
        <v>2</v>
      </c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>
        <v>1</v>
      </c>
      <c r="AB341" s="37"/>
      <c r="AC341" s="37"/>
      <c r="AD341" s="37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t="s">
        <v>75</v>
      </c>
      <c r="BD341">
        <v>336</v>
      </c>
      <c r="BF341" s="30">
        <f>IF($BD341="","",SUMIF($BD$6:$BD$2000,$BD341,$J$6:$J$2000))</f>
        <v>310</v>
      </c>
    </row>
    <row r="342" spans="1:58" ht="19.5" customHeight="1" x14ac:dyDescent="0.25">
      <c r="A342" s="96" t="s">
        <v>2054</v>
      </c>
      <c r="B342" s="26" t="s">
        <v>71</v>
      </c>
      <c r="C342" s="27">
        <v>390</v>
      </c>
      <c r="D342" s="26" t="s">
        <v>592</v>
      </c>
      <c r="E342" s="26" t="s">
        <v>73</v>
      </c>
      <c r="F342" s="27" t="s">
        <v>74</v>
      </c>
      <c r="G342" s="28">
        <v>46388</v>
      </c>
      <c r="H342" s="29">
        <f t="shared" si="16"/>
        <v>5</v>
      </c>
      <c r="I342" s="29">
        <f t="shared" si="17"/>
        <v>0</v>
      </c>
      <c r="J342" s="30">
        <f t="shared" si="18"/>
        <v>360</v>
      </c>
      <c r="K342" s="31">
        <v>2</v>
      </c>
      <c r="L342" s="31"/>
      <c r="M342" s="31">
        <v>2</v>
      </c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>
        <v>1</v>
      </c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t="s">
        <v>75</v>
      </c>
      <c r="BD342">
        <v>337</v>
      </c>
      <c r="BF342" s="30">
        <f>IF($BD342="","",SUMIF($BD$6:$BD$2000,$BD342,$J$6:$J$2000))</f>
        <v>360</v>
      </c>
    </row>
    <row r="343" spans="1:58" ht="19.5" customHeight="1" x14ac:dyDescent="0.25">
      <c r="A343" s="96" t="s">
        <v>2054</v>
      </c>
      <c r="B343" s="32" t="s">
        <v>71</v>
      </c>
      <c r="C343" s="33">
        <v>391</v>
      </c>
      <c r="D343" s="32" t="s">
        <v>593</v>
      </c>
      <c r="E343" s="32" t="s">
        <v>175</v>
      </c>
      <c r="F343" s="33" t="s">
        <v>123</v>
      </c>
      <c r="G343" s="34">
        <v>46054</v>
      </c>
      <c r="H343" s="35">
        <f t="shared" si="16"/>
        <v>15</v>
      </c>
      <c r="I343" s="35">
        <f t="shared" si="17"/>
        <v>8</v>
      </c>
      <c r="J343" s="36">
        <f t="shared" si="18"/>
        <v>5984</v>
      </c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>
        <v>8</v>
      </c>
      <c r="V343" s="37"/>
      <c r="W343" s="37"/>
      <c r="X343" s="37"/>
      <c r="Y343" s="37"/>
      <c r="Z343" s="37"/>
      <c r="AA343" s="37">
        <v>7</v>
      </c>
      <c r="AB343" s="37"/>
      <c r="AC343" s="37"/>
      <c r="AD343" s="37"/>
      <c r="AE343" s="37"/>
      <c r="AF343" s="37"/>
      <c r="AG343" s="37"/>
      <c r="AH343" s="37">
        <v>8</v>
      </c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t="s">
        <v>75</v>
      </c>
      <c r="BD343">
        <v>338</v>
      </c>
      <c r="BF343" s="30">
        <f>IF($BD343="","",SUMIF($BD$6:$BD$2000,$BD343,$J$6:$J$2000))</f>
        <v>5984</v>
      </c>
    </row>
    <row r="344" spans="1:58" ht="19.5" customHeight="1" x14ac:dyDescent="0.25">
      <c r="A344" s="96" t="s">
        <v>2054</v>
      </c>
      <c r="B344" s="26" t="s">
        <v>71</v>
      </c>
      <c r="C344" s="27">
        <v>392</v>
      </c>
      <c r="D344" s="26" t="s">
        <v>594</v>
      </c>
      <c r="E344" s="26" t="s">
        <v>595</v>
      </c>
      <c r="F344" s="27" t="s">
        <v>74</v>
      </c>
      <c r="G344" s="28">
        <v>46054</v>
      </c>
      <c r="H344" s="29">
        <f t="shared" si="16"/>
        <v>11</v>
      </c>
      <c r="I344" s="29">
        <f t="shared" si="17"/>
        <v>6</v>
      </c>
      <c r="J344" s="30">
        <f t="shared" si="18"/>
        <v>4190</v>
      </c>
      <c r="K344" s="31">
        <v>2</v>
      </c>
      <c r="L344" s="31"/>
      <c r="M344" s="31"/>
      <c r="N344" s="31">
        <v>5</v>
      </c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>
        <v>4</v>
      </c>
      <c r="AB344" s="31"/>
      <c r="AC344" s="31"/>
      <c r="AD344" s="31"/>
      <c r="AE344" s="31"/>
      <c r="AF344" s="31"/>
      <c r="AG344" s="31"/>
      <c r="AH344" s="31">
        <v>6</v>
      </c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t="s">
        <v>75</v>
      </c>
      <c r="BD344">
        <v>339</v>
      </c>
      <c r="BF344" s="30">
        <f>IF($BD344="","",SUMIF($BD$6:$BD$2000,$BD344,$J$6:$J$2000))</f>
        <v>4190</v>
      </c>
    </row>
    <row r="345" spans="1:58" ht="19.5" customHeight="1" x14ac:dyDescent="0.25">
      <c r="A345" s="96" t="s">
        <v>2054</v>
      </c>
      <c r="B345" s="32" t="s">
        <v>71</v>
      </c>
      <c r="C345" s="33">
        <v>393</v>
      </c>
      <c r="D345" s="32" t="s">
        <v>596</v>
      </c>
      <c r="E345" s="32" t="s">
        <v>597</v>
      </c>
      <c r="F345" s="33" t="s">
        <v>123</v>
      </c>
      <c r="G345" s="34">
        <v>46419</v>
      </c>
      <c r="H345" s="35">
        <f t="shared" si="16"/>
        <v>21</v>
      </c>
      <c r="I345" s="35">
        <f t="shared" si="17"/>
        <v>10</v>
      </c>
      <c r="J345" s="36">
        <f t="shared" si="18"/>
        <v>6820</v>
      </c>
      <c r="K345" s="37">
        <v>8</v>
      </c>
      <c r="L345" s="37"/>
      <c r="M345" s="37">
        <v>1</v>
      </c>
      <c r="N345" s="37">
        <v>8</v>
      </c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>
        <v>4</v>
      </c>
      <c r="AB345" s="37"/>
      <c r="AC345" s="37"/>
      <c r="AD345" s="37"/>
      <c r="AE345" s="37"/>
      <c r="AF345" s="37"/>
      <c r="AG345" s="37"/>
      <c r="AH345" s="37">
        <v>10</v>
      </c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t="s">
        <v>75</v>
      </c>
      <c r="BD345">
        <v>340</v>
      </c>
      <c r="BF345" s="30">
        <f>IF($BD345="","",SUMIF($BD$6:$BD$2000,$BD345,$J$6:$J$2000))</f>
        <v>6820</v>
      </c>
    </row>
    <row r="346" spans="1:58" ht="19.5" customHeight="1" x14ac:dyDescent="0.25">
      <c r="A346" s="96" t="s">
        <v>2054</v>
      </c>
      <c r="B346" s="26" t="s">
        <v>71</v>
      </c>
      <c r="C346" s="27">
        <v>394</v>
      </c>
      <c r="D346" s="26" t="s">
        <v>598</v>
      </c>
      <c r="E346" s="26" t="s">
        <v>77</v>
      </c>
      <c r="F346" s="27" t="s">
        <v>74</v>
      </c>
      <c r="G346" s="28">
        <v>46388</v>
      </c>
      <c r="H346" s="29">
        <f t="shared" si="16"/>
        <v>12</v>
      </c>
      <c r="I346" s="29">
        <f t="shared" si="17"/>
        <v>8</v>
      </c>
      <c r="J346" s="30">
        <f t="shared" si="18"/>
        <v>5360</v>
      </c>
      <c r="K346" s="31"/>
      <c r="L346" s="31"/>
      <c r="M346" s="31"/>
      <c r="N346" s="31"/>
      <c r="O346" s="31"/>
      <c r="P346" s="31"/>
      <c r="Q346" s="31"/>
      <c r="R346" s="31"/>
      <c r="S346" s="31"/>
      <c r="T346" s="31">
        <v>8</v>
      </c>
      <c r="U346" s="31"/>
      <c r="V346" s="31"/>
      <c r="W346" s="31"/>
      <c r="X346" s="31"/>
      <c r="Y346" s="31"/>
      <c r="Z346" s="31"/>
      <c r="AA346" s="31">
        <v>4</v>
      </c>
      <c r="AB346" s="31"/>
      <c r="AC346" s="31"/>
      <c r="AD346" s="31"/>
      <c r="AE346" s="31"/>
      <c r="AF346" s="31"/>
      <c r="AG346" s="31"/>
      <c r="AH346" s="31">
        <v>8</v>
      </c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t="s">
        <v>75</v>
      </c>
      <c r="BD346">
        <v>341</v>
      </c>
      <c r="BF346" s="30">
        <f>IF($BD346="","",SUMIF($BD$6:$BD$2000,$BD346,$J$6:$J$2000))</f>
        <v>5360</v>
      </c>
    </row>
    <row r="347" spans="1:58" ht="19.5" customHeight="1" x14ac:dyDescent="0.25">
      <c r="A347" s="96" t="s">
        <v>2054</v>
      </c>
      <c r="B347" s="32" t="s">
        <v>71</v>
      </c>
      <c r="C347" s="33">
        <v>399</v>
      </c>
      <c r="D347" s="32" t="s">
        <v>599</v>
      </c>
      <c r="E347" s="32" t="s">
        <v>73</v>
      </c>
      <c r="F347" s="33" t="s">
        <v>74</v>
      </c>
      <c r="G347" s="34">
        <v>46388</v>
      </c>
      <c r="H347" s="35">
        <f t="shared" si="16"/>
        <v>6</v>
      </c>
      <c r="I347" s="35">
        <f t="shared" si="17"/>
        <v>4</v>
      </c>
      <c r="J347" s="36">
        <f t="shared" si="18"/>
        <v>2796</v>
      </c>
      <c r="K347" s="37">
        <v>1</v>
      </c>
      <c r="L347" s="37"/>
      <c r="M347" s="37"/>
      <c r="N347" s="37"/>
      <c r="O347" s="37"/>
      <c r="P347" s="37"/>
      <c r="Q347" s="37"/>
      <c r="R347" s="37"/>
      <c r="S347" s="37"/>
      <c r="T347" s="37"/>
      <c r="U347" s="37">
        <v>2</v>
      </c>
      <c r="V347" s="37"/>
      <c r="W347" s="37"/>
      <c r="X347" s="37"/>
      <c r="Y347" s="37"/>
      <c r="Z347" s="37"/>
      <c r="AA347" s="37">
        <v>3</v>
      </c>
      <c r="AB347" s="37"/>
      <c r="AC347" s="37"/>
      <c r="AD347" s="37"/>
      <c r="AE347" s="37"/>
      <c r="AF347" s="37"/>
      <c r="AG347" s="37"/>
      <c r="AH347" s="37">
        <v>4</v>
      </c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t="s">
        <v>75</v>
      </c>
      <c r="BD347">
        <v>342</v>
      </c>
      <c r="BF347" s="30">
        <f>IF($BD347="","",SUMIF($BD$6:$BD$2000,$BD347,$J$6:$J$2000))</f>
        <v>2796</v>
      </c>
    </row>
    <row r="348" spans="1:58" ht="19.5" customHeight="1" x14ac:dyDescent="0.25">
      <c r="A348" s="96" t="s">
        <v>2054</v>
      </c>
      <c r="B348" s="26" t="s">
        <v>71</v>
      </c>
      <c r="C348" s="27">
        <v>416</v>
      </c>
      <c r="D348" s="26" t="s">
        <v>600</v>
      </c>
      <c r="E348" s="26" t="s">
        <v>73</v>
      </c>
      <c r="F348" s="27" t="s">
        <v>74</v>
      </c>
      <c r="G348" s="28">
        <v>46054</v>
      </c>
      <c r="H348" s="29">
        <f t="shared" si="16"/>
        <v>5</v>
      </c>
      <c r="I348" s="29">
        <f t="shared" si="17"/>
        <v>0</v>
      </c>
      <c r="J348" s="30">
        <f t="shared" si="18"/>
        <v>360</v>
      </c>
      <c r="K348" s="31">
        <v>2</v>
      </c>
      <c r="L348" s="31"/>
      <c r="M348" s="31">
        <v>2</v>
      </c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>
        <v>1</v>
      </c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t="s">
        <v>75</v>
      </c>
      <c r="BD348">
        <v>343</v>
      </c>
      <c r="BF348" s="30">
        <f>IF($BD348="","",SUMIF($BD$6:$BD$2000,$BD348,$J$6:$J$2000))</f>
        <v>360</v>
      </c>
    </row>
    <row r="349" spans="1:58" ht="19.5" customHeight="1" x14ac:dyDescent="0.25">
      <c r="A349" s="96" t="s">
        <v>2054</v>
      </c>
      <c r="B349" s="32" t="s">
        <v>71</v>
      </c>
      <c r="C349" s="33">
        <v>417</v>
      </c>
      <c r="D349" s="32" t="s">
        <v>601</v>
      </c>
      <c r="E349" s="32" t="s">
        <v>73</v>
      </c>
      <c r="F349" s="33" t="s">
        <v>74</v>
      </c>
      <c r="G349" s="34">
        <v>46388</v>
      </c>
      <c r="H349" s="35">
        <f t="shared" si="16"/>
        <v>14</v>
      </c>
      <c r="I349" s="35">
        <f t="shared" si="17"/>
        <v>8</v>
      </c>
      <c r="J349" s="36">
        <f t="shared" si="18"/>
        <v>11250</v>
      </c>
      <c r="K349" s="37">
        <v>8</v>
      </c>
      <c r="L349" s="37"/>
      <c r="M349" s="37">
        <v>1</v>
      </c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>
        <v>5</v>
      </c>
      <c r="AB349" s="37"/>
      <c r="AC349" s="37"/>
      <c r="AD349" s="37"/>
      <c r="AE349" s="37"/>
      <c r="AF349" s="37"/>
      <c r="AG349" s="37"/>
      <c r="AH349" s="37"/>
      <c r="AI349" s="37"/>
      <c r="AJ349" s="37"/>
      <c r="AK349" s="37">
        <v>8</v>
      </c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t="s">
        <v>75</v>
      </c>
      <c r="BD349">
        <v>344</v>
      </c>
      <c r="BF349" s="30">
        <f>IF($BD349="","",SUMIF($BD$6:$BD$2000,$BD349,$J$6:$J$2000))</f>
        <v>11250</v>
      </c>
    </row>
    <row r="350" spans="1:58" ht="19.5" customHeight="1" x14ac:dyDescent="0.25">
      <c r="A350" s="96" t="s">
        <v>2054</v>
      </c>
      <c r="B350" s="26" t="s">
        <v>71</v>
      </c>
      <c r="C350" s="27">
        <v>418</v>
      </c>
      <c r="D350" s="26" t="s">
        <v>602</v>
      </c>
      <c r="E350" s="26" t="s">
        <v>228</v>
      </c>
      <c r="F350" s="27" t="s">
        <v>229</v>
      </c>
      <c r="G350" s="28">
        <v>46143</v>
      </c>
      <c r="H350" s="29">
        <f t="shared" si="16"/>
        <v>4</v>
      </c>
      <c r="I350" s="29">
        <f t="shared" si="17"/>
        <v>0</v>
      </c>
      <c r="J350" s="30">
        <f t="shared" si="18"/>
        <v>420</v>
      </c>
      <c r="K350" s="31">
        <v>2</v>
      </c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>
        <v>2</v>
      </c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t="s">
        <v>75</v>
      </c>
      <c r="BD350">
        <v>345</v>
      </c>
      <c r="BF350" s="30">
        <f>IF($BD350="","",SUMIF($BD$6:$BD$2000,$BD350,$J$6:$J$2000))</f>
        <v>420</v>
      </c>
    </row>
    <row r="351" spans="1:58" ht="19.5" customHeight="1" x14ac:dyDescent="0.25">
      <c r="A351" s="96" t="s">
        <v>2054</v>
      </c>
      <c r="B351" s="32" t="s">
        <v>71</v>
      </c>
      <c r="C351" s="33">
        <v>419</v>
      </c>
      <c r="D351" s="32" t="s">
        <v>603</v>
      </c>
      <c r="E351" s="32" t="s">
        <v>165</v>
      </c>
      <c r="F351" s="33" t="s">
        <v>160</v>
      </c>
      <c r="G351" s="34">
        <v>46266</v>
      </c>
      <c r="H351" s="35">
        <f t="shared" si="16"/>
        <v>3</v>
      </c>
      <c r="I351" s="35">
        <f t="shared" si="17"/>
        <v>0</v>
      </c>
      <c r="J351" s="36">
        <f t="shared" si="18"/>
        <v>260</v>
      </c>
      <c r="K351" s="37">
        <v>2</v>
      </c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>
        <v>1</v>
      </c>
      <c r="AB351" s="37"/>
      <c r="AC351" s="37"/>
      <c r="AD351" s="37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t="s">
        <v>75</v>
      </c>
      <c r="BD351">
        <v>346</v>
      </c>
      <c r="BF351" s="30">
        <f>IF($BD351="","",SUMIF($BD$6:$BD$2000,$BD351,$J$6:$J$2000))</f>
        <v>260</v>
      </c>
    </row>
    <row r="352" spans="1:58" ht="19.5" customHeight="1" x14ac:dyDescent="0.25">
      <c r="A352" s="96" t="s">
        <v>2054</v>
      </c>
      <c r="B352" s="26" t="s">
        <v>71</v>
      </c>
      <c r="C352" s="27">
        <v>420</v>
      </c>
      <c r="D352" s="26" t="s">
        <v>604</v>
      </c>
      <c r="E352" s="26" t="s">
        <v>165</v>
      </c>
      <c r="F352" s="27" t="s">
        <v>160</v>
      </c>
      <c r="G352" s="28">
        <v>46266</v>
      </c>
      <c r="H352" s="29">
        <f t="shared" si="16"/>
        <v>4</v>
      </c>
      <c r="I352" s="29">
        <f t="shared" si="17"/>
        <v>0</v>
      </c>
      <c r="J352" s="30">
        <f t="shared" si="18"/>
        <v>332</v>
      </c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>
        <v>4</v>
      </c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t="s">
        <v>75</v>
      </c>
      <c r="BD352">
        <v>347</v>
      </c>
      <c r="BF352" s="30">
        <f>IF($BD352="","",SUMIF($BD$6:$BD$2000,$BD352,$J$6:$J$2000))</f>
        <v>332</v>
      </c>
    </row>
    <row r="353" spans="1:58" ht="19.5" customHeight="1" x14ac:dyDescent="0.25">
      <c r="A353" s="96" t="s">
        <v>2054</v>
      </c>
      <c r="B353" s="32" t="s">
        <v>71</v>
      </c>
      <c r="C353" s="33">
        <v>421</v>
      </c>
      <c r="D353" s="32" t="s">
        <v>605</v>
      </c>
      <c r="E353" s="32" t="s">
        <v>73</v>
      </c>
      <c r="F353" s="33" t="s">
        <v>74</v>
      </c>
      <c r="G353" s="34">
        <v>46204</v>
      </c>
      <c r="H353" s="35">
        <f t="shared" si="16"/>
        <v>4</v>
      </c>
      <c r="I353" s="35">
        <f t="shared" si="17"/>
        <v>0</v>
      </c>
      <c r="J353" s="36">
        <f t="shared" si="18"/>
        <v>310</v>
      </c>
      <c r="K353" s="37">
        <v>2</v>
      </c>
      <c r="L353" s="37"/>
      <c r="M353" s="37">
        <v>1</v>
      </c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>
        <v>1</v>
      </c>
      <c r="AB353" s="37"/>
      <c r="AC353" s="37"/>
      <c r="AD353" s="37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t="s">
        <v>75</v>
      </c>
      <c r="BD353">
        <v>348</v>
      </c>
      <c r="BF353" s="30">
        <f>IF($BD353="","",SUMIF($BD$6:$BD$2000,$BD353,$J$6:$J$2000))</f>
        <v>310</v>
      </c>
    </row>
    <row r="354" spans="1:58" ht="19.5" customHeight="1" x14ac:dyDescent="0.25">
      <c r="A354" s="96" t="s">
        <v>2054</v>
      </c>
      <c r="B354" s="26" t="s">
        <v>71</v>
      </c>
      <c r="C354" s="27">
        <v>422</v>
      </c>
      <c r="D354" s="26" t="s">
        <v>606</v>
      </c>
      <c r="E354" s="26" t="s">
        <v>173</v>
      </c>
      <c r="F354" s="27" t="s">
        <v>74</v>
      </c>
      <c r="G354" s="28">
        <v>46296</v>
      </c>
      <c r="H354" s="29">
        <f t="shared" si="16"/>
        <v>4</v>
      </c>
      <c r="I354" s="29">
        <f t="shared" si="17"/>
        <v>0</v>
      </c>
      <c r="J354" s="30">
        <f t="shared" si="18"/>
        <v>220</v>
      </c>
      <c r="K354" s="31">
        <v>2</v>
      </c>
      <c r="L354" s="31"/>
      <c r="M354" s="31"/>
      <c r="N354" s="31">
        <v>2</v>
      </c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t="s">
        <v>75</v>
      </c>
      <c r="BD354">
        <v>349</v>
      </c>
      <c r="BF354" s="30">
        <f>IF($BD354="","",SUMIF($BD$6:$BD$2000,$BD354,$J$6:$J$2000))</f>
        <v>220</v>
      </c>
    </row>
    <row r="355" spans="1:58" ht="19.5" customHeight="1" x14ac:dyDescent="0.25">
      <c r="A355" s="96" t="s">
        <v>2054</v>
      </c>
      <c r="B355" s="32" t="s">
        <v>71</v>
      </c>
      <c r="C355" s="33">
        <v>423</v>
      </c>
      <c r="D355" s="32" t="s">
        <v>607</v>
      </c>
      <c r="E355" s="32" t="s">
        <v>206</v>
      </c>
      <c r="F355" s="33" t="s">
        <v>207</v>
      </c>
      <c r="G355" s="34">
        <v>46266</v>
      </c>
      <c r="H355" s="35">
        <f t="shared" si="16"/>
        <v>5</v>
      </c>
      <c r="I355" s="35">
        <f t="shared" si="17"/>
        <v>0</v>
      </c>
      <c r="J355" s="36">
        <f t="shared" si="18"/>
        <v>480</v>
      </c>
      <c r="K355" s="37">
        <v>2</v>
      </c>
      <c r="L355" s="37"/>
      <c r="M355" s="37"/>
      <c r="N355" s="37">
        <v>1</v>
      </c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>
        <v>2</v>
      </c>
      <c r="AB355" s="37"/>
      <c r="AC355" s="37"/>
      <c r="AD355" s="37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t="s">
        <v>75</v>
      </c>
      <c r="BD355">
        <v>350</v>
      </c>
      <c r="BF355" s="30">
        <f>IF($BD355="","",SUMIF($BD$6:$BD$2000,$BD355,$J$6:$J$2000))</f>
        <v>480</v>
      </c>
    </row>
    <row r="356" spans="1:58" ht="19.5" customHeight="1" x14ac:dyDescent="0.25">
      <c r="A356" s="96" t="s">
        <v>2054</v>
      </c>
      <c r="B356" s="26" t="s">
        <v>71</v>
      </c>
      <c r="C356" s="27">
        <v>424</v>
      </c>
      <c r="D356" s="26" t="s">
        <v>608</v>
      </c>
      <c r="E356" s="26" t="s">
        <v>144</v>
      </c>
      <c r="F356" s="27" t="s">
        <v>145</v>
      </c>
      <c r="G356" s="28">
        <v>46419</v>
      </c>
      <c r="H356" s="29">
        <f t="shared" si="16"/>
        <v>4</v>
      </c>
      <c r="I356" s="29">
        <f t="shared" si="17"/>
        <v>0</v>
      </c>
      <c r="J356" s="30">
        <f t="shared" si="18"/>
        <v>260</v>
      </c>
      <c r="K356" s="31"/>
      <c r="L356" s="31"/>
      <c r="M356" s="31"/>
      <c r="N356" s="31"/>
      <c r="O356" s="31"/>
      <c r="P356" s="31"/>
      <c r="Q356" s="31"/>
      <c r="R356" s="31"/>
      <c r="S356" s="31"/>
      <c r="T356" s="31">
        <v>4</v>
      </c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t="s">
        <v>75</v>
      </c>
      <c r="BD356">
        <v>351</v>
      </c>
      <c r="BF356" s="30">
        <f>IF($BD356="","",SUMIF($BD$6:$BD$2000,$BD356,$J$6:$J$2000))</f>
        <v>260</v>
      </c>
    </row>
    <row r="357" spans="1:58" ht="19.5" customHeight="1" x14ac:dyDescent="0.25">
      <c r="A357" s="96" t="s">
        <v>2054</v>
      </c>
      <c r="B357" s="32" t="s">
        <v>71</v>
      </c>
      <c r="C357" s="33">
        <v>425</v>
      </c>
      <c r="D357" s="32" t="s">
        <v>609</v>
      </c>
      <c r="E357" s="32" t="s">
        <v>175</v>
      </c>
      <c r="F357" s="33" t="s">
        <v>123</v>
      </c>
      <c r="G357" s="34">
        <v>46054</v>
      </c>
      <c r="H357" s="35">
        <f t="shared" si="16"/>
        <v>5</v>
      </c>
      <c r="I357" s="35">
        <f t="shared" si="17"/>
        <v>0</v>
      </c>
      <c r="J357" s="36">
        <f t="shared" si="18"/>
        <v>470</v>
      </c>
      <c r="K357" s="37">
        <v>2</v>
      </c>
      <c r="L357" s="37"/>
      <c r="M357" s="37">
        <v>1</v>
      </c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>
        <v>2</v>
      </c>
      <c r="AB357" s="37"/>
      <c r="AC357" s="37"/>
      <c r="AD357" s="3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t="s">
        <v>75</v>
      </c>
      <c r="BD357">
        <v>352</v>
      </c>
      <c r="BF357" s="30">
        <f>IF($BD357="","",SUMIF($BD$6:$BD$2000,$BD357,$J$6:$J$2000))</f>
        <v>470</v>
      </c>
    </row>
    <row r="358" spans="1:58" ht="19.5" customHeight="1" x14ac:dyDescent="0.25">
      <c r="A358" s="96" t="s">
        <v>2054</v>
      </c>
      <c r="B358" s="26" t="s">
        <v>71</v>
      </c>
      <c r="C358" s="27">
        <v>426</v>
      </c>
      <c r="D358" s="26" t="s">
        <v>610</v>
      </c>
      <c r="E358" s="26" t="s">
        <v>309</v>
      </c>
      <c r="F358" s="27" t="s">
        <v>276</v>
      </c>
      <c r="G358" s="28">
        <v>46296</v>
      </c>
      <c r="H358" s="29">
        <f t="shared" si="16"/>
        <v>4</v>
      </c>
      <c r="I358" s="29">
        <f t="shared" si="17"/>
        <v>0</v>
      </c>
      <c r="J358" s="30">
        <f t="shared" si="18"/>
        <v>420</v>
      </c>
      <c r="K358" s="31">
        <v>2</v>
      </c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>
        <v>2</v>
      </c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t="s">
        <v>75</v>
      </c>
      <c r="BD358">
        <v>353</v>
      </c>
      <c r="BF358" s="30">
        <f>IF($BD358="","",SUMIF($BD$6:$BD$2000,$BD358,$J$6:$J$2000))</f>
        <v>420</v>
      </c>
    </row>
    <row r="359" spans="1:58" ht="19.5" customHeight="1" x14ac:dyDescent="0.25">
      <c r="A359" s="96" t="s">
        <v>2054</v>
      </c>
      <c r="B359" s="32" t="s">
        <v>71</v>
      </c>
      <c r="C359" s="33">
        <v>427</v>
      </c>
      <c r="D359" s="32" t="s">
        <v>611</v>
      </c>
      <c r="E359" s="32" t="s">
        <v>220</v>
      </c>
      <c r="F359" s="33" t="s">
        <v>221</v>
      </c>
      <c r="G359" s="34">
        <v>46388</v>
      </c>
      <c r="H359" s="35">
        <f t="shared" si="16"/>
        <v>4</v>
      </c>
      <c r="I359" s="35">
        <f t="shared" si="17"/>
        <v>2</v>
      </c>
      <c r="J359" s="36">
        <f t="shared" si="18"/>
        <v>1470</v>
      </c>
      <c r="K359" s="37">
        <v>2</v>
      </c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>
        <v>2</v>
      </c>
      <c r="AB359" s="37"/>
      <c r="AC359" s="37"/>
      <c r="AD359" s="37"/>
      <c r="AE359" s="37"/>
      <c r="AF359" s="37"/>
      <c r="AG359" s="37"/>
      <c r="AH359" s="37">
        <v>2</v>
      </c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t="s">
        <v>75</v>
      </c>
      <c r="BD359">
        <v>354</v>
      </c>
      <c r="BF359" s="30">
        <f>IF($BD359="","",SUMIF($BD$6:$BD$2000,$BD359,$J$6:$J$2000))</f>
        <v>1470</v>
      </c>
    </row>
    <row r="360" spans="1:58" ht="19.5" customHeight="1" x14ac:dyDescent="0.25">
      <c r="A360" s="96" t="s">
        <v>2054</v>
      </c>
      <c r="B360" s="26" t="s">
        <v>71</v>
      </c>
      <c r="C360" s="27">
        <v>430</v>
      </c>
      <c r="D360" s="26" t="s">
        <v>612</v>
      </c>
      <c r="E360" s="26" t="s">
        <v>73</v>
      </c>
      <c r="F360" s="27" t="s">
        <v>74</v>
      </c>
      <c r="G360" s="28">
        <v>46296</v>
      </c>
      <c r="H360" s="29">
        <f t="shared" si="16"/>
        <v>10</v>
      </c>
      <c r="I360" s="29">
        <f t="shared" si="17"/>
        <v>0</v>
      </c>
      <c r="J360" s="30">
        <f t="shared" si="18"/>
        <v>640</v>
      </c>
      <c r="K360" s="31">
        <v>6</v>
      </c>
      <c r="L360" s="31"/>
      <c r="M360" s="31"/>
      <c r="N360" s="31">
        <v>3</v>
      </c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>
        <v>1</v>
      </c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t="s">
        <v>75</v>
      </c>
      <c r="BD360">
        <v>355</v>
      </c>
      <c r="BF360" s="30">
        <f>IF($BD360="","",SUMIF($BD$6:$BD$2000,$BD360,$J$6:$J$2000))</f>
        <v>640</v>
      </c>
    </row>
    <row r="361" spans="1:58" ht="19.5" customHeight="1" x14ac:dyDescent="0.25">
      <c r="A361" s="96" t="s">
        <v>2054</v>
      </c>
      <c r="B361" s="32" t="s">
        <v>71</v>
      </c>
      <c r="C361" s="33">
        <v>432</v>
      </c>
      <c r="D361" s="32" t="s">
        <v>613</v>
      </c>
      <c r="E361" s="32" t="s">
        <v>179</v>
      </c>
      <c r="F361" s="33" t="s">
        <v>114</v>
      </c>
      <c r="G361" s="34">
        <v>46296</v>
      </c>
      <c r="H361" s="35">
        <f t="shared" si="16"/>
        <v>4</v>
      </c>
      <c r="I361" s="35">
        <f t="shared" si="17"/>
        <v>0</v>
      </c>
      <c r="J361" s="36">
        <f t="shared" si="18"/>
        <v>420</v>
      </c>
      <c r="K361" s="37">
        <v>2</v>
      </c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>
        <v>2</v>
      </c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t="s">
        <v>75</v>
      </c>
      <c r="BD361">
        <v>356</v>
      </c>
      <c r="BF361" s="30">
        <f>IF($BD361="","",SUMIF($BD$6:$BD$2000,$BD361,$J$6:$J$2000))</f>
        <v>420</v>
      </c>
    </row>
    <row r="362" spans="1:58" ht="19.5" customHeight="1" x14ac:dyDescent="0.25">
      <c r="A362" s="96" t="s">
        <v>2054</v>
      </c>
      <c r="B362" s="26" t="s">
        <v>71</v>
      </c>
      <c r="C362" s="27">
        <v>433</v>
      </c>
      <c r="D362" s="26" t="s">
        <v>614</v>
      </c>
      <c r="E362" s="26" t="s">
        <v>73</v>
      </c>
      <c r="F362" s="27" t="s">
        <v>74</v>
      </c>
      <c r="G362" s="28">
        <v>46204</v>
      </c>
      <c r="H362" s="29">
        <f t="shared" si="16"/>
        <v>5</v>
      </c>
      <c r="I362" s="29">
        <f t="shared" si="17"/>
        <v>0</v>
      </c>
      <c r="J362" s="30">
        <f t="shared" si="18"/>
        <v>360</v>
      </c>
      <c r="K362" s="31">
        <v>2</v>
      </c>
      <c r="L362" s="31"/>
      <c r="M362" s="31">
        <v>2</v>
      </c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>
        <v>1</v>
      </c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t="s">
        <v>75</v>
      </c>
      <c r="BD362">
        <v>357</v>
      </c>
      <c r="BF362" s="30">
        <f>IF($BD362="","",SUMIF($BD$6:$BD$2000,$BD362,$J$6:$J$2000))</f>
        <v>360</v>
      </c>
    </row>
    <row r="363" spans="1:58" ht="19.5" customHeight="1" x14ac:dyDescent="0.25">
      <c r="A363" s="96" t="s">
        <v>2054</v>
      </c>
      <c r="B363" s="32" t="s">
        <v>71</v>
      </c>
      <c r="C363" s="33">
        <v>434</v>
      </c>
      <c r="D363" s="32" t="s">
        <v>615</v>
      </c>
      <c r="E363" s="32" t="s">
        <v>223</v>
      </c>
      <c r="F363" s="33" t="s">
        <v>213</v>
      </c>
      <c r="G363" s="34">
        <v>46143</v>
      </c>
      <c r="H363" s="35">
        <f t="shared" si="16"/>
        <v>2</v>
      </c>
      <c r="I363" s="35">
        <f t="shared" si="17"/>
        <v>0</v>
      </c>
      <c r="J363" s="36">
        <f t="shared" si="18"/>
        <v>143</v>
      </c>
      <c r="K363" s="37"/>
      <c r="L363" s="37"/>
      <c r="M363" s="37"/>
      <c r="N363" s="37">
        <v>1</v>
      </c>
      <c r="O363" s="37"/>
      <c r="P363" s="37"/>
      <c r="Q363" s="37"/>
      <c r="R363" s="37"/>
      <c r="S363" s="37"/>
      <c r="T363" s="37"/>
      <c r="U363" s="37">
        <v>1</v>
      </c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t="s">
        <v>75</v>
      </c>
      <c r="BD363">
        <v>358</v>
      </c>
      <c r="BF363" s="30">
        <f>IF($BD363="","",SUMIF($BD$6:$BD$2000,$BD363,$J$6:$J$2000))</f>
        <v>143</v>
      </c>
    </row>
    <row r="364" spans="1:58" ht="19.5" customHeight="1" x14ac:dyDescent="0.25">
      <c r="A364" s="96" t="s">
        <v>2054</v>
      </c>
      <c r="B364" s="26" t="s">
        <v>71</v>
      </c>
      <c r="C364" s="27">
        <v>435</v>
      </c>
      <c r="D364" s="26" t="s">
        <v>616</v>
      </c>
      <c r="E364" s="26" t="s">
        <v>225</v>
      </c>
      <c r="F364" s="27" t="s">
        <v>226</v>
      </c>
      <c r="G364" s="28">
        <v>46235</v>
      </c>
      <c r="H364" s="29">
        <f t="shared" si="16"/>
        <v>4</v>
      </c>
      <c r="I364" s="29">
        <f t="shared" si="17"/>
        <v>0</v>
      </c>
      <c r="J364" s="30">
        <f t="shared" si="18"/>
        <v>420</v>
      </c>
      <c r="K364" s="31">
        <v>2</v>
      </c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>
        <v>2</v>
      </c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t="s">
        <v>75</v>
      </c>
      <c r="BD364">
        <v>359</v>
      </c>
      <c r="BF364" s="30">
        <f>IF($BD364="","",SUMIF($BD$6:$BD$2000,$BD364,$J$6:$J$2000))</f>
        <v>420</v>
      </c>
    </row>
    <row r="365" spans="1:58" ht="19.5" customHeight="1" x14ac:dyDescent="0.25">
      <c r="A365" s="96" t="s">
        <v>2054</v>
      </c>
      <c r="B365" s="32" t="s">
        <v>71</v>
      </c>
      <c r="C365" s="33">
        <v>436</v>
      </c>
      <c r="D365" s="32" t="s">
        <v>617</v>
      </c>
      <c r="E365" s="32" t="s">
        <v>260</v>
      </c>
      <c r="F365" s="33" t="s">
        <v>261</v>
      </c>
      <c r="G365" s="34">
        <v>46203</v>
      </c>
      <c r="H365" s="35">
        <f t="shared" si="16"/>
        <v>4</v>
      </c>
      <c r="I365" s="35">
        <f t="shared" si="17"/>
        <v>0</v>
      </c>
      <c r="J365" s="36">
        <f t="shared" si="18"/>
        <v>530</v>
      </c>
      <c r="K365" s="37">
        <v>1</v>
      </c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>
        <v>3</v>
      </c>
      <c r="AB365" s="37"/>
      <c r="AC365" s="37"/>
      <c r="AD365" s="37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t="s">
        <v>75</v>
      </c>
      <c r="BD365">
        <v>360</v>
      </c>
      <c r="BF365" s="30">
        <f>IF($BD365="","",SUMIF($BD$6:$BD$2000,$BD365,$J$6:$J$2000))</f>
        <v>530</v>
      </c>
    </row>
    <row r="366" spans="1:58" ht="19.5" customHeight="1" x14ac:dyDescent="0.25">
      <c r="A366" s="96" t="s">
        <v>2054</v>
      </c>
      <c r="B366" s="26" t="s">
        <v>71</v>
      </c>
      <c r="C366" s="27">
        <v>437</v>
      </c>
      <c r="D366" s="26" t="s">
        <v>618</v>
      </c>
      <c r="E366" s="26" t="s">
        <v>619</v>
      </c>
      <c r="F366" s="27" t="s">
        <v>160</v>
      </c>
      <c r="G366" s="28">
        <v>46388</v>
      </c>
      <c r="H366" s="29">
        <f t="shared" si="16"/>
        <v>18</v>
      </c>
      <c r="I366" s="29">
        <f t="shared" si="17"/>
        <v>10</v>
      </c>
      <c r="J366" s="30">
        <f t="shared" si="18"/>
        <v>6744</v>
      </c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>
        <v>18</v>
      </c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>
        <v>10</v>
      </c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t="s">
        <v>75</v>
      </c>
      <c r="BD366">
        <v>361</v>
      </c>
      <c r="BF366" s="30">
        <f>IF($BD366="","",SUMIF($BD$6:$BD$2000,$BD366,$J$6:$J$2000))</f>
        <v>6744</v>
      </c>
    </row>
    <row r="367" spans="1:58" ht="19.5" customHeight="1" x14ac:dyDescent="0.25">
      <c r="A367" s="96" t="s">
        <v>2054</v>
      </c>
      <c r="B367" s="32" t="s">
        <v>71</v>
      </c>
      <c r="C367" s="33">
        <v>438</v>
      </c>
      <c r="D367" s="32" t="s">
        <v>620</v>
      </c>
      <c r="E367" s="32" t="s">
        <v>73</v>
      </c>
      <c r="F367" s="33" t="s">
        <v>74</v>
      </c>
      <c r="G367" s="34">
        <v>46235</v>
      </c>
      <c r="H367" s="35">
        <f t="shared" si="16"/>
        <v>12</v>
      </c>
      <c r="I367" s="35">
        <f t="shared" si="17"/>
        <v>6</v>
      </c>
      <c r="J367" s="36">
        <f t="shared" si="18"/>
        <v>8770</v>
      </c>
      <c r="K367" s="37">
        <v>4</v>
      </c>
      <c r="L367" s="37"/>
      <c r="M367" s="37">
        <v>1</v>
      </c>
      <c r="N367" s="37">
        <v>1</v>
      </c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>
        <v>6</v>
      </c>
      <c r="AB367" s="37"/>
      <c r="AC367" s="37"/>
      <c r="AD367" s="37"/>
      <c r="AE367" s="37"/>
      <c r="AF367" s="37"/>
      <c r="AG367" s="37"/>
      <c r="AH367" s="37"/>
      <c r="AI367" s="37"/>
      <c r="AJ367" s="37"/>
      <c r="AK367" s="37">
        <v>6</v>
      </c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t="s">
        <v>75</v>
      </c>
      <c r="BD367">
        <v>362</v>
      </c>
      <c r="BF367" s="30">
        <f>IF($BD367="","",SUMIF($BD$6:$BD$2000,$BD367,$J$6:$J$2000))</f>
        <v>8770</v>
      </c>
    </row>
    <row r="368" spans="1:58" ht="19.5" customHeight="1" x14ac:dyDescent="0.25">
      <c r="A368" s="96" t="s">
        <v>2054</v>
      </c>
      <c r="B368" s="26" t="s">
        <v>71</v>
      </c>
      <c r="C368" s="27">
        <v>310</v>
      </c>
      <c r="D368" s="26" t="s">
        <v>621</v>
      </c>
      <c r="E368" s="26" t="s">
        <v>128</v>
      </c>
      <c r="F368" s="27" t="s">
        <v>126</v>
      </c>
      <c r="G368" s="28">
        <v>46266</v>
      </c>
      <c r="H368" s="29">
        <f t="shared" si="16"/>
        <v>55</v>
      </c>
      <c r="I368" s="29">
        <f t="shared" si="17"/>
        <v>30</v>
      </c>
      <c r="J368" s="30">
        <f t="shared" si="18"/>
        <v>20351</v>
      </c>
      <c r="K368" s="31"/>
      <c r="L368" s="31"/>
      <c r="M368" s="31"/>
      <c r="N368" s="31"/>
      <c r="O368" s="31"/>
      <c r="P368" s="31"/>
      <c r="Q368" s="31"/>
      <c r="R368" s="31"/>
      <c r="S368" s="31"/>
      <c r="T368" s="31">
        <v>5</v>
      </c>
      <c r="U368" s="31">
        <v>47</v>
      </c>
      <c r="V368" s="31">
        <v>3</v>
      </c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>
        <v>30</v>
      </c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t="s">
        <v>75</v>
      </c>
      <c r="BD368">
        <v>363</v>
      </c>
      <c r="BF368" s="30">
        <f>IF($BD368="","",SUMIF($BD$6:$BD$2000,$BD368,$J$6:$J$2000))</f>
        <v>20351</v>
      </c>
    </row>
    <row r="369" spans="1:58" ht="19.5" customHeight="1" x14ac:dyDescent="0.25">
      <c r="A369" s="96" t="s">
        <v>2054</v>
      </c>
      <c r="B369" s="32" t="s">
        <v>71</v>
      </c>
      <c r="C369" s="33">
        <v>442</v>
      </c>
      <c r="D369" s="32" t="s">
        <v>622</v>
      </c>
      <c r="E369" s="32" t="s">
        <v>113</v>
      </c>
      <c r="F369" s="33" t="s">
        <v>114</v>
      </c>
      <c r="G369" s="34">
        <v>46054</v>
      </c>
      <c r="H369" s="35">
        <f t="shared" si="16"/>
        <v>8</v>
      </c>
      <c r="I369" s="35">
        <f t="shared" si="17"/>
        <v>4</v>
      </c>
      <c r="J369" s="36">
        <f t="shared" si="18"/>
        <v>2720</v>
      </c>
      <c r="K369" s="37">
        <v>1</v>
      </c>
      <c r="L369" s="37"/>
      <c r="M369" s="37">
        <v>5</v>
      </c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>
        <v>2</v>
      </c>
      <c r="AB369" s="37"/>
      <c r="AC369" s="37"/>
      <c r="AD369" s="37"/>
      <c r="AE369" s="37"/>
      <c r="AF369" s="37"/>
      <c r="AG369" s="37"/>
      <c r="AH369" s="37">
        <v>4</v>
      </c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t="s">
        <v>75</v>
      </c>
      <c r="BD369">
        <v>364</v>
      </c>
      <c r="BF369" s="30">
        <f>IF($BD369="","",SUMIF($BD$6:$BD$2000,$BD369,$J$6:$J$2000))</f>
        <v>2720</v>
      </c>
    </row>
    <row r="370" spans="1:58" ht="19.5" customHeight="1" x14ac:dyDescent="0.25">
      <c r="A370" s="96" t="s">
        <v>2054</v>
      </c>
      <c r="B370" s="26" t="s">
        <v>71</v>
      </c>
      <c r="C370" s="27">
        <v>338</v>
      </c>
      <c r="D370" s="26" t="s">
        <v>623</v>
      </c>
      <c r="E370" s="26" t="s">
        <v>128</v>
      </c>
      <c r="F370" s="27" t="s">
        <v>126</v>
      </c>
      <c r="G370" s="28">
        <v>46266</v>
      </c>
      <c r="H370" s="29">
        <f t="shared" si="16"/>
        <v>21</v>
      </c>
      <c r="I370" s="29">
        <f t="shared" si="17"/>
        <v>16</v>
      </c>
      <c r="J370" s="30">
        <f t="shared" si="18"/>
        <v>10451</v>
      </c>
      <c r="K370" s="31">
        <v>5</v>
      </c>
      <c r="L370" s="31"/>
      <c r="M370" s="31">
        <v>2</v>
      </c>
      <c r="N370" s="31"/>
      <c r="O370" s="31"/>
      <c r="P370" s="31"/>
      <c r="Q370" s="31"/>
      <c r="R370" s="31"/>
      <c r="S370" s="31"/>
      <c r="T370" s="31"/>
      <c r="U370" s="31">
        <v>7</v>
      </c>
      <c r="V370" s="31"/>
      <c r="W370" s="31"/>
      <c r="X370" s="31"/>
      <c r="Y370" s="31"/>
      <c r="Z370" s="31"/>
      <c r="AA370" s="31">
        <v>7</v>
      </c>
      <c r="AB370" s="31"/>
      <c r="AC370" s="31"/>
      <c r="AD370" s="31"/>
      <c r="AE370" s="31"/>
      <c r="AF370" s="31"/>
      <c r="AG370" s="31"/>
      <c r="AH370" s="31">
        <v>16</v>
      </c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t="s">
        <v>75</v>
      </c>
      <c r="BD370">
        <v>365</v>
      </c>
      <c r="BF370" s="30">
        <f>IF($BD370="","",SUMIF($BD$6:$BD$2000,$BD370,$J$6:$J$2000))</f>
        <v>10451</v>
      </c>
    </row>
    <row r="371" spans="1:58" ht="19.5" customHeight="1" x14ac:dyDescent="0.25">
      <c r="A371" s="96" t="s">
        <v>2054</v>
      </c>
      <c r="B371" s="32" t="s">
        <v>71</v>
      </c>
      <c r="C371" s="33">
        <v>444</v>
      </c>
      <c r="D371" s="32" t="s">
        <v>624</v>
      </c>
      <c r="E371" s="32" t="s">
        <v>625</v>
      </c>
      <c r="F371" s="33" t="s">
        <v>74</v>
      </c>
      <c r="G371" s="34">
        <v>46054</v>
      </c>
      <c r="H371" s="35">
        <f t="shared" si="16"/>
        <v>3</v>
      </c>
      <c r="I371" s="35">
        <f t="shared" si="17"/>
        <v>0</v>
      </c>
      <c r="J371" s="36">
        <f t="shared" si="18"/>
        <v>260</v>
      </c>
      <c r="K371" s="37">
        <v>2</v>
      </c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>
        <v>1</v>
      </c>
      <c r="AB371" s="37"/>
      <c r="AC371" s="37"/>
      <c r="AD371" s="37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t="s">
        <v>75</v>
      </c>
      <c r="BD371">
        <v>366</v>
      </c>
      <c r="BF371" s="30">
        <f>IF($BD371="","",SUMIF($BD$6:$BD$2000,$BD371,$J$6:$J$2000))</f>
        <v>260</v>
      </c>
    </row>
    <row r="372" spans="1:58" ht="19.5" customHeight="1" x14ac:dyDescent="0.25">
      <c r="A372" s="96" t="s">
        <v>2054</v>
      </c>
      <c r="B372" s="26" t="s">
        <v>71</v>
      </c>
      <c r="C372" s="27">
        <v>445</v>
      </c>
      <c r="D372" s="26" t="s">
        <v>626</v>
      </c>
      <c r="E372" s="26" t="s">
        <v>345</v>
      </c>
      <c r="F372" s="27" t="s">
        <v>133</v>
      </c>
      <c r="G372" s="28">
        <v>46113</v>
      </c>
      <c r="H372" s="29">
        <f t="shared" si="16"/>
        <v>4</v>
      </c>
      <c r="I372" s="29">
        <f t="shared" si="17"/>
        <v>0</v>
      </c>
      <c r="J372" s="30">
        <f t="shared" si="18"/>
        <v>340</v>
      </c>
      <c r="K372" s="31">
        <v>1</v>
      </c>
      <c r="L372" s="31"/>
      <c r="M372" s="31"/>
      <c r="N372" s="31"/>
      <c r="O372" s="31"/>
      <c r="P372" s="31"/>
      <c r="Q372" s="31"/>
      <c r="R372" s="31"/>
      <c r="S372" s="31"/>
      <c r="T372" s="31">
        <v>2</v>
      </c>
      <c r="U372" s="31"/>
      <c r="V372" s="31"/>
      <c r="W372" s="31"/>
      <c r="X372" s="31"/>
      <c r="Y372" s="31"/>
      <c r="Z372" s="31"/>
      <c r="AA372" s="31">
        <v>1</v>
      </c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t="s">
        <v>75</v>
      </c>
      <c r="BD372">
        <v>367</v>
      </c>
      <c r="BF372" s="30">
        <f>IF($BD372="","",SUMIF($BD$6:$BD$2000,$BD372,$J$6:$J$2000))</f>
        <v>340</v>
      </c>
    </row>
    <row r="373" spans="1:58" ht="19.5" customHeight="1" x14ac:dyDescent="0.25">
      <c r="A373" s="96" t="s">
        <v>2054</v>
      </c>
      <c r="B373" s="32" t="s">
        <v>71</v>
      </c>
      <c r="C373" s="33">
        <v>446</v>
      </c>
      <c r="D373" s="32" t="s">
        <v>627</v>
      </c>
      <c r="E373" s="32" t="s">
        <v>119</v>
      </c>
      <c r="F373" s="33" t="s">
        <v>120</v>
      </c>
      <c r="G373" s="34">
        <v>46143</v>
      </c>
      <c r="H373" s="35">
        <f t="shared" si="16"/>
        <v>14</v>
      </c>
      <c r="I373" s="35">
        <f t="shared" si="17"/>
        <v>4</v>
      </c>
      <c r="J373" s="36">
        <f t="shared" si="18"/>
        <v>3260</v>
      </c>
      <c r="K373" s="37">
        <v>8</v>
      </c>
      <c r="L373" s="37"/>
      <c r="M373" s="37"/>
      <c r="N373" s="37">
        <v>2</v>
      </c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>
        <v>4</v>
      </c>
      <c r="AB373" s="37"/>
      <c r="AC373" s="37"/>
      <c r="AD373" s="37"/>
      <c r="AE373" s="37"/>
      <c r="AF373" s="37"/>
      <c r="AG373" s="37"/>
      <c r="AH373" s="37">
        <v>4</v>
      </c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t="s">
        <v>75</v>
      </c>
      <c r="BD373">
        <v>368</v>
      </c>
      <c r="BF373" s="30">
        <f>IF($BD373="","",SUMIF($BD$6:$BD$2000,$BD373,$J$6:$J$2000))</f>
        <v>3260</v>
      </c>
    </row>
    <row r="374" spans="1:58" ht="19.5" customHeight="1" x14ac:dyDescent="0.25">
      <c r="A374" s="96" t="s">
        <v>2054</v>
      </c>
      <c r="B374" s="26" t="s">
        <v>71</v>
      </c>
      <c r="C374" s="27">
        <v>447</v>
      </c>
      <c r="D374" s="26" t="s">
        <v>628</v>
      </c>
      <c r="E374" s="26" t="s">
        <v>119</v>
      </c>
      <c r="F374" s="27" t="s">
        <v>120</v>
      </c>
      <c r="G374" s="28">
        <v>46143</v>
      </c>
      <c r="H374" s="29">
        <f t="shared" si="16"/>
        <v>11</v>
      </c>
      <c r="I374" s="29">
        <f t="shared" si="17"/>
        <v>8</v>
      </c>
      <c r="J374" s="30">
        <f t="shared" si="18"/>
        <v>5179</v>
      </c>
      <c r="K374" s="31">
        <v>5</v>
      </c>
      <c r="L374" s="31"/>
      <c r="M374" s="31"/>
      <c r="N374" s="31"/>
      <c r="O374" s="31"/>
      <c r="P374" s="31"/>
      <c r="Q374" s="31"/>
      <c r="R374" s="31"/>
      <c r="S374" s="31"/>
      <c r="T374" s="31"/>
      <c r="U374" s="31">
        <v>3</v>
      </c>
      <c r="V374" s="31"/>
      <c r="W374" s="31"/>
      <c r="X374" s="31"/>
      <c r="Y374" s="31"/>
      <c r="Z374" s="31"/>
      <c r="AA374" s="31">
        <v>3</v>
      </c>
      <c r="AB374" s="31"/>
      <c r="AC374" s="31"/>
      <c r="AD374" s="31"/>
      <c r="AE374" s="31"/>
      <c r="AF374" s="31"/>
      <c r="AG374" s="31"/>
      <c r="AH374" s="31">
        <v>8</v>
      </c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t="s">
        <v>75</v>
      </c>
      <c r="BD374">
        <v>369</v>
      </c>
      <c r="BF374" s="30">
        <f>IF($BD374="","",SUMIF($BD$6:$BD$2000,$BD374,$J$6:$J$2000))</f>
        <v>5179</v>
      </c>
    </row>
    <row r="375" spans="1:58" ht="19.5" customHeight="1" x14ac:dyDescent="0.25">
      <c r="A375" s="96" t="s">
        <v>2054</v>
      </c>
      <c r="B375" s="32" t="s">
        <v>71</v>
      </c>
      <c r="C375" s="33">
        <v>449</v>
      </c>
      <c r="D375" s="32" t="s">
        <v>629</v>
      </c>
      <c r="E375" s="32" t="s">
        <v>630</v>
      </c>
      <c r="F375" s="33" t="s">
        <v>74</v>
      </c>
      <c r="G375" s="34">
        <v>46296</v>
      </c>
      <c r="H375" s="35">
        <f t="shared" si="16"/>
        <v>3</v>
      </c>
      <c r="I375" s="35">
        <f t="shared" si="17"/>
        <v>0</v>
      </c>
      <c r="J375" s="36">
        <f t="shared" si="18"/>
        <v>260</v>
      </c>
      <c r="K375" s="37">
        <v>1</v>
      </c>
      <c r="L375" s="37"/>
      <c r="M375" s="37">
        <v>1</v>
      </c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>
        <v>1</v>
      </c>
      <c r="AB375" s="37"/>
      <c r="AC375" s="37"/>
      <c r="AD375" s="37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t="s">
        <v>75</v>
      </c>
      <c r="BD375">
        <v>370</v>
      </c>
      <c r="BF375" s="30">
        <f>IF($BD375="","",SUMIF($BD$6:$BD$2000,$BD375,$J$6:$J$2000))</f>
        <v>260</v>
      </c>
    </row>
    <row r="376" spans="1:58" ht="19.5" customHeight="1" x14ac:dyDescent="0.25">
      <c r="A376" s="96" t="s">
        <v>2054</v>
      </c>
      <c r="B376" s="26" t="s">
        <v>71</v>
      </c>
      <c r="C376" s="27">
        <v>451</v>
      </c>
      <c r="D376" s="26" t="s">
        <v>631</v>
      </c>
      <c r="E376" s="26" t="s">
        <v>73</v>
      </c>
      <c r="F376" s="27" t="s">
        <v>74</v>
      </c>
      <c r="G376" s="28">
        <v>46054</v>
      </c>
      <c r="H376" s="29">
        <f t="shared" si="16"/>
        <v>4</v>
      </c>
      <c r="I376" s="29">
        <f t="shared" si="17"/>
        <v>0</v>
      </c>
      <c r="J376" s="30">
        <f t="shared" si="18"/>
        <v>310</v>
      </c>
      <c r="K376" s="31">
        <v>2</v>
      </c>
      <c r="L376" s="31"/>
      <c r="M376" s="31">
        <v>1</v>
      </c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>
        <v>1</v>
      </c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t="s">
        <v>75</v>
      </c>
      <c r="BD376">
        <v>371</v>
      </c>
      <c r="BF376" s="30">
        <f>IF($BD376="","",SUMIF($BD$6:$BD$2000,$BD376,$J$6:$J$2000))</f>
        <v>310</v>
      </c>
    </row>
    <row r="377" spans="1:58" ht="19.5" customHeight="1" x14ac:dyDescent="0.25">
      <c r="A377" s="96" t="s">
        <v>2054</v>
      </c>
      <c r="B377" s="32" t="s">
        <v>71</v>
      </c>
      <c r="C377" s="33">
        <v>452</v>
      </c>
      <c r="D377" s="32" t="s">
        <v>632</v>
      </c>
      <c r="E377" s="32" t="s">
        <v>119</v>
      </c>
      <c r="F377" s="33" t="s">
        <v>120</v>
      </c>
      <c r="G377" s="34">
        <v>46388</v>
      </c>
      <c r="H377" s="35">
        <f t="shared" si="16"/>
        <v>5</v>
      </c>
      <c r="I377" s="35">
        <f t="shared" si="17"/>
        <v>4</v>
      </c>
      <c r="J377" s="36">
        <f t="shared" si="18"/>
        <v>2580</v>
      </c>
      <c r="K377" s="37">
        <v>2</v>
      </c>
      <c r="L377" s="37"/>
      <c r="M377" s="37"/>
      <c r="N377" s="37">
        <v>1</v>
      </c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>
        <v>2</v>
      </c>
      <c r="AB377" s="37"/>
      <c r="AC377" s="37"/>
      <c r="AD377" s="37"/>
      <c r="AE377" s="37"/>
      <c r="AF377" s="37"/>
      <c r="AG377" s="37"/>
      <c r="AH377" s="37">
        <v>4</v>
      </c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t="s">
        <v>75</v>
      </c>
      <c r="BD377">
        <v>372</v>
      </c>
      <c r="BF377" s="30">
        <f>IF($BD377="","",SUMIF($BD$6:$BD$2000,$BD377,$J$6:$J$2000))</f>
        <v>2580</v>
      </c>
    </row>
    <row r="378" spans="1:58" ht="19.5" customHeight="1" x14ac:dyDescent="0.25">
      <c r="A378" s="96" t="s">
        <v>2054</v>
      </c>
      <c r="B378" s="26" t="s">
        <v>71</v>
      </c>
      <c r="C378" s="27">
        <v>453</v>
      </c>
      <c r="D378" s="26" t="s">
        <v>633</v>
      </c>
      <c r="E378" s="26" t="s">
        <v>314</v>
      </c>
      <c r="F378" s="27" t="s">
        <v>210</v>
      </c>
      <c r="G378" s="28">
        <v>46388</v>
      </c>
      <c r="H378" s="29">
        <f t="shared" si="16"/>
        <v>6</v>
      </c>
      <c r="I378" s="29">
        <f t="shared" si="17"/>
        <v>0</v>
      </c>
      <c r="J378" s="30">
        <f t="shared" si="18"/>
        <v>486</v>
      </c>
      <c r="K378" s="31">
        <v>2</v>
      </c>
      <c r="L378" s="31"/>
      <c r="M378" s="31"/>
      <c r="N378" s="31">
        <v>1</v>
      </c>
      <c r="O378" s="31"/>
      <c r="P378" s="31"/>
      <c r="Q378" s="31"/>
      <c r="R378" s="31"/>
      <c r="S378" s="31"/>
      <c r="T378" s="31"/>
      <c r="U378" s="31">
        <v>2</v>
      </c>
      <c r="V378" s="31"/>
      <c r="W378" s="31"/>
      <c r="X378" s="31"/>
      <c r="Y378" s="31"/>
      <c r="Z378" s="31"/>
      <c r="AA378" s="31">
        <v>1</v>
      </c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t="s">
        <v>75</v>
      </c>
      <c r="BD378">
        <v>373</v>
      </c>
      <c r="BF378" s="30">
        <f>IF($BD378="","",SUMIF($BD$6:$BD$2000,$BD378,$J$6:$J$2000))</f>
        <v>486</v>
      </c>
    </row>
    <row r="379" spans="1:58" ht="19.5" customHeight="1" x14ac:dyDescent="0.25">
      <c r="A379" s="96" t="s">
        <v>2054</v>
      </c>
      <c r="B379" s="32" t="s">
        <v>71</v>
      </c>
      <c r="C379" s="33">
        <v>454</v>
      </c>
      <c r="D379" s="32" t="s">
        <v>634</v>
      </c>
      <c r="E379" s="32" t="s">
        <v>119</v>
      </c>
      <c r="F379" s="33" t="s">
        <v>120</v>
      </c>
      <c r="G379" s="34">
        <v>46388</v>
      </c>
      <c r="H379" s="35">
        <f t="shared" si="16"/>
        <v>3</v>
      </c>
      <c r="I379" s="35">
        <f t="shared" si="17"/>
        <v>0</v>
      </c>
      <c r="J379" s="36">
        <f t="shared" si="18"/>
        <v>260</v>
      </c>
      <c r="K379" s="37">
        <v>1</v>
      </c>
      <c r="L379" s="37"/>
      <c r="M379" s="37">
        <v>1</v>
      </c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>
        <v>1</v>
      </c>
      <c r="AB379" s="37"/>
      <c r="AC379" s="37"/>
      <c r="AD379" s="37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t="s">
        <v>75</v>
      </c>
      <c r="BD379">
        <v>374</v>
      </c>
      <c r="BF379" s="30">
        <f>IF($BD379="","",SUMIF($BD$6:$BD$2000,$BD379,$J$6:$J$2000))</f>
        <v>260</v>
      </c>
    </row>
    <row r="380" spans="1:58" ht="19.5" customHeight="1" x14ac:dyDescent="0.25">
      <c r="A380" s="96" t="s">
        <v>2054</v>
      </c>
      <c r="B380" s="26" t="s">
        <v>71</v>
      </c>
      <c r="C380" s="27">
        <v>455</v>
      </c>
      <c r="D380" s="26" t="s">
        <v>635</v>
      </c>
      <c r="E380" s="26" t="s">
        <v>636</v>
      </c>
      <c r="F380" s="27" t="s">
        <v>74</v>
      </c>
      <c r="G380" s="28">
        <v>46204</v>
      </c>
      <c r="H380" s="29">
        <f t="shared" si="16"/>
        <v>7</v>
      </c>
      <c r="I380" s="29">
        <f t="shared" si="17"/>
        <v>0</v>
      </c>
      <c r="J380" s="30">
        <f t="shared" si="18"/>
        <v>680</v>
      </c>
      <c r="K380" s="31">
        <v>2</v>
      </c>
      <c r="L380" s="31"/>
      <c r="M380" s="31">
        <v>2</v>
      </c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>
        <v>3</v>
      </c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t="s">
        <v>75</v>
      </c>
      <c r="BD380">
        <v>375</v>
      </c>
      <c r="BF380" s="30">
        <f>IF($BD380="","",SUMIF($BD$6:$BD$2000,$BD380,$J$6:$J$2000))</f>
        <v>680</v>
      </c>
    </row>
    <row r="381" spans="1:58" ht="19.5" customHeight="1" x14ac:dyDescent="0.25">
      <c r="A381" s="96" t="s">
        <v>2054</v>
      </c>
      <c r="B381" s="32" t="s">
        <v>71</v>
      </c>
      <c r="C381" s="33">
        <v>456</v>
      </c>
      <c r="D381" s="32" t="s">
        <v>637</v>
      </c>
      <c r="E381" s="32" t="s">
        <v>119</v>
      </c>
      <c r="F381" s="33" t="s">
        <v>120</v>
      </c>
      <c r="G381" s="34">
        <v>46388</v>
      </c>
      <c r="H381" s="35">
        <f t="shared" si="16"/>
        <v>5</v>
      </c>
      <c r="I381" s="35">
        <f t="shared" si="17"/>
        <v>0</v>
      </c>
      <c r="J381" s="36">
        <f t="shared" si="18"/>
        <v>480</v>
      </c>
      <c r="K381" s="37">
        <v>2</v>
      </c>
      <c r="L381" s="37"/>
      <c r="M381" s="37"/>
      <c r="N381" s="37">
        <v>1</v>
      </c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>
        <v>2</v>
      </c>
      <c r="AB381" s="37"/>
      <c r="AC381" s="37"/>
      <c r="AD381" s="37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t="s">
        <v>75</v>
      </c>
      <c r="BD381">
        <v>376</v>
      </c>
      <c r="BF381" s="30">
        <f>IF($BD381="","",SUMIF($BD$6:$BD$2000,$BD381,$J$6:$J$2000))</f>
        <v>480</v>
      </c>
    </row>
    <row r="382" spans="1:58" ht="19.5" customHeight="1" x14ac:dyDescent="0.25">
      <c r="A382" s="96" t="s">
        <v>2054</v>
      </c>
      <c r="B382" s="26" t="s">
        <v>71</v>
      </c>
      <c r="C382" s="27">
        <v>457</v>
      </c>
      <c r="D382" s="26" t="s">
        <v>638</v>
      </c>
      <c r="E382" s="26" t="s">
        <v>159</v>
      </c>
      <c r="F382" s="27" t="s">
        <v>160</v>
      </c>
      <c r="G382" s="28">
        <v>46203</v>
      </c>
      <c r="H382" s="29">
        <f t="shared" si="16"/>
        <v>5</v>
      </c>
      <c r="I382" s="29">
        <f t="shared" si="17"/>
        <v>0</v>
      </c>
      <c r="J382" s="30">
        <f t="shared" si="18"/>
        <v>470</v>
      </c>
      <c r="K382" s="31">
        <v>2</v>
      </c>
      <c r="L382" s="31"/>
      <c r="M382" s="31">
        <v>1</v>
      </c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>
        <v>2</v>
      </c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t="s">
        <v>75</v>
      </c>
      <c r="BD382">
        <v>377</v>
      </c>
      <c r="BF382" s="30">
        <f>IF($BD382="","",SUMIF($BD$6:$BD$2000,$BD382,$J$6:$J$2000))</f>
        <v>470</v>
      </c>
    </row>
    <row r="383" spans="1:58" ht="19.5" customHeight="1" x14ac:dyDescent="0.25">
      <c r="A383" s="96" t="s">
        <v>2054</v>
      </c>
      <c r="B383" s="32" t="s">
        <v>71</v>
      </c>
      <c r="C383" s="33">
        <v>458</v>
      </c>
      <c r="D383" s="32" t="s">
        <v>639</v>
      </c>
      <c r="E383" s="32" t="s">
        <v>200</v>
      </c>
      <c r="F383" s="33" t="s">
        <v>201</v>
      </c>
      <c r="G383" s="34">
        <v>46235</v>
      </c>
      <c r="H383" s="35">
        <f t="shared" si="16"/>
        <v>3</v>
      </c>
      <c r="I383" s="35">
        <f t="shared" si="17"/>
        <v>0</v>
      </c>
      <c r="J383" s="36">
        <f t="shared" si="18"/>
        <v>216</v>
      </c>
      <c r="K383" s="37">
        <v>1</v>
      </c>
      <c r="L383" s="37"/>
      <c r="M383" s="37"/>
      <c r="N383" s="37"/>
      <c r="O383" s="37"/>
      <c r="P383" s="37"/>
      <c r="Q383" s="37"/>
      <c r="R383" s="37"/>
      <c r="S383" s="37"/>
      <c r="T383" s="37"/>
      <c r="U383" s="37">
        <v>2</v>
      </c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t="s">
        <v>75</v>
      </c>
      <c r="BD383">
        <v>378</v>
      </c>
      <c r="BF383" s="30">
        <f>IF($BD383="","",SUMIF($BD$6:$BD$2000,$BD383,$J$6:$J$2000))</f>
        <v>216</v>
      </c>
    </row>
    <row r="384" spans="1:58" ht="19.5" customHeight="1" x14ac:dyDescent="0.25">
      <c r="A384" s="96" t="s">
        <v>2054</v>
      </c>
      <c r="B384" s="26" t="s">
        <v>71</v>
      </c>
      <c r="C384" s="27">
        <v>459</v>
      </c>
      <c r="D384" s="26" t="s">
        <v>640</v>
      </c>
      <c r="E384" s="26" t="s">
        <v>73</v>
      </c>
      <c r="F384" s="27" t="s">
        <v>74</v>
      </c>
      <c r="G384" s="28">
        <v>46235</v>
      </c>
      <c r="H384" s="29">
        <f t="shared" si="16"/>
        <v>7</v>
      </c>
      <c r="I384" s="29">
        <f t="shared" si="17"/>
        <v>0</v>
      </c>
      <c r="J384" s="30">
        <f t="shared" si="18"/>
        <v>570</v>
      </c>
      <c r="K384" s="31">
        <v>3</v>
      </c>
      <c r="L384" s="31"/>
      <c r="M384" s="31">
        <v>2</v>
      </c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>
        <v>2</v>
      </c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t="s">
        <v>75</v>
      </c>
      <c r="BD384">
        <v>379</v>
      </c>
      <c r="BF384" s="30">
        <f>IF($BD384="","",SUMIF($BD$6:$BD$2000,$BD384,$J$6:$J$2000))</f>
        <v>570</v>
      </c>
    </row>
    <row r="385" spans="1:58" ht="19.5" customHeight="1" x14ac:dyDescent="0.25">
      <c r="A385" s="96" t="s">
        <v>2054</v>
      </c>
      <c r="B385" s="32" t="s">
        <v>71</v>
      </c>
      <c r="C385" s="33">
        <v>351</v>
      </c>
      <c r="D385" s="32" t="s">
        <v>641</v>
      </c>
      <c r="E385" s="32" t="s">
        <v>641</v>
      </c>
      <c r="F385" s="33" t="s">
        <v>126</v>
      </c>
      <c r="G385" s="34">
        <v>46266</v>
      </c>
      <c r="H385" s="35">
        <f t="shared" si="16"/>
        <v>13</v>
      </c>
      <c r="I385" s="35">
        <f t="shared" si="17"/>
        <v>12</v>
      </c>
      <c r="J385" s="36">
        <f t="shared" si="18"/>
        <v>7240</v>
      </c>
      <c r="K385" s="37"/>
      <c r="L385" s="37"/>
      <c r="M385" s="37"/>
      <c r="N385" s="37"/>
      <c r="O385" s="37"/>
      <c r="P385" s="37"/>
      <c r="Q385" s="37"/>
      <c r="R385" s="37"/>
      <c r="S385" s="37"/>
      <c r="T385" s="37">
        <v>12</v>
      </c>
      <c r="U385" s="37"/>
      <c r="V385" s="37"/>
      <c r="W385" s="37"/>
      <c r="X385" s="37"/>
      <c r="Y385" s="37"/>
      <c r="Z385" s="37"/>
      <c r="AA385" s="37">
        <v>1</v>
      </c>
      <c r="AB385" s="37"/>
      <c r="AC385" s="37"/>
      <c r="AD385" s="37"/>
      <c r="AE385" s="37"/>
      <c r="AF385" s="37"/>
      <c r="AG385" s="37"/>
      <c r="AH385" s="37">
        <v>12</v>
      </c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t="s">
        <v>75</v>
      </c>
      <c r="BD385">
        <v>380</v>
      </c>
      <c r="BF385" s="30">
        <f>IF($BD385="","",SUMIF($BD$6:$BD$2000,$BD385,$J$6:$J$2000))</f>
        <v>7240</v>
      </c>
    </row>
    <row r="386" spans="1:58" ht="19.5" customHeight="1" x14ac:dyDescent="0.25">
      <c r="A386" s="96" t="s">
        <v>2054</v>
      </c>
      <c r="B386" s="26" t="s">
        <v>71</v>
      </c>
      <c r="C386" s="27">
        <v>461</v>
      </c>
      <c r="D386" s="26" t="s">
        <v>642</v>
      </c>
      <c r="E386" s="26" t="s">
        <v>188</v>
      </c>
      <c r="F386" s="27" t="s">
        <v>123</v>
      </c>
      <c r="G386" s="28">
        <v>46419</v>
      </c>
      <c r="H386" s="29">
        <f t="shared" si="16"/>
        <v>4</v>
      </c>
      <c r="I386" s="29">
        <f t="shared" si="17"/>
        <v>0</v>
      </c>
      <c r="J386" s="30">
        <f t="shared" si="18"/>
        <v>440</v>
      </c>
      <c r="K386" s="31"/>
      <c r="L386" s="31"/>
      <c r="M386" s="31"/>
      <c r="N386" s="31">
        <v>2</v>
      </c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>
        <v>2</v>
      </c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t="s">
        <v>75</v>
      </c>
      <c r="BD386">
        <v>381</v>
      </c>
      <c r="BF386" s="30">
        <f>IF($BD386="","",SUMIF($BD$6:$BD$2000,$BD386,$J$6:$J$2000))</f>
        <v>440</v>
      </c>
    </row>
    <row r="387" spans="1:58" ht="19.5" customHeight="1" x14ac:dyDescent="0.25">
      <c r="A387" s="96" t="s">
        <v>2054</v>
      </c>
      <c r="B387" s="32" t="s">
        <v>71</v>
      </c>
      <c r="C387" s="33">
        <v>462</v>
      </c>
      <c r="D387" s="32" t="s">
        <v>643</v>
      </c>
      <c r="E387" s="32" t="s">
        <v>236</v>
      </c>
      <c r="F387" s="33" t="s">
        <v>237</v>
      </c>
      <c r="G387" s="34">
        <v>46235</v>
      </c>
      <c r="H387" s="35">
        <f t="shared" si="16"/>
        <v>4</v>
      </c>
      <c r="I387" s="35">
        <f t="shared" si="17"/>
        <v>0</v>
      </c>
      <c r="J387" s="36">
        <f t="shared" si="18"/>
        <v>260</v>
      </c>
      <c r="K387" s="37"/>
      <c r="L387" s="37"/>
      <c r="M387" s="37"/>
      <c r="N387" s="37"/>
      <c r="O387" s="37"/>
      <c r="P387" s="37"/>
      <c r="Q387" s="37"/>
      <c r="R387" s="37"/>
      <c r="S387" s="37"/>
      <c r="T387" s="37">
        <v>4</v>
      </c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t="s">
        <v>75</v>
      </c>
      <c r="BD387">
        <v>382</v>
      </c>
      <c r="BF387" s="30">
        <f>IF($BD387="","",SUMIF($BD$6:$BD$2000,$BD387,$J$6:$J$2000))</f>
        <v>260</v>
      </c>
    </row>
    <row r="388" spans="1:58" ht="19.5" customHeight="1" x14ac:dyDescent="0.25">
      <c r="A388" s="96" t="s">
        <v>2054</v>
      </c>
      <c r="B388" s="26" t="s">
        <v>71</v>
      </c>
      <c r="C388" s="27">
        <v>463</v>
      </c>
      <c r="D388" s="26" t="s">
        <v>644</v>
      </c>
      <c r="E388" s="26" t="s">
        <v>73</v>
      </c>
      <c r="F388" s="27" t="s">
        <v>74</v>
      </c>
      <c r="G388" s="28">
        <v>46204</v>
      </c>
      <c r="H388" s="29">
        <f t="shared" si="16"/>
        <v>4</v>
      </c>
      <c r="I388" s="29">
        <f t="shared" si="17"/>
        <v>0</v>
      </c>
      <c r="J388" s="30">
        <f t="shared" si="18"/>
        <v>420</v>
      </c>
      <c r="K388" s="31">
        <v>1</v>
      </c>
      <c r="L388" s="31"/>
      <c r="M388" s="31">
        <v>1</v>
      </c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>
        <v>2</v>
      </c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t="s">
        <v>75</v>
      </c>
      <c r="BD388">
        <v>383</v>
      </c>
      <c r="BF388" s="30">
        <f>IF($BD388="","",SUMIF($BD$6:$BD$2000,$BD388,$J$6:$J$2000))</f>
        <v>420</v>
      </c>
    </row>
    <row r="389" spans="1:58" ht="19.5" customHeight="1" x14ac:dyDescent="0.25">
      <c r="A389" s="96" t="s">
        <v>2054</v>
      </c>
      <c r="B389" s="32" t="s">
        <v>71</v>
      </c>
      <c r="C389" s="33">
        <v>464</v>
      </c>
      <c r="D389" s="32" t="s">
        <v>645</v>
      </c>
      <c r="E389" s="32" t="s">
        <v>73</v>
      </c>
      <c r="F389" s="33" t="s">
        <v>74</v>
      </c>
      <c r="G389" s="34">
        <v>46388</v>
      </c>
      <c r="H389" s="35">
        <f t="shared" si="16"/>
        <v>8</v>
      </c>
      <c r="I389" s="35">
        <f t="shared" si="17"/>
        <v>0</v>
      </c>
      <c r="J389" s="36">
        <f t="shared" si="18"/>
        <v>520</v>
      </c>
      <c r="K389" s="37">
        <v>3</v>
      </c>
      <c r="L389" s="37"/>
      <c r="M389" s="37">
        <v>3</v>
      </c>
      <c r="N389" s="37">
        <v>1</v>
      </c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>
        <v>1</v>
      </c>
      <c r="AB389" s="37"/>
      <c r="AC389" s="37"/>
      <c r="AD389" s="37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t="s">
        <v>75</v>
      </c>
      <c r="BD389">
        <v>384</v>
      </c>
      <c r="BF389" s="30">
        <f>IF($BD389="","",SUMIF($BD$6:$BD$2000,$BD389,$J$6:$J$2000))</f>
        <v>520</v>
      </c>
    </row>
    <row r="390" spans="1:58" ht="19.5" customHeight="1" x14ac:dyDescent="0.25">
      <c r="A390" s="96" t="s">
        <v>2054</v>
      </c>
      <c r="B390" s="26" t="s">
        <v>71</v>
      </c>
      <c r="C390" s="27">
        <v>465</v>
      </c>
      <c r="D390" s="26" t="s">
        <v>646</v>
      </c>
      <c r="E390" s="26" t="s">
        <v>73</v>
      </c>
      <c r="F390" s="27" t="s">
        <v>74</v>
      </c>
      <c r="G390" s="28">
        <v>46388</v>
      </c>
      <c r="H390" s="29">
        <f t="shared" ref="H390:H453" si="19">IF($B390="","",SUM($K390:$AG390)+SUM($AS390:$BB390))</f>
        <v>4</v>
      </c>
      <c r="I390" s="29">
        <f t="shared" ref="I390:I453" si="20">IF($B390="","",SUM($AH390:$AL390))</f>
        <v>0</v>
      </c>
      <c r="J390" s="30">
        <f t="shared" ref="J390:J453" si="21">IF($B390="","",SUMPRODUCT($K390:$BB390,$K$2:$BB$2))</f>
        <v>310</v>
      </c>
      <c r="K390" s="31">
        <v>1</v>
      </c>
      <c r="L390" s="31"/>
      <c r="M390" s="31">
        <v>2</v>
      </c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>
        <v>1</v>
      </c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t="s">
        <v>75</v>
      </c>
      <c r="BD390">
        <v>385</v>
      </c>
      <c r="BF390" s="30">
        <f>IF($BD390="","",SUMIF($BD$6:$BD$2000,$BD390,$J$6:$J$2000))</f>
        <v>310</v>
      </c>
    </row>
    <row r="391" spans="1:58" ht="19.5" customHeight="1" x14ac:dyDescent="0.25">
      <c r="A391" s="96" t="s">
        <v>2054</v>
      </c>
      <c r="B391" s="32" t="s">
        <v>71</v>
      </c>
      <c r="C391" s="33">
        <v>466</v>
      </c>
      <c r="D391" s="32" t="s">
        <v>647</v>
      </c>
      <c r="E391" s="32" t="s">
        <v>73</v>
      </c>
      <c r="F391" s="33" t="s">
        <v>74</v>
      </c>
      <c r="G391" s="34">
        <v>46235</v>
      </c>
      <c r="H391" s="35">
        <f t="shared" si="19"/>
        <v>3</v>
      </c>
      <c r="I391" s="35">
        <f t="shared" si="20"/>
        <v>0</v>
      </c>
      <c r="J391" s="36">
        <f t="shared" si="21"/>
        <v>170</v>
      </c>
      <c r="K391" s="37">
        <v>1</v>
      </c>
      <c r="L391" s="37"/>
      <c r="M391" s="37"/>
      <c r="N391" s="37">
        <v>2</v>
      </c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t="s">
        <v>75</v>
      </c>
      <c r="BD391">
        <v>386</v>
      </c>
      <c r="BF391" s="30">
        <f>IF($BD391="","",SUMIF($BD$6:$BD$2000,$BD391,$J$6:$J$2000))</f>
        <v>170</v>
      </c>
    </row>
    <row r="392" spans="1:58" ht="19.5" customHeight="1" x14ac:dyDescent="0.25">
      <c r="A392" s="96" t="s">
        <v>2054</v>
      </c>
      <c r="B392" s="26" t="s">
        <v>71</v>
      </c>
      <c r="C392" s="27">
        <v>467</v>
      </c>
      <c r="D392" s="26" t="s">
        <v>648</v>
      </c>
      <c r="E392" s="26" t="s">
        <v>119</v>
      </c>
      <c r="F392" s="27" t="s">
        <v>120</v>
      </c>
      <c r="G392" s="28">
        <v>46388</v>
      </c>
      <c r="H392" s="29">
        <f t="shared" si="19"/>
        <v>5</v>
      </c>
      <c r="I392" s="29">
        <f t="shared" si="20"/>
        <v>0</v>
      </c>
      <c r="J392" s="30">
        <f t="shared" si="21"/>
        <v>580</v>
      </c>
      <c r="K392" s="31">
        <v>1</v>
      </c>
      <c r="L392" s="31"/>
      <c r="M392" s="31">
        <v>1</v>
      </c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>
        <v>3</v>
      </c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t="s">
        <v>75</v>
      </c>
      <c r="BD392">
        <v>387</v>
      </c>
      <c r="BF392" s="30">
        <f>IF($BD392="","",SUMIF($BD$6:$BD$2000,$BD392,$J$6:$J$2000))</f>
        <v>580</v>
      </c>
    </row>
    <row r="393" spans="1:58" ht="19.5" customHeight="1" x14ac:dyDescent="0.25">
      <c r="A393" s="96" t="s">
        <v>2054</v>
      </c>
      <c r="B393" s="32" t="s">
        <v>71</v>
      </c>
      <c r="C393" s="33">
        <v>470</v>
      </c>
      <c r="D393" s="32" t="s">
        <v>649</v>
      </c>
      <c r="E393" s="32" t="s">
        <v>73</v>
      </c>
      <c r="F393" s="33" t="s">
        <v>74</v>
      </c>
      <c r="G393" s="34">
        <v>46388</v>
      </c>
      <c r="H393" s="35">
        <f t="shared" si="19"/>
        <v>4</v>
      </c>
      <c r="I393" s="35">
        <f t="shared" si="20"/>
        <v>0</v>
      </c>
      <c r="J393" s="36">
        <f t="shared" si="21"/>
        <v>310</v>
      </c>
      <c r="K393" s="37">
        <v>1</v>
      </c>
      <c r="L393" s="37"/>
      <c r="M393" s="37">
        <v>2</v>
      </c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>
        <v>1</v>
      </c>
      <c r="AB393" s="37"/>
      <c r="AC393" s="37"/>
      <c r="AD393" s="37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t="s">
        <v>75</v>
      </c>
      <c r="BD393">
        <v>388</v>
      </c>
      <c r="BF393" s="30">
        <f>IF($BD393="","",SUMIF($BD$6:$BD$2000,$BD393,$J$6:$J$2000))</f>
        <v>310</v>
      </c>
    </row>
    <row r="394" spans="1:58" ht="19.5" customHeight="1" x14ac:dyDescent="0.25">
      <c r="A394" s="96" t="s">
        <v>2054</v>
      </c>
      <c r="B394" s="26" t="s">
        <v>71</v>
      </c>
      <c r="C394" s="27">
        <v>471</v>
      </c>
      <c r="D394" s="26" t="s">
        <v>650</v>
      </c>
      <c r="E394" s="26" t="s">
        <v>171</v>
      </c>
      <c r="F394" s="27" t="s">
        <v>74</v>
      </c>
      <c r="G394" s="28">
        <v>46204</v>
      </c>
      <c r="H394" s="29">
        <f t="shared" si="19"/>
        <v>3</v>
      </c>
      <c r="I394" s="29">
        <f t="shared" si="20"/>
        <v>0</v>
      </c>
      <c r="J394" s="30">
        <f t="shared" si="21"/>
        <v>150</v>
      </c>
      <c r="K394" s="31">
        <v>1</v>
      </c>
      <c r="L394" s="31"/>
      <c r="M394" s="31">
        <v>2</v>
      </c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t="s">
        <v>75</v>
      </c>
      <c r="BD394">
        <v>389</v>
      </c>
      <c r="BF394" s="30">
        <f>IF($BD394="","",SUMIF($BD$6:$BD$2000,$BD394,$J$6:$J$2000))</f>
        <v>150</v>
      </c>
    </row>
    <row r="395" spans="1:58" ht="19.5" customHeight="1" x14ac:dyDescent="0.25">
      <c r="A395" s="96" t="s">
        <v>2054</v>
      </c>
      <c r="B395" s="32" t="s">
        <v>71</v>
      </c>
      <c r="C395" s="33">
        <v>472</v>
      </c>
      <c r="D395" s="32" t="s">
        <v>651</v>
      </c>
      <c r="E395" s="32" t="s">
        <v>179</v>
      </c>
      <c r="F395" s="33" t="s">
        <v>114</v>
      </c>
      <c r="G395" s="34">
        <v>46204</v>
      </c>
      <c r="H395" s="35">
        <f t="shared" si="19"/>
        <v>3</v>
      </c>
      <c r="I395" s="35">
        <f t="shared" si="20"/>
        <v>0</v>
      </c>
      <c r="J395" s="36">
        <f t="shared" si="21"/>
        <v>150</v>
      </c>
      <c r="K395" s="37">
        <v>1</v>
      </c>
      <c r="L395" s="37"/>
      <c r="M395" s="37">
        <v>2</v>
      </c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t="s">
        <v>75</v>
      </c>
      <c r="BD395">
        <v>390</v>
      </c>
      <c r="BF395" s="30">
        <f>IF($BD395="","",SUMIF($BD$6:$BD$2000,$BD395,$J$6:$J$2000))</f>
        <v>150</v>
      </c>
    </row>
    <row r="396" spans="1:58" ht="19.5" customHeight="1" x14ac:dyDescent="0.25">
      <c r="A396" s="96" t="s">
        <v>2054</v>
      </c>
      <c r="B396" s="26" t="s">
        <v>71</v>
      </c>
      <c r="C396" s="27">
        <v>473</v>
      </c>
      <c r="D396" s="26" t="s">
        <v>652</v>
      </c>
      <c r="E396" s="26" t="s">
        <v>215</v>
      </c>
      <c r="F396" s="27" t="s">
        <v>216</v>
      </c>
      <c r="G396" s="28">
        <v>46204</v>
      </c>
      <c r="H396" s="29">
        <f t="shared" si="19"/>
        <v>4</v>
      </c>
      <c r="I396" s="29">
        <f t="shared" si="20"/>
        <v>10</v>
      </c>
      <c r="J396" s="30">
        <f t="shared" si="21"/>
        <v>5560</v>
      </c>
      <c r="K396" s="31">
        <v>1</v>
      </c>
      <c r="L396" s="31"/>
      <c r="M396" s="31">
        <v>2</v>
      </c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>
        <v>1</v>
      </c>
      <c r="AB396" s="31"/>
      <c r="AC396" s="31"/>
      <c r="AD396" s="31"/>
      <c r="AE396" s="31"/>
      <c r="AF396" s="31"/>
      <c r="AG396" s="31"/>
      <c r="AH396" s="31">
        <v>10</v>
      </c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t="s">
        <v>75</v>
      </c>
      <c r="BD396">
        <v>391</v>
      </c>
      <c r="BF396" s="30">
        <f>IF($BD396="","",SUMIF($BD$6:$BD$2000,$BD396,$J$6:$J$2000))</f>
        <v>5560</v>
      </c>
    </row>
    <row r="397" spans="1:58" ht="19.5" customHeight="1" x14ac:dyDescent="0.25">
      <c r="A397" s="96" t="s">
        <v>2054</v>
      </c>
      <c r="B397" s="32" t="s">
        <v>71</v>
      </c>
      <c r="C397" s="33">
        <v>474</v>
      </c>
      <c r="D397" s="32" t="s">
        <v>653</v>
      </c>
      <c r="E397" s="32" t="s">
        <v>231</v>
      </c>
      <c r="F397" s="33" t="s">
        <v>232</v>
      </c>
      <c r="G397" s="34">
        <v>46235</v>
      </c>
      <c r="H397" s="35">
        <f t="shared" si="19"/>
        <v>4</v>
      </c>
      <c r="I397" s="35">
        <f t="shared" si="20"/>
        <v>8</v>
      </c>
      <c r="J397" s="36">
        <f t="shared" si="21"/>
        <v>4510</v>
      </c>
      <c r="K397" s="37">
        <v>1</v>
      </c>
      <c r="L397" s="37"/>
      <c r="M397" s="37">
        <v>2</v>
      </c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>
        <v>1</v>
      </c>
      <c r="AB397" s="37"/>
      <c r="AC397" s="37"/>
      <c r="AD397" s="37"/>
      <c r="AE397" s="37"/>
      <c r="AF397" s="37"/>
      <c r="AG397" s="37"/>
      <c r="AH397" s="37">
        <v>8</v>
      </c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t="s">
        <v>75</v>
      </c>
      <c r="BD397">
        <v>392</v>
      </c>
      <c r="BF397" s="30">
        <f>IF($BD397="","",SUMIF($BD$6:$BD$2000,$BD397,$J$6:$J$2000))</f>
        <v>4510</v>
      </c>
    </row>
    <row r="398" spans="1:58" ht="19.5" customHeight="1" x14ac:dyDescent="0.25">
      <c r="A398" s="96" t="s">
        <v>2054</v>
      </c>
      <c r="B398" s="26" t="s">
        <v>71</v>
      </c>
      <c r="C398" s="27">
        <v>475</v>
      </c>
      <c r="D398" s="26" t="s">
        <v>654</v>
      </c>
      <c r="E398" s="26" t="s">
        <v>655</v>
      </c>
      <c r="F398" s="27" t="s">
        <v>145</v>
      </c>
      <c r="G398" s="28">
        <v>46204</v>
      </c>
      <c r="H398" s="29">
        <f t="shared" si="19"/>
        <v>5</v>
      </c>
      <c r="I398" s="29">
        <f t="shared" si="20"/>
        <v>0</v>
      </c>
      <c r="J398" s="30">
        <f t="shared" si="21"/>
        <v>380</v>
      </c>
      <c r="K398" s="31">
        <v>2</v>
      </c>
      <c r="L398" s="31"/>
      <c r="M398" s="31"/>
      <c r="N398" s="31">
        <v>2</v>
      </c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>
        <v>1</v>
      </c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t="s">
        <v>75</v>
      </c>
      <c r="BD398">
        <v>393</v>
      </c>
      <c r="BF398" s="30">
        <f>IF($BD398="","",SUMIF($BD$6:$BD$2000,$BD398,$J$6:$J$2000))</f>
        <v>380</v>
      </c>
    </row>
    <row r="399" spans="1:58" ht="19.5" customHeight="1" x14ac:dyDescent="0.25">
      <c r="A399" s="96" t="s">
        <v>2054</v>
      </c>
      <c r="B399" s="32" t="s">
        <v>71</v>
      </c>
      <c r="C399" s="33">
        <v>476</v>
      </c>
      <c r="D399" s="32" t="s">
        <v>656</v>
      </c>
      <c r="E399" s="32" t="s">
        <v>135</v>
      </c>
      <c r="F399" s="33" t="s">
        <v>133</v>
      </c>
      <c r="G399" s="34">
        <v>46113</v>
      </c>
      <c r="H399" s="35">
        <f t="shared" si="19"/>
        <v>4</v>
      </c>
      <c r="I399" s="35">
        <f t="shared" si="20"/>
        <v>0</v>
      </c>
      <c r="J399" s="36">
        <f t="shared" si="21"/>
        <v>420</v>
      </c>
      <c r="K399" s="37">
        <v>1</v>
      </c>
      <c r="L399" s="37"/>
      <c r="M399" s="37">
        <v>1</v>
      </c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>
        <v>2</v>
      </c>
      <c r="AB399" s="37"/>
      <c r="AC399" s="37"/>
      <c r="AD399" s="37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t="s">
        <v>75</v>
      </c>
      <c r="BD399">
        <v>394</v>
      </c>
      <c r="BF399" s="30">
        <f>IF($BD399="","",SUMIF($BD$6:$BD$2000,$BD399,$J$6:$J$2000))</f>
        <v>420</v>
      </c>
    </row>
    <row r="400" spans="1:58" ht="19.5" customHeight="1" x14ac:dyDescent="0.25">
      <c r="A400" s="96" t="s">
        <v>2054</v>
      </c>
      <c r="B400" s="26" t="s">
        <v>71</v>
      </c>
      <c r="C400" s="27">
        <v>440</v>
      </c>
      <c r="D400" s="26" t="s">
        <v>657</v>
      </c>
      <c r="E400" s="26" t="s">
        <v>128</v>
      </c>
      <c r="F400" s="27" t="s">
        <v>126</v>
      </c>
      <c r="G400" s="28">
        <v>46266</v>
      </c>
      <c r="H400" s="29">
        <f t="shared" si="19"/>
        <v>4</v>
      </c>
      <c r="I400" s="29">
        <f t="shared" si="20"/>
        <v>0</v>
      </c>
      <c r="J400" s="30">
        <f t="shared" si="21"/>
        <v>420</v>
      </c>
      <c r="K400" s="31">
        <v>2</v>
      </c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>
        <v>2</v>
      </c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t="s">
        <v>75</v>
      </c>
      <c r="BD400">
        <v>395</v>
      </c>
      <c r="BF400" s="30">
        <f>IF($BD400="","",SUMIF($BD$6:$BD$2000,$BD400,$J$6:$J$2000))</f>
        <v>420</v>
      </c>
    </row>
    <row r="401" spans="1:58" ht="19.5" customHeight="1" x14ac:dyDescent="0.25">
      <c r="A401" s="96" t="s">
        <v>2054</v>
      </c>
      <c r="B401" s="32" t="s">
        <v>71</v>
      </c>
      <c r="C401" s="33">
        <v>478</v>
      </c>
      <c r="D401" s="32" t="s">
        <v>658</v>
      </c>
      <c r="E401" s="32" t="s">
        <v>73</v>
      </c>
      <c r="F401" s="33" t="s">
        <v>74</v>
      </c>
      <c r="G401" s="34">
        <v>46203</v>
      </c>
      <c r="H401" s="35">
        <f t="shared" si="19"/>
        <v>4</v>
      </c>
      <c r="I401" s="35">
        <f t="shared" si="20"/>
        <v>0</v>
      </c>
      <c r="J401" s="36">
        <f t="shared" si="21"/>
        <v>310</v>
      </c>
      <c r="K401" s="37">
        <v>1</v>
      </c>
      <c r="L401" s="37"/>
      <c r="M401" s="37">
        <v>2</v>
      </c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>
        <v>1</v>
      </c>
      <c r="AB401" s="37"/>
      <c r="AC401" s="37"/>
      <c r="AD401" s="37"/>
      <c r="AE401" s="37"/>
      <c r="AF401" s="37"/>
      <c r="AG401" s="37"/>
      <c r="AH401" s="37"/>
      <c r="AI401" s="37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t="s">
        <v>75</v>
      </c>
      <c r="BD401">
        <v>396</v>
      </c>
      <c r="BF401" s="30">
        <f>IF($BD401="","",SUMIF($BD$6:$BD$2000,$BD401,$J$6:$J$2000))</f>
        <v>310</v>
      </c>
    </row>
    <row r="402" spans="1:58" ht="19.5" customHeight="1" x14ac:dyDescent="0.25">
      <c r="A402" s="96" t="s">
        <v>2054</v>
      </c>
      <c r="B402" s="26" t="s">
        <v>71</v>
      </c>
      <c r="C402" s="27">
        <v>479</v>
      </c>
      <c r="D402" s="26" t="s">
        <v>659</v>
      </c>
      <c r="E402" s="26" t="s">
        <v>73</v>
      </c>
      <c r="F402" s="27" t="s">
        <v>74</v>
      </c>
      <c r="G402" s="28">
        <v>46054</v>
      </c>
      <c r="H402" s="29">
        <f t="shared" si="19"/>
        <v>3</v>
      </c>
      <c r="I402" s="29">
        <f t="shared" si="20"/>
        <v>0</v>
      </c>
      <c r="J402" s="30">
        <f t="shared" si="21"/>
        <v>260</v>
      </c>
      <c r="K402" s="31">
        <v>1</v>
      </c>
      <c r="L402" s="31"/>
      <c r="M402" s="31">
        <v>1</v>
      </c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>
        <v>1</v>
      </c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  <c r="AZ402" s="31"/>
      <c r="BA402" s="31"/>
      <c r="BB402" s="31"/>
      <c r="BC402" t="s">
        <v>75</v>
      </c>
      <c r="BD402">
        <v>397</v>
      </c>
      <c r="BF402" s="30">
        <f>IF($BD402="","",SUMIF($BD$6:$BD$2000,$BD402,$J$6:$J$2000))</f>
        <v>260</v>
      </c>
    </row>
    <row r="403" spans="1:58" ht="19.5" customHeight="1" x14ac:dyDescent="0.25">
      <c r="A403" s="96" t="s">
        <v>2054</v>
      </c>
      <c r="B403" s="32" t="s">
        <v>71</v>
      </c>
      <c r="C403" s="33">
        <v>480</v>
      </c>
      <c r="D403" s="32" t="s">
        <v>660</v>
      </c>
      <c r="E403" s="32" t="s">
        <v>165</v>
      </c>
      <c r="F403" s="33" t="s">
        <v>160</v>
      </c>
      <c r="G403" s="34">
        <v>46203</v>
      </c>
      <c r="H403" s="35">
        <f t="shared" si="19"/>
        <v>5</v>
      </c>
      <c r="I403" s="35">
        <f t="shared" si="20"/>
        <v>0</v>
      </c>
      <c r="J403" s="36">
        <f t="shared" si="21"/>
        <v>470</v>
      </c>
      <c r="K403" s="37">
        <v>1</v>
      </c>
      <c r="L403" s="37"/>
      <c r="M403" s="37">
        <v>2</v>
      </c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>
        <v>2</v>
      </c>
      <c r="AB403" s="37"/>
      <c r="AC403" s="37"/>
      <c r="AD403" s="37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t="s">
        <v>75</v>
      </c>
      <c r="BD403">
        <v>398</v>
      </c>
      <c r="BF403" s="30">
        <f>IF($BD403="","",SUMIF($BD$6:$BD$2000,$BD403,$J$6:$J$2000))</f>
        <v>470</v>
      </c>
    </row>
    <row r="404" spans="1:58" ht="19.5" customHeight="1" x14ac:dyDescent="0.25">
      <c r="A404" s="96" t="s">
        <v>2054</v>
      </c>
      <c r="B404" s="26" t="s">
        <v>71</v>
      </c>
      <c r="C404" s="27">
        <v>481</v>
      </c>
      <c r="D404" s="26" t="s">
        <v>661</v>
      </c>
      <c r="E404" s="26" t="s">
        <v>102</v>
      </c>
      <c r="F404" s="27" t="s">
        <v>74</v>
      </c>
      <c r="G404" s="28">
        <v>46082</v>
      </c>
      <c r="H404" s="29">
        <f t="shared" si="19"/>
        <v>4</v>
      </c>
      <c r="I404" s="29">
        <f t="shared" si="20"/>
        <v>0</v>
      </c>
      <c r="J404" s="30">
        <f t="shared" si="21"/>
        <v>310</v>
      </c>
      <c r="K404" s="31">
        <v>1</v>
      </c>
      <c r="L404" s="31"/>
      <c r="M404" s="31">
        <v>2</v>
      </c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>
        <v>1</v>
      </c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  <c r="AZ404" s="31"/>
      <c r="BA404" s="31"/>
      <c r="BB404" s="31"/>
      <c r="BC404" t="s">
        <v>75</v>
      </c>
      <c r="BD404">
        <v>399</v>
      </c>
      <c r="BF404" s="30">
        <f>IF($BD404="","",SUMIF($BD$6:$BD$2000,$BD404,$J$6:$J$2000))</f>
        <v>310</v>
      </c>
    </row>
    <row r="405" spans="1:58" ht="19.5" customHeight="1" x14ac:dyDescent="0.25">
      <c r="A405" s="96" t="s">
        <v>2054</v>
      </c>
      <c r="B405" s="32" t="s">
        <v>71</v>
      </c>
      <c r="C405" s="33">
        <v>482</v>
      </c>
      <c r="D405" s="32" t="s">
        <v>662</v>
      </c>
      <c r="E405" s="32" t="s">
        <v>322</v>
      </c>
      <c r="F405" s="33" t="s">
        <v>74</v>
      </c>
      <c r="G405" s="34">
        <v>46235</v>
      </c>
      <c r="H405" s="35">
        <f t="shared" si="19"/>
        <v>3</v>
      </c>
      <c r="I405" s="35">
        <f t="shared" si="20"/>
        <v>0</v>
      </c>
      <c r="J405" s="36">
        <f t="shared" si="21"/>
        <v>260</v>
      </c>
      <c r="K405" s="37">
        <v>1</v>
      </c>
      <c r="L405" s="37"/>
      <c r="M405" s="37">
        <v>1</v>
      </c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>
        <v>1</v>
      </c>
      <c r="AB405" s="37"/>
      <c r="AC405" s="37"/>
      <c r="AD405" s="37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t="s">
        <v>75</v>
      </c>
      <c r="BD405">
        <v>400</v>
      </c>
      <c r="BF405" s="30">
        <f>IF($BD405="","",SUMIF($BD$6:$BD$2000,$BD405,$J$6:$J$2000))</f>
        <v>260</v>
      </c>
    </row>
    <row r="406" spans="1:58" ht="19.5" customHeight="1" x14ac:dyDescent="0.25">
      <c r="A406" s="96" t="s">
        <v>2054</v>
      </c>
      <c r="B406" s="26" t="s">
        <v>71</v>
      </c>
      <c r="C406" s="27">
        <v>483</v>
      </c>
      <c r="D406" s="26" t="s">
        <v>663</v>
      </c>
      <c r="E406" s="26" t="s">
        <v>512</v>
      </c>
      <c r="F406" s="27" t="s">
        <v>213</v>
      </c>
      <c r="G406" s="28">
        <v>46204</v>
      </c>
      <c r="H406" s="29">
        <f t="shared" si="19"/>
        <v>4</v>
      </c>
      <c r="I406" s="29">
        <f t="shared" si="20"/>
        <v>0</v>
      </c>
      <c r="J406" s="30">
        <f t="shared" si="21"/>
        <v>310</v>
      </c>
      <c r="K406" s="31">
        <v>1</v>
      </c>
      <c r="L406" s="31"/>
      <c r="M406" s="31">
        <v>2</v>
      </c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>
        <v>1</v>
      </c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  <c r="AZ406" s="31"/>
      <c r="BA406" s="31"/>
      <c r="BB406" s="31"/>
      <c r="BC406" t="s">
        <v>75</v>
      </c>
      <c r="BD406">
        <v>401</v>
      </c>
      <c r="BF406" s="30">
        <f>IF($BD406="","",SUMIF($BD$6:$BD$2000,$BD406,$J$6:$J$2000))</f>
        <v>310</v>
      </c>
    </row>
    <row r="407" spans="1:58" ht="19.5" customHeight="1" x14ac:dyDescent="0.25">
      <c r="A407" s="96" t="s">
        <v>2054</v>
      </c>
      <c r="B407" s="32" t="s">
        <v>71</v>
      </c>
      <c r="C407" s="33">
        <v>485</v>
      </c>
      <c r="D407" s="32" t="s">
        <v>664</v>
      </c>
      <c r="E407" s="32" t="s">
        <v>447</v>
      </c>
      <c r="F407" s="33" t="s">
        <v>114</v>
      </c>
      <c r="G407" s="34">
        <v>46266</v>
      </c>
      <c r="H407" s="35">
        <f t="shared" si="19"/>
        <v>4</v>
      </c>
      <c r="I407" s="35">
        <f t="shared" si="20"/>
        <v>0</v>
      </c>
      <c r="J407" s="36">
        <f t="shared" si="21"/>
        <v>332</v>
      </c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>
        <v>4</v>
      </c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t="s">
        <v>75</v>
      </c>
      <c r="BD407">
        <v>402</v>
      </c>
      <c r="BF407" s="30">
        <f>IF($BD407="","",SUMIF($BD$6:$BD$2000,$BD407,$J$6:$J$2000))</f>
        <v>332</v>
      </c>
    </row>
    <row r="408" spans="1:58" ht="19.5" customHeight="1" x14ac:dyDescent="0.25">
      <c r="A408" s="96" t="s">
        <v>2054</v>
      </c>
      <c r="B408" s="26" t="s">
        <v>71</v>
      </c>
      <c r="C408" s="27">
        <v>486</v>
      </c>
      <c r="D408" s="26" t="s">
        <v>665</v>
      </c>
      <c r="E408" s="26" t="s">
        <v>153</v>
      </c>
      <c r="F408" s="27" t="s">
        <v>142</v>
      </c>
      <c r="G408" s="28">
        <v>46419</v>
      </c>
      <c r="H408" s="29">
        <f t="shared" si="19"/>
        <v>4</v>
      </c>
      <c r="I408" s="29">
        <f t="shared" si="20"/>
        <v>0</v>
      </c>
      <c r="J408" s="30">
        <f t="shared" si="21"/>
        <v>310</v>
      </c>
      <c r="K408" s="31">
        <v>1</v>
      </c>
      <c r="L408" s="31"/>
      <c r="M408" s="31">
        <v>2</v>
      </c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>
        <v>1</v>
      </c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  <c r="AZ408" s="31"/>
      <c r="BA408" s="31"/>
      <c r="BB408" s="31"/>
      <c r="BC408" t="s">
        <v>75</v>
      </c>
      <c r="BD408">
        <v>403</v>
      </c>
      <c r="BF408" s="30">
        <f>IF($BD408="","",SUMIF($BD$6:$BD$2000,$BD408,$J$6:$J$2000))</f>
        <v>310</v>
      </c>
    </row>
    <row r="409" spans="1:58" ht="19.5" customHeight="1" x14ac:dyDescent="0.25">
      <c r="A409" s="96" t="s">
        <v>2054</v>
      </c>
      <c r="B409" s="32" t="s">
        <v>71</v>
      </c>
      <c r="C409" s="33">
        <v>487</v>
      </c>
      <c r="D409" s="32" t="s">
        <v>666</v>
      </c>
      <c r="E409" s="32" t="s">
        <v>667</v>
      </c>
      <c r="F409" s="33" t="s">
        <v>114</v>
      </c>
      <c r="G409" s="34">
        <v>46054</v>
      </c>
      <c r="H409" s="35">
        <f t="shared" si="19"/>
        <v>4</v>
      </c>
      <c r="I409" s="35">
        <f t="shared" si="20"/>
        <v>0</v>
      </c>
      <c r="J409" s="36">
        <f t="shared" si="21"/>
        <v>409</v>
      </c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>
        <v>3</v>
      </c>
      <c r="V409" s="37"/>
      <c r="W409" s="37"/>
      <c r="X409" s="37"/>
      <c r="Y409" s="37"/>
      <c r="Z409" s="37"/>
      <c r="AA409" s="37">
        <v>1</v>
      </c>
      <c r="AB409" s="37"/>
      <c r="AC409" s="37"/>
      <c r="AD409" s="37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t="s">
        <v>75</v>
      </c>
      <c r="BD409">
        <v>404</v>
      </c>
      <c r="BF409" s="30">
        <f>IF($BD409="","",SUMIF($BD$6:$BD$2000,$BD409,$J$6:$J$2000))</f>
        <v>409</v>
      </c>
    </row>
    <row r="410" spans="1:58" ht="19.5" customHeight="1" x14ac:dyDescent="0.25">
      <c r="A410" s="96" t="s">
        <v>2054</v>
      </c>
      <c r="B410" s="26" t="s">
        <v>71</v>
      </c>
      <c r="C410" s="27">
        <v>488</v>
      </c>
      <c r="D410" s="26" t="s">
        <v>668</v>
      </c>
      <c r="E410" s="26" t="s">
        <v>171</v>
      </c>
      <c r="F410" s="27" t="s">
        <v>74</v>
      </c>
      <c r="G410" s="28">
        <v>46266</v>
      </c>
      <c r="H410" s="29">
        <f t="shared" si="19"/>
        <v>17</v>
      </c>
      <c r="I410" s="29">
        <f t="shared" si="20"/>
        <v>10</v>
      </c>
      <c r="J410" s="30">
        <f t="shared" si="21"/>
        <v>6100</v>
      </c>
      <c r="K410" s="31"/>
      <c r="L410" s="31"/>
      <c r="M410" s="31">
        <v>17</v>
      </c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>
        <v>10</v>
      </c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  <c r="AZ410" s="31"/>
      <c r="BA410" s="31"/>
      <c r="BB410" s="31"/>
      <c r="BC410" t="s">
        <v>75</v>
      </c>
      <c r="BD410">
        <v>405</v>
      </c>
      <c r="BF410" s="30">
        <f>IF($BD410="","",SUMIF($BD$6:$BD$2000,$BD410,$J$6:$J$2000))</f>
        <v>6100</v>
      </c>
    </row>
    <row r="411" spans="1:58" ht="19.5" customHeight="1" x14ac:dyDescent="0.25">
      <c r="A411" s="96" t="s">
        <v>2054</v>
      </c>
      <c r="B411" s="32" t="s">
        <v>71</v>
      </c>
      <c r="C411" s="33">
        <v>489</v>
      </c>
      <c r="D411" s="32" t="s">
        <v>669</v>
      </c>
      <c r="E411" s="32" t="s">
        <v>392</v>
      </c>
      <c r="F411" s="33" t="s">
        <v>393</v>
      </c>
      <c r="G411" s="34">
        <v>46296</v>
      </c>
      <c r="H411" s="35">
        <f t="shared" si="19"/>
        <v>4</v>
      </c>
      <c r="I411" s="35">
        <f t="shared" si="20"/>
        <v>0</v>
      </c>
      <c r="J411" s="36">
        <f t="shared" si="21"/>
        <v>310</v>
      </c>
      <c r="K411" s="37">
        <v>1</v>
      </c>
      <c r="L411" s="37"/>
      <c r="M411" s="37">
        <v>2</v>
      </c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>
        <v>1</v>
      </c>
      <c r="AB411" s="37"/>
      <c r="AC411" s="37"/>
      <c r="AD411" s="37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t="s">
        <v>75</v>
      </c>
      <c r="BD411">
        <v>406</v>
      </c>
      <c r="BF411" s="30">
        <f>IF($BD411="","",SUMIF($BD$6:$BD$2000,$BD411,$J$6:$J$2000))</f>
        <v>310</v>
      </c>
    </row>
    <row r="412" spans="1:58" ht="19.5" customHeight="1" x14ac:dyDescent="0.25">
      <c r="A412" s="96" t="s">
        <v>2054</v>
      </c>
      <c r="B412" s="26" t="s">
        <v>71</v>
      </c>
      <c r="C412" s="27">
        <v>490</v>
      </c>
      <c r="D412" s="26" t="s">
        <v>670</v>
      </c>
      <c r="E412" s="26" t="s">
        <v>165</v>
      </c>
      <c r="F412" s="27" t="s">
        <v>160</v>
      </c>
      <c r="G412" s="28">
        <v>46388</v>
      </c>
      <c r="H412" s="29">
        <f t="shared" si="19"/>
        <v>14</v>
      </c>
      <c r="I412" s="29">
        <f t="shared" si="20"/>
        <v>10</v>
      </c>
      <c r="J412" s="30">
        <f t="shared" si="21"/>
        <v>6643</v>
      </c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>
        <v>11</v>
      </c>
      <c r="V412" s="31"/>
      <c r="W412" s="31"/>
      <c r="X412" s="31"/>
      <c r="Y412" s="31"/>
      <c r="Z412" s="31"/>
      <c r="AA412" s="31">
        <v>3</v>
      </c>
      <c r="AB412" s="31"/>
      <c r="AC412" s="31"/>
      <c r="AD412" s="31"/>
      <c r="AE412" s="31"/>
      <c r="AF412" s="31"/>
      <c r="AG412" s="31"/>
      <c r="AH412" s="31">
        <v>10</v>
      </c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  <c r="AZ412" s="31"/>
      <c r="BA412" s="31"/>
      <c r="BB412" s="31"/>
      <c r="BC412" t="s">
        <v>75</v>
      </c>
      <c r="BD412">
        <v>407</v>
      </c>
      <c r="BF412" s="30">
        <f>IF($BD412="","",SUMIF($BD$6:$BD$2000,$BD412,$J$6:$J$2000))</f>
        <v>6643</v>
      </c>
    </row>
    <row r="413" spans="1:58" ht="19.5" customHeight="1" x14ac:dyDescent="0.25">
      <c r="A413" s="96" t="s">
        <v>2054</v>
      </c>
      <c r="B413" s="32" t="s">
        <v>71</v>
      </c>
      <c r="C413" s="33">
        <v>491</v>
      </c>
      <c r="D413" s="32" t="s">
        <v>671</v>
      </c>
      <c r="E413" s="32" t="s">
        <v>144</v>
      </c>
      <c r="F413" s="33" t="s">
        <v>145</v>
      </c>
      <c r="G413" s="34">
        <v>46204</v>
      </c>
      <c r="H413" s="35">
        <f t="shared" si="19"/>
        <v>4</v>
      </c>
      <c r="I413" s="35">
        <f t="shared" si="20"/>
        <v>0</v>
      </c>
      <c r="J413" s="36">
        <f t="shared" si="21"/>
        <v>420</v>
      </c>
      <c r="K413" s="37">
        <v>2</v>
      </c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>
        <v>2</v>
      </c>
      <c r="AB413" s="37"/>
      <c r="AC413" s="37"/>
      <c r="AD413" s="37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t="s">
        <v>75</v>
      </c>
      <c r="BD413">
        <v>408</v>
      </c>
      <c r="BF413" s="30">
        <f>IF($BD413="","",SUMIF($BD$6:$BD$2000,$BD413,$J$6:$J$2000))</f>
        <v>420</v>
      </c>
    </row>
    <row r="414" spans="1:58" ht="19.5" customHeight="1" x14ac:dyDescent="0.25">
      <c r="A414" s="96" t="s">
        <v>2054</v>
      </c>
      <c r="B414" s="26" t="s">
        <v>71</v>
      </c>
      <c r="C414" s="27">
        <v>493</v>
      </c>
      <c r="D414" s="26" t="s">
        <v>672</v>
      </c>
      <c r="E414" s="26" t="s">
        <v>242</v>
      </c>
      <c r="F414" s="27" t="s">
        <v>243</v>
      </c>
      <c r="G414" s="28">
        <v>46266</v>
      </c>
      <c r="H414" s="29">
        <f t="shared" si="19"/>
        <v>4</v>
      </c>
      <c r="I414" s="29">
        <f t="shared" si="20"/>
        <v>0</v>
      </c>
      <c r="J414" s="30">
        <f t="shared" si="21"/>
        <v>420</v>
      </c>
      <c r="K414" s="31">
        <v>1</v>
      </c>
      <c r="L414" s="31"/>
      <c r="M414" s="31">
        <v>1</v>
      </c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>
        <v>2</v>
      </c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  <c r="AZ414" s="31"/>
      <c r="BA414" s="31"/>
      <c r="BB414" s="31"/>
      <c r="BC414" t="s">
        <v>75</v>
      </c>
      <c r="BD414">
        <v>409</v>
      </c>
      <c r="BF414" s="30">
        <f>IF($BD414="","",SUMIF($BD$6:$BD$2000,$BD414,$J$6:$J$2000))</f>
        <v>420</v>
      </c>
    </row>
    <row r="415" spans="1:58" ht="19.5" customHeight="1" x14ac:dyDescent="0.25">
      <c r="A415" s="96" t="s">
        <v>2054</v>
      </c>
      <c r="B415" s="32" t="s">
        <v>71</v>
      </c>
      <c r="C415" s="33">
        <v>506</v>
      </c>
      <c r="D415" s="32" t="s">
        <v>673</v>
      </c>
      <c r="E415" s="32" t="s">
        <v>73</v>
      </c>
      <c r="F415" s="33" t="s">
        <v>74</v>
      </c>
      <c r="G415" s="34">
        <v>46082</v>
      </c>
      <c r="H415" s="35">
        <f t="shared" si="19"/>
        <v>4</v>
      </c>
      <c r="I415" s="35">
        <f t="shared" si="20"/>
        <v>0</v>
      </c>
      <c r="J415" s="36">
        <f t="shared" si="21"/>
        <v>376</v>
      </c>
      <c r="K415" s="37"/>
      <c r="L415" s="37"/>
      <c r="M415" s="37">
        <v>1</v>
      </c>
      <c r="N415" s="37"/>
      <c r="O415" s="37"/>
      <c r="P415" s="37"/>
      <c r="Q415" s="37"/>
      <c r="R415" s="37"/>
      <c r="S415" s="37"/>
      <c r="T415" s="37"/>
      <c r="U415" s="37">
        <v>2</v>
      </c>
      <c r="V415" s="37"/>
      <c r="W415" s="37"/>
      <c r="X415" s="37"/>
      <c r="Y415" s="37"/>
      <c r="Z415" s="37"/>
      <c r="AA415" s="37">
        <v>1</v>
      </c>
      <c r="AB415" s="37"/>
      <c r="AC415" s="37"/>
      <c r="AD415" s="37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t="s">
        <v>75</v>
      </c>
      <c r="BD415">
        <v>410</v>
      </c>
      <c r="BF415" s="30">
        <f>IF($BD415="","",SUMIF($BD$6:$BD$2000,$BD415,$J$6:$J$2000))</f>
        <v>376</v>
      </c>
    </row>
    <row r="416" spans="1:58" ht="19.5" customHeight="1" x14ac:dyDescent="0.25">
      <c r="A416" s="96" t="s">
        <v>2054</v>
      </c>
      <c r="B416" s="26" t="s">
        <v>71</v>
      </c>
      <c r="C416" s="27">
        <v>507</v>
      </c>
      <c r="D416" s="26" t="s">
        <v>674</v>
      </c>
      <c r="E416" s="26" t="s">
        <v>119</v>
      </c>
      <c r="F416" s="27" t="s">
        <v>120</v>
      </c>
      <c r="G416" s="28">
        <v>46388</v>
      </c>
      <c r="H416" s="29">
        <f t="shared" si="19"/>
        <v>7</v>
      </c>
      <c r="I416" s="29">
        <f t="shared" si="20"/>
        <v>0</v>
      </c>
      <c r="J416" s="30">
        <f t="shared" si="21"/>
        <v>680</v>
      </c>
      <c r="K416" s="31">
        <v>2</v>
      </c>
      <c r="L416" s="31"/>
      <c r="M416" s="31">
        <v>2</v>
      </c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>
        <v>3</v>
      </c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t="s">
        <v>75</v>
      </c>
      <c r="BD416">
        <v>411</v>
      </c>
      <c r="BF416" s="30">
        <f>IF($BD416="","",SUMIF($BD$6:$BD$2000,$BD416,$J$6:$J$2000))</f>
        <v>680</v>
      </c>
    </row>
    <row r="417" spans="1:58" ht="19.5" customHeight="1" x14ac:dyDescent="0.25">
      <c r="A417" s="96" t="s">
        <v>2054</v>
      </c>
      <c r="B417" s="32" t="s">
        <v>71</v>
      </c>
      <c r="C417" s="33">
        <v>509</v>
      </c>
      <c r="D417" s="32" t="s">
        <v>675</v>
      </c>
      <c r="E417" s="32" t="s">
        <v>291</v>
      </c>
      <c r="F417" s="33" t="s">
        <v>74</v>
      </c>
      <c r="G417" s="34">
        <v>46204</v>
      </c>
      <c r="H417" s="35">
        <f t="shared" si="19"/>
        <v>4</v>
      </c>
      <c r="I417" s="35">
        <f t="shared" si="20"/>
        <v>0</v>
      </c>
      <c r="J417" s="36">
        <f t="shared" si="21"/>
        <v>420</v>
      </c>
      <c r="K417" s="37">
        <v>2</v>
      </c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>
        <v>2</v>
      </c>
      <c r="AB417" s="37"/>
      <c r="AC417" s="37"/>
      <c r="AD417" s="3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t="s">
        <v>75</v>
      </c>
      <c r="BD417">
        <v>412</v>
      </c>
      <c r="BF417" s="30">
        <f>IF($BD417="","",SUMIF($BD$6:$BD$2000,$BD417,$J$6:$J$2000))</f>
        <v>420</v>
      </c>
    </row>
    <row r="418" spans="1:58" ht="19.5" customHeight="1" x14ac:dyDescent="0.25">
      <c r="A418" s="96" t="s">
        <v>2054</v>
      </c>
      <c r="B418" s="26" t="s">
        <v>71</v>
      </c>
      <c r="C418" s="27">
        <v>510</v>
      </c>
      <c r="D418" s="26" t="s">
        <v>676</v>
      </c>
      <c r="E418" s="26" t="s">
        <v>220</v>
      </c>
      <c r="F418" s="27" t="s">
        <v>221</v>
      </c>
      <c r="G418" s="28">
        <v>46388</v>
      </c>
      <c r="H418" s="29">
        <f t="shared" si="19"/>
        <v>4</v>
      </c>
      <c r="I418" s="29">
        <f t="shared" si="20"/>
        <v>0</v>
      </c>
      <c r="J418" s="30">
        <f t="shared" si="21"/>
        <v>420</v>
      </c>
      <c r="K418" s="31">
        <v>2</v>
      </c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>
        <v>2</v>
      </c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  <c r="AZ418" s="31"/>
      <c r="BA418" s="31"/>
      <c r="BB418" s="31"/>
      <c r="BC418" t="s">
        <v>75</v>
      </c>
      <c r="BD418">
        <v>413</v>
      </c>
      <c r="BF418" s="30">
        <f>IF($BD418="","",SUMIF($BD$6:$BD$2000,$BD418,$J$6:$J$2000))</f>
        <v>420</v>
      </c>
    </row>
    <row r="419" spans="1:58" ht="19.5" customHeight="1" x14ac:dyDescent="0.25">
      <c r="A419" s="96" t="s">
        <v>2054</v>
      </c>
      <c r="B419" s="32" t="s">
        <v>71</v>
      </c>
      <c r="C419" s="33">
        <v>511</v>
      </c>
      <c r="D419" s="32" t="s">
        <v>677</v>
      </c>
      <c r="E419" s="32" t="s">
        <v>398</v>
      </c>
      <c r="F419" s="33" t="s">
        <v>120</v>
      </c>
      <c r="G419" s="34">
        <v>46143</v>
      </c>
      <c r="H419" s="35">
        <f t="shared" si="19"/>
        <v>4</v>
      </c>
      <c r="I419" s="35">
        <f t="shared" si="20"/>
        <v>0</v>
      </c>
      <c r="J419" s="36">
        <f t="shared" si="21"/>
        <v>420</v>
      </c>
      <c r="K419" s="37">
        <v>2</v>
      </c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>
        <v>2</v>
      </c>
      <c r="AB419" s="37"/>
      <c r="AC419" s="37"/>
      <c r="AD419" s="37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t="s">
        <v>75</v>
      </c>
      <c r="BD419">
        <v>414</v>
      </c>
      <c r="BF419" s="30">
        <f>IF($BD419="","",SUMIF($BD$6:$BD$2000,$BD419,$J$6:$J$2000))</f>
        <v>420</v>
      </c>
    </row>
    <row r="420" spans="1:58" ht="19.5" customHeight="1" x14ac:dyDescent="0.25">
      <c r="A420" s="96" t="s">
        <v>2054</v>
      </c>
      <c r="B420" s="26" t="s">
        <v>71</v>
      </c>
      <c r="C420" s="27">
        <v>513</v>
      </c>
      <c r="D420" s="26" t="s">
        <v>678</v>
      </c>
      <c r="E420" s="26" t="s">
        <v>472</v>
      </c>
      <c r="F420" s="27" t="s">
        <v>114</v>
      </c>
      <c r="G420" s="28">
        <v>46266</v>
      </c>
      <c r="H420" s="29">
        <f t="shared" si="19"/>
        <v>3</v>
      </c>
      <c r="I420" s="29">
        <f t="shared" si="20"/>
        <v>0</v>
      </c>
      <c r="J420" s="30">
        <f t="shared" si="21"/>
        <v>385</v>
      </c>
      <c r="K420" s="31"/>
      <c r="L420" s="31"/>
      <c r="M420" s="31"/>
      <c r="N420" s="31"/>
      <c r="O420" s="31"/>
      <c r="P420" s="31"/>
      <c r="Q420" s="31"/>
      <c r="R420" s="31"/>
      <c r="S420" s="31"/>
      <c r="T420" s="31">
        <v>1</v>
      </c>
      <c r="U420" s="31"/>
      <c r="V420" s="31"/>
      <c r="W420" s="31"/>
      <c r="X420" s="31"/>
      <c r="Y420" s="31"/>
      <c r="Z420" s="31"/>
      <c r="AA420" s="31">
        <v>2</v>
      </c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  <c r="AZ420" s="31"/>
      <c r="BA420" s="31"/>
      <c r="BB420" s="31"/>
      <c r="BC420" t="s">
        <v>75</v>
      </c>
      <c r="BD420">
        <v>415</v>
      </c>
      <c r="BF420" s="30">
        <f>IF($BD420="","",SUMIF($BD$6:$BD$2000,$BD420,$J$6:$J$2000))</f>
        <v>385</v>
      </c>
    </row>
    <row r="421" spans="1:58" ht="19.5" customHeight="1" x14ac:dyDescent="0.25">
      <c r="A421" s="96" t="s">
        <v>2054</v>
      </c>
      <c r="B421" s="32" t="s">
        <v>71</v>
      </c>
      <c r="C421" s="33">
        <v>514</v>
      </c>
      <c r="D421" s="32" t="s">
        <v>679</v>
      </c>
      <c r="E421" s="32" t="s">
        <v>175</v>
      </c>
      <c r="F421" s="33" t="s">
        <v>123</v>
      </c>
      <c r="G421" s="34">
        <v>46054</v>
      </c>
      <c r="H421" s="35">
        <f t="shared" si="19"/>
        <v>4</v>
      </c>
      <c r="I421" s="35">
        <f t="shared" si="20"/>
        <v>0</v>
      </c>
      <c r="J421" s="36">
        <f t="shared" si="21"/>
        <v>310</v>
      </c>
      <c r="K421" s="37">
        <v>1</v>
      </c>
      <c r="L421" s="37"/>
      <c r="M421" s="37">
        <v>2</v>
      </c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37">
        <v>1</v>
      </c>
      <c r="AB421" s="37"/>
      <c r="AC421" s="37"/>
      <c r="AD421" s="37"/>
      <c r="AE421" s="37"/>
      <c r="AF421" s="37"/>
      <c r="AG421" s="37"/>
      <c r="AH421" s="37"/>
      <c r="AI421" s="37"/>
      <c r="AJ421" s="37"/>
      <c r="AK421" s="37"/>
      <c r="AL421" s="37"/>
      <c r="AM421" s="37"/>
      <c r="AN421" s="37"/>
      <c r="AO421" s="37"/>
      <c r="AP421" s="37"/>
      <c r="AQ421" s="37"/>
      <c r="AR421" s="37"/>
      <c r="AS421" s="37"/>
      <c r="AT421" s="37"/>
      <c r="AU421" s="37"/>
      <c r="AV421" s="37"/>
      <c r="AW421" s="37"/>
      <c r="AX421" s="37"/>
      <c r="AY421" s="37"/>
      <c r="AZ421" s="37"/>
      <c r="BA421" s="37"/>
      <c r="BB421" s="37"/>
      <c r="BC421" t="s">
        <v>75</v>
      </c>
      <c r="BD421">
        <v>416</v>
      </c>
      <c r="BF421" s="30">
        <f>IF($BD421="","",SUMIF($BD$6:$BD$2000,$BD421,$J$6:$J$2000))</f>
        <v>310</v>
      </c>
    </row>
    <row r="422" spans="1:58" ht="19.5" customHeight="1" x14ac:dyDescent="0.25">
      <c r="A422" s="96" t="s">
        <v>2054</v>
      </c>
      <c r="B422" s="26" t="s">
        <v>71</v>
      </c>
      <c r="C422" s="27">
        <v>516</v>
      </c>
      <c r="D422" s="26" t="s">
        <v>680</v>
      </c>
      <c r="E422" s="26" t="s">
        <v>119</v>
      </c>
      <c r="F422" s="27" t="s">
        <v>120</v>
      </c>
      <c r="G422" s="28">
        <v>46235</v>
      </c>
      <c r="H422" s="29">
        <f t="shared" si="19"/>
        <v>12</v>
      </c>
      <c r="I422" s="29">
        <f t="shared" si="20"/>
        <v>8</v>
      </c>
      <c r="J422" s="30">
        <f t="shared" si="21"/>
        <v>5273</v>
      </c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>
        <v>11</v>
      </c>
      <c r="V422" s="31"/>
      <c r="W422" s="31"/>
      <c r="X422" s="31"/>
      <c r="Y422" s="31"/>
      <c r="Z422" s="31"/>
      <c r="AA422" s="31">
        <v>1</v>
      </c>
      <c r="AB422" s="31"/>
      <c r="AC422" s="31"/>
      <c r="AD422" s="31"/>
      <c r="AE422" s="31"/>
      <c r="AF422" s="31"/>
      <c r="AG422" s="31"/>
      <c r="AH422" s="31">
        <v>8</v>
      </c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  <c r="AZ422" s="31"/>
      <c r="BA422" s="31"/>
      <c r="BB422" s="31"/>
      <c r="BC422" t="s">
        <v>75</v>
      </c>
      <c r="BD422">
        <v>417</v>
      </c>
      <c r="BF422" s="30">
        <f>IF($BD422="","",SUMIF($BD$6:$BD$2000,$BD422,$J$6:$J$2000))</f>
        <v>5273</v>
      </c>
    </row>
    <row r="423" spans="1:58" ht="19.5" customHeight="1" x14ac:dyDescent="0.25">
      <c r="A423" s="96" t="s">
        <v>2054</v>
      </c>
      <c r="B423" s="32" t="s">
        <v>71</v>
      </c>
      <c r="C423" s="33">
        <v>517</v>
      </c>
      <c r="D423" s="32" t="s">
        <v>681</v>
      </c>
      <c r="E423" s="32" t="s">
        <v>165</v>
      </c>
      <c r="F423" s="33" t="s">
        <v>160</v>
      </c>
      <c r="G423" s="34">
        <v>46388</v>
      </c>
      <c r="H423" s="35">
        <f t="shared" si="19"/>
        <v>11</v>
      </c>
      <c r="I423" s="35">
        <f t="shared" si="20"/>
        <v>8</v>
      </c>
      <c r="J423" s="36">
        <f t="shared" si="21"/>
        <v>5190</v>
      </c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>
        <v>10</v>
      </c>
      <c r="V423" s="37"/>
      <c r="W423" s="37"/>
      <c r="X423" s="37"/>
      <c r="Y423" s="37"/>
      <c r="Z423" s="37"/>
      <c r="AA423" s="37">
        <v>1</v>
      </c>
      <c r="AB423" s="37"/>
      <c r="AC423" s="37"/>
      <c r="AD423" s="37"/>
      <c r="AE423" s="37"/>
      <c r="AF423" s="37"/>
      <c r="AG423" s="37"/>
      <c r="AH423" s="37">
        <v>8</v>
      </c>
      <c r="AI423" s="37"/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  <c r="AX423" s="37"/>
      <c r="AY423" s="37"/>
      <c r="AZ423" s="37"/>
      <c r="BA423" s="37"/>
      <c r="BB423" s="37"/>
      <c r="BC423" t="s">
        <v>75</v>
      </c>
      <c r="BD423">
        <v>418</v>
      </c>
      <c r="BF423" s="30">
        <f>IF($BD423="","",SUMIF($BD$6:$BD$2000,$BD423,$J$6:$J$2000))</f>
        <v>5190</v>
      </c>
    </row>
    <row r="424" spans="1:58" ht="19.5" customHeight="1" x14ac:dyDescent="0.25">
      <c r="A424" s="96" t="s">
        <v>2054</v>
      </c>
      <c r="B424" s="26" t="s">
        <v>71</v>
      </c>
      <c r="C424" s="27">
        <v>521</v>
      </c>
      <c r="D424" s="26" t="s">
        <v>682</v>
      </c>
      <c r="E424" s="26" t="s">
        <v>183</v>
      </c>
      <c r="F424" s="27" t="s">
        <v>123</v>
      </c>
      <c r="G424" s="28">
        <v>46419</v>
      </c>
      <c r="H424" s="29">
        <f t="shared" si="19"/>
        <v>4</v>
      </c>
      <c r="I424" s="29">
        <f t="shared" si="20"/>
        <v>0</v>
      </c>
      <c r="J424" s="30">
        <f t="shared" si="21"/>
        <v>332</v>
      </c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>
        <v>4</v>
      </c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  <c r="AZ424" s="31"/>
      <c r="BA424" s="31"/>
      <c r="BB424" s="31"/>
      <c r="BC424" t="s">
        <v>75</v>
      </c>
      <c r="BD424">
        <v>419</v>
      </c>
      <c r="BF424" s="30">
        <f>IF($BD424="","",SUMIF($BD$6:$BD$2000,$BD424,$J$6:$J$2000))</f>
        <v>332</v>
      </c>
    </row>
    <row r="425" spans="1:58" ht="19.5" customHeight="1" x14ac:dyDescent="0.25">
      <c r="A425" s="96" t="s">
        <v>2054</v>
      </c>
      <c r="B425" s="32" t="s">
        <v>71</v>
      </c>
      <c r="C425" s="33">
        <v>522</v>
      </c>
      <c r="D425" s="32" t="s">
        <v>683</v>
      </c>
      <c r="E425" s="32" t="s">
        <v>167</v>
      </c>
      <c r="F425" s="33" t="s">
        <v>160</v>
      </c>
      <c r="G425" s="34">
        <v>46203</v>
      </c>
      <c r="H425" s="35">
        <f t="shared" si="19"/>
        <v>4</v>
      </c>
      <c r="I425" s="35">
        <f t="shared" si="20"/>
        <v>0</v>
      </c>
      <c r="J425" s="36">
        <f t="shared" si="21"/>
        <v>310</v>
      </c>
      <c r="K425" s="37">
        <v>1</v>
      </c>
      <c r="L425" s="37"/>
      <c r="M425" s="37">
        <v>2</v>
      </c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>
        <v>1</v>
      </c>
      <c r="AB425" s="37"/>
      <c r="AC425" s="37"/>
      <c r="AD425" s="37"/>
      <c r="AE425" s="37"/>
      <c r="AF425" s="37"/>
      <c r="AG425" s="37"/>
      <c r="AH425" s="37"/>
      <c r="AI425" s="37"/>
      <c r="AJ425" s="37"/>
      <c r="AK425" s="37"/>
      <c r="AL425" s="37"/>
      <c r="AM425" s="37"/>
      <c r="AN425" s="37"/>
      <c r="AO425" s="37"/>
      <c r="AP425" s="37"/>
      <c r="AQ425" s="37"/>
      <c r="AR425" s="37"/>
      <c r="AS425" s="37"/>
      <c r="AT425" s="37"/>
      <c r="AU425" s="37"/>
      <c r="AV425" s="37"/>
      <c r="AW425" s="37"/>
      <c r="AX425" s="37"/>
      <c r="AY425" s="37"/>
      <c r="AZ425" s="37"/>
      <c r="BA425" s="37"/>
      <c r="BB425" s="37"/>
      <c r="BC425" t="s">
        <v>75</v>
      </c>
      <c r="BD425">
        <v>420</v>
      </c>
      <c r="BF425" s="30">
        <f>IF($BD425="","",SUMIF($BD$6:$BD$2000,$BD425,$J$6:$J$2000))</f>
        <v>310</v>
      </c>
    </row>
    <row r="426" spans="1:58" ht="19.5" customHeight="1" x14ac:dyDescent="0.25">
      <c r="A426" s="96" t="s">
        <v>2054</v>
      </c>
      <c r="B426" s="26" t="s">
        <v>71</v>
      </c>
      <c r="C426" s="27">
        <v>523</v>
      </c>
      <c r="D426" s="26" t="s">
        <v>684</v>
      </c>
      <c r="E426" s="26" t="s">
        <v>77</v>
      </c>
      <c r="F426" s="27" t="s">
        <v>74</v>
      </c>
      <c r="G426" s="28">
        <v>46204</v>
      </c>
      <c r="H426" s="29">
        <f t="shared" si="19"/>
        <v>3</v>
      </c>
      <c r="I426" s="29">
        <f t="shared" si="20"/>
        <v>0</v>
      </c>
      <c r="J426" s="30">
        <f t="shared" si="21"/>
        <v>150</v>
      </c>
      <c r="K426" s="31">
        <v>1</v>
      </c>
      <c r="L426" s="31"/>
      <c r="M426" s="31">
        <v>2</v>
      </c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  <c r="AZ426" s="31"/>
      <c r="BA426" s="31"/>
      <c r="BB426" s="31"/>
      <c r="BC426" t="s">
        <v>75</v>
      </c>
      <c r="BD426">
        <v>421</v>
      </c>
      <c r="BF426" s="30">
        <f>IF($BD426="","",SUMIF($BD$6:$BD$2000,$BD426,$J$6:$J$2000))</f>
        <v>150</v>
      </c>
    </row>
    <row r="427" spans="1:58" ht="19.5" customHeight="1" x14ac:dyDescent="0.25">
      <c r="A427" s="96" t="s">
        <v>2054</v>
      </c>
      <c r="B427" s="32" t="s">
        <v>71</v>
      </c>
      <c r="C427" s="33">
        <v>524</v>
      </c>
      <c r="D427" s="32" t="s">
        <v>685</v>
      </c>
      <c r="E427" s="32" t="s">
        <v>144</v>
      </c>
      <c r="F427" s="33" t="s">
        <v>145</v>
      </c>
      <c r="G427" s="34">
        <v>46204</v>
      </c>
      <c r="H427" s="35">
        <f t="shared" si="19"/>
        <v>6</v>
      </c>
      <c r="I427" s="35">
        <f t="shared" si="20"/>
        <v>0</v>
      </c>
      <c r="J427" s="36">
        <f t="shared" si="21"/>
        <v>520</v>
      </c>
      <c r="K427" s="37">
        <v>2</v>
      </c>
      <c r="L427" s="37"/>
      <c r="M427" s="37">
        <v>2</v>
      </c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37">
        <v>2</v>
      </c>
      <c r="AB427" s="37"/>
      <c r="AC427" s="37"/>
      <c r="AD427" s="37"/>
      <c r="AE427" s="37"/>
      <c r="AF427" s="37"/>
      <c r="AG427" s="37"/>
      <c r="AH427" s="37"/>
      <c r="AI427" s="37"/>
      <c r="AJ427" s="37"/>
      <c r="AK427" s="37"/>
      <c r="AL427" s="37"/>
      <c r="AM427" s="37"/>
      <c r="AN427" s="37"/>
      <c r="AO427" s="37"/>
      <c r="AP427" s="37"/>
      <c r="AQ427" s="37"/>
      <c r="AR427" s="37"/>
      <c r="AS427" s="37"/>
      <c r="AT427" s="37"/>
      <c r="AU427" s="37"/>
      <c r="AV427" s="37"/>
      <c r="AW427" s="37"/>
      <c r="AX427" s="37"/>
      <c r="AY427" s="37"/>
      <c r="AZ427" s="37"/>
      <c r="BA427" s="37"/>
      <c r="BB427" s="37"/>
      <c r="BC427" t="s">
        <v>75</v>
      </c>
      <c r="BD427">
        <v>422</v>
      </c>
      <c r="BF427" s="30">
        <f>IF($BD427="","",SUMIF($BD$6:$BD$2000,$BD427,$J$6:$J$2000))</f>
        <v>520</v>
      </c>
    </row>
    <row r="428" spans="1:58" ht="19.5" customHeight="1" x14ac:dyDescent="0.25">
      <c r="A428" s="96" t="s">
        <v>2054</v>
      </c>
      <c r="B428" s="26" t="s">
        <v>71</v>
      </c>
      <c r="C428" s="27">
        <v>525</v>
      </c>
      <c r="D428" s="26" t="s">
        <v>686</v>
      </c>
      <c r="E428" s="26" t="s">
        <v>363</v>
      </c>
      <c r="F428" s="27" t="s">
        <v>74</v>
      </c>
      <c r="G428" s="28">
        <v>46204</v>
      </c>
      <c r="H428" s="29">
        <f t="shared" si="19"/>
        <v>5</v>
      </c>
      <c r="I428" s="29">
        <f t="shared" si="20"/>
        <v>0</v>
      </c>
      <c r="J428" s="30">
        <f t="shared" si="21"/>
        <v>360</v>
      </c>
      <c r="K428" s="31">
        <v>2</v>
      </c>
      <c r="L428" s="31"/>
      <c r="M428" s="31">
        <v>2</v>
      </c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>
        <v>1</v>
      </c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  <c r="AZ428" s="31"/>
      <c r="BA428" s="31"/>
      <c r="BB428" s="31"/>
      <c r="BC428" t="s">
        <v>75</v>
      </c>
      <c r="BD428">
        <v>423</v>
      </c>
      <c r="BF428" s="30">
        <f>IF($BD428="","",SUMIF($BD$6:$BD$2000,$BD428,$J$6:$J$2000))</f>
        <v>360</v>
      </c>
    </row>
    <row r="429" spans="1:58" ht="19.5" customHeight="1" x14ac:dyDescent="0.25">
      <c r="A429" s="96" t="s">
        <v>2054</v>
      </c>
      <c r="B429" s="32" t="s">
        <v>71</v>
      </c>
      <c r="C429" s="33">
        <v>526</v>
      </c>
      <c r="D429" s="32" t="s">
        <v>687</v>
      </c>
      <c r="E429" s="32" t="s">
        <v>175</v>
      </c>
      <c r="F429" s="33" t="s">
        <v>123</v>
      </c>
      <c r="G429" s="34">
        <v>46054</v>
      </c>
      <c r="H429" s="35">
        <f t="shared" si="19"/>
        <v>4</v>
      </c>
      <c r="I429" s="35">
        <f t="shared" si="20"/>
        <v>0</v>
      </c>
      <c r="J429" s="36">
        <f t="shared" si="21"/>
        <v>310</v>
      </c>
      <c r="K429" s="37">
        <v>1</v>
      </c>
      <c r="L429" s="37"/>
      <c r="M429" s="37">
        <v>2</v>
      </c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  <c r="AA429" s="37">
        <v>1</v>
      </c>
      <c r="AB429" s="37"/>
      <c r="AC429" s="37"/>
      <c r="AD429" s="37"/>
      <c r="AE429" s="37"/>
      <c r="AF429" s="37"/>
      <c r="AG429" s="37"/>
      <c r="AH429" s="37"/>
      <c r="AI429" s="37"/>
      <c r="AJ429" s="37"/>
      <c r="AK429" s="37"/>
      <c r="AL429" s="37"/>
      <c r="AM429" s="37"/>
      <c r="AN429" s="37"/>
      <c r="AO429" s="37"/>
      <c r="AP429" s="37"/>
      <c r="AQ429" s="37"/>
      <c r="AR429" s="37"/>
      <c r="AS429" s="37"/>
      <c r="AT429" s="37"/>
      <c r="AU429" s="37"/>
      <c r="AV429" s="37"/>
      <c r="AW429" s="37"/>
      <c r="AX429" s="37"/>
      <c r="AY429" s="37"/>
      <c r="AZ429" s="37"/>
      <c r="BA429" s="37"/>
      <c r="BB429" s="37"/>
      <c r="BC429" t="s">
        <v>75</v>
      </c>
      <c r="BD429">
        <v>424</v>
      </c>
      <c r="BF429" s="30">
        <f>IF($BD429="","",SUMIF($BD$6:$BD$2000,$BD429,$J$6:$J$2000))</f>
        <v>310</v>
      </c>
    </row>
    <row r="430" spans="1:58" ht="19.5" customHeight="1" x14ac:dyDescent="0.25">
      <c r="A430" s="96" t="s">
        <v>2054</v>
      </c>
      <c r="B430" s="26" t="s">
        <v>71</v>
      </c>
      <c r="C430" s="27">
        <v>527</v>
      </c>
      <c r="D430" s="26" t="s">
        <v>688</v>
      </c>
      <c r="E430" s="26" t="s">
        <v>215</v>
      </c>
      <c r="F430" s="27" t="s">
        <v>216</v>
      </c>
      <c r="G430" s="28">
        <v>46266</v>
      </c>
      <c r="H430" s="29">
        <f t="shared" si="19"/>
        <v>5</v>
      </c>
      <c r="I430" s="29">
        <f t="shared" si="20"/>
        <v>0</v>
      </c>
      <c r="J430" s="30">
        <f t="shared" si="21"/>
        <v>470</v>
      </c>
      <c r="K430" s="31">
        <v>2</v>
      </c>
      <c r="L430" s="31"/>
      <c r="M430" s="31">
        <v>1</v>
      </c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>
        <v>2</v>
      </c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  <c r="AZ430" s="31"/>
      <c r="BA430" s="31"/>
      <c r="BB430" s="31"/>
      <c r="BC430" t="s">
        <v>75</v>
      </c>
      <c r="BD430">
        <v>425</v>
      </c>
      <c r="BF430" s="30">
        <f>IF($BD430="","",SUMIF($BD$6:$BD$2000,$BD430,$J$6:$J$2000))</f>
        <v>470</v>
      </c>
    </row>
    <row r="431" spans="1:58" ht="19.5" customHeight="1" x14ac:dyDescent="0.25">
      <c r="A431" s="96" t="s">
        <v>2054</v>
      </c>
      <c r="B431" s="32" t="s">
        <v>71</v>
      </c>
      <c r="C431" s="33">
        <v>528</v>
      </c>
      <c r="D431" s="32" t="s">
        <v>689</v>
      </c>
      <c r="E431" s="32" t="s">
        <v>73</v>
      </c>
      <c r="F431" s="33" t="s">
        <v>74</v>
      </c>
      <c r="G431" s="34">
        <v>46296</v>
      </c>
      <c r="H431" s="35">
        <f t="shared" si="19"/>
        <v>4</v>
      </c>
      <c r="I431" s="35">
        <f t="shared" si="20"/>
        <v>0</v>
      </c>
      <c r="J431" s="36">
        <f t="shared" si="21"/>
        <v>409</v>
      </c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>
        <v>3</v>
      </c>
      <c r="V431" s="37"/>
      <c r="W431" s="37"/>
      <c r="X431" s="37"/>
      <c r="Y431" s="37"/>
      <c r="Z431" s="37"/>
      <c r="AA431" s="37">
        <v>1</v>
      </c>
      <c r="AB431" s="37"/>
      <c r="AC431" s="37"/>
      <c r="AD431" s="37"/>
      <c r="AE431" s="37"/>
      <c r="AF431" s="37"/>
      <c r="AG431" s="37"/>
      <c r="AH431" s="37"/>
      <c r="AI431" s="37"/>
      <c r="AJ431" s="37"/>
      <c r="AK431" s="37"/>
      <c r="AL431" s="37"/>
      <c r="AM431" s="37"/>
      <c r="AN431" s="37"/>
      <c r="AO431" s="37"/>
      <c r="AP431" s="37"/>
      <c r="AQ431" s="37"/>
      <c r="AR431" s="37"/>
      <c r="AS431" s="37"/>
      <c r="AT431" s="37"/>
      <c r="AU431" s="37"/>
      <c r="AV431" s="37"/>
      <c r="AW431" s="37"/>
      <c r="AX431" s="37"/>
      <c r="AY431" s="37"/>
      <c r="AZ431" s="37"/>
      <c r="BA431" s="37"/>
      <c r="BB431" s="37"/>
      <c r="BC431" t="s">
        <v>75</v>
      </c>
      <c r="BD431">
        <v>426</v>
      </c>
      <c r="BF431" s="30">
        <f>IF($BD431="","",SUMIF($BD$6:$BD$2000,$BD431,$J$6:$J$2000))</f>
        <v>409</v>
      </c>
    </row>
    <row r="432" spans="1:58" ht="19.5" customHeight="1" x14ac:dyDescent="0.25">
      <c r="A432" s="96" t="s">
        <v>2054</v>
      </c>
      <c r="B432" s="26" t="s">
        <v>71</v>
      </c>
      <c r="C432" s="27">
        <v>529</v>
      </c>
      <c r="D432" s="26" t="s">
        <v>690</v>
      </c>
      <c r="E432" s="26" t="s">
        <v>73</v>
      </c>
      <c r="F432" s="27" t="s">
        <v>74</v>
      </c>
      <c r="G432" s="28">
        <v>46296</v>
      </c>
      <c r="H432" s="29">
        <f t="shared" si="19"/>
        <v>4</v>
      </c>
      <c r="I432" s="29">
        <f t="shared" si="20"/>
        <v>0</v>
      </c>
      <c r="J432" s="30">
        <f t="shared" si="21"/>
        <v>420</v>
      </c>
      <c r="K432" s="31">
        <v>1</v>
      </c>
      <c r="L432" s="31"/>
      <c r="M432" s="31">
        <v>1</v>
      </c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>
        <v>2</v>
      </c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  <c r="AZ432" s="31"/>
      <c r="BA432" s="31"/>
      <c r="BB432" s="31"/>
      <c r="BC432" t="s">
        <v>75</v>
      </c>
      <c r="BD432">
        <v>427</v>
      </c>
      <c r="BF432" s="30">
        <f>IF($BD432="","",SUMIF($BD$6:$BD$2000,$BD432,$J$6:$J$2000))</f>
        <v>420</v>
      </c>
    </row>
    <row r="433" spans="1:58" ht="19.5" customHeight="1" x14ac:dyDescent="0.25">
      <c r="A433" s="96" t="s">
        <v>2054</v>
      </c>
      <c r="B433" s="32" t="s">
        <v>71</v>
      </c>
      <c r="C433" s="33">
        <v>532</v>
      </c>
      <c r="D433" s="32" t="s">
        <v>691</v>
      </c>
      <c r="E433" s="32" t="s">
        <v>94</v>
      </c>
      <c r="F433" s="33" t="s">
        <v>74</v>
      </c>
      <c r="G433" s="34">
        <v>46296</v>
      </c>
      <c r="H433" s="35">
        <f t="shared" si="19"/>
        <v>3</v>
      </c>
      <c r="I433" s="35">
        <f t="shared" si="20"/>
        <v>0</v>
      </c>
      <c r="J433" s="36">
        <f t="shared" si="21"/>
        <v>249</v>
      </c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>
        <v>3</v>
      </c>
      <c r="V433" s="37"/>
      <c r="W433" s="37"/>
      <c r="X433" s="37"/>
      <c r="Y433" s="37"/>
      <c r="Z433" s="37"/>
      <c r="AA433" s="37"/>
      <c r="AB433" s="37"/>
      <c r="AC433" s="37"/>
      <c r="AD433" s="37"/>
      <c r="AE433" s="37"/>
      <c r="AF433" s="37"/>
      <c r="AG433" s="37"/>
      <c r="AH433" s="37"/>
      <c r="AI433" s="37"/>
      <c r="AJ433" s="37"/>
      <c r="AK433" s="37"/>
      <c r="AL433" s="37"/>
      <c r="AM433" s="37"/>
      <c r="AN433" s="37"/>
      <c r="AO433" s="37"/>
      <c r="AP433" s="37"/>
      <c r="AQ433" s="37"/>
      <c r="AR433" s="37"/>
      <c r="AS433" s="37"/>
      <c r="AT433" s="37"/>
      <c r="AU433" s="37"/>
      <c r="AV433" s="37"/>
      <c r="AW433" s="37"/>
      <c r="AX433" s="37"/>
      <c r="AY433" s="37"/>
      <c r="AZ433" s="37"/>
      <c r="BA433" s="37"/>
      <c r="BB433" s="37"/>
      <c r="BC433" t="s">
        <v>75</v>
      </c>
      <c r="BD433">
        <v>428</v>
      </c>
      <c r="BF433" s="30">
        <f>IF($BD433="","",SUMIF($BD$6:$BD$2000,$BD433,$J$6:$J$2000))</f>
        <v>249</v>
      </c>
    </row>
    <row r="434" spans="1:58" ht="19.5" customHeight="1" x14ac:dyDescent="0.25">
      <c r="A434" s="96" t="s">
        <v>2054</v>
      </c>
      <c r="B434" s="26" t="s">
        <v>71</v>
      </c>
      <c r="C434" s="27">
        <v>533</v>
      </c>
      <c r="D434" s="26" t="s">
        <v>692</v>
      </c>
      <c r="E434" s="26" t="s">
        <v>73</v>
      </c>
      <c r="F434" s="27" t="s">
        <v>74</v>
      </c>
      <c r="G434" s="28">
        <v>46296</v>
      </c>
      <c r="H434" s="29">
        <f t="shared" si="19"/>
        <v>4</v>
      </c>
      <c r="I434" s="29">
        <f t="shared" si="20"/>
        <v>0</v>
      </c>
      <c r="J434" s="30">
        <f t="shared" si="21"/>
        <v>332</v>
      </c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>
        <v>4</v>
      </c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  <c r="AZ434" s="31"/>
      <c r="BA434" s="31"/>
      <c r="BB434" s="31"/>
      <c r="BC434" t="s">
        <v>75</v>
      </c>
      <c r="BD434">
        <v>429</v>
      </c>
      <c r="BF434" s="30">
        <f>IF($BD434="","",SUMIF($BD$6:$BD$2000,$BD434,$J$6:$J$2000))</f>
        <v>332</v>
      </c>
    </row>
    <row r="435" spans="1:58" ht="19.5" customHeight="1" x14ac:dyDescent="0.25">
      <c r="A435" s="96" t="s">
        <v>2054</v>
      </c>
      <c r="B435" s="32" t="s">
        <v>71</v>
      </c>
      <c r="C435" s="33">
        <v>534</v>
      </c>
      <c r="D435" s="32" t="s">
        <v>693</v>
      </c>
      <c r="E435" s="32" t="s">
        <v>630</v>
      </c>
      <c r="F435" s="33" t="s">
        <v>74</v>
      </c>
      <c r="G435" s="34">
        <v>46266</v>
      </c>
      <c r="H435" s="35">
        <f t="shared" si="19"/>
        <v>4</v>
      </c>
      <c r="I435" s="35">
        <f t="shared" si="20"/>
        <v>0</v>
      </c>
      <c r="J435" s="36">
        <f t="shared" si="21"/>
        <v>310</v>
      </c>
      <c r="K435" s="37">
        <v>2</v>
      </c>
      <c r="L435" s="37"/>
      <c r="M435" s="37">
        <v>1</v>
      </c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  <c r="AA435" s="37">
        <v>1</v>
      </c>
      <c r="AB435" s="37"/>
      <c r="AC435" s="37"/>
      <c r="AD435" s="37"/>
      <c r="AE435" s="37"/>
      <c r="AF435" s="37"/>
      <c r="AG435" s="37"/>
      <c r="AH435" s="37"/>
      <c r="AI435" s="37"/>
      <c r="AJ435" s="37"/>
      <c r="AK435" s="37"/>
      <c r="AL435" s="37"/>
      <c r="AM435" s="37"/>
      <c r="AN435" s="37"/>
      <c r="AO435" s="37"/>
      <c r="AP435" s="37"/>
      <c r="AQ435" s="37"/>
      <c r="AR435" s="37"/>
      <c r="AS435" s="37"/>
      <c r="AT435" s="37"/>
      <c r="AU435" s="37"/>
      <c r="AV435" s="37"/>
      <c r="AW435" s="37"/>
      <c r="AX435" s="37"/>
      <c r="AY435" s="37"/>
      <c r="AZ435" s="37"/>
      <c r="BA435" s="37"/>
      <c r="BB435" s="37"/>
      <c r="BC435" t="s">
        <v>75</v>
      </c>
      <c r="BD435">
        <v>430</v>
      </c>
      <c r="BF435" s="30">
        <f>IF($BD435="","",SUMIF($BD$6:$BD$2000,$BD435,$J$6:$J$2000))</f>
        <v>310</v>
      </c>
    </row>
    <row r="436" spans="1:58" ht="19.5" customHeight="1" x14ac:dyDescent="0.25">
      <c r="A436" s="96" t="s">
        <v>2054</v>
      </c>
      <c r="B436" s="26" t="s">
        <v>71</v>
      </c>
      <c r="C436" s="27">
        <v>535</v>
      </c>
      <c r="D436" s="26" t="s">
        <v>694</v>
      </c>
      <c r="E436" s="26" t="s">
        <v>100</v>
      </c>
      <c r="F436" s="27" t="s">
        <v>74</v>
      </c>
      <c r="G436" s="28">
        <v>46296</v>
      </c>
      <c r="H436" s="29">
        <f t="shared" si="19"/>
        <v>15</v>
      </c>
      <c r="I436" s="29">
        <f t="shared" si="20"/>
        <v>10</v>
      </c>
      <c r="J436" s="30">
        <f t="shared" si="21"/>
        <v>6660</v>
      </c>
      <c r="K436" s="31">
        <v>9</v>
      </c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>
        <v>6</v>
      </c>
      <c r="AB436" s="31"/>
      <c r="AC436" s="31"/>
      <c r="AD436" s="31"/>
      <c r="AE436" s="31"/>
      <c r="AF436" s="31"/>
      <c r="AG436" s="31"/>
      <c r="AH436" s="31">
        <v>10</v>
      </c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  <c r="AZ436" s="31"/>
      <c r="BA436" s="31"/>
      <c r="BB436" s="31"/>
      <c r="BC436" t="s">
        <v>75</v>
      </c>
      <c r="BD436">
        <v>431</v>
      </c>
      <c r="BF436" s="30">
        <f>IF($BD436="","",SUMIF($BD$6:$BD$2000,$BD436,$J$6:$J$2000))</f>
        <v>6660</v>
      </c>
    </row>
    <row r="437" spans="1:58" ht="19.5" customHeight="1" x14ac:dyDescent="0.25">
      <c r="A437" s="96" t="s">
        <v>2054</v>
      </c>
      <c r="B437" s="32" t="s">
        <v>71</v>
      </c>
      <c r="C437" s="33">
        <v>537</v>
      </c>
      <c r="D437" s="32" t="s">
        <v>695</v>
      </c>
      <c r="E437" s="32" t="s">
        <v>122</v>
      </c>
      <c r="F437" s="33" t="s">
        <v>123</v>
      </c>
      <c r="G437" s="34">
        <v>46296</v>
      </c>
      <c r="H437" s="35">
        <f t="shared" si="19"/>
        <v>12</v>
      </c>
      <c r="I437" s="35">
        <f t="shared" si="20"/>
        <v>8</v>
      </c>
      <c r="J437" s="36">
        <f t="shared" si="21"/>
        <v>5455</v>
      </c>
      <c r="K437" s="37"/>
      <c r="L437" s="37"/>
      <c r="M437" s="37"/>
      <c r="N437" s="37"/>
      <c r="O437" s="37"/>
      <c r="P437" s="37"/>
      <c r="Q437" s="37"/>
      <c r="R437" s="37"/>
      <c r="S437" s="37"/>
      <c r="T437" s="37">
        <v>7</v>
      </c>
      <c r="U437" s="37"/>
      <c r="V437" s="37"/>
      <c r="W437" s="37"/>
      <c r="X437" s="37"/>
      <c r="Y437" s="37"/>
      <c r="Z437" s="37"/>
      <c r="AA437" s="37">
        <v>5</v>
      </c>
      <c r="AB437" s="37"/>
      <c r="AC437" s="37"/>
      <c r="AD437" s="37"/>
      <c r="AE437" s="37"/>
      <c r="AF437" s="37"/>
      <c r="AG437" s="37"/>
      <c r="AH437" s="37">
        <v>8</v>
      </c>
      <c r="AI437" s="37"/>
      <c r="AJ437" s="37"/>
      <c r="AK437" s="37"/>
      <c r="AL437" s="37"/>
      <c r="AM437" s="37"/>
      <c r="AN437" s="37"/>
      <c r="AO437" s="37"/>
      <c r="AP437" s="37"/>
      <c r="AQ437" s="37"/>
      <c r="AR437" s="37"/>
      <c r="AS437" s="37"/>
      <c r="AT437" s="37"/>
      <c r="AU437" s="37"/>
      <c r="AV437" s="37"/>
      <c r="AW437" s="37"/>
      <c r="AX437" s="37"/>
      <c r="AY437" s="37"/>
      <c r="AZ437" s="37"/>
      <c r="BA437" s="37"/>
      <c r="BB437" s="37"/>
      <c r="BC437" t="s">
        <v>75</v>
      </c>
      <c r="BD437">
        <v>432</v>
      </c>
      <c r="BF437" s="30">
        <f>IF($BD437="","",SUMIF($BD$6:$BD$2000,$BD437,$J$6:$J$2000))</f>
        <v>5455</v>
      </c>
    </row>
    <row r="438" spans="1:58" ht="19.5" customHeight="1" x14ac:dyDescent="0.25">
      <c r="A438" s="96" t="s">
        <v>2054</v>
      </c>
      <c r="B438" s="26" t="s">
        <v>71</v>
      </c>
      <c r="C438" s="27">
        <v>538</v>
      </c>
      <c r="D438" s="26" t="s">
        <v>696</v>
      </c>
      <c r="E438" s="26" t="s">
        <v>283</v>
      </c>
      <c r="F438" s="27" t="s">
        <v>160</v>
      </c>
      <c r="G438" s="28">
        <v>46082</v>
      </c>
      <c r="H438" s="29">
        <f t="shared" si="19"/>
        <v>4</v>
      </c>
      <c r="I438" s="29">
        <f t="shared" si="20"/>
        <v>0</v>
      </c>
      <c r="J438" s="30">
        <f t="shared" si="21"/>
        <v>200</v>
      </c>
      <c r="K438" s="31">
        <v>2</v>
      </c>
      <c r="L438" s="31"/>
      <c r="M438" s="31">
        <v>2</v>
      </c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  <c r="AZ438" s="31"/>
      <c r="BA438" s="31"/>
      <c r="BB438" s="31"/>
      <c r="BC438" t="s">
        <v>75</v>
      </c>
      <c r="BD438">
        <v>433</v>
      </c>
      <c r="BF438" s="30">
        <f>IF($BD438="","",SUMIF($BD$6:$BD$2000,$BD438,$J$6:$J$2000))</f>
        <v>200</v>
      </c>
    </row>
    <row r="439" spans="1:58" ht="19.5" customHeight="1" x14ac:dyDescent="0.25">
      <c r="A439" s="96" t="s">
        <v>2054</v>
      </c>
      <c r="B439" s="32" t="s">
        <v>71</v>
      </c>
      <c r="C439" s="33">
        <v>539</v>
      </c>
      <c r="D439" s="32" t="s">
        <v>697</v>
      </c>
      <c r="E439" s="32" t="s">
        <v>698</v>
      </c>
      <c r="F439" s="33" t="s">
        <v>74</v>
      </c>
      <c r="G439" s="34">
        <v>46082</v>
      </c>
      <c r="H439" s="35">
        <f t="shared" si="19"/>
        <v>4</v>
      </c>
      <c r="I439" s="35">
        <f t="shared" si="20"/>
        <v>0</v>
      </c>
      <c r="J439" s="36">
        <f t="shared" si="21"/>
        <v>310</v>
      </c>
      <c r="K439" s="37">
        <v>1</v>
      </c>
      <c r="L439" s="37"/>
      <c r="M439" s="37">
        <v>2</v>
      </c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  <c r="AA439" s="37">
        <v>1</v>
      </c>
      <c r="AB439" s="37"/>
      <c r="AC439" s="37"/>
      <c r="AD439" s="37"/>
      <c r="AE439" s="37"/>
      <c r="AF439" s="37"/>
      <c r="AG439" s="37"/>
      <c r="AH439" s="37"/>
      <c r="AI439" s="37"/>
      <c r="AJ439" s="37"/>
      <c r="AK439" s="37"/>
      <c r="AL439" s="37"/>
      <c r="AM439" s="37"/>
      <c r="AN439" s="37"/>
      <c r="AO439" s="37"/>
      <c r="AP439" s="37"/>
      <c r="AQ439" s="37"/>
      <c r="AR439" s="37"/>
      <c r="AS439" s="37"/>
      <c r="AT439" s="37"/>
      <c r="AU439" s="37"/>
      <c r="AV439" s="37"/>
      <c r="AW439" s="37"/>
      <c r="AX439" s="37"/>
      <c r="AY439" s="37"/>
      <c r="AZ439" s="37"/>
      <c r="BA439" s="37"/>
      <c r="BB439" s="37"/>
      <c r="BC439" t="s">
        <v>75</v>
      </c>
      <c r="BD439">
        <v>434</v>
      </c>
      <c r="BF439" s="30">
        <f>IF($BD439="","",SUMIF($BD$6:$BD$2000,$BD439,$J$6:$J$2000))</f>
        <v>310</v>
      </c>
    </row>
    <row r="440" spans="1:58" ht="19.5" customHeight="1" x14ac:dyDescent="0.25">
      <c r="A440" s="96" t="s">
        <v>2054</v>
      </c>
      <c r="B440" s="26" t="s">
        <v>71</v>
      </c>
      <c r="C440" s="27">
        <v>540</v>
      </c>
      <c r="D440" s="26" t="s">
        <v>699</v>
      </c>
      <c r="E440" s="26" t="s">
        <v>96</v>
      </c>
      <c r="F440" s="27" t="s">
        <v>74</v>
      </c>
      <c r="G440" s="28">
        <v>46082</v>
      </c>
      <c r="H440" s="29">
        <f t="shared" si="19"/>
        <v>3</v>
      </c>
      <c r="I440" s="29">
        <f t="shared" si="20"/>
        <v>0</v>
      </c>
      <c r="J440" s="30">
        <f t="shared" si="21"/>
        <v>150</v>
      </c>
      <c r="K440" s="31">
        <v>1</v>
      </c>
      <c r="L440" s="31"/>
      <c r="M440" s="31">
        <v>2</v>
      </c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  <c r="AZ440" s="31"/>
      <c r="BA440" s="31"/>
      <c r="BB440" s="31"/>
      <c r="BC440" t="s">
        <v>75</v>
      </c>
      <c r="BD440">
        <v>435</v>
      </c>
      <c r="BF440" s="30">
        <f>IF($BD440="","",SUMIF($BD$6:$BD$2000,$BD440,$J$6:$J$2000))</f>
        <v>150</v>
      </c>
    </row>
    <row r="441" spans="1:58" ht="19.5" customHeight="1" x14ac:dyDescent="0.25">
      <c r="A441" s="96" t="s">
        <v>2054</v>
      </c>
      <c r="B441" s="32" t="s">
        <v>71</v>
      </c>
      <c r="C441" s="33">
        <v>541</v>
      </c>
      <c r="D441" s="32" t="s">
        <v>700</v>
      </c>
      <c r="E441" s="32" t="s">
        <v>173</v>
      </c>
      <c r="F441" s="33" t="s">
        <v>74</v>
      </c>
      <c r="G441" s="34">
        <v>46388</v>
      </c>
      <c r="H441" s="35">
        <f t="shared" si="19"/>
        <v>3</v>
      </c>
      <c r="I441" s="35">
        <f t="shared" si="20"/>
        <v>0</v>
      </c>
      <c r="J441" s="36">
        <f t="shared" si="21"/>
        <v>275</v>
      </c>
      <c r="K441" s="37">
        <v>1</v>
      </c>
      <c r="L441" s="37"/>
      <c r="M441" s="37"/>
      <c r="N441" s="37"/>
      <c r="O441" s="37"/>
      <c r="P441" s="37"/>
      <c r="Q441" s="37"/>
      <c r="R441" s="37"/>
      <c r="S441" s="37"/>
      <c r="T441" s="37">
        <v>1</v>
      </c>
      <c r="U441" s="37"/>
      <c r="V441" s="37"/>
      <c r="W441" s="37"/>
      <c r="X441" s="37"/>
      <c r="Y441" s="37"/>
      <c r="Z441" s="37"/>
      <c r="AA441" s="37">
        <v>1</v>
      </c>
      <c r="AB441" s="37"/>
      <c r="AC441" s="37"/>
      <c r="AD441" s="37"/>
      <c r="AE441" s="37"/>
      <c r="AF441" s="37"/>
      <c r="AG441" s="37"/>
      <c r="AH441" s="37"/>
      <c r="AI441" s="37"/>
      <c r="AJ441" s="37"/>
      <c r="AK441" s="37"/>
      <c r="AL441" s="37"/>
      <c r="AM441" s="37"/>
      <c r="AN441" s="37"/>
      <c r="AO441" s="37"/>
      <c r="AP441" s="37"/>
      <c r="AQ441" s="37"/>
      <c r="AR441" s="37"/>
      <c r="AS441" s="37"/>
      <c r="AT441" s="37"/>
      <c r="AU441" s="37"/>
      <c r="AV441" s="37"/>
      <c r="AW441" s="37"/>
      <c r="AX441" s="37"/>
      <c r="AY441" s="37"/>
      <c r="AZ441" s="37"/>
      <c r="BA441" s="37"/>
      <c r="BB441" s="37"/>
      <c r="BC441" t="s">
        <v>75</v>
      </c>
      <c r="BD441">
        <v>436</v>
      </c>
      <c r="BF441" s="30">
        <f>IF($BD441="","",SUMIF($BD$6:$BD$2000,$BD441,$J$6:$J$2000))</f>
        <v>275</v>
      </c>
    </row>
    <row r="442" spans="1:58" ht="19.5" customHeight="1" x14ac:dyDescent="0.25">
      <c r="A442" s="96" t="s">
        <v>2054</v>
      </c>
      <c r="B442" s="26" t="s">
        <v>71</v>
      </c>
      <c r="C442" s="27">
        <v>542</v>
      </c>
      <c r="D442" s="26" t="s">
        <v>701</v>
      </c>
      <c r="E442" s="26" t="s">
        <v>153</v>
      </c>
      <c r="F442" s="27" t="s">
        <v>142</v>
      </c>
      <c r="G442" s="28">
        <v>46419</v>
      </c>
      <c r="H442" s="29">
        <f t="shared" si="19"/>
        <v>4</v>
      </c>
      <c r="I442" s="29">
        <f t="shared" si="20"/>
        <v>0</v>
      </c>
      <c r="J442" s="30">
        <f t="shared" si="21"/>
        <v>310</v>
      </c>
      <c r="K442" s="31">
        <v>1</v>
      </c>
      <c r="L442" s="31"/>
      <c r="M442" s="31">
        <v>2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>
        <v>1</v>
      </c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  <c r="AZ442" s="31"/>
      <c r="BA442" s="31"/>
      <c r="BB442" s="31"/>
      <c r="BC442" t="s">
        <v>75</v>
      </c>
      <c r="BD442">
        <v>437</v>
      </c>
      <c r="BF442" s="30">
        <f>IF($BD442="","",SUMIF($BD$6:$BD$2000,$BD442,$J$6:$J$2000))</f>
        <v>310</v>
      </c>
    </row>
    <row r="443" spans="1:58" ht="19.5" customHeight="1" x14ac:dyDescent="0.25">
      <c r="A443" s="96" t="s">
        <v>2054</v>
      </c>
      <c r="B443" s="32" t="s">
        <v>71</v>
      </c>
      <c r="C443" s="33">
        <v>543</v>
      </c>
      <c r="D443" s="32" t="s">
        <v>702</v>
      </c>
      <c r="E443" s="32" t="s">
        <v>703</v>
      </c>
      <c r="F443" s="33" t="s">
        <v>243</v>
      </c>
      <c r="G443" s="34">
        <v>46143</v>
      </c>
      <c r="H443" s="35">
        <f t="shared" si="19"/>
        <v>18</v>
      </c>
      <c r="I443" s="35">
        <f t="shared" si="20"/>
        <v>10</v>
      </c>
      <c r="J443" s="36">
        <f t="shared" si="21"/>
        <v>7140</v>
      </c>
      <c r="K443" s="37">
        <v>9</v>
      </c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  <c r="AA443" s="37">
        <v>9</v>
      </c>
      <c r="AB443" s="37"/>
      <c r="AC443" s="37"/>
      <c r="AD443" s="37"/>
      <c r="AE443" s="37"/>
      <c r="AF443" s="37"/>
      <c r="AG443" s="37"/>
      <c r="AH443" s="37">
        <v>10</v>
      </c>
      <c r="AI443" s="37"/>
      <c r="AJ443" s="37"/>
      <c r="AK443" s="37"/>
      <c r="AL443" s="37"/>
      <c r="AM443" s="37"/>
      <c r="AN443" s="37"/>
      <c r="AO443" s="37"/>
      <c r="AP443" s="37"/>
      <c r="AQ443" s="37"/>
      <c r="AR443" s="37"/>
      <c r="AS443" s="37"/>
      <c r="AT443" s="37"/>
      <c r="AU443" s="37"/>
      <c r="AV443" s="37"/>
      <c r="AW443" s="37"/>
      <c r="AX443" s="37"/>
      <c r="AY443" s="37"/>
      <c r="AZ443" s="37"/>
      <c r="BA443" s="37"/>
      <c r="BB443" s="37"/>
      <c r="BC443" t="s">
        <v>75</v>
      </c>
      <c r="BD443">
        <v>438</v>
      </c>
      <c r="BF443" s="30">
        <f>IF($BD443="","",SUMIF($BD$6:$BD$2000,$BD443,$J$6:$J$2000))</f>
        <v>7140</v>
      </c>
    </row>
    <row r="444" spans="1:58" ht="19.5" customHeight="1" x14ac:dyDescent="0.25">
      <c r="A444" s="96" t="s">
        <v>2054</v>
      </c>
      <c r="B444" s="26" t="s">
        <v>71</v>
      </c>
      <c r="C444" s="27">
        <v>544</v>
      </c>
      <c r="D444" s="26" t="s">
        <v>704</v>
      </c>
      <c r="E444" s="26" t="s">
        <v>102</v>
      </c>
      <c r="F444" s="27" t="s">
        <v>74</v>
      </c>
      <c r="G444" s="28">
        <v>46082</v>
      </c>
      <c r="H444" s="29">
        <f t="shared" si="19"/>
        <v>3</v>
      </c>
      <c r="I444" s="29">
        <f t="shared" si="20"/>
        <v>0</v>
      </c>
      <c r="J444" s="30">
        <f t="shared" si="21"/>
        <v>150</v>
      </c>
      <c r="K444" s="31">
        <v>1</v>
      </c>
      <c r="L444" s="31"/>
      <c r="M444" s="31">
        <v>2</v>
      </c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  <c r="AZ444" s="31"/>
      <c r="BA444" s="31"/>
      <c r="BB444" s="31"/>
      <c r="BC444" t="s">
        <v>75</v>
      </c>
      <c r="BD444">
        <v>439</v>
      </c>
      <c r="BF444" s="30">
        <f>IF($BD444="","",SUMIF($BD$6:$BD$2000,$BD444,$J$6:$J$2000))</f>
        <v>150</v>
      </c>
    </row>
    <row r="445" spans="1:58" ht="19.5" customHeight="1" x14ac:dyDescent="0.25">
      <c r="A445" s="96" t="s">
        <v>2054</v>
      </c>
      <c r="B445" s="32" t="s">
        <v>71</v>
      </c>
      <c r="C445" s="33">
        <v>545</v>
      </c>
      <c r="D445" s="32" t="s">
        <v>705</v>
      </c>
      <c r="E445" s="32" t="s">
        <v>706</v>
      </c>
      <c r="F445" s="33" t="s">
        <v>246</v>
      </c>
      <c r="G445" s="34">
        <v>46143</v>
      </c>
      <c r="H445" s="35">
        <f t="shared" si="19"/>
        <v>4</v>
      </c>
      <c r="I445" s="35">
        <f t="shared" si="20"/>
        <v>0</v>
      </c>
      <c r="J445" s="36">
        <f t="shared" si="21"/>
        <v>310</v>
      </c>
      <c r="K445" s="37">
        <v>1</v>
      </c>
      <c r="L445" s="37"/>
      <c r="M445" s="37">
        <v>2</v>
      </c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  <c r="AA445" s="37">
        <v>1</v>
      </c>
      <c r="AB445" s="37"/>
      <c r="AC445" s="37"/>
      <c r="AD445" s="37"/>
      <c r="AE445" s="37"/>
      <c r="AF445" s="37"/>
      <c r="AG445" s="37"/>
      <c r="AH445" s="37"/>
      <c r="AI445" s="37"/>
      <c r="AJ445" s="37"/>
      <c r="AK445" s="37"/>
      <c r="AL445" s="37"/>
      <c r="AM445" s="37"/>
      <c r="AN445" s="37"/>
      <c r="AO445" s="37"/>
      <c r="AP445" s="37"/>
      <c r="AQ445" s="37"/>
      <c r="AR445" s="37"/>
      <c r="AS445" s="37"/>
      <c r="AT445" s="37"/>
      <c r="AU445" s="37"/>
      <c r="AV445" s="37"/>
      <c r="AW445" s="37"/>
      <c r="AX445" s="37"/>
      <c r="AY445" s="37"/>
      <c r="AZ445" s="37"/>
      <c r="BA445" s="37"/>
      <c r="BB445" s="37"/>
      <c r="BC445" t="s">
        <v>75</v>
      </c>
      <c r="BD445">
        <v>440</v>
      </c>
      <c r="BF445" s="30">
        <f>IF($BD445="","",SUMIF($BD$6:$BD$2000,$BD445,$J$6:$J$2000))</f>
        <v>310</v>
      </c>
    </row>
    <row r="446" spans="1:58" ht="19.5" customHeight="1" x14ac:dyDescent="0.25">
      <c r="A446" s="96" t="s">
        <v>2054</v>
      </c>
      <c r="B446" s="26" t="s">
        <v>71</v>
      </c>
      <c r="C446" s="27">
        <v>546</v>
      </c>
      <c r="D446" s="26" t="s">
        <v>707</v>
      </c>
      <c r="E446" s="26" t="s">
        <v>100</v>
      </c>
      <c r="F446" s="27" t="s">
        <v>74</v>
      </c>
      <c r="G446" s="28">
        <v>46143</v>
      </c>
      <c r="H446" s="29">
        <f t="shared" si="19"/>
        <v>5</v>
      </c>
      <c r="I446" s="29">
        <f t="shared" si="20"/>
        <v>0</v>
      </c>
      <c r="J446" s="30">
        <f t="shared" si="21"/>
        <v>470</v>
      </c>
      <c r="K446" s="31">
        <v>1</v>
      </c>
      <c r="L446" s="31"/>
      <c r="M446" s="31">
        <v>2</v>
      </c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>
        <v>2</v>
      </c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  <c r="AZ446" s="31"/>
      <c r="BA446" s="31"/>
      <c r="BB446" s="31"/>
      <c r="BC446" t="s">
        <v>75</v>
      </c>
      <c r="BD446">
        <v>441</v>
      </c>
      <c r="BF446" s="30">
        <f>IF($BD446="","",SUMIF($BD$6:$BD$2000,$BD446,$J$6:$J$2000))</f>
        <v>470</v>
      </c>
    </row>
    <row r="447" spans="1:58" ht="19.5" customHeight="1" x14ac:dyDescent="0.25">
      <c r="A447" s="96" t="s">
        <v>2054</v>
      </c>
      <c r="B447" s="32" t="s">
        <v>71</v>
      </c>
      <c r="C447" s="33">
        <v>547</v>
      </c>
      <c r="D447" s="32" t="s">
        <v>708</v>
      </c>
      <c r="E447" s="32" t="s">
        <v>177</v>
      </c>
      <c r="F447" s="33" t="s">
        <v>74</v>
      </c>
      <c r="G447" s="34">
        <v>46082</v>
      </c>
      <c r="H447" s="35">
        <f t="shared" si="19"/>
        <v>4</v>
      </c>
      <c r="I447" s="35">
        <f t="shared" si="20"/>
        <v>0</v>
      </c>
      <c r="J447" s="36">
        <f t="shared" si="21"/>
        <v>332</v>
      </c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>
        <v>4</v>
      </c>
      <c r="V447" s="37"/>
      <c r="W447" s="37"/>
      <c r="X447" s="37"/>
      <c r="Y447" s="37"/>
      <c r="Z447" s="37"/>
      <c r="AA447" s="37"/>
      <c r="AB447" s="37"/>
      <c r="AC447" s="37"/>
      <c r="AD447" s="37"/>
      <c r="AE447" s="37"/>
      <c r="AF447" s="37"/>
      <c r="AG447" s="37"/>
      <c r="AH447" s="37"/>
      <c r="AI447" s="37"/>
      <c r="AJ447" s="37"/>
      <c r="AK447" s="37"/>
      <c r="AL447" s="37"/>
      <c r="AM447" s="37"/>
      <c r="AN447" s="37"/>
      <c r="AO447" s="37"/>
      <c r="AP447" s="37"/>
      <c r="AQ447" s="37"/>
      <c r="AR447" s="37"/>
      <c r="AS447" s="37"/>
      <c r="AT447" s="37"/>
      <c r="AU447" s="37"/>
      <c r="AV447" s="37"/>
      <c r="AW447" s="37"/>
      <c r="AX447" s="37"/>
      <c r="AY447" s="37"/>
      <c r="AZ447" s="37"/>
      <c r="BA447" s="37"/>
      <c r="BB447" s="37"/>
      <c r="BC447" t="s">
        <v>75</v>
      </c>
      <c r="BD447">
        <v>442</v>
      </c>
      <c r="BF447" s="30">
        <f>IF($BD447="","",SUMIF($BD$6:$BD$2000,$BD447,$J$6:$J$2000))</f>
        <v>332</v>
      </c>
    </row>
    <row r="448" spans="1:58" ht="19.5" customHeight="1" x14ac:dyDescent="0.25">
      <c r="A448" s="96" t="s">
        <v>2054</v>
      </c>
      <c r="B448" s="26" t="s">
        <v>71</v>
      </c>
      <c r="C448" s="27">
        <v>548</v>
      </c>
      <c r="D448" s="26" t="s">
        <v>709</v>
      </c>
      <c r="E448" s="26" t="s">
        <v>625</v>
      </c>
      <c r="F448" s="27" t="s">
        <v>74</v>
      </c>
      <c r="G448" s="28">
        <v>46145</v>
      </c>
      <c r="H448" s="29">
        <f t="shared" si="19"/>
        <v>4</v>
      </c>
      <c r="I448" s="29">
        <f t="shared" si="20"/>
        <v>0</v>
      </c>
      <c r="J448" s="30">
        <f t="shared" si="21"/>
        <v>310</v>
      </c>
      <c r="K448" s="31">
        <v>1</v>
      </c>
      <c r="L448" s="31"/>
      <c r="M448" s="31">
        <v>2</v>
      </c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>
        <v>1</v>
      </c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  <c r="AZ448" s="31"/>
      <c r="BA448" s="31"/>
      <c r="BB448" s="31"/>
      <c r="BC448" t="s">
        <v>75</v>
      </c>
      <c r="BD448">
        <v>443</v>
      </c>
      <c r="BF448" s="30">
        <f>IF($BD448="","",SUMIF($BD$6:$BD$2000,$BD448,$J$6:$J$2000))</f>
        <v>310</v>
      </c>
    </row>
    <row r="449" spans="1:58" ht="19.5" customHeight="1" x14ac:dyDescent="0.25">
      <c r="A449" s="96" t="s">
        <v>2054</v>
      </c>
      <c r="B449" s="32" t="s">
        <v>71</v>
      </c>
      <c r="C449" s="33">
        <v>549</v>
      </c>
      <c r="D449" s="32" t="s">
        <v>710</v>
      </c>
      <c r="E449" s="32" t="s">
        <v>169</v>
      </c>
      <c r="F449" s="33" t="s">
        <v>114</v>
      </c>
      <c r="G449" s="34">
        <v>46082</v>
      </c>
      <c r="H449" s="35">
        <f t="shared" si="19"/>
        <v>4</v>
      </c>
      <c r="I449" s="35">
        <f t="shared" si="20"/>
        <v>0</v>
      </c>
      <c r="J449" s="36">
        <f t="shared" si="21"/>
        <v>310</v>
      </c>
      <c r="K449" s="37">
        <v>1</v>
      </c>
      <c r="L449" s="37"/>
      <c r="M449" s="37">
        <v>2</v>
      </c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  <c r="AA449" s="37">
        <v>1</v>
      </c>
      <c r="AB449" s="37"/>
      <c r="AC449" s="37"/>
      <c r="AD449" s="37"/>
      <c r="AE449" s="37"/>
      <c r="AF449" s="37"/>
      <c r="AG449" s="37"/>
      <c r="AH449" s="37"/>
      <c r="AI449" s="37"/>
      <c r="AJ449" s="37"/>
      <c r="AK449" s="37"/>
      <c r="AL449" s="37"/>
      <c r="AM449" s="37"/>
      <c r="AN449" s="37"/>
      <c r="AO449" s="37"/>
      <c r="AP449" s="37"/>
      <c r="AQ449" s="37"/>
      <c r="AR449" s="37"/>
      <c r="AS449" s="37"/>
      <c r="AT449" s="37"/>
      <c r="AU449" s="37"/>
      <c r="AV449" s="37"/>
      <c r="AW449" s="37"/>
      <c r="AX449" s="37"/>
      <c r="AY449" s="37"/>
      <c r="AZ449" s="37"/>
      <c r="BA449" s="37"/>
      <c r="BB449" s="37"/>
      <c r="BC449" t="s">
        <v>75</v>
      </c>
      <c r="BD449">
        <v>444</v>
      </c>
      <c r="BF449" s="30">
        <f>IF($BD449="","",SUMIF($BD$6:$BD$2000,$BD449,$J$6:$J$2000))</f>
        <v>310</v>
      </c>
    </row>
    <row r="450" spans="1:58" ht="19.5" customHeight="1" x14ac:dyDescent="0.25">
      <c r="A450" s="96" t="s">
        <v>2054</v>
      </c>
      <c r="B450" s="26" t="s">
        <v>71</v>
      </c>
      <c r="C450" s="27">
        <v>551</v>
      </c>
      <c r="D450" s="26" t="s">
        <v>711</v>
      </c>
      <c r="E450" s="26" t="s">
        <v>540</v>
      </c>
      <c r="F450" s="27" t="s">
        <v>120</v>
      </c>
      <c r="G450" s="28">
        <v>46266</v>
      </c>
      <c r="H450" s="29">
        <f t="shared" si="19"/>
        <v>12</v>
      </c>
      <c r="I450" s="29">
        <f t="shared" si="20"/>
        <v>12</v>
      </c>
      <c r="J450" s="30">
        <f t="shared" si="21"/>
        <v>7080</v>
      </c>
      <c r="K450" s="31"/>
      <c r="L450" s="31"/>
      <c r="M450" s="31"/>
      <c r="N450" s="31"/>
      <c r="O450" s="31"/>
      <c r="P450" s="31"/>
      <c r="Q450" s="31"/>
      <c r="R450" s="31"/>
      <c r="S450" s="31"/>
      <c r="T450" s="31">
        <v>12</v>
      </c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>
        <v>12</v>
      </c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  <c r="AZ450" s="31"/>
      <c r="BA450" s="31"/>
      <c r="BB450" s="31"/>
      <c r="BC450" t="s">
        <v>75</v>
      </c>
      <c r="BD450">
        <v>445</v>
      </c>
      <c r="BF450" s="30">
        <f>IF($BD450="","",SUMIF($BD$6:$BD$2000,$BD450,$J$6:$J$2000))</f>
        <v>7080</v>
      </c>
    </row>
    <row r="451" spans="1:58" ht="19.5" customHeight="1" x14ac:dyDescent="0.25">
      <c r="A451" s="96" t="s">
        <v>2054</v>
      </c>
      <c r="B451" s="32" t="s">
        <v>71</v>
      </c>
      <c r="C451" s="33">
        <v>552</v>
      </c>
      <c r="D451" s="32" t="s">
        <v>712</v>
      </c>
      <c r="E451" s="32" t="s">
        <v>713</v>
      </c>
      <c r="F451" s="33" t="s">
        <v>207</v>
      </c>
      <c r="G451" s="34">
        <v>46235</v>
      </c>
      <c r="H451" s="35">
        <f t="shared" si="19"/>
        <v>3</v>
      </c>
      <c r="I451" s="35">
        <f t="shared" si="20"/>
        <v>16</v>
      </c>
      <c r="J451" s="36">
        <f t="shared" si="21"/>
        <v>8880</v>
      </c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37">
        <v>3</v>
      </c>
      <c r="AB451" s="37"/>
      <c r="AC451" s="37"/>
      <c r="AD451" s="37"/>
      <c r="AE451" s="37"/>
      <c r="AF451" s="37"/>
      <c r="AG451" s="37"/>
      <c r="AH451" s="37">
        <v>16</v>
      </c>
      <c r="AI451" s="37"/>
      <c r="AJ451" s="37"/>
      <c r="AK451" s="37"/>
      <c r="AL451" s="37"/>
      <c r="AM451" s="37"/>
      <c r="AN451" s="37"/>
      <c r="AO451" s="37"/>
      <c r="AP451" s="37"/>
      <c r="AQ451" s="37"/>
      <c r="AR451" s="37"/>
      <c r="AS451" s="37"/>
      <c r="AT451" s="37"/>
      <c r="AU451" s="37"/>
      <c r="AV451" s="37"/>
      <c r="AW451" s="37"/>
      <c r="AX451" s="37"/>
      <c r="AY451" s="37"/>
      <c r="AZ451" s="37"/>
      <c r="BA451" s="37"/>
      <c r="BB451" s="37"/>
      <c r="BC451" t="s">
        <v>75</v>
      </c>
      <c r="BD451">
        <v>446</v>
      </c>
      <c r="BF451" s="30">
        <f>IF($BD451="","",SUMIF($BD$6:$BD$2000,$BD451,$J$6:$J$2000))</f>
        <v>8880</v>
      </c>
    </row>
    <row r="452" spans="1:58" ht="19.5" customHeight="1" x14ac:dyDescent="0.25">
      <c r="A452" s="96" t="s">
        <v>2054</v>
      </c>
      <c r="B452" s="26" t="s">
        <v>71</v>
      </c>
      <c r="C452" s="27">
        <v>554</v>
      </c>
      <c r="D452" s="26" t="s">
        <v>714</v>
      </c>
      <c r="E452" s="26" t="s">
        <v>715</v>
      </c>
      <c r="F452" s="27" t="s">
        <v>74</v>
      </c>
      <c r="G452" s="28">
        <v>46296</v>
      </c>
      <c r="H452" s="29">
        <f t="shared" si="19"/>
        <v>16</v>
      </c>
      <c r="I452" s="29">
        <f t="shared" si="20"/>
        <v>16</v>
      </c>
      <c r="J452" s="30">
        <f t="shared" si="21"/>
        <v>9970</v>
      </c>
      <c r="K452" s="31">
        <v>9</v>
      </c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>
        <v>7</v>
      </c>
      <c r="AB452" s="31"/>
      <c r="AC452" s="31"/>
      <c r="AD452" s="31"/>
      <c r="AE452" s="31"/>
      <c r="AF452" s="31"/>
      <c r="AG452" s="31"/>
      <c r="AH452" s="31">
        <v>16</v>
      </c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  <c r="AZ452" s="31"/>
      <c r="BA452" s="31"/>
      <c r="BB452" s="31"/>
      <c r="BC452" t="s">
        <v>75</v>
      </c>
      <c r="BD452">
        <v>447</v>
      </c>
      <c r="BF452" s="30">
        <f>IF($BD452="","",SUMIF($BD$6:$BD$2000,$BD452,$J$6:$J$2000))</f>
        <v>9970</v>
      </c>
    </row>
    <row r="453" spans="1:58" ht="19.5" customHeight="1" x14ac:dyDescent="0.25">
      <c r="A453" s="96" t="s">
        <v>2054</v>
      </c>
      <c r="B453" s="32" t="s">
        <v>71</v>
      </c>
      <c r="C453" s="33">
        <v>555</v>
      </c>
      <c r="D453" s="32" t="s">
        <v>716</v>
      </c>
      <c r="E453" s="32" t="s">
        <v>314</v>
      </c>
      <c r="F453" s="33" t="s">
        <v>210</v>
      </c>
      <c r="G453" s="34">
        <v>46297</v>
      </c>
      <c r="H453" s="35">
        <f t="shared" si="19"/>
        <v>6</v>
      </c>
      <c r="I453" s="35">
        <f t="shared" si="20"/>
        <v>0</v>
      </c>
      <c r="J453" s="36">
        <f t="shared" si="21"/>
        <v>520</v>
      </c>
      <c r="K453" s="37">
        <v>2</v>
      </c>
      <c r="L453" s="37"/>
      <c r="M453" s="37">
        <v>2</v>
      </c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  <c r="AA453" s="37">
        <v>2</v>
      </c>
      <c r="AB453" s="37"/>
      <c r="AC453" s="37"/>
      <c r="AD453" s="37"/>
      <c r="AE453" s="37"/>
      <c r="AF453" s="37"/>
      <c r="AG453" s="37"/>
      <c r="AH453" s="37"/>
      <c r="AI453" s="37"/>
      <c r="AJ453" s="37"/>
      <c r="AK453" s="37"/>
      <c r="AL453" s="37"/>
      <c r="AM453" s="37"/>
      <c r="AN453" s="37"/>
      <c r="AO453" s="37"/>
      <c r="AP453" s="37"/>
      <c r="AQ453" s="37"/>
      <c r="AR453" s="37"/>
      <c r="AS453" s="37"/>
      <c r="AT453" s="37"/>
      <c r="AU453" s="37"/>
      <c r="AV453" s="37"/>
      <c r="AW453" s="37"/>
      <c r="AX453" s="37"/>
      <c r="AY453" s="37"/>
      <c r="AZ453" s="37"/>
      <c r="BA453" s="37"/>
      <c r="BB453" s="37"/>
      <c r="BC453" t="s">
        <v>75</v>
      </c>
      <c r="BD453">
        <v>448</v>
      </c>
      <c r="BF453" s="30">
        <f>IF($BD453="","",SUMIF($BD$6:$BD$2000,$BD453,$J$6:$J$2000))</f>
        <v>520</v>
      </c>
    </row>
    <row r="454" spans="1:58" ht="19.5" customHeight="1" x14ac:dyDescent="0.25">
      <c r="A454" s="96" t="s">
        <v>2054</v>
      </c>
      <c r="B454" s="26" t="s">
        <v>71</v>
      </c>
      <c r="C454" s="27">
        <v>557</v>
      </c>
      <c r="D454" s="26" t="s">
        <v>717</v>
      </c>
      <c r="E454" s="26" t="s">
        <v>322</v>
      </c>
      <c r="F454" s="27" t="s">
        <v>74</v>
      </c>
      <c r="G454" s="28">
        <v>46298</v>
      </c>
      <c r="H454" s="29">
        <f t="shared" ref="H454:H517" si="22">IF($B454="","",SUM($K454:$AG454)+SUM($AS454:$BB454))</f>
        <v>6</v>
      </c>
      <c r="I454" s="29">
        <f t="shared" ref="I454:I517" si="23">IF($B454="","",SUM($AH454:$AL454))</f>
        <v>0</v>
      </c>
      <c r="J454" s="30">
        <f t="shared" ref="J454:J517" si="24">IF($B454="","",SUMPRODUCT($K454:$BB454,$K$2:$BB$2))</f>
        <v>410</v>
      </c>
      <c r="K454" s="31">
        <v>1</v>
      </c>
      <c r="L454" s="31"/>
      <c r="M454" s="31">
        <v>4</v>
      </c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>
        <v>1</v>
      </c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  <c r="AZ454" s="31"/>
      <c r="BA454" s="31"/>
      <c r="BB454" s="31"/>
      <c r="BC454" t="s">
        <v>75</v>
      </c>
      <c r="BD454">
        <v>449</v>
      </c>
      <c r="BF454" s="30">
        <f>IF($BD454="","",SUMIF($BD$6:$BD$2000,$BD454,$J$6:$J$2000))</f>
        <v>410</v>
      </c>
    </row>
    <row r="455" spans="1:58" ht="19.5" customHeight="1" x14ac:dyDescent="0.25">
      <c r="A455" s="96" t="s">
        <v>2054</v>
      </c>
      <c r="B455" s="32" t="s">
        <v>71</v>
      </c>
      <c r="C455" s="33">
        <v>600</v>
      </c>
      <c r="D455" s="32" t="s">
        <v>718</v>
      </c>
      <c r="E455" s="32" t="s">
        <v>73</v>
      </c>
      <c r="F455" s="33" t="s">
        <v>74</v>
      </c>
      <c r="G455" s="34">
        <v>46299</v>
      </c>
      <c r="H455" s="35">
        <f t="shared" si="22"/>
        <v>5</v>
      </c>
      <c r="I455" s="35">
        <f t="shared" si="23"/>
        <v>0</v>
      </c>
      <c r="J455" s="36">
        <f t="shared" si="24"/>
        <v>470</v>
      </c>
      <c r="K455" s="37">
        <v>3</v>
      </c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  <c r="AA455" s="37">
        <v>2</v>
      </c>
      <c r="AB455" s="37"/>
      <c r="AC455" s="37"/>
      <c r="AD455" s="37"/>
      <c r="AE455" s="37"/>
      <c r="AF455" s="37"/>
      <c r="AG455" s="37"/>
      <c r="AH455" s="37"/>
      <c r="AI455" s="37"/>
      <c r="AJ455" s="37"/>
      <c r="AK455" s="37"/>
      <c r="AL455" s="37"/>
      <c r="AM455" s="37"/>
      <c r="AN455" s="37"/>
      <c r="AO455" s="37"/>
      <c r="AP455" s="37"/>
      <c r="AQ455" s="37"/>
      <c r="AR455" s="37"/>
      <c r="AS455" s="37"/>
      <c r="AT455" s="37"/>
      <c r="AU455" s="37"/>
      <c r="AV455" s="37"/>
      <c r="AW455" s="37"/>
      <c r="AX455" s="37"/>
      <c r="AY455" s="37"/>
      <c r="AZ455" s="37"/>
      <c r="BA455" s="37"/>
      <c r="BB455" s="37"/>
      <c r="BC455" t="s">
        <v>75</v>
      </c>
      <c r="BD455">
        <v>450</v>
      </c>
      <c r="BF455" s="30">
        <f>IF($BD455="","",SUMIF($BD$6:$BD$2000,$BD455,$J$6:$J$2000))</f>
        <v>470</v>
      </c>
    </row>
    <row r="456" spans="1:58" x14ac:dyDescent="0.25">
      <c r="B456" s="39"/>
      <c r="C456" s="39"/>
      <c r="D456" s="40"/>
      <c r="E456" s="39"/>
      <c r="F456" s="39"/>
      <c r="G456" s="41"/>
      <c r="H456" s="42" t="str">
        <f t="shared" si="22"/>
        <v/>
      </c>
      <c r="I456" s="42" t="str">
        <f t="shared" si="23"/>
        <v/>
      </c>
      <c r="J456" s="43" t="str">
        <f t="shared" si="24"/>
        <v/>
      </c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44"/>
      <c r="AN456" s="44"/>
      <c r="AO456" s="44"/>
      <c r="AP456" s="44"/>
      <c r="AQ456" s="44"/>
      <c r="AR456" s="44"/>
      <c r="AS456" s="45"/>
      <c r="AT456" s="45"/>
      <c r="AU456" s="45"/>
    </row>
    <row r="457" spans="1:58" x14ac:dyDescent="0.25">
      <c r="B457" s="39"/>
      <c r="C457" s="39"/>
      <c r="D457" s="40"/>
      <c r="E457" s="39"/>
      <c r="F457" s="39"/>
      <c r="G457" s="41"/>
      <c r="H457" s="42" t="str">
        <f t="shared" si="22"/>
        <v/>
      </c>
      <c r="I457" s="42" t="str">
        <f t="shared" si="23"/>
        <v/>
      </c>
      <c r="J457" s="43" t="str">
        <f t="shared" si="24"/>
        <v/>
      </c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44"/>
      <c r="AN457" s="44"/>
      <c r="AO457" s="44"/>
      <c r="AP457" s="44"/>
      <c r="AQ457" s="44"/>
      <c r="AR457" s="44"/>
      <c r="AS457" s="45"/>
      <c r="AT457" s="45"/>
      <c r="AU457" s="45"/>
    </row>
    <row r="458" spans="1:58" x14ac:dyDescent="0.25">
      <c r="B458" s="39"/>
      <c r="C458" s="39"/>
      <c r="D458" s="40"/>
      <c r="E458" s="39"/>
      <c r="F458" s="39"/>
      <c r="G458" s="41"/>
      <c r="H458" s="42" t="str">
        <f t="shared" si="22"/>
        <v/>
      </c>
      <c r="I458" s="42" t="str">
        <f t="shared" si="23"/>
        <v/>
      </c>
      <c r="J458" s="43" t="str">
        <f t="shared" si="24"/>
        <v/>
      </c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44"/>
      <c r="AN458" s="44"/>
      <c r="AO458" s="44"/>
      <c r="AP458" s="44"/>
      <c r="AQ458" s="44"/>
      <c r="AR458" s="44"/>
      <c r="AS458" s="45"/>
      <c r="AT458" s="45"/>
      <c r="AU458" s="45"/>
    </row>
    <row r="459" spans="1:58" x14ac:dyDescent="0.25">
      <c r="B459" s="39"/>
      <c r="C459" s="39"/>
      <c r="D459" s="40"/>
      <c r="E459" s="39"/>
      <c r="F459" s="39"/>
      <c r="G459" s="41"/>
      <c r="H459" s="42" t="str">
        <f t="shared" si="22"/>
        <v/>
      </c>
      <c r="I459" s="42" t="str">
        <f t="shared" si="23"/>
        <v/>
      </c>
      <c r="J459" s="43" t="str">
        <f t="shared" si="24"/>
        <v/>
      </c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44"/>
      <c r="AN459" s="44"/>
      <c r="AO459" s="44"/>
      <c r="AP459" s="44"/>
      <c r="AQ459" s="44"/>
      <c r="AR459" s="44"/>
      <c r="AS459" s="45"/>
      <c r="AT459" s="45"/>
      <c r="AU459" s="45"/>
    </row>
    <row r="460" spans="1:58" x14ac:dyDescent="0.25">
      <c r="B460" s="39"/>
      <c r="C460" s="39"/>
      <c r="D460" s="40"/>
      <c r="E460" s="39"/>
      <c r="F460" s="39"/>
      <c r="G460" s="41"/>
      <c r="H460" s="42" t="str">
        <f t="shared" si="22"/>
        <v/>
      </c>
      <c r="I460" s="42" t="str">
        <f t="shared" si="23"/>
        <v/>
      </c>
      <c r="J460" s="43" t="str">
        <f t="shared" si="24"/>
        <v/>
      </c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44"/>
      <c r="AN460" s="44"/>
      <c r="AO460" s="44"/>
      <c r="AP460" s="44"/>
      <c r="AQ460" s="44"/>
      <c r="AR460" s="44"/>
      <c r="AS460" s="45"/>
      <c r="AT460" s="45"/>
      <c r="AU460" s="45"/>
    </row>
    <row r="461" spans="1:58" x14ac:dyDescent="0.25">
      <c r="B461" s="39"/>
      <c r="C461" s="39"/>
      <c r="D461" s="40"/>
      <c r="E461" s="39"/>
      <c r="F461" s="39"/>
      <c r="G461" s="41"/>
      <c r="H461" s="42" t="str">
        <f t="shared" si="22"/>
        <v/>
      </c>
      <c r="I461" s="42" t="str">
        <f t="shared" si="23"/>
        <v/>
      </c>
      <c r="J461" s="43" t="str">
        <f t="shared" si="24"/>
        <v/>
      </c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44"/>
      <c r="AN461" s="44"/>
      <c r="AO461" s="44"/>
      <c r="AP461" s="44"/>
      <c r="AQ461" s="44"/>
      <c r="AR461" s="44"/>
      <c r="AS461" s="45"/>
      <c r="AT461" s="45"/>
      <c r="AU461" s="45"/>
    </row>
    <row r="462" spans="1:58" x14ac:dyDescent="0.25">
      <c r="B462" s="39"/>
      <c r="C462" s="39"/>
      <c r="D462" s="40"/>
      <c r="E462" s="39"/>
      <c r="F462" s="39"/>
      <c r="G462" s="41"/>
      <c r="H462" s="42" t="str">
        <f t="shared" si="22"/>
        <v/>
      </c>
      <c r="I462" s="42" t="str">
        <f t="shared" si="23"/>
        <v/>
      </c>
      <c r="J462" s="43" t="str">
        <f t="shared" si="24"/>
        <v/>
      </c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44"/>
      <c r="AN462" s="44"/>
      <c r="AO462" s="44"/>
      <c r="AP462" s="44"/>
      <c r="AQ462" s="44"/>
      <c r="AR462" s="44"/>
      <c r="AS462" s="45"/>
      <c r="AT462" s="45"/>
      <c r="AU462" s="45"/>
    </row>
    <row r="463" spans="1:58" x14ac:dyDescent="0.25">
      <c r="B463" s="39"/>
      <c r="C463" s="39"/>
      <c r="D463" s="40"/>
      <c r="E463" s="39"/>
      <c r="F463" s="39"/>
      <c r="G463" s="41"/>
      <c r="H463" s="42" t="str">
        <f t="shared" si="22"/>
        <v/>
      </c>
      <c r="I463" s="42" t="str">
        <f t="shared" si="23"/>
        <v/>
      </c>
      <c r="J463" s="43" t="str">
        <f t="shared" si="24"/>
        <v/>
      </c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44"/>
      <c r="AN463" s="44"/>
      <c r="AO463" s="44"/>
      <c r="AP463" s="44"/>
      <c r="AQ463" s="44"/>
      <c r="AR463" s="44"/>
      <c r="AS463" s="45"/>
      <c r="AT463" s="45"/>
      <c r="AU463" s="45"/>
    </row>
    <row r="464" spans="1:58" x14ac:dyDescent="0.25">
      <c r="B464" s="39"/>
      <c r="C464" s="39"/>
      <c r="D464" s="40"/>
      <c r="E464" s="39"/>
      <c r="F464" s="39"/>
      <c r="G464" s="41"/>
      <c r="H464" s="42" t="str">
        <f t="shared" si="22"/>
        <v/>
      </c>
      <c r="I464" s="42" t="str">
        <f t="shared" si="23"/>
        <v/>
      </c>
      <c r="J464" s="43" t="str">
        <f t="shared" si="24"/>
        <v/>
      </c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44"/>
      <c r="AN464" s="44"/>
      <c r="AO464" s="44"/>
      <c r="AP464" s="44"/>
      <c r="AQ464" s="44"/>
      <c r="AR464" s="44"/>
      <c r="AS464" s="45"/>
      <c r="AT464" s="45"/>
      <c r="AU464" s="45"/>
    </row>
    <row r="465" spans="2:47" x14ac:dyDescent="0.25">
      <c r="B465" s="39"/>
      <c r="C465" s="39"/>
      <c r="D465" s="40"/>
      <c r="E465" s="39"/>
      <c r="F465" s="39"/>
      <c r="G465" s="41"/>
      <c r="H465" s="42" t="str">
        <f t="shared" si="22"/>
        <v/>
      </c>
      <c r="I465" s="42" t="str">
        <f t="shared" si="23"/>
        <v/>
      </c>
      <c r="J465" s="43" t="str">
        <f t="shared" si="24"/>
        <v/>
      </c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44"/>
      <c r="AN465" s="44"/>
      <c r="AO465" s="44"/>
      <c r="AP465" s="44"/>
      <c r="AQ465" s="44"/>
      <c r="AR465" s="44"/>
      <c r="AS465" s="45"/>
      <c r="AT465" s="45"/>
      <c r="AU465" s="45"/>
    </row>
    <row r="466" spans="2:47" x14ac:dyDescent="0.25">
      <c r="B466" s="39"/>
      <c r="C466" s="39"/>
      <c r="D466" s="40"/>
      <c r="E466" s="39"/>
      <c r="F466" s="39"/>
      <c r="G466" s="41"/>
      <c r="H466" s="42" t="str">
        <f t="shared" si="22"/>
        <v/>
      </c>
      <c r="I466" s="42" t="str">
        <f t="shared" si="23"/>
        <v/>
      </c>
      <c r="J466" s="43" t="str">
        <f t="shared" si="24"/>
        <v/>
      </c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44"/>
      <c r="AN466" s="44"/>
      <c r="AO466" s="44"/>
      <c r="AP466" s="44"/>
      <c r="AQ466" s="44"/>
      <c r="AR466" s="44"/>
      <c r="AS466" s="45"/>
      <c r="AT466" s="45"/>
      <c r="AU466" s="45"/>
    </row>
    <row r="467" spans="2:47" x14ac:dyDescent="0.25">
      <c r="B467" s="39"/>
      <c r="C467" s="39"/>
      <c r="D467" s="40"/>
      <c r="E467" s="39"/>
      <c r="F467" s="39"/>
      <c r="G467" s="41"/>
      <c r="H467" s="42" t="str">
        <f t="shared" si="22"/>
        <v/>
      </c>
      <c r="I467" s="42" t="str">
        <f t="shared" si="23"/>
        <v/>
      </c>
      <c r="J467" s="43" t="str">
        <f t="shared" si="24"/>
        <v/>
      </c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44"/>
      <c r="AN467" s="44"/>
      <c r="AO467" s="44"/>
      <c r="AP467" s="44"/>
      <c r="AQ467" s="44"/>
      <c r="AR467" s="44"/>
      <c r="AS467" s="45"/>
      <c r="AT467" s="45"/>
      <c r="AU467" s="45"/>
    </row>
    <row r="468" spans="2:47" x14ac:dyDescent="0.25">
      <c r="B468" s="39"/>
      <c r="C468" s="39"/>
      <c r="D468" s="40"/>
      <c r="E468" s="39"/>
      <c r="F468" s="39"/>
      <c r="G468" s="41"/>
      <c r="H468" s="42" t="str">
        <f t="shared" si="22"/>
        <v/>
      </c>
      <c r="I468" s="42" t="str">
        <f t="shared" si="23"/>
        <v/>
      </c>
      <c r="J468" s="43" t="str">
        <f t="shared" si="24"/>
        <v/>
      </c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44"/>
      <c r="AN468" s="44"/>
      <c r="AO468" s="44"/>
      <c r="AP468" s="44"/>
      <c r="AQ468" s="44"/>
      <c r="AR468" s="44"/>
      <c r="AS468" s="45"/>
      <c r="AT468" s="45"/>
      <c r="AU468" s="45"/>
    </row>
    <row r="469" spans="2:47" x14ac:dyDescent="0.25">
      <c r="B469" s="39"/>
      <c r="C469" s="39"/>
      <c r="D469" s="40"/>
      <c r="E469" s="39"/>
      <c r="F469" s="39"/>
      <c r="G469" s="41"/>
      <c r="H469" s="42" t="str">
        <f t="shared" si="22"/>
        <v/>
      </c>
      <c r="I469" s="42" t="str">
        <f t="shared" si="23"/>
        <v/>
      </c>
      <c r="J469" s="43" t="str">
        <f t="shared" si="24"/>
        <v/>
      </c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44"/>
      <c r="AN469" s="44"/>
      <c r="AO469" s="44"/>
      <c r="AP469" s="44"/>
      <c r="AQ469" s="44"/>
      <c r="AR469" s="44"/>
      <c r="AS469" s="45"/>
      <c r="AT469" s="45"/>
      <c r="AU469" s="45"/>
    </row>
    <row r="470" spans="2:47" x14ac:dyDescent="0.25">
      <c r="B470" s="39"/>
      <c r="C470" s="39"/>
      <c r="D470" s="40"/>
      <c r="E470" s="39"/>
      <c r="F470" s="39"/>
      <c r="G470" s="41"/>
      <c r="H470" s="42" t="str">
        <f t="shared" si="22"/>
        <v/>
      </c>
      <c r="I470" s="42" t="str">
        <f t="shared" si="23"/>
        <v/>
      </c>
      <c r="J470" s="43" t="str">
        <f t="shared" si="24"/>
        <v/>
      </c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44"/>
      <c r="AN470" s="44"/>
      <c r="AO470" s="44"/>
      <c r="AP470" s="44"/>
      <c r="AQ470" s="44"/>
      <c r="AR470" s="44"/>
      <c r="AS470" s="45"/>
      <c r="AT470" s="45"/>
      <c r="AU470" s="45"/>
    </row>
    <row r="471" spans="2:47" x14ac:dyDescent="0.25">
      <c r="B471" s="39"/>
      <c r="C471" s="39"/>
      <c r="D471" s="40"/>
      <c r="E471" s="39"/>
      <c r="F471" s="39"/>
      <c r="G471" s="41"/>
      <c r="H471" s="42" t="str">
        <f t="shared" si="22"/>
        <v/>
      </c>
      <c r="I471" s="42" t="str">
        <f t="shared" si="23"/>
        <v/>
      </c>
      <c r="J471" s="43" t="str">
        <f t="shared" si="24"/>
        <v/>
      </c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44"/>
      <c r="AN471" s="44"/>
      <c r="AO471" s="44"/>
      <c r="AP471" s="44"/>
      <c r="AQ471" s="44"/>
      <c r="AR471" s="44"/>
      <c r="AS471" s="45"/>
      <c r="AT471" s="45"/>
      <c r="AU471" s="45"/>
    </row>
    <row r="472" spans="2:47" x14ac:dyDescent="0.25">
      <c r="B472" s="39"/>
      <c r="C472" s="39"/>
      <c r="D472" s="40"/>
      <c r="E472" s="39"/>
      <c r="F472" s="39"/>
      <c r="G472" s="41"/>
      <c r="H472" s="42" t="str">
        <f t="shared" si="22"/>
        <v/>
      </c>
      <c r="I472" s="42" t="str">
        <f t="shared" si="23"/>
        <v/>
      </c>
      <c r="J472" s="43" t="str">
        <f t="shared" si="24"/>
        <v/>
      </c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44"/>
      <c r="AN472" s="44"/>
      <c r="AO472" s="44"/>
      <c r="AP472" s="44"/>
      <c r="AQ472" s="44"/>
      <c r="AR472" s="44"/>
      <c r="AS472" s="45"/>
      <c r="AT472" s="45"/>
      <c r="AU472" s="45"/>
    </row>
    <row r="473" spans="2:47" x14ac:dyDescent="0.25">
      <c r="B473" s="39"/>
      <c r="C473" s="39"/>
      <c r="D473" s="40"/>
      <c r="E473" s="39"/>
      <c r="F473" s="39"/>
      <c r="G473" s="41"/>
      <c r="H473" s="42" t="str">
        <f t="shared" si="22"/>
        <v/>
      </c>
      <c r="I473" s="42" t="str">
        <f t="shared" si="23"/>
        <v/>
      </c>
      <c r="J473" s="43" t="str">
        <f t="shared" si="24"/>
        <v/>
      </c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44"/>
      <c r="AN473" s="44"/>
      <c r="AO473" s="44"/>
      <c r="AP473" s="44"/>
      <c r="AQ473" s="44"/>
      <c r="AR473" s="44"/>
      <c r="AS473" s="45"/>
      <c r="AT473" s="45"/>
      <c r="AU473" s="45"/>
    </row>
    <row r="474" spans="2:47" x14ac:dyDescent="0.25">
      <c r="B474" s="39"/>
      <c r="C474" s="39"/>
      <c r="D474" s="40"/>
      <c r="E474" s="39"/>
      <c r="F474" s="39"/>
      <c r="G474" s="41"/>
      <c r="H474" s="42" t="str">
        <f t="shared" si="22"/>
        <v/>
      </c>
      <c r="I474" s="42" t="str">
        <f t="shared" si="23"/>
        <v/>
      </c>
      <c r="J474" s="43" t="str">
        <f t="shared" si="24"/>
        <v/>
      </c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44"/>
      <c r="AN474" s="44"/>
      <c r="AO474" s="44"/>
      <c r="AP474" s="44"/>
      <c r="AQ474" s="44"/>
      <c r="AR474" s="44"/>
      <c r="AS474" s="45"/>
      <c r="AT474" s="45"/>
      <c r="AU474" s="45"/>
    </row>
    <row r="475" spans="2:47" x14ac:dyDescent="0.25">
      <c r="B475" s="39"/>
      <c r="C475" s="39"/>
      <c r="D475" s="40"/>
      <c r="E475" s="39"/>
      <c r="F475" s="39"/>
      <c r="G475" s="41"/>
      <c r="H475" s="42" t="str">
        <f t="shared" si="22"/>
        <v/>
      </c>
      <c r="I475" s="42" t="str">
        <f t="shared" si="23"/>
        <v/>
      </c>
      <c r="J475" s="43" t="str">
        <f t="shared" si="24"/>
        <v/>
      </c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44"/>
      <c r="AN475" s="44"/>
      <c r="AO475" s="44"/>
      <c r="AP475" s="44"/>
      <c r="AQ475" s="44"/>
      <c r="AR475" s="44"/>
      <c r="AS475" s="45"/>
      <c r="AT475" s="45"/>
      <c r="AU475" s="45"/>
    </row>
    <row r="476" spans="2:47" x14ac:dyDescent="0.25">
      <c r="B476" s="39"/>
      <c r="C476" s="39"/>
      <c r="D476" s="40"/>
      <c r="E476" s="39"/>
      <c r="F476" s="39"/>
      <c r="G476" s="41"/>
      <c r="H476" s="42" t="str">
        <f t="shared" si="22"/>
        <v/>
      </c>
      <c r="I476" s="42" t="str">
        <f t="shared" si="23"/>
        <v/>
      </c>
      <c r="J476" s="43" t="str">
        <f t="shared" si="24"/>
        <v/>
      </c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44"/>
      <c r="AN476" s="44"/>
      <c r="AO476" s="44"/>
      <c r="AP476" s="44"/>
      <c r="AQ476" s="44"/>
      <c r="AR476" s="44"/>
      <c r="AS476" s="45"/>
      <c r="AT476" s="45"/>
      <c r="AU476" s="45"/>
    </row>
    <row r="477" spans="2:47" x14ac:dyDescent="0.25">
      <c r="B477" s="39"/>
      <c r="C477" s="39"/>
      <c r="D477" s="40"/>
      <c r="E477" s="39"/>
      <c r="F477" s="39"/>
      <c r="G477" s="41"/>
      <c r="H477" s="42" t="str">
        <f t="shared" si="22"/>
        <v/>
      </c>
      <c r="I477" s="42" t="str">
        <f t="shared" si="23"/>
        <v/>
      </c>
      <c r="J477" s="43" t="str">
        <f t="shared" si="24"/>
        <v/>
      </c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44"/>
      <c r="AN477" s="44"/>
      <c r="AO477" s="44"/>
      <c r="AP477" s="44"/>
      <c r="AQ477" s="44"/>
      <c r="AR477" s="44"/>
      <c r="AS477" s="45"/>
      <c r="AT477" s="45"/>
      <c r="AU477" s="45"/>
    </row>
    <row r="478" spans="2:47" x14ac:dyDescent="0.25">
      <c r="B478" s="39"/>
      <c r="C478" s="39"/>
      <c r="D478" s="40"/>
      <c r="E478" s="39"/>
      <c r="F478" s="39"/>
      <c r="G478" s="41"/>
      <c r="H478" s="42" t="str">
        <f t="shared" si="22"/>
        <v/>
      </c>
      <c r="I478" s="42" t="str">
        <f t="shared" si="23"/>
        <v/>
      </c>
      <c r="J478" s="43" t="str">
        <f t="shared" si="24"/>
        <v/>
      </c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44"/>
      <c r="AN478" s="44"/>
      <c r="AO478" s="44"/>
      <c r="AP478" s="44"/>
      <c r="AQ478" s="44"/>
      <c r="AR478" s="44"/>
      <c r="AS478" s="45"/>
      <c r="AT478" s="45"/>
      <c r="AU478" s="45"/>
    </row>
    <row r="479" spans="2:47" x14ac:dyDescent="0.25">
      <c r="B479" s="39"/>
      <c r="C479" s="39"/>
      <c r="D479" s="40"/>
      <c r="E479" s="39"/>
      <c r="F479" s="39"/>
      <c r="G479" s="41"/>
      <c r="H479" s="42" t="str">
        <f t="shared" si="22"/>
        <v/>
      </c>
      <c r="I479" s="42" t="str">
        <f t="shared" si="23"/>
        <v/>
      </c>
      <c r="J479" s="43" t="str">
        <f t="shared" si="24"/>
        <v/>
      </c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44"/>
      <c r="AN479" s="44"/>
      <c r="AO479" s="44"/>
      <c r="AP479" s="44"/>
      <c r="AQ479" s="44"/>
      <c r="AR479" s="44"/>
      <c r="AS479" s="45"/>
      <c r="AT479" s="45"/>
      <c r="AU479" s="45"/>
    </row>
    <row r="480" spans="2:47" x14ac:dyDescent="0.25">
      <c r="B480" s="39"/>
      <c r="C480" s="39"/>
      <c r="D480" s="40"/>
      <c r="E480" s="39"/>
      <c r="F480" s="39"/>
      <c r="G480" s="41"/>
      <c r="H480" s="42" t="str">
        <f t="shared" si="22"/>
        <v/>
      </c>
      <c r="I480" s="42" t="str">
        <f t="shared" si="23"/>
        <v/>
      </c>
      <c r="J480" s="43" t="str">
        <f t="shared" si="24"/>
        <v/>
      </c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44"/>
      <c r="AN480" s="44"/>
      <c r="AO480" s="44"/>
      <c r="AP480" s="44"/>
      <c r="AQ480" s="44"/>
      <c r="AR480" s="44"/>
      <c r="AS480" s="45"/>
      <c r="AT480" s="45"/>
      <c r="AU480" s="45"/>
    </row>
    <row r="481" spans="2:47" x14ac:dyDescent="0.25">
      <c r="B481" s="39"/>
      <c r="C481" s="39"/>
      <c r="D481" s="40"/>
      <c r="E481" s="39"/>
      <c r="F481" s="39"/>
      <c r="G481" s="41"/>
      <c r="H481" s="42" t="str">
        <f t="shared" si="22"/>
        <v/>
      </c>
      <c r="I481" s="42" t="str">
        <f t="shared" si="23"/>
        <v/>
      </c>
      <c r="J481" s="43" t="str">
        <f t="shared" si="24"/>
        <v/>
      </c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44"/>
      <c r="AN481" s="44"/>
      <c r="AO481" s="44"/>
      <c r="AP481" s="44"/>
      <c r="AQ481" s="44"/>
      <c r="AR481" s="44"/>
      <c r="AS481" s="45"/>
      <c r="AT481" s="45"/>
      <c r="AU481" s="45"/>
    </row>
    <row r="482" spans="2:47" x14ac:dyDescent="0.25">
      <c r="B482" s="39"/>
      <c r="C482" s="39"/>
      <c r="D482" s="40"/>
      <c r="E482" s="39"/>
      <c r="F482" s="39"/>
      <c r="G482" s="41"/>
      <c r="H482" s="42" t="str">
        <f t="shared" si="22"/>
        <v/>
      </c>
      <c r="I482" s="42" t="str">
        <f t="shared" si="23"/>
        <v/>
      </c>
      <c r="J482" s="43" t="str">
        <f t="shared" si="24"/>
        <v/>
      </c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44"/>
      <c r="AN482" s="44"/>
      <c r="AO482" s="44"/>
      <c r="AP482" s="44"/>
      <c r="AQ482" s="44"/>
      <c r="AR482" s="44"/>
      <c r="AS482" s="45"/>
      <c r="AT482" s="45"/>
      <c r="AU482" s="45"/>
    </row>
    <row r="483" spans="2:47" x14ac:dyDescent="0.25">
      <c r="B483" s="39"/>
      <c r="C483" s="39"/>
      <c r="D483" s="40"/>
      <c r="E483" s="39"/>
      <c r="F483" s="39"/>
      <c r="G483" s="41"/>
      <c r="H483" s="42" t="str">
        <f t="shared" si="22"/>
        <v/>
      </c>
      <c r="I483" s="42" t="str">
        <f t="shared" si="23"/>
        <v/>
      </c>
      <c r="J483" s="43" t="str">
        <f t="shared" si="24"/>
        <v/>
      </c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44"/>
      <c r="AN483" s="44"/>
      <c r="AO483" s="44"/>
      <c r="AP483" s="44"/>
      <c r="AQ483" s="44"/>
      <c r="AR483" s="44"/>
      <c r="AS483" s="45"/>
      <c r="AT483" s="45"/>
      <c r="AU483" s="45"/>
    </row>
    <row r="484" spans="2:47" x14ac:dyDescent="0.25">
      <c r="B484" s="39"/>
      <c r="C484" s="39"/>
      <c r="D484" s="40"/>
      <c r="E484" s="39"/>
      <c r="F484" s="39"/>
      <c r="G484" s="41"/>
      <c r="H484" s="42" t="str">
        <f t="shared" si="22"/>
        <v/>
      </c>
      <c r="I484" s="42" t="str">
        <f t="shared" si="23"/>
        <v/>
      </c>
      <c r="J484" s="43" t="str">
        <f t="shared" si="24"/>
        <v/>
      </c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44"/>
      <c r="AN484" s="44"/>
      <c r="AO484" s="44"/>
      <c r="AP484" s="44"/>
      <c r="AQ484" s="44"/>
      <c r="AR484" s="44"/>
      <c r="AS484" s="45"/>
      <c r="AT484" s="45"/>
      <c r="AU484" s="45"/>
    </row>
    <row r="485" spans="2:47" x14ac:dyDescent="0.25">
      <c r="B485" s="39"/>
      <c r="C485" s="39"/>
      <c r="D485" s="40"/>
      <c r="E485" s="39"/>
      <c r="F485" s="39"/>
      <c r="G485" s="41"/>
      <c r="H485" s="42" t="str">
        <f t="shared" si="22"/>
        <v/>
      </c>
      <c r="I485" s="42" t="str">
        <f t="shared" si="23"/>
        <v/>
      </c>
      <c r="J485" s="43" t="str">
        <f t="shared" si="24"/>
        <v/>
      </c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44"/>
      <c r="AN485" s="44"/>
      <c r="AO485" s="44"/>
      <c r="AP485" s="44"/>
      <c r="AQ485" s="44"/>
      <c r="AR485" s="44"/>
      <c r="AS485" s="45"/>
      <c r="AT485" s="45"/>
      <c r="AU485" s="45"/>
    </row>
    <row r="486" spans="2:47" x14ac:dyDescent="0.25">
      <c r="B486" s="39"/>
      <c r="C486" s="39"/>
      <c r="D486" s="40"/>
      <c r="E486" s="39"/>
      <c r="F486" s="39"/>
      <c r="G486" s="41"/>
      <c r="H486" s="42" t="str">
        <f t="shared" si="22"/>
        <v/>
      </c>
      <c r="I486" s="42" t="str">
        <f t="shared" si="23"/>
        <v/>
      </c>
      <c r="J486" s="43" t="str">
        <f t="shared" si="24"/>
        <v/>
      </c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44"/>
      <c r="AN486" s="44"/>
      <c r="AO486" s="44"/>
      <c r="AP486" s="44"/>
      <c r="AQ486" s="44"/>
      <c r="AR486" s="44"/>
      <c r="AS486" s="45"/>
      <c r="AT486" s="45"/>
      <c r="AU486" s="45"/>
    </row>
    <row r="487" spans="2:47" x14ac:dyDescent="0.25">
      <c r="B487" s="39"/>
      <c r="C487" s="39"/>
      <c r="D487" s="40"/>
      <c r="E487" s="39"/>
      <c r="F487" s="39"/>
      <c r="G487" s="41"/>
      <c r="H487" s="42" t="str">
        <f t="shared" si="22"/>
        <v/>
      </c>
      <c r="I487" s="42" t="str">
        <f t="shared" si="23"/>
        <v/>
      </c>
      <c r="J487" s="43" t="str">
        <f t="shared" si="24"/>
        <v/>
      </c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44"/>
      <c r="AN487" s="44"/>
      <c r="AO487" s="44"/>
      <c r="AP487" s="44"/>
      <c r="AQ487" s="44"/>
      <c r="AR487" s="44"/>
      <c r="AS487" s="45"/>
      <c r="AT487" s="45"/>
      <c r="AU487" s="45"/>
    </row>
    <row r="488" spans="2:47" x14ac:dyDescent="0.25">
      <c r="B488" s="39"/>
      <c r="C488" s="39"/>
      <c r="D488" s="40"/>
      <c r="E488" s="39"/>
      <c r="F488" s="39"/>
      <c r="G488" s="41"/>
      <c r="H488" s="42" t="str">
        <f t="shared" si="22"/>
        <v/>
      </c>
      <c r="I488" s="42" t="str">
        <f t="shared" si="23"/>
        <v/>
      </c>
      <c r="J488" s="43" t="str">
        <f t="shared" si="24"/>
        <v/>
      </c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44"/>
      <c r="AN488" s="44"/>
      <c r="AO488" s="44"/>
      <c r="AP488" s="44"/>
      <c r="AQ488" s="44"/>
      <c r="AR488" s="44"/>
      <c r="AS488" s="45"/>
      <c r="AT488" s="45"/>
      <c r="AU488" s="45"/>
    </row>
    <row r="489" spans="2:47" x14ac:dyDescent="0.25">
      <c r="B489" s="39"/>
      <c r="C489" s="39"/>
      <c r="D489" s="40"/>
      <c r="E489" s="39"/>
      <c r="F489" s="39"/>
      <c r="G489" s="41"/>
      <c r="H489" s="42" t="str">
        <f t="shared" si="22"/>
        <v/>
      </c>
      <c r="I489" s="42" t="str">
        <f t="shared" si="23"/>
        <v/>
      </c>
      <c r="J489" s="43" t="str">
        <f t="shared" si="24"/>
        <v/>
      </c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44"/>
      <c r="AN489" s="44"/>
      <c r="AO489" s="44"/>
      <c r="AP489" s="44"/>
      <c r="AQ489" s="44"/>
      <c r="AR489" s="44"/>
      <c r="AS489" s="45"/>
      <c r="AT489" s="45"/>
      <c r="AU489" s="45"/>
    </row>
    <row r="490" spans="2:47" x14ac:dyDescent="0.25">
      <c r="B490" s="39"/>
      <c r="C490" s="39"/>
      <c r="D490" s="40"/>
      <c r="E490" s="39"/>
      <c r="F490" s="39"/>
      <c r="G490" s="41"/>
      <c r="H490" s="42" t="str">
        <f t="shared" si="22"/>
        <v/>
      </c>
      <c r="I490" s="42" t="str">
        <f t="shared" si="23"/>
        <v/>
      </c>
      <c r="J490" s="43" t="str">
        <f t="shared" si="24"/>
        <v/>
      </c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44"/>
      <c r="AN490" s="44"/>
      <c r="AO490" s="44"/>
      <c r="AP490" s="44"/>
      <c r="AQ490" s="44"/>
      <c r="AR490" s="44"/>
      <c r="AS490" s="45"/>
      <c r="AT490" s="45"/>
      <c r="AU490" s="45"/>
    </row>
    <row r="491" spans="2:47" x14ac:dyDescent="0.25">
      <c r="B491" s="39"/>
      <c r="C491" s="39"/>
      <c r="D491" s="40"/>
      <c r="E491" s="39"/>
      <c r="F491" s="39"/>
      <c r="G491" s="41"/>
      <c r="H491" s="42" t="str">
        <f t="shared" si="22"/>
        <v/>
      </c>
      <c r="I491" s="42" t="str">
        <f t="shared" si="23"/>
        <v/>
      </c>
      <c r="J491" s="43" t="str">
        <f t="shared" si="24"/>
        <v/>
      </c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44"/>
      <c r="AN491" s="44"/>
      <c r="AO491" s="44"/>
      <c r="AP491" s="44"/>
      <c r="AQ491" s="44"/>
      <c r="AR491" s="44"/>
      <c r="AS491" s="45"/>
      <c r="AT491" s="45"/>
      <c r="AU491" s="45"/>
    </row>
    <row r="492" spans="2:47" x14ac:dyDescent="0.25">
      <c r="B492" s="39"/>
      <c r="C492" s="39"/>
      <c r="D492" s="40"/>
      <c r="E492" s="39"/>
      <c r="F492" s="39"/>
      <c r="G492" s="41"/>
      <c r="H492" s="42" t="str">
        <f t="shared" si="22"/>
        <v/>
      </c>
      <c r="I492" s="42" t="str">
        <f t="shared" si="23"/>
        <v/>
      </c>
      <c r="J492" s="43" t="str">
        <f t="shared" si="24"/>
        <v/>
      </c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44"/>
      <c r="AN492" s="44"/>
      <c r="AO492" s="44"/>
      <c r="AP492" s="44"/>
      <c r="AQ492" s="44"/>
      <c r="AR492" s="44"/>
      <c r="AS492" s="45"/>
      <c r="AT492" s="45"/>
      <c r="AU492" s="45"/>
    </row>
    <row r="493" spans="2:47" x14ac:dyDescent="0.25">
      <c r="B493" s="39"/>
      <c r="C493" s="39"/>
      <c r="D493" s="40"/>
      <c r="E493" s="39"/>
      <c r="F493" s="39"/>
      <c r="G493" s="41"/>
      <c r="H493" s="42" t="str">
        <f t="shared" si="22"/>
        <v/>
      </c>
      <c r="I493" s="42" t="str">
        <f t="shared" si="23"/>
        <v/>
      </c>
      <c r="J493" s="43" t="str">
        <f t="shared" si="24"/>
        <v/>
      </c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44"/>
      <c r="AN493" s="44"/>
      <c r="AO493" s="44"/>
      <c r="AP493" s="44"/>
      <c r="AQ493" s="44"/>
      <c r="AR493" s="44"/>
      <c r="AS493" s="45"/>
      <c r="AT493" s="45"/>
      <c r="AU493" s="45"/>
    </row>
    <row r="494" spans="2:47" x14ac:dyDescent="0.25">
      <c r="B494" s="39"/>
      <c r="C494" s="39"/>
      <c r="D494" s="40"/>
      <c r="E494" s="39"/>
      <c r="F494" s="39"/>
      <c r="G494" s="41"/>
      <c r="H494" s="42" t="str">
        <f t="shared" si="22"/>
        <v/>
      </c>
      <c r="I494" s="42" t="str">
        <f t="shared" si="23"/>
        <v/>
      </c>
      <c r="J494" s="43" t="str">
        <f t="shared" si="24"/>
        <v/>
      </c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44"/>
      <c r="AN494" s="44"/>
      <c r="AO494" s="44"/>
      <c r="AP494" s="44"/>
      <c r="AQ494" s="44"/>
      <c r="AR494" s="44"/>
      <c r="AS494" s="45"/>
      <c r="AT494" s="45"/>
      <c r="AU494" s="45"/>
    </row>
    <row r="495" spans="2:47" x14ac:dyDescent="0.25">
      <c r="B495" s="39"/>
      <c r="C495" s="39"/>
      <c r="D495" s="40"/>
      <c r="E495" s="39"/>
      <c r="F495" s="39"/>
      <c r="G495" s="41"/>
      <c r="H495" s="42" t="str">
        <f t="shared" si="22"/>
        <v/>
      </c>
      <c r="I495" s="42" t="str">
        <f t="shared" si="23"/>
        <v/>
      </c>
      <c r="J495" s="43" t="str">
        <f t="shared" si="24"/>
        <v/>
      </c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44"/>
      <c r="AN495" s="44"/>
      <c r="AO495" s="44"/>
      <c r="AP495" s="44"/>
      <c r="AQ495" s="44"/>
      <c r="AR495" s="44"/>
      <c r="AS495" s="45"/>
      <c r="AT495" s="45"/>
      <c r="AU495" s="45"/>
    </row>
    <row r="496" spans="2:47" x14ac:dyDescent="0.25">
      <c r="B496" s="39"/>
      <c r="C496" s="39"/>
      <c r="D496" s="40"/>
      <c r="E496" s="39"/>
      <c r="F496" s="39"/>
      <c r="G496" s="41"/>
      <c r="H496" s="42" t="str">
        <f t="shared" si="22"/>
        <v/>
      </c>
      <c r="I496" s="42" t="str">
        <f t="shared" si="23"/>
        <v/>
      </c>
      <c r="J496" s="43" t="str">
        <f t="shared" si="24"/>
        <v/>
      </c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44"/>
      <c r="AN496" s="44"/>
      <c r="AO496" s="44"/>
      <c r="AP496" s="44"/>
      <c r="AQ496" s="44"/>
      <c r="AR496" s="44"/>
      <c r="AS496" s="45"/>
      <c r="AT496" s="45"/>
      <c r="AU496" s="45"/>
    </row>
    <row r="497" spans="2:47" x14ac:dyDescent="0.25">
      <c r="B497" s="39"/>
      <c r="C497" s="39"/>
      <c r="D497" s="40"/>
      <c r="E497" s="39"/>
      <c r="F497" s="39"/>
      <c r="G497" s="41"/>
      <c r="H497" s="42" t="str">
        <f t="shared" si="22"/>
        <v/>
      </c>
      <c r="I497" s="42" t="str">
        <f t="shared" si="23"/>
        <v/>
      </c>
      <c r="J497" s="43" t="str">
        <f t="shared" si="24"/>
        <v/>
      </c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44"/>
      <c r="AN497" s="44"/>
      <c r="AO497" s="44"/>
      <c r="AP497" s="44"/>
      <c r="AQ497" s="44"/>
      <c r="AR497" s="44"/>
      <c r="AS497" s="45"/>
      <c r="AT497" s="45"/>
      <c r="AU497" s="45"/>
    </row>
    <row r="498" spans="2:47" x14ac:dyDescent="0.25">
      <c r="B498" s="39"/>
      <c r="C498" s="39"/>
      <c r="D498" s="40"/>
      <c r="E498" s="39"/>
      <c r="F498" s="39"/>
      <c r="G498" s="41"/>
      <c r="H498" s="42" t="str">
        <f t="shared" si="22"/>
        <v/>
      </c>
      <c r="I498" s="42" t="str">
        <f t="shared" si="23"/>
        <v/>
      </c>
      <c r="J498" s="43" t="str">
        <f t="shared" si="24"/>
        <v/>
      </c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44"/>
      <c r="AN498" s="44"/>
      <c r="AO498" s="44"/>
      <c r="AP498" s="44"/>
      <c r="AQ498" s="44"/>
      <c r="AR498" s="44"/>
      <c r="AS498" s="45"/>
      <c r="AT498" s="45"/>
      <c r="AU498" s="45"/>
    </row>
    <row r="499" spans="2:47" x14ac:dyDescent="0.25">
      <c r="B499" s="39"/>
      <c r="C499" s="39"/>
      <c r="D499" s="40"/>
      <c r="E499" s="39"/>
      <c r="F499" s="39"/>
      <c r="G499" s="41"/>
      <c r="H499" s="42" t="str">
        <f t="shared" si="22"/>
        <v/>
      </c>
      <c r="I499" s="42" t="str">
        <f t="shared" si="23"/>
        <v/>
      </c>
      <c r="J499" s="43" t="str">
        <f t="shared" si="24"/>
        <v/>
      </c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44"/>
      <c r="AN499" s="44"/>
      <c r="AO499" s="44"/>
      <c r="AP499" s="44"/>
      <c r="AQ499" s="44"/>
      <c r="AR499" s="44"/>
      <c r="AS499" s="45"/>
      <c r="AT499" s="45"/>
      <c r="AU499" s="45"/>
    </row>
    <row r="500" spans="2:47" x14ac:dyDescent="0.25">
      <c r="B500" s="39"/>
      <c r="C500" s="39"/>
      <c r="D500" s="40"/>
      <c r="E500" s="39"/>
      <c r="F500" s="39"/>
      <c r="G500" s="41"/>
      <c r="H500" s="42" t="str">
        <f t="shared" si="22"/>
        <v/>
      </c>
      <c r="I500" s="42" t="str">
        <f t="shared" si="23"/>
        <v/>
      </c>
      <c r="J500" s="43" t="str">
        <f t="shared" si="24"/>
        <v/>
      </c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44"/>
      <c r="AN500" s="44"/>
      <c r="AO500" s="44"/>
      <c r="AP500" s="44"/>
      <c r="AQ500" s="44"/>
      <c r="AR500" s="44"/>
      <c r="AS500" s="45"/>
      <c r="AT500" s="45"/>
      <c r="AU500" s="45"/>
    </row>
    <row r="501" spans="2:47" x14ac:dyDescent="0.25">
      <c r="B501" s="39"/>
      <c r="C501" s="39"/>
      <c r="D501" s="40"/>
      <c r="E501" s="39"/>
      <c r="F501" s="39"/>
      <c r="G501" s="41"/>
      <c r="H501" s="42" t="str">
        <f t="shared" si="22"/>
        <v/>
      </c>
      <c r="I501" s="42" t="str">
        <f t="shared" si="23"/>
        <v/>
      </c>
      <c r="J501" s="43" t="str">
        <f t="shared" si="24"/>
        <v/>
      </c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44"/>
      <c r="AN501" s="44"/>
      <c r="AO501" s="44"/>
      <c r="AP501" s="44"/>
      <c r="AQ501" s="44"/>
      <c r="AR501" s="44"/>
      <c r="AS501" s="45"/>
      <c r="AT501" s="45"/>
      <c r="AU501" s="45"/>
    </row>
    <row r="502" spans="2:47" x14ac:dyDescent="0.25">
      <c r="B502" s="39"/>
      <c r="C502" s="39"/>
      <c r="D502" s="40"/>
      <c r="E502" s="39"/>
      <c r="F502" s="39"/>
      <c r="G502" s="41"/>
      <c r="H502" s="42" t="str">
        <f t="shared" si="22"/>
        <v/>
      </c>
      <c r="I502" s="42" t="str">
        <f t="shared" si="23"/>
        <v/>
      </c>
      <c r="J502" s="43" t="str">
        <f t="shared" si="24"/>
        <v/>
      </c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44"/>
      <c r="AN502" s="44"/>
      <c r="AO502" s="44"/>
      <c r="AP502" s="44"/>
      <c r="AQ502" s="44"/>
      <c r="AR502" s="44"/>
      <c r="AS502" s="45"/>
      <c r="AT502" s="45"/>
      <c r="AU502" s="45"/>
    </row>
    <row r="503" spans="2:47" x14ac:dyDescent="0.25">
      <c r="B503" s="39"/>
      <c r="C503" s="39"/>
      <c r="D503" s="40"/>
      <c r="E503" s="39"/>
      <c r="F503" s="39"/>
      <c r="G503" s="41"/>
      <c r="H503" s="42" t="str">
        <f t="shared" si="22"/>
        <v/>
      </c>
      <c r="I503" s="42" t="str">
        <f t="shared" si="23"/>
        <v/>
      </c>
      <c r="J503" s="43" t="str">
        <f t="shared" si="24"/>
        <v/>
      </c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44"/>
      <c r="AN503" s="44"/>
      <c r="AO503" s="44"/>
      <c r="AP503" s="44"/>
      <c r="AQ503" s="44"/>
      <c r="AR503" s="44"/>
      <c r="AS503" s="45"/>
      <c r="AT503" s="45"/>
      <c r="AU503" s="45"/>
    </row>
    <row r="504" spans="2:47" x14ac:dyDescent="0.25">
      <c r="B504" s="39"/>
      <c r="C504" s="39"/>
      <c r="D504" s="40"/>
      <c r="E504" s="39"/>
      <c r="F504" s="39"/>
      <c r="G504" s="41"/>
      <c r="H504" s="42" t="str">
        <f t="shared" si="22"/>
        <v/>
      </c>
      <c r="I504" s="42" t="str">
        <f t="shared" si="23"/>
        <v/>
      </c>
      <c r="J504" s="43" t="str">
        <f t="shared" si="24"/>
        <v/>
      </c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44"/>
      <c r="AN504" s="44"/>
      <c r="AO504" s="44"/>
      <c r="AP504" s="44"/>
      <c r="AQ504" s="44"/>
      <c r="AR504" s="44"/>
      <c r="AS504" s="45"/>
      <c r="AT504" s="45"/>
      <c r="AU504" s="45"/>
    </row>
    <row r="505" spans="2:47" x14ac:dyDescent="0.25">
      <c r="B505" s="39"/>
      <c r="C505" s="39"/>
      <c r="D505" s="40"/>
      <c r="E505" s="39"/>
      <c r="F505" s="39"/>
      <c r="G505" s="41"/>
      <c r="H505" s="42" t="str">
        <f t="shared" si="22"/>
        <v/>
      </c>
      <c r="I505" s="42" t="str">
        <f t="shared" si="23"/>
        <v/>
      </c>
      <c r="J505" s="43" t="str">
        <f t="shared" si="24"/>
        <v/>
      </c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44"/>
      <c r="AN505" s="44"/>
      <c r="AO505" s="44"/>
      <c r="AP505" s="44"/>
      <c r="AQ505" s="44"/>
      <c r="AR505" s="44"/>
      <c r="AS505" s="45"/>
      <c r="AT505" s="45"/>
      <c r="AU505" s="45"/>
    </row>
    <row r="506" spans="2:47" x14ac:dyDescent="0.25">
      <c r="B506" s="39"/>
      <c r="C506" s="39"/>
      <c r="D506" s="40"/>
      <c r="E506" s="39"/>
      <c r="F506" s="39"/>
      <c r="G506" s="41"/>
      <c r="H506" s="42" t="str">
        <f t="shared" si="22"/>
        <v/>
      </c>
      <c r="I506" s="42" t="str">
        <f t="shared" si="23"/>
        <v/>
      </c>
      <c r="J506" s="43" t="str">
        <f t="shared" si="24"/>
        <v/>
      </c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44"/>
      <c r="AN506" s="44"/>
      <c r="AO506" s="44"/>
      <c r="AP506" s="44"/>
      <c r="AQ506" s="44"/>
      <c r="AR506" s="44"/>
      <c r="AS506" s="45"/>
      <c r="AT506" s="45"/>
      <c r="AU506" s="45"/>
    </row>
    <row r="507" spans="2:47" x14ac:dyDescent="0.25">
      <c r="B507" s="39"/>
      <c r="C507" s="39"/>
      <c r="D507" s="40"/>
      <c r="E507" s="39"/>
      <c r="F507" s="39"/>
      <c r="G507" s="41"/>
      <c r="H507" s="42" t="str">
        <f t="shared" si="22"/>
        <v/>
      </c>
      <c r="I507" s="42" t="str">
        <f t="shared" si="23"/>
        <v/>
      </c>
      <c r="J507" s="43" t="str">
        <f t="shared" si="24"/>
        <v/>
      </c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44"/>
      <c r="AN507" s="44"/>
      <c r="AO507" s="44"/>
      <c r="AP507" s="44"/>
      <c r="AQ507" s="44"/>
      <c r="AR507" s="44"/>
      <c r="AS507" s="45"/>
      <c r="AT507" s="45"/>
      <c r="AU507" s="45"/>
    </row>
    <row r="508" spans="2:47" x14ac:dyDescent="0.25">
      <c r="B508" s="39"/>
      <c r="C508" s="39"/>
      <c r="D508" s="40"/>
      <c r="E508" s="39"/>
      <c r="F508" s="39"/>
      <c r="G508" s="41"/>
      <c r="H508" s="42" t="str">
        <f t="shared" si="22"/>
        <v/>
      </c>
      <c r="I508" s="42" t="str">
        <f t="shared" si="23"/>
        <v/>
      </c>
      <c r="J508" s="43" t="str">
        <f t="shared" si="24"/>
        <v/>
      </c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44"/>
      <c r="AN508" s="44"/>
      <c r="AO508" s="44"/>
      <c r="AP508" s="44"/>
      <c r="AQ508" s="44"/>
      <c r="AR508" s="44"/>
      <c r="AS508" s="45"/>
      <c r="AT508" s="45"/>
      <c r="AU508" s="45"/>
    </row>
    <row r="509" spans="2:47" x14ac:dyDescent="0.25">
      <c r="B509" s="39"/>
      <c r="C509" s="39"/>
      <c r="D509" s="40"/>
      <c r="E509" s="39"/>
      <c r="F509" s="39"/>
      <c r="G509" s="41"/>
      <c r="H509" s="42" t="str">
        <f t="shared" si="22"/>
        <v/>
      </c>
      <c r="I509" s="42" t="str">
        <f t="shared" si="23"/>
        <v/>
      </c>
      <c r="J509" s="43" t="str">
        <f t="shared" si="24"/>
        <v/>
      </c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44"/>
      <c r="AN509" s="44"/>
      <c r="AO509" s="44"/>
      <c r="AP509" s="44"/>
      <c r="AQ509" s="44"/>
      <c r="AR509" s="44"/>
      <c r="AS509" s="45"/>
      <c r="AT509" s="45"/>
      <c r="AU509" s="45"/>
    </row>
    <row r="510" spans="2:47" x14ac:dyDescent="0.25">
      <c r="B510" s="39"/>
      <c r="C510" s="39"/>
      <c r="D510" s="40"/>
      <c r="E510" s="39"/>
      <c r="F510" s="39"/>
      <c r="G510" s="41"/>
      <c r="H510" s="42" t="str">
        <f t="shared" si="22"/>
        <v/>
      </c>
      <c r="I510" s="42" t="str">
        <f t="shared" si="23"/>
        <v/>
      </c>
      <c r="J510" s="43" t="str">
        <f t="shared" si="24"/>
        <v/>
      </c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44"/>
      <c r="AN510" s="44"/>
      <c r="AO510" s="44"/>
      <c r="AP510" s="44"/>
      <c r="AQ510" s="44"/>
      <c r="AR510" s="44"/>
      <c r="AS510" s="45"/>
      <c r="AT510" s="45"/>
      <c r="AU510" s="45"/>
    </row>
    <row r="511" spans="2:47" x14ac:dyDescent="0.25">
      <c r="B511" s="39"/>
      <c r="C511" s="39"/>
      <c r="D511" s="40"/>
      <c r="E511" s="39"/>
      <c r="F511" s="39"/>
      <c r="G511" s="41"/>
      <c r="H511" s="42" t="str">
        <f t="shared" si="22"/>
        <v/>
      </c>
      <c r="I511" s="42" t="str">
        <f t="shared" si="23"/>
        <v/>
      </c>
      <c r="J511" s="43" t="str">
        <f t="shared" si="24"/>
        <v/>
      </c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44"/>
      <c r="AN511" s="44"/>
      <c r="AO511" s="44"/>
      <c r="AP511" s="44"/>
      <c r="AQ511" s="44"/>
      <c r="AR511" s="44"/>
      <c r="AS511" s="45"/>
      <c r="AT511" s="45"/>
      <c r="AU511" s="45"/>
    </row>
    <row r="512" spans="2:47" x14ac:dyDescent="0.25">
      <c r="B512" s="39"/>
      <c r="C512" s="39"/>
      <c r="D512" s="40"/>
      <c r="E512" s="39"/>
      <c r="F512" s="39"/>
      <c r="G512" s="41"/>
      <c r="H512" s="42" t="str">
        <f t="shared" si="22"/>
        <v/>
      </c>
      <c r="I512" s="42" t="str">
        <f t="shared" si="23"/>
        <v/>
      </c>
      <c r="J512" s="43" t="str">
        <f t="shared" si="24"/>
        <v/>
      </c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44"/>
      <c r="AN512" s="44"/>
      <c r="AO512" s="44"/>
      <c r="AP512" s="44"/>
      <c r="AQ512" s="44"/>
      <c r="AR512" s="44"/>
      <c r="AS512" s="45"/>
      <c r="AT512" s="45"/>
      <c r="AU512" s="45"/>
    </row>
    <row r="513" spans="2:47" x14ac:dyDescent="0.25">
      <c r="B513" s="39"/>
      <c r="C513" s="39"/>
      <c r="D513" s="40"/>
      <c r="E513" s="39"/>
      <c r="F513" s="39"/>
      <c r="G513" s="41"/>
      <c r="H513" s="42" t="str">
        <f t="shared" si="22"/>
        <v/>
      </c>
      <c r="I513" s="42" t="str">
        <f t="shared" si="23"/>
        <v/>
      </c>
      <c r="J513" s="43" t="str">
        <f t="shared" si="24"/>
        <v/>
      </c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44"/>
      <c r="AN513" s="44"/>
      <c r="AO513" s="44"/>
      <c r="AP513" s="44"/>
      <c r="AQ513" s="44"/>
      <c r="AR513" s="44"/>
      <c r="AS513" s="45"/>
      <c r="AT513" s="45"/>
      <c r="AU513" s="45"/>
    </row>
    <row r="514" spans="2:47" x14ac:dyDescent="0.25">
      <c r="B514" s="39"/>
      <c r="C514" s="39"/>
      <c r="D514" s="40"/>
      <c r="E514" s="39"/>
      <c r="F514" s="39"/>
      <c r="G514" s="41"/>
      <c r="H514" s="42" t="str">
        <f t="shared" si="22"/>
        <v/>
      </c>
      <c r="I514" s="42" t="str">
        <f t="shared" si="23"/>
        <v/>
      </c>
      <c r="J514" s="43" t="str">
        <f t="shared" si="24"/>
        <v/>
      </c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44"/>
      <c r="AN514" s="44"/>
      <c r="AO514" s="44"/>
      <c r="AP514" s="44"/>
      <c r="AQ514" s="44"/>
      <c r="AR514" s="44"/>
      <c r="AS514" s="45"/>
      <c r="AT514" s="45"/>
      <c r="AU514" s="45"/>
    </row>
    <row r="515" spans="2:47" x14ac:dyDescent="0.25">
      <c r="B515" s="39"/>
      <c r="C515" s="39"/>
      <c r="D515" s="40"/>
      <c r="E515" s="39"/>
      <c r="F515" s="39"/>
      <c r="G515" s="41"/>
      <c r="H515" s="42" t="str">
        <f t="shared" si="22"/>
        <v/>
      </c>
      <c r="I515" s="42" t="str">
        <f t="shared" si="23"/>
        <v/>
      </c>
      <c r="J515" s="43" t="str">
        <f t="shared" si="24"/>
        <v/>
      </c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44"/>
      <c r="AN515" s="44"/>
      <c r="AO515" s="44"/>
      <c r="AP515" s="44"/>
      <c r="AQ515" s="44"/>
      <c r="AR515" s="44"/>
      <c r="AS515" s="45"/>
      <c r="AT515" s="45"/>
      <c r="AU515" s="45"/>
    </row>
    <row r="516" spans="2:47" x14ac:dyDescent="0.25">
      <c r="B516" s="39"/>
      <c r="C516" s="39"/>
      <c r="D516" s="40"/>
      <c r="E516" s="39"/>
      <c r="F516" s="39"/>
      <c r="G516" s="41"/>
      <c r="H516" s="42" t="str">
        <f t="shared" si="22"/>
        <v/>
      </c>
      <c r="I516" s="42" t="str">
        <f t="shared" si="23"/>
        <v/>
      </c>
      <c r="J516" s="43" t="str">
        <f t="shared" si="24"/>
        <v/>
      </c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44"/>
      <c r="AN516" s="44"/>
      <c r="AO516" s="44"/>
      <c r="AP516" s="44"/>
      <c r="AQ516" s="44"/>
      <c r="AR516" s="44"/>
      <c r="AS516" s="45"/>
      <c r="AT516" s="45"/>
      <c r="AU516" s="45"/>
    </row>
    <row r="517" spans="2:47" x14ac:dyDescent="0.25">
      <c r="B517" s="39"/>
      <c r="C517" s="39"/>
      <c r="D517" s="40"/>
      <c r="E517" s="39"/>
      <c r="F517" s="39"/>
      <c r="G517" s="41"/>
      <c r="H517" s="42" t="str">
        <f t="shared" si="22"/>
        <v/>
      </c>
      <c r="I517" s="42" t="str">
        <f t="shared" si="23"/>
        <v/>
      </c>
      <c r="J517" s="43" t="str">
        <f t="shared" si="24"/>
        <v/>
      </c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44"/>
      <c r="AN517" s="44"/>
      <c r="AO517" s="44"/>
      <c r="AP517" s="44"/>
      <c r="AQ517" s="44"/>
      <c r="AR517" s="44"/>
      <c r="AS517" s="45"/>
      <c r="AT517" s="45"/>
      <c r="AU517" s="45"/>
    </row>
    <row r="518" spans="2:47" x14ac:dyDescent="0.25">
      <c r="B518" s="39"/>
      <c r="C518" s="39"/>
      <c r="D518" s="40"/>
      <c r="E518" s="39"/>
      <c r="F518" s="39"/>
      <c r="G518" s="41"/>
      <c r="H518" s="42" t="str">
        <f t="shared" ref="H518:H581" si="25">IF($B518="","",SUM($K518:$AG518)+SUM($AS518:$BB518))</f>
        <v/>
      </c>
      <c r="I518" s="42" t="str">
        <f t="shared" ref="I518:I581" si="26">IF($B518="","",SUM($AH518:$AL518))</f>
        <v/>
      </c>
      <c r="J518" s="43" t="str">
        <f t="shared" ref="J518:J581" si="27">IF($B518="","",SUMPRODUCT($K518:$BB518,$K$2:$BB$2))</f>
        <v/>
      </c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44"/>
      <c r="AN518" s="44"/>
      <c r="AO518" s="44"/>
      <c r="AP518" s="44"/>
      <c r="AQ518" s="44"/>
      <c r="AR518" s="44"/>
      <c r="AS518" s="45"/>
      <c r="AT518" s="45"/>
      <c r="AU518" s="45"/>
    </row>
    <row r="519" spans="2:47" x14ac:dyDescent="0.25">
      <c r="B519" s="39"/>
      <c r="C519" s="39"/>
      <c r="D519" s="40"/>
      <c r="E519" s="39"/>
      <c r="F519" s="39"/>
      <c r="G519" s="41"/>
      <c r="H519" s="42" t="str">
        <f t="shared" si="25"/>
        <v/>
      </c>
      <c r="I519" s="42" t="str">
        <f t="shared" si="26"/>
        <v/>
      </c>
      <c r="J519" s="43" t="str">
        <f t="shared" si="27"/>
        <v/>
      </c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44"/>
      <c r="AN519" s="44"/>
      <c r="AO519" s="44"/>
      <c r="AP519" s="44"/>
      <c r="AQ519" s="44"/>
      <c r="AR519" s="44"/>
      <c r="AS519" s="45"/>
      <c r="AT519" s="45"/>
      <c r="AU519" s="45"/>
    </row>
    <row r="520" spans="2:47" x14ac:dyDescent="0.25">
      <c r="B520" s="39"/>
      <c r="C520" s="39"/>
      <c r="D520" s="40"/>
      <c r="E520" s="39"/>
      <c r="F520" s="39"/>
      <c r="G520" s="41"/>
      <c r="H520" s="42" t="str">
        <f t="shared" si="25"/>
        <v/>
      </c>
      <c r="I520" s="42" t="str">
        <f t="shared" si="26"/>
        <v/>
      </c>
      <c r="J520" s="43" t="str">
        <f t="shared" si="27"/>
        <v/>
      </c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44"/>
      <c r="AN520" s="44"/>
      <c r="AO520" s="44"/>
      <c r="AP520" s="44"/>
      <c r="AQ520" s="44"/>
      <c r="AR520" s="44"/>
      <c r="AS520" s="45"/>
      <c r="AT520" s="45"/>
      <c r="AU520" s="45"/>
    </row>
    <row r="521" spans="2:47" x14ac:dyDescent="0.25">
      <c r="B521" s="39"/>
      <c r="C521" s="39"/>
      <c r="D521" s="40"/>
      <c r="E521" s="39"/>
      <c r="F521" s="39"/>
      <c r="G521" s="41"/>
      <c r="H521" s="42" t="str">
        <f t="shared" si="25"/>
        <v/>
      </c>
      <c r="I521" s="42" t="str">
        <f t="shared" si="26"/>
        <v/>
      </c>
      <c r="J521" s="43" t="str">
        <f t="shared" si="27"/>
        <v/>
      </c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44"/>
      <c r="AN521" s="44"/>
      <c r="AO521" s="44"/>
      <c r="AP521" s="44"/>
      <c r="AQ521" s="44"/>
      <c r="AR521" s="44"/>
      <c r="AS521" s="45"/>
      <c r="AT521" s="45"/>
      <c r="AU521" s="45"/>
    </row>
    <row r="522" spans="2:47" x14ac:dyDescent="0.25">
      <c r="B522" s="39"/>
      <c r="C522" s="39"/>
      <c r="D522" s="40"/>
      <c r="E522" s="39"/>
      <c r="F522" s="39"/>
      <c r="G522" s="41"/>
      <c r="H522" s="42" t="str">
        <f t="shared" si="25"/>
        <v/>
      </c>
      <c r="I522" s="42" t="str">
        <f t="shared" si="26"/>
        <v/>
      </c>
      <c r="J522" s="43" t="str">
        <f t="shared" si="27"/>
        <v/>
      </c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44"/>
      <c r="AN522" s="44"/>
      <c r="AO522" s="44"/>
      <c r="AP522" s="44"/>
      <c r="AQ522" s="44"/>
      <c r="AR522" s="44"/>
      <c r="AS522" s="45"/>
      <c r="AT522" s="45"/>
      <c r="AU522" s="45"/>
    </row>
    <row r="523" spans="2:47" x14ac:dyDescent="0.25">
      <c r="B523" s="39"/>
      <c r="C523" s="39"/>
      <c r="D523" s="40"/>
      <c r="E523" s="39"/>
      <c r="F523" s="39"/>
      <c r="G523" s="41"/>
      <c r="H523" s="42" t="str">
        <f t="shared" si="25"/>
        <v/>
      </c>
      <c r="I523" s="42" t="str">
        <f t="shared" si="26"/>
        <v/>
      </c>
      <c r="J523" s="43" t="str">
        <f t="shared" si="27"/>
        <v/>
      </c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44"/>
      <c r="AN523" s="44"/>
      <c r="AO523" s="44"/>
      <c r="AP523" s="44"/>
      <c r="AQ523" s="44"/>
      <c r="AR523" s="44"/>
      <c r="AS523" s="45"/>
      <c r="AT523" s="45"/>
      <c r="AU523" s="45"/>
    </row>
    <row r="524" spans="2:47" x14ac:dyDescent="0.25">
      <c r="B524" s="39"/>
      <c r="C524" s="39"/>
      <c r="D524" s="40"/>
      <c r="E524" s="39"/>
      <c r="F524" s="39"/>
      <c r="G524" s="41"/>
      <c r="H524" s="42" t="str">
        <f t="shared" si="25"/>
        <v/>
      </c>
      <c r="I524" s="42" t="str">
        <f t="shared" si="26"/>
        <v/>
      </c>
      <c r="J524" s="43" t="str">
        <f t="shared" si="27"/>
        <v/>
      </c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44"/>
      <c r="AN524" s="44"/>
      <c r="AO524" s="44"/>
      <c r="AP524" s="44"/>
      <c r="AQ524" s="44"/>
      <c r="AR524" s="44"/>
      <c r="AS524" s="45"/>
      <c r="AT524" s="45"/>
      <c r="AU524" s="45"/>
    </row>
    <row r="525" spans="2:47" x14ac:dyDescent="0.25">
      <c r="B525" s="39"/>
      <c r="C525" s="39"/>
      <c r="D525" s="40"/>
      <c r="E525" s="39"/>
      <c r="F525" s="39"/>
      <c r="G525" s="41"/>
      <c r="H525" s="42" t="str">
        <f t="shared" si="25"/>
        <v/>
      </c>
      <c r="I525" s="42" t="str">
        <f t="shared" si="26"/>
        <v/>
      </c>
      <c r="J525" s="43" t="str">
        <f t="shared" si="27"/>
        <v/>
      </c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44"/>
      <c r="AN525" s="44"/>
      <c r="AO525" s="44"/>
      <c r="AP525" s="44"/>
      <c r="AQ525" s="44"/>
      <c r="AR525" s="44"/>
      <c r="AS525" s="45"/>
      <c r="AT525" s="45"/>
      <c r="AU525" s="45"/>
    </row>
    <row r="526" spans="2:47" x14ac:dyDescent="0.25">
      <c r="B526" s="39"/>
      <c r="C526" s="39"/>
      <c r="D526" s="40"/>
      <c r="E526" s="39"/>
      <c r="F526" s="39"/>
      <c r="G526" s="41"/>
      <c r="H526" s="42" t="str">
        <f t="shared" si="25"/>
        <v/>
      </c>
      <c r="I526" s="42" t="str">
        <f t="shared" si="26"/>
        <v/>
      </c>
      <c r="J526" s="43" t="str">
        <f t="shared" si="27"/>
        <v/>
      </c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44"/>
      <c r="AN526" s="44"/>
      <c r="AO526" s="44"/>
      <c r="AP526" s="44"/>
      <c r="AQ526" s="44"/>
      <c r="AR526" s="44"/>
      <c r="AS526" s="45"/>
      <c r="AT526" s="45"/>
      <c r="AU526" s="45"/>
    </row>
    <row r="527" spans="2:47" x14ac:dyDescent="0.25">
      <c r="B527" s="39"/>
      <c r="C527" s="39"/>
      <c r="D527" s="40"/>
      <c r="E527" s="39"/>
      <c r="F527" s="39"/>
      <c r="G527" s="41"/>
      <c r="H527" s="42" t="str">
        <f t="shared" si="25"/>
        <v/>
      </c>
      <c r="I527" s="42" t="str">
        <f t="shared" si="26"/>
        <v/>
      </c>
      <c r="J527" s="43" t="str">
        <f t="shared" si="27"/>
        <v/>
      </c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44"/>
      <c r="AN527" s="44"/>
      <c r="AO527" s="44"/>
      <c r="AP527" s="44"/>
      <c r="AQ527" s="44"/>
      <c r="AR527" s="44"/>
      <c r="AS527" s="45"/>
      <c r="AT527" s="45"/>
      <c r="AU527" s="45"/>
    </row>
    <row r="528" spans="2:47" x14ac:dyDescent="0.25">
      <c r="B528" s="39"/>
      <c r="C528" s="39"/>
      <c r="D528" s="40"/>
      <c r="E528" s="39"/>
      <c r="F528" s="39"/>
      <c r="G528" s="41"/>
      <c r="H528" s="42" t="str">
        <f t="shared" si="25"/>
        <v/>
      </c>
      <c r="I528" s="42" t="str">
        <f t="shared" si="26"/>
        <v/>
      </c>
      <c r="J528" s="43" t="str">
        <f t="shared" si="27"/>
        <v/>
      </c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44"/>
      <c r="AN528" s="44"/>
      <c r="AO528" s="44"/>
      <c r="AP528" s="44"/>
      <c r="AQ528" s="44"/>
      <c r="AR528" s="44"/>
      <c r="AS528" s="45"/>
      <c r="AT528" s="45"/>
      <c r="AU528" s="45"/>
    </row>
    <row r="529" spans="2:47" x14ac:dyDescent="0.25">
      <c r="B529" s="39"/>
      <c r="C529" s="39"/>
      <c r="D529" s="40"/>
      <c r="E529" s="39"/>
      <c r="F529" s="39"/>
      <c r="G529" s="41"/>
      <c r="H529" s="42" t="str">
        <f t="shared" si="25"/>
        <v/>
      </c>
      <c r="I529" s="42" t="str">
        <f t="shared" si="26"/>
        <v/>
      </c>
      <c r="J529" s="43" t="str">
        <f t="shared" si="27"/>
        <v/>
      </c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44"/>
      <c r="AN529" s="44"/>
      <c r="AO529" s="44"/>
      <c r="AP529" s="44"/>
      <c r="AQ529" s="44"/>
      <c r="AR529" s="44"/>
      <c r="AS529" s="45"/>
      <c r="AT529" s="45"/>
      <c r="AU529" s="45"/>
    </row>
    <row r="530" spans="2:47" x14ac:dyDescent="0.25">
      <c r="B530" s="39"/>
      <c r="C530" s="39"/>
      <c r="D530" s="40"/>
      <c r="E530" s="39"/>
      <c r="F530" s="39"/>
      <c r="G530" s="41"/>
      <c r="H530" s="42" t="str">
        <f t="shared" si="25"/>
        <v/>
      </c>
      <c r="I530" s="42" t="str">
        <f t="shared" si="26"/>
        <v/>
      </c>
      <c r="J530" s="43" t="str">
        <f t="shared" si="27"/>
        <v/>
      </c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44"/>
      <c r="AN530" s="44"/>
      <c r="AO530" s="44"/>
      <c r="AP530" s="44"/>
      <c r="AQ530" s="44"/>
      <c r="AR530" s="44"/>
      <c r="AS530" s="45"/>
      <c r="AT530" s="45"/>
      <c r="AU530" s="45"/>
    </row>
    <row r="531" spans="2:47" x14ac:dyDescent="0.25">
      <c r="B531" s="39"/>
      <c r="C531" s="39"/>
      <c r="D531" s="40"/>
      <c r="E531" s="39"/>
      <c r="F531" s="39"/>
      <c r="G531" s="41"/>
      <c r="H531" s="42" t="str">
        <f t="shared" si="25"/>
        <v/>
      </c>
      <c r="I531" s="42" t="str">
        <f t="shared" si="26"/>
        <v/>
      </c>
      <c r="J531" s="43" t="str">
        <f t="shared" si="27"/>
        <v/>
      </c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44"/>
      <c r="AN531" s="44"/>
      <c r="AO531" s="44"/>
      <c r="AP531" s="44"/>
      <c r="AQ531" s="44"/>
      <c r="AR531" s="44"/>
      <c r="AS531" s="45"/>
      <c r="AT531" s="45"/>
      <c r="AU531" s="45"/>
    </row>
    <row r="532" spans="2:47" x14ac:dyDescent="0.25">
      <c r="B532" s="39"/>
      <c r="C532" s="39"/>
      <c r="D532" s="40"/>
      <c r="E532" s="39"/>
      <c r="F532" s="39"/>
      <c r="G532" s="41"/>
      <c r="H532" s="42" t="str">
        <f t="shared" si="25"/>
        <v/>
      </c>
      <c r="I532" s="42" t="str">
        <f t="shared" si="26"/>
        <v/>
      </c>
      <c r="J532" s="43" t="str">
        <f t="shared" si="27"/>
        <v/>
      </c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44"/>
      <c r="AN532" s="44"/>
      <c r="AO532" s="44"/>
      <c r="AP532" s="44"/>
      <c r="AQ532" s="44"/>
      <c r="AR532" s="44"/>
      <c r="AS532" s="45"/>
      <c r="AT532" s="45"/>
      <c r="AU532" s="45"/>
    </row>
    <row r="533" spans="2:47" x14ac:dyDescent="0.25">
      <c r="B533" s="39"/>
      <c r="C533" s="39"/>
      <c r="D533" s="40"/>
      <c r="E533" s="39"/>
      <c r="F533" s="39"/>
      <c r="G533" s="41"/>
      <c r="H533" s="42" t="str">
        <f t="shared" si="25"/>
        <v/>
      </c>
      <c r="I533" s="42" t="str">
        <f t="shared" si="26"/>
        <v/>
      </c>
      <c r="J533" s="43" t="str">
        <f t="shared" si="27"/>
        <v/>
      </c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44"/>
      <c r="AN533" s="44"/>
      <c r="AO533" s="44"/>
      <c r="AP533" s="44"/>
      <c r="AQ533" s="44"/>
      <c r="AR533" s="44"/>
      <c r="AS533" s="45"/>
      <c r="AT533" s="45"/>
      <c r="AU533" s="45"/>
    </row>
    <row r="534" spans="2:47" x14ac:dyDescent="0.25">
      <c r="B534" s="39"/>
      <c r="C534" s="39"/>
      <c r="D534" s="40"/>
      <c r="E534" s="39"/>
      <c r="F534" s="39"/>
      <c r="G534" s="41"/>
      <c r="H534" s="42" t="str">
        <f t="shared" si="25"/>
        <v/>
      </c>
      <c r="I534" s="42" t="str">
        <f t="shared" si="26"/>
        <v/>
      </c>
      <c r="J534" s="43" t="str">
        <f t="shared" si="27"/>
        <v/>
      </c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44"/>
      <c r="AN534" s="44"/>
      <c r="AO534" s="44"/>
      <c r="AP534" s="44"/>
      <c r="AQ534" s="44"/>
      <c r="AR534" s="44"/>
      <c r="AS534" s="45"/>
      <c r="AT534" s="45"/>
      <c r="AU534" s="45"/>
    </row>
    <row r="535" spans="2:47" x14ac:dyDescent="0.25">
      <c r="B535" s="39"/>
      <c r="C535" s="39"/>
      <c r="D535" s="40"/>
      <c r="E535" s="39"/>
      <c r="F535" s="39"/>
      <c r="G535" s="41"/>
      <c r="H535" s="42" t="str">
        <f t="shared" si="25"/>
        <v/>
      </c>
      <c r="I535" s="42" t="str">
        <f t="shared" si="26"/>
        <v/>
      </c>
      <c r="J535" s="43" t="str">
        <f t="shared" si="27"/>
        <v/>
      </c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44"/>
      <c r="AN535" s="44"/>
      <c r="AO535" s="44"/>
      <c r="AP535" s="44"/>
      <c r="AQ535" s="44"/>
      <c r="AR535" s="44"/>
      <c r="AS535" s="45"/>
      <c r="AT535" s="45"/>
      <c r="AU535" s="45"/>
    </row>
    <row r="536" spans="2:47" x14ac:dyDescent="0.25">
      <c r="B536" s="39"/>
      <c r="C536" s="39"/>
      <c r="D536" s="40"/>
      <c r="E536" s="39"/>
      <c r="F536" s="39"/>
      <c r="G536" s="41"/>
      <c r="H536" s="42" t="str">
        <f t="shared" si="25"/>
        <v/>
      </c>
      <c r="I536" s="42" t="str">
        <f t="shared" si="26"/>
        <v/>
      </c>
      <c r="J536" s="43" t="str">
        <f t="shared" si="27"/>
        <v/>
      </c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44"/>
      <c r="AN536" s="44"/>
      <c r="AO536" s="44"/>
      <c r="AP536" s="44"/>
      <c r="AQ536" s="44"/>
      <c r="AR536" s="44"/>
      <c r="AS536" s="45"/>
      <c r="AT536" s="45"/>
      <c r="AU536" s="45"/>
    </row>
    <row r="537" spans="2:47" x14ac:dyDescent="0.25">
      <c r="B537" s="39"/>
      <c r="C537" s="39"/>
      <c r="D537" s="40"/>
      <c r="E537" s="39"/>
      <c r="F537" s="39"/>
      <c r="G537" s="41"/>
      <c r="H537" s="42" t="str">
        <f t="shared" si="25"/>
        <v/>
      </c>
      <c r="I537" s="42" t="str">
        <f t="shared" si="26"/>
        <v/>
      </c>
      <c r="J537" s="43" t="str">
        <f t="shared" si="27"/>
        <v/>
      </c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44"/>
      <c r="AN537" s="44"/>
      <c r="AO537" s="44"/>
      <c r="AP537" s="44"/>
      <c r="AQ537" s="44"/>
      <c r="AR537" s="44"/>
      <c r="AS537" s="45"/>
      <c r="AT537" s="45"/>
      <c r="AU537" s="45"/>
    </row>
    <row r="538" spans="2:47" x14ac:dyDescent="0.25">
      <c r="B538" s="39"/>
      <c r="C538" s="39"/>
      <c r="D538" s="40"/>
      <c r="E538" s="39"/>
      <c r="F538" s="39"/>
      <c r="G538" s="41"/>
      <c r="H538" s="42" t="str">
        <f t="shared" si="25"/>
        <v/>
      </c>
      <c r="I538" s="42" t="str">
        <f t="shared" si="26"/>
        <v/>
      </c>
      <c r="J538" s="43" t="str">
        <f t="shared" si="27"/>
        <v/>
      </c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44"/>
      <c r="AN538" s="44"/>
      <c r="AO538" s="44"/>
      <c r="AP538" s="44"/>
      <c r="AQ538" s="44"/>
      <c r="AR538" s="44"/>
      <c r="AS538" s="45"/>
      <c r="AT538" s="45"/>
      <c r="AU538" s="45"/>
    </row>
    <row r="539" spans="2:47" x14ac:dyDescent="0.25">
      <c r="B539" s="39"/>
      <c r="C539" s="39"/>
      <c r="D539" s="40"/>
      <c r="E539" s="39"/>
      <c r="F539" s="39"/>
      <c r="G539" s="41"/>
      <c r="H539" s="42" t="str">
        <f t="shared" si="25"/>
        <v/>
      </c>
      <c r="I539" s="42" t="str">
        <f t="shared" si="26"/>
        <v/>
      </c>
      <c r="J539" s="43" t="str">
        <f t="shared" si="27"/>
        <v/>
      </c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44"/>
      <c r="AN539" s="44"/>
      <c r="AO539" s="44"/>
      <c r="AP539" s="44"/>
      <c r="AQ539" s="44"/>
      <c r="AR539" s="44"/>
      <c r="AS539" s="45"/>
      <c r="AT539" s="45"/>
      <c r="AU539" s="45"/>
    </row>
    <row r="540" spans="2:47" x14ac:dyDescent="0.25">
      <c r="B540" s="39"/>
      <c r="C540" s="39"/>
      <c r="D540" s="40"/>
      <c r="E540" s="39"/>
      <c r="F540" s="39"/>
      <c r="G540" s="41"/>
      <c r="H540" s="42" t="str">
        <f t="shared" si="25"/>
        <v/>
      </c>
      <c r="I540" s="42" t="str">
        <f t="shared" si="26"/>
        <v/>
      </c>
      <c r="J540" s="43" t="str">
        <f t="shared" si="27"/>
        <v/>
      </c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44"/>
      <c r="AN540" s="44"/>
      <c r="AO540" s="44"/>
      <c r="AP540" s="44"/>
      <c r="AQ540" s="44"/>
      <c r="AR540" s="44"/>
      <c r="AS540" s="45"/>
      <c r="AT540" s="45"/>
      <c r="AU540" s="45"/>
    </row>
    <row r="541" spans="2:47" x14ac:dyDescent="0.25">
      <c r="B541" s="39"/>
      <c r="C541" s="39"/>
      <c r="D541" s="40"/>
      <c r="E541" s="39"/>
      <c r="F541" s="39"/>
      <c r="G541" s="41"/>
      <c r="H541" s="42" t="str">
        <f t="shared" si="25"/>
        <v/>
      </c>
      <c r="I541" s="42" t="str">
        <f t="shared" si="26"/>
        <v/>
      </c>
      <c r="J541" s="43" t="str">
        <f t="shared" si="27"/>
        <v/>
      </c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44"/>
      <c r="AN541" s="44"/>
      <c r="AO541" s="44"/>
      <c r="AP541" s="44"/>
      <c r="AQ541" s="44"/>
      <c r="AR541" s="44"/>
      <c r="AS541" s="45"/>
      <c r="AT541" s="45"/>
      <c r="AU541" s="45"/>
    </row>
    <row r="542" spans="2:47" x14ac:dyDescent="0.25">
      <c r="B542" s="39"/>
      <c r="C542" s="39"/>
      <c r="D542" s="40"/>
      <c r="E542" s="39"/>
      <c r="F542" s="39"/>
      <c r="G542" s="41"/>
      <c r="H542" s="42" t="str">
        <f t="shared" si="25"/>
        <v/>
      </c>
      <c r="I542" s="42" t="str">
        <f t="shared" si="26"/>
        <v/>
      </c>
      <c r="J542" s="43" t="str">
        <f t="shared" si="27"/>
        <v/>
      </c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44"/>
      <c r="AN542" s="44"/>
      <c r="AO542" s="44"/>
      <c r="AP542" s="44"/>
      <c r="AQ542" s="44"/>
      <c r="AR542" s="44"/>
      <c r="AS542" s="45"/>
      <c r="AT542" s="45"/>
      <c r="AU542" s="45"/>
    </row>
    <row r="543" spans="2:47" x14ac:dyDescent="0.25">
      <c r="B543" s="39"/>
      <c r="C543" s="39"/>
      <c r="D543" s="40"/>
      <c r="E543" s="39"/>
      <c r="F543" s="39"/>
      <c r="G543" s="41"/>
      <c r="H543" s="42" t="str">
        <f t="shared" si="25"/>
        <v/>
      </c>
      <c r="I543" s="42" t="str">
        <f t="shared" si="26"/>
        <v/>
      </c>
      <c r="J543" s="43" t="str">
        <f t="shared" si="27"/>
        <v/>
      </c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44"/>
      <c r="AN543" s="44"/>
      <c r="AO543" s="44"/>
      <c r="AP543" s="44"/>
      <c r="AQ543" s="44"/>
      <c r="AR543" s="44"/>
      <c r="AS543" s="45"/>
      <c r="AT543" s="45"/>
      <c r="AU543" s="45"/>
    </row>
    <row r="544" spans="2:47" x14ac:dyDescent="0.25">
      <c r="B544" s="39"/>
      <c r="C544" s="39"/>
      <c r="D544" s="40"/>
      <c r="E544" s="39"/>
      <c r="F544" s="39"/>
      <c r="G544" s="41"/>
      <c r="H544" s="42" t="str">
        <f t="shared" si="25"/>
        <v/>
      </c>
      <c r="I544" s="42" t="str">
        <f t="shared" si="26"/>
        <v/>
      </c>
      <c r="J544" s="43" t="str">
        <f t="shared" si="27"/>
        <v/>
      </c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44"/>
      <c r="AN544" s="44"/>
      <c r="AO544" s="44"/>
      <c r="AP544" s="44"/>
      <c r="AQ544" s="44"/>
      <c r="AR544" s="44"/>
      <c r="AS544" s="45"/>
      <c r="AT544" s="45"/>
      <c r="AU544" s="45"/>
    </row>
    <row r="545" spans="2:47" x14ac:dyDescent="0.25">
      <c r="B545" s="39"/>
      <c r="C545" s="39"/>
      <c r="D545" s="40"/>
      <c r="E545" s="39"/>
      <c r="F545" s="39"/>
      <c r="G545" s="41"/>
      <c r="H545" s="42" t="str">
        <f t="shared" si="25"/>
        <v/>
      </c>
      <c r="I545" s="42" t="str">
        <f t="shared" si="26"/>
        <v/>
      </c>
      <c r="J545" s="43" t="str">
        <f t="shared" si="27"/>
        <v/>
      </c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44"/>
      <c r="AN545" s="44"/>
      <c r="AO545" s="44"/>
      <c r="AP545" s="44"/>
      <c r="AQ545" s="44"/>
      <c r="AR545" s="44"/>
      <c r="AS545" s="45"/>
      <c r="AT545" s="45"/>
      <c r="AU545" s="45"/>
    </row>
    <row r="546" spans="2:47" x14ac:dyDescent="0.25">
      <c r="B546" s="39"/>
      <c r="C546" s="39"/>
      <c r="D546" s="40"/>
      <c r="E546" s="39"/>
      <c r="F546" s="39"/>
      <c r="G546" s="41"/>
      <c r="H546" s="42" t="str">
        <f t="shared" si="25"/>
        <v/>
      </c>
      <c r="I546" s="42" t="str">
        <f t="shared" si="26"/>
        <v/>
      </c>
      <c r="J546" s="43" t="str">
        <f t="shared" si="27"/>
        <v/>
      </c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44"/>
      <c r="AN546" s="44"/>
      <c r="AO546" s="44"/>
      <c r="AP546" s="44"/>
      <c r="AQ546" s="44"/>
      <c r="AR546" s="44"/>
      <c r="AS546" s="45"/>
      <c r="AT546" s="45"/>
      <c r="AU546" s="45"/>
    </row>
    <row r="547" spans="2:47" x14ac:dyDescent="0.25">
      <c r="B547" s="39"/>
      <c r="C547" s="39"/>
      <c r="D547" s="40"/>
      <c r="E547" s="39"/>
      <c r="F547" s="39"/>
      <c r="G547" s="41"/>
      <c r="H547" s="42" t="str">
        <f t="shared" si="25"/>
        <v/>
      </c>
      <c r="I547" s="42" t="str">
        <f t="shared" si="26"/>
        <v/>
      </c>
      <c r="J547" s="43" t="str">
        <f t="shared" si="27"/>
        <v/>
      </c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44"/>
      <c r="AN547" s="44"/>
      <c r="AO547" s="44"/>
      <c r="AP547" s="44"/>
      <c r="AQ547" s="44"/>
      <c r="AR547" s="44"/>
      <c r="AS547" s="45"/>
      <c r="AT547" s="45"/>
      <c r="AU547" s="45"/>
    </row>
    <row r="548" spans="2:47" x14ac:dyDescent="0.25">
      <c r="B548" s="39"/>
      <c r="C548" s="39"/>
      <c r="D548" s="40"/>
      <c r="E548" s="39"/>
      <c r="F548" s="39"/>
      <c r="G548" s="41"/>
      <c r="H548" s="42" t="str">
        <f t="shared" si="25"/>
        <v/>
      </c>
      <c r="I548" s="42" t="str">
        <f t="shared" si="26"/>
        <v/>
      </c>
      <c r="J548" s="43" t="str">
        <f t="shared" si="27"/>
        <v/>
      </c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44"/>
      <c r="AN548" s="44"/>
      <c r="AO548" s="44"/>
      <c r="AP548" s="44"/>
      <c r="AQ548" s="44"/>
      <c r="AR548" s="44"/>
      <c r="AS548" s="45"/>
      <c r="AT548" s="45"/>
      <c r="AU548" s="45"/>
    </row>
    <row r="549" spans="2:47" x14ac:dyDescent="0.25">
      <c r="B549" s="39"/>
      <c r="C549" s="39"/>
      <c r="D549" s="40"/>
      <c r="E549" s="39"/>
      <c r="F549" s="39"/>
      <c r="G549" s="41"/>
      <c r="H549" s="42" t="str">
        <f t="shared" si="25"/>
        <v/>
      </c>
      <c r="I549" s="42" t="str">
        <f t="shared" si="26"/>
        <v/>
      </c>
      <c r="J549" s="43" t="str">
        <f t="shared" si="27"/>
        <v/>
      </c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44"/>
      <c r="AN549" s="44"/>
      <c r="AO549" s="44"/>
      <c r="AP549" s="44"/>
      <c r="AQ549" s="44"/>
      <c r="AR549" s="44"/>
      <c r="AS549" s="45"/>
      <c r="AT549" s="45"/>
      <c r="AU549" s="45"/>
    </row>
    <row r="550" spans="2:47" x14ac:dyDescent="0.25">
      <c r="B550" s="39"/>
      <c r="C550" s="39"/>
      <c r="D550" s="40"/>
      <c r="E550" s="39"/>
      <c r="F550" s="39"/>
      <c r="G550" s="41"/>
      <c r="H550" s="42" t="str">
        <f t="shared" si="25"/>
        <v/>
      </c>
      <c r="I550" s="42" t="str">
        <f t="shared" si="26"/>
        <v/>
      </c>
      <c r="J550" s="43" t="str">
        <f t="shared" si="27"/>
        <v/>
      </c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44"/>
      <c r="AN550" s="44"/>
      <c r="AO550" s="44"/>
      <c r="AP550" s="44"/>
      <c r="AQ550" s="44"/>
      <c r="AR550" s="44"/>
      <c r="AS550" s="45"/>
      <c r="AT550" s="45"/>
      <c r="AU550" s="45"/>
    </row>
    <row r="551" spans="2:47" x14ac:dyDescent="0.25">
      <c r="B551" s="39"/>
      <c r="C551" s="39"/>
      <c r="D551" s="40"/>
      <c r="E551" s="39"/>
      <c r="F551" s="39"/>
      <c r="G551" s="41"/>
      <c r="H551" s="42" t="str">
        <f t="shared" si="25"/>
        <v/>
      </c>
      <c r="I551" s="42" t="str">
        <f t="shared" si="26"/>
        <v/>
      </c>
      <c r="J551" s="43" t="str">
        <f t="shared" si="27"/>
        <v/>
      </c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44"/>
      <c r="AN551" s="44"/>
      <c r="AO551" s="44"/>
      <c r="AP551" s="44"/>
      <c r="AQ551" s="44"/>
      <c r="AR551" s="44"/>
      <c r="AS551" s="45"/>
      <c r="AT551" s="45"/>
      <c r="AU551" s="45"/>
    </row>
    <row r="552" spans="2:47" x14ac:dyDescent="0.25">
      <c r="B552" s="39"/>
      <c r="C552" s="39"/>
      <c r="D552" s="40"/>
      <c r="E552" s="39"/>
      <c r="F552" s="39"/>
      <c r="G552" s="41"/>
      <c r="H552" s="42" t="str">
        <f t="shared" si="25"/>
        <v/>
      </c>
      <c r="I552" s="42" t="str">
        <f t="shared" si="26"/>
        <v/>
      </c>
      <c r="J552" s="43" t="str">
        <f t="shared" si="27"/>
        <v/>
      </c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44"/>
      <c r="AN552" s="44"/>
      <c r="AO552" s="44"/>
      <c r="AP552" s="44"/>
      <c r="AQ552" s="44"/>
      <c r="AR552" s="44"/>
      <c r="AS552" s="45"/>
      <c r="AT552" s="45"/>
      <c r="AU552" s="45"/>
    </row>
    <row r="553" spans="2:47" x14ac:dyDescent="0.25">
      <c r="B553" s="39"/>
      <c r="C553" s="39"/>
      <c r="D553" s="40"/>
      <c r="E553" s="39"/>
      <c r="F553" s="39"/>
      <c r="G553" s="41"/>
      <c r="H553" s="42" t="str">
        <f t="shared" si="25"/>
        <v/>
      </c>
      <c r="I553" s="42" t="str">
        <f t="shared" si="26"/>
        <v/>
      </c>
      <c r="J553" s="43" t="str">
        <f t="shared" si="27"/>
        <v/>
      </c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44"/>
      <c r="AN553" s="44"/>
      <c r="AO553" s="44"/>
      <c r="AP553" s="44"/>
      <c r="AQ553" s="44"/>
      <c r="AR553" s="44"/>
      <c r="AS553" s="45"/>
      <c r="AT553" s="45"/>
      <c r="AU553" s="45"/>
    </row>
    <row r="554" spans="2:47" x14ac:dyDescent="0.25">
      <c r="B554" s="39"/>
      <c r="C554" s="39"/>
      <c r="D554" s="40"/>
      <c r="E554" s="39"/>
      <c r="F554" s="39"/>
      <c r="G554" s="41"/>
      <c r="H554" s="42" t="str">
        <f t="shared" si="25"/>
        <v/>
      </c>
      <c r="I554" s="42" t="str">
        <f t="shared" si="26"/>
        <v/>
      </c>
      <c r="J554" s="43" t="str">
        <f t="shared" si="27"/>
        <v/>
      </c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44"/>
      <c r="AN554" s="44"/>
      <c r="AO554" s="44"/>
      <c r="AP554" s="44"/>
      <c r="AQ554" s="44"/>
      <c r="AR554" s="44"/>
      <c r="AS554" s="45"/>
      <c r="AT554" s="45"/>
      <c r="AU554" s="45"/>
    </row>
    <row r="555" spans="2:47" x14ac:dyDescent="0.25">
      <c r="B555" s="39"/>
      <c r="C555" s="39"/>
      <c r="D555" s="40"/>
      <c r="E555" s="39"/>
      <c r="F555" s="39"/>
      <c r="G555" s="41"/>
      <c r="H555" s="42" t="str">
        <f t="shared" si="25"/>
        <v/>
      </c>
      <c r="I555" s="42" t="str">
        <f t="shared" si="26"/>
        <v/>
      </c>
      <c r="J555" s="43" t="str">
        <f t="shared" si="27"/>
        <v/>
      </c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44"/>
      <c r="AN555" s="44"/>
      <c r="AO555" s="44"/>
      <c r="AP555" s="44"/>
      <c r="AQ555" s="44"/>
      <c r="AR555" s="44"/>
      <c r="AS555" s="45"/>
      <c r="AT555" s="45"/>
      <c r="AU555" s="45"/>
    </row>
    <row r="556" spans="2:47" x14ac:dyDescent="0.25">
      <c r="B556" s="39"/>
      <c r="C556" s="39"/>
      <c r="D556" s="40"/>
      <c r="E556" s="39"/>
      <c r="F556" s="39"/>
      <c r="G556" s="41"/>
      <c r="H556" s="42" t="str">
        <f t="shared" si="25"/>
        <v/>
      </c>
      <c r="I556" s="42" t="str">
        <f t="shared" si="26"/>
        <v/>
      </c>
      <c r="J556" s="43" t="str">
        <f t="shared" si="27"/>
        <v/>
      </c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44"/>
      <c r="AN556" s="44"/>
      <c r="AO556" s="44"/>
      <c r="AP556" s="44"/>
      <c r="AQ556" s="44"/>
      <c r="AR556" s="44"/>
      <c r="AS556" s="45"/>
      <c r="AT556" s="45"/>
      <c r="AU556" s="45"/>
    </row>
    <row r="557" spans="2:47" x14ac:dyDescent="0.25">
      <c r="B557" s="39"/>
      <c r="C557" s="39"/>
      <c r="D557" s="40"/>
      <c r="E557" s="39"/>
      <c r="F557" s="39"/>
      <c r="G557" s="41"/>
      <c r="H557" s="42" t="str">
        <f t="shared" si="25"/>
        <v/>
      </c>
      <c r="I557" s="42" t="str">
        <f t="shared" si="26"/>
        <v/>
      </c>
      <c r="J557" s="43" t="str">
        <f t="shared" si="27"/>
        <v/>
      </c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44"/>
      <c r="AN557" s="44"/>
      <c r="AO557" s="44"/>
      <c r="AP557" s="44"/>
      <c r="AQ557" s="44"/>
      <c r="AR557" s="44"/>
      <c r="AS557" s="45"/>
      <c r="AT557" s="45"/>
      <c r="AU557" s="45"/>
    </row>
    <row r="558" spans="2:47" x14ac:dyDescent="0.25">
      <c r="B558" s="39"/>
      <c r="C558" s="39"/>
      <c r="D558" s="40"/>
      <c r="E558" s="39"/>
      <c r="F558" s="39"/>
      <c r="G558" s="41"/>
      <c r="H558" s="42" t="str">
        <f t="shared" si="25"/>
        <v/>
      </c>
      <c r="I558" s="42" t="str">
        <f t="shared" si="26"/>
        <v/>
      </c>
      <c r="J558" s="43" t="str">
        <f t="shared" si="27"/>
        <v/>
      </c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44"/>
      <c r="AN558" s="44"/>
      <c r="AO558" s="44"/>
      <c r="AP558" s="44"/>
      <c r="AQ558" s="44"/>
      <c r="AR558" s="44"/>
      <c r="AS558" s="45"/>
      <c r="AT558" s="45"/>
      <c r="AU558" s="45"/>
    </row>
    <row r="559" spans="2:47" x14ac:dyDescent="0.25">
      <c r="B559" s="39"/>
      <c r="C559" s="39"/>
      <c r="D559" s="40"/>
      <c r="E559" s="39"/>
      <c r="F559" s="39"/>
      <c r="G559" s="41"/>
      <c r="H559" s="42" t="str">
        <f t="shared" si="25"/>
        <v/>
      </c>
      <c r="I559" s="42" t="str">
        <f t="shared" si="26"/>
        <v/>
      </c>
      <c r="J559" s="43" t="str">
        <f t="shared" si="27"/>
        <v/>
      </c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44"/>
      <c r="AN559" s="44"/>
      <c r="AO559" s="44"/>
      <c r="AP559" s="44"/>
      <c r="AQ559" s="44"/>
      <c r="AR559" s="44"/>
      <c r="AS559" s="45"/>
      <c r="AT559" s="45"/>
      <c r="AU559" s="45"/>
    </row>
    <row r="560" spans="2:47" x14ac:dyDescent="0.25">
      <c r="B560" s="39"/>
      <c r="C560" s="39"/>
      <c r="D560" s="40"/>
      <c r="E560" s="39"/>
      <c r="F560" s="39"/>
      <c r="G560" s="41"/>
      <c r="H560" s="42" t="str">
        <f t="shared" si="25"/>
        <v/>
      </c>
      <c r="I560" s="42" t="str">
        <f t="shared" si="26"/>
        <v/>
      </c>
      <c r="J560" s="43" t="str">
        <f t="shared" si="27"/>
        <v/>
      </c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44"/>
      <c r="AN560" s="44"/>
      <c r="AO560" s="44"/>
      <c r="AP560" s="44"/>
      <c r="AQ560" s="44"/>
      <c r="AR560" s="44"/>
      <c r="AS560" s="45"/>
      <c r="AT560" s="45"/>
      <c r="AU560" s="45"/>
    </row>
    <row r="561" spans="2:47" x14ac:dyDescent="0.25">
      <c r="B561" s="39"/>
      <c r="C561" s="39"/>
      <c r="D561" s="40"/>
      <c r="E561" s="39"/>
      <c r="F561" s="39"/>
      <c r="G561" s="41"/>
      <c r="H561" s="42" t="str">
        <f t="shared" si="25"/>
        <v/>
      </c>
      <c r="I561" s="42" t="str">
        <f t="shared" si="26"/>
        <v/>
      </c>
      <c r="J561" s="43" t="str">
        <f t="shared" si="27"/>
        <v/>
      </c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44"/>
      <c r="AN561" s="44"/>
      <c r="AO561" s="44"/>
      <c r="AP561" s="44"/>
      <c r="AQ561" s="44"/>
      <c r="AR561" s="44"/>
      <c r="AS561" s="45"/>
      <c r="AT561" s="45"/>
      <c r="AU561" s="45"/>
    </row>
    <row r="562" spans="2:47" x14ac:dyDescent="0.25">
      <c r="B562" s="39"/>
      <c r="C562" s="39"/>
      <c r="D562" s="40"/>
      <c r="E562" s="39"/>
      <c r="F562" s="39"/>
      <c r="G562" s="41"/>
      <c r="H562" s="42" t="str">
        <f t="shared" si="25"/>
        <v/>
      </c>
      <c r="I562" s="42" t="str">
        <f t="shared" si="26"/>
        <v/>
      </c>
      <c r="J562" s="43" t="str">
        <f t="shared" si="27"/>
        <v/>
      </c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44"/>
      <c r="AN562" s="44"/>
      <c r="AO562" s="44"/>
      <c r="AP562" s="44"/>
      <c r="AQ562" s="44"/>
      <c r="AR562" s="44"/>
      <c r="AS562" s="45"/>
      <c r="AT562" s="45"/>
      <c r="AU562" s="45"/>
    </row>
    <row r="563" spans="2:47" x14ac:dyDescent="0.25">
      <c r="B563" s="39"/>
      <c r="C563" s="39"/>
      <c r="D563" s="40"/>
      <c r="E563" s="39"/>
      <c r="F563" s="39"/>
      <c r="G563" s="41"/>
      <c r="H563" s="42" t="str">
        <f t="shared" si="25"/>
        <v/>
      </c>
      <c r="I563" s="42" t="str">
        <f t="shared" si="26"/>
        <v/>
      </c>
      <c r="J563" s="43" t="str">
        <f t="shared" si="27"/>
        <v/>
      </c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44"/>
      <c r="AN563" s="44"/>
      <c r="AO563" s="44"/>
      <c r="AP563" s="44"/>
      <c r="AQ563" s="44"/>
      <c r="AR563" s="44"/>
      <c r="AS563" s="45"/>
      <c r="AT563" s="45"/>
      <c r="AU563" s="45"/>
    </row>
    <row r="564" spans="2:47" x14ac:dyDescent="0.25">
      <c r="B564" s="39"/>
      <c r="C564" s="39"/>
      <c r="D564" s="40"/>
      <c r="E564" s="39"/>
      <c r="F564" s="39"/>
      <c r="G564" s="41"/>
      <c r="H564" s="42" t="str">
        <f t="shared" si="25"/>
        <v/>
      </c>
      <c r="I564" s="42" t="str">
        <f t="shared" si="26"/>
        <v/>
      </c>
      <c r="J564" s="43" t="str">
        <f t="shared" si="27"/>
        <v/>
      </c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44"/>
      <c r="AN564" s="44"/>
      <c r="AO564" s="44"/>
      <c r="AP564" s="44"/>
      <c r="AQ564" s="44"/>
      <c r="AR564" s="44"/>
      <c r="AS564" s="45"/>
      <c r="AT564" s="45"/>
      <c r="AU564" s="45"/>
    </row>
    <row r="565" spans="2:47" x14ac:dyDescent="0.25">
      <c r="B565" s="39"/>
      <c r="C565" s="39"/>
      <c r="D565" s="40"/>
      <c r="E565" s="39"/>
      <c r="F565" s="39"/>
      <c r="G565" s="41"/>
      <c r="H565" s="42" t="str">
        <f t="shared" si="25"/>
        <v/>
      </c>
      <c r="I565" s="42" t="str">
        <f t="shared" si="26"/>
        <v/>
      </c>
      <c r="J565" s="43" t="str">
        <f t="shared" si="27"/>
        <v/>
      </c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44"/>
      <c r="AN565" s="44"/>
      <c r="AO565" s="44"/>
      <c r="AP565" s="44"/>
      <c r="AQ565" s="44"/>
      <c r="AR565" s="44"/>
      <c r="AS565" s="45"/>
      <c r="AT565" s="45"/>
      <c r="AU565" s="45"/>
    </row>
    <row r="566" spans="2:47" x14ac:dyDescent="0.25">
      <c r="B566" s="39"/>
      <c r="C566" s="39"/>
      <c r="D566" s="40"/>
      <c r="E566" s="39"/>
      <c r="F566" s="39"/>
      <c r="G566" s="41"/>
      <c r="H566" s="42" t="str">
        <f t="shared" si="25"/>
        <v/>
      </c>
      <c r="I566" s="42" t="str">
        <f t="shared" si="26"/>
        <v/>
      </c>
      <c r="J566" s="43" t="str">
        <f t="shared" si="27"/>
        <v/>
      </c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44"/>
      <c r="AN566" s="44"/>
      <c r="AO566" s="44"/>
      <c r="AP566" s="44"/>
      <c r="AQ566" s="44"/>
      <c r="AR566" s="44"/>
      <c r="AS566" s="45"/>
      <c r="AT566" s="45"/>
      <c r="AU566" s="45"/>
    </row>
    <row r="567" spans="2:47" x14ac:dyDescent="0.25">
      <c r="B567" s="39"/>
      <c r="C567" s="39"/>
      <c r="D567" s="40"/>
      <c r="E567" s="39"/>
      <c r="F567" s="39"/>
      <c r="G567" s="41"/>
      <c r="H567" s="42" t="str">
        <f t="shared" si="25"/>
        <v/>
      </c>
      <c r="I567" s="42" t="str">
        <f t="shared" si="26"/>
        <v/>
      </c>
      <c r="J567" s="43" t="str">
        <f t="shared" si="27"/>
        <v/>
      </c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44"/>
      <c r="AN567" s="44"/>
      <c r="AO567" s="44"/>
      <c r="AP567" s="44"/>
      <c r="AQ567" s="44"/>
      <c r="AR567" s="44"/>
      <c r="AS567" s="45"/>
      <c r="AT567" s="45"/>
      <c r="AU567" s="45"/>
    </row>
    <row r="568" spans="2:47" x14ac:dyDescent="0.25">
      <c r="B568" s="39"/>
      <c r="C568" s="39"/>
      <c r="D568" s="40"/>
      <c r="E568" s="39"/>
      <c r="F568" s="39"/>
      <c r="G568" s="41"/>
      <c r="H568" s="42" t="str">
        <f t="shared" si="25"/>
        <v/>
      </c>
      <c r="I568" s="42" t="str">
        <f t="shared" si="26"/>
        <v/>
      </c>
      <c r="J568" s="43" t="str">
        <f t="shared" si="27"/>
        <v/>
      </c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44"/>
      <c r="AN568" s="44"/>
      <c r="AO568" s="44"/>
      <c r="AP568" s="44"/>
      <c r="AQ568" s="44"/>
      <c r="AR568" s="44"/>
      <c r="AS568" s="45"/>
      <c r="AT568" s="45"/>
      <c r="AU568" s="45"/>
    </row>
    <row r="569" spans="2:47" x14ac:dyDescent="0.25">
      <c r="B569" s="39"/>
      <c r="C569" s="39"/>
      <c r="D569" s="40"/>
      <c r="E569" s="39"/>
      <c r="F569" s="39"/>
      <c r="G569" s="41"/>
      <c r="H569" s="42" t="str">
        <f t="shared" si="25"/>
        <v/>
      </c>
      <c r="I569" s="42" t="str">
        <f t="shared" si="26"/>
        <v/>
      </c>
      <c r="J569" s="43" t="str">
        <f t="shared" si="27"/>
        <v/>
      </c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44"/>
      <c r="AN569" s="44"/>
      <c r="AO569" s="44"/>
      <c r="AP569" s="44"/>
      <c r="AQ569" s="44"/>
      <c r="AR569" s="44"/>
      <c r="AS569" s="45"/>
      <c r="AT569" s="45"/>
      <c r="AU569" s="45"/>
    </row>
    <row r="570" spans="2:47" x14ac:dyDescent="0.25">
      <c r="B570" s="39"/>
      <c r="C570" s="39"/>
      <c r="D570" s="40"/>
      <c r="E570" s="39"/>
      <c r="F570" s="39"/>
      <c r="G570" s="41"/>
      <c r="H570" s="42" t="str">
        <f t="shared" si="25"/>
        <v/>
      </c>
      <c r="I570" s="42" t="str">
        <f t="shared" si="26"/>
        <v/>
      </c>
      <c r="J570" s="43" t="str">
        <f t="shared" si="27"/>
        <v/>
      </c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44"/>
      <c r="AN570" s="44"/>
      <c r="AO570" s="44"/>
      <c r="AP570" s="44"/>
      <c r="AQ570" s="44"/>
      <c r="AR570" s="44"/>
      <c r="AS570" s="45"/>
      <c r="AT570" s="45"/>
      <c r="AU570" s="45"/>
    </row>
    <row r="571" spans="2:47" x14ac:dyDescent="0.25">
      <c r="B571" s="39"/>
      <c r="C571" s="39"/>
      <c r="D571" s="40"/>
      <c r="E571" s="39"/>
      <c r="F571" s="39"/>
      <c r="G571" s="41"/>
      <c r="H571" s="42" t="str">
        <f t="shared" si="25"/>
        <v/>
      </c>
      <c r="I571" s="42" t="str">
        <f t="shared" si="26"/>
        <v/>
      </c>
      <c r="J571" s="43" t="str">
        <f t="shared" si="27"/>
        <v/>
      </c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44"/>
      <c r="AN571" s="44"/>
      <c r="AO571" s="44"/>
      <c r="AP571" s="44"/>
      <c r="AQ571" s="44"/>
      <c r="AR571" s="44"/>
      <c r="AS571" s="45"/>
      <c r="AT571" s="45"/>
      <c r="AU571" s="45"/>
    </row>
    <row r="572" spans="2:47" x14ac:dyDescent="0.25">
      <c r="B572" s="39"/>
      <c r="C572" s="39"/>
      <c r="D572" s="40"/>
      <c r="E572" s="39"/>
      <c r="F572" s="39"/>
      <c r="G572" s="41"/>
      <c r="H572" s="42" t="str">
        <f t="shared" si="25"/>
        <v/>
      </c>
      <c r="I572" s="42" t="str">
        <f t="shared" si="26"/>
        <v/>
      </c>
      <c r="J572" s="43" t="str">
        <f t="shared" si="27"/>
        <v/>
      </c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44"/>
      <c r="AN572" s="44"/>
      <c r="AO572" s="44"/>
      <c r="AP572" s="44"/>
      <c r="AQ572" s="44"/>
      <c r="AR572" s="44"/>
      <c r="AS572" s="45"/>
      <c r="AT572" s="45"/>
      <c r="AU572" s="45"/>
    </row>
    <row r="573" spans="2:47" x14ac:dyDescent="0.25">
      <c r="B573" s="39"/>
      <c r="C573" s="39"/>
      <c r="D573" s="40"/>
      <c r="E573" s="39"/>
      <c r="F573" s="39"/>
      <c r="G573" s="41"/>
      <c r="H573" s="42" t="str">
        <f t="shared" si="25"/>
        <v/>
      </c>
      <c r="I573" s="42" t="str">
        <f t="shared" si="26"/>
        <v/>
      </c>
      <c r="J573" s="43" t="str">
        <f t="shared" si="27"/>
        <v/>
      </c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44"/>
      <c r="AN573" s="44"/>
      <c r="AO573" s="44"/>
      <c r="AP573" s="44"/>
      <c r="AQ573" s="44"/>
      <c r="AR573" s="44"/>
      <c r="AS573" s="45"/>
      <c r="AT573" s="45"/>
      <c r="AU573" s="45"/>
    </row>
    <row r="574" spans="2:47" x14ac:dyDescent="0.25">
      <c r="B574" s="39"/>
      <c r="C574" s="39"/>
      <c r="D574" s="40"/>
      <c r="E574" s="39"/>
      <c r="F574" s="39"/>
      <c r="G574" s="41"/>
      <c r="H574" s="42" t="str">
        <f t="shared" si="25"/>
        <v/>
      </c>
      <c r="I574" s="42" t="str">
        <f t="shared" si="26"/>
        <v/>
      </c>
      <c r="J574" s="43" t="str">
        <f t="shared" si="27"/>
        <v/>
      </c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44"/>
      <c r="AN574" s="44"/>
      <c r="AO574" s="44"/>
      <c r="AP574" s="44"/>
      <c r="AQ574" s="44"/>
      <c r="AR574" s="44"/>
      <c r="AS574" s="45"/>
      <c r="AT574" s="45"/>
      <c r="AU574" s="45"/>
    </row>
    <row r="575" spans="2:47" x14ac:dyDescent="0.25">
      <c r="B575" s="39"/>
      <c r="C575" s="39"/>
      <c r="D575" s="40"/>
      <c r="E575" s="39"/>
      <c r="F575" s="39"/>
      <c r="G575" s="41"/>
      <c r="H575" s="42" t="str">
        <f t="shared" si="25"/>
        <v/>
      </c>
      <c r="I575" s="42" t="str">
        <f t="shared" si="26"/>
        <v/>
      </c>
      <c r="J575" s="43" t="str">
        <f t="shared" si="27"/>
        <v/>
      </c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44"/>
      <c r="AN575" s="44"/>
      <c r="AO575" s="44"/>
      <c r="AP575" s="44"/>
      <c r="AQ575" s="44"/>
      <c r="AR575" s="44"/>
      <c r="AS575" s="45"/>
      <c r="AT575" s="45"/>
      <c r="AU575" s="45"/>
    </row>
    <row r="576" spans="2:47" x14ac:dyDescent="0.25">
      <c r="B576" s="39"/>
      <c r="C576" s="39"/>
      <c r="D576" s="40"/>
      <c r="E576" s="39"/>
      <c r="F576" s="39"/>
      <c r="G576" s="41"/>
      <c r="H576" s="42" t="str">
        <f t="shared" si="25"/>
        <v/>
      </c>
      <c r="I576" s="42" t="str">
        <f t="shared" si="26"/>
        <v/>
      </c>
      <c r="J576" s="43" t="str">
        <f t="shared" si="27"/>
        <v/>
      </c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44"/>
      <c r="AN576" s="44"/>
      <c r="AO576" s="44"/>
      <c r="AP576" s="44"/>
      <c r="AQ576" s="44"/>
      <c r="AR576" s="44"/>
      <c r="AS576" s="45"/>
      <c r="AT576" s="45"/>
      <c r="AU576" s="45"/>
    </row>
    <row r="577" spans="2:47" x14ac:dyDescent="0.25">
      <c r="B577" s="39"/>
      <c r="C577" s="39"/>
      <c r="D577" s="40"/>
      <c r="E577" s="39"/>
      <c r="F577" s="39"/>
      <c r="G577" s="41"/>
      <c r="H577" s="42" t="str">
        <f t="shared" si="25"/>
        <v/>
      </c>
      <c r="I577" s="42" t="str">
        <f t="shared" si="26"/>
        <v/>
      </c>
      <c r="J577" s="43" t="str">
        <f t="shared" si="27"/>
        <v/>
      </c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44"/>
      <c r="AN577" s="44"/>
      <c r="AO577" s="44"/>
      <c r="AP577" s="44"/>
      <c r="AQ577" s="44"/>
      <c r="AR577" s="44"/>
      <c r="AS577" s="45"/>
      <c r="AT577" s="45"/>
      <c r="AU577" s="45"/>
    </row>
    <row r="578" spans="2:47" x14ac:dyDescent="0.25">
      <c r="B578" s="39"/>
      <c r="C578" s="39"/>
      <c r="D578" s="40"/>
      <c r="E578" s="39"/>
      <c r="F578" s="39"/>
      <c r="G578" s="41"/>
      <c r="H578" s="42" t="str">
        <f t="shared" si="25"/>
        <v/>
      </c>
      <c r="I578" s="42" t="str">
        <f t="shared" si="26"/>
        <v/>
      </c>
      <c r="J578" s="43" t="str">
        <f t="shared" si="27"/>
        <v/>
      </c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44"/>
      <c r="AN578" s="44"/>
      <c r="AO578" s="44"/>
      <c r="AP578" s="44"/>
      <c r="AQ578" s="44"/>
      <c r="AR578" s="44"/>
      <c r="AS578" s="45"/>
      <c r="AT578" s="45"/>
      <c r="AU578" s="45"/>
    </row>
    <row r="579" spans="2:47" x14ac:dyDescent="0.25">
      <c r="B579" s="39"/>
      <c r="C579" s="39"/>
      <c r="D579" s="40"/>
      <c r="E579" s="39"/>
      <c r="F579" s="39"/>
      <c r="G579" s="41"/>
      <c r="H579" s="42" t="str">
        <f t="shared" si="25"/>
        <v/>
      </c>
      <c r="I579" s="42" t="str">
        <f t="shared" si="26"/>
        <v/>
      </c>
      <c r="J579" s="43" t="str">
        <f t="shared" si="27"/>
        <v/>
      </c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44"/>
      <c r="AN579" s="44"/>
      <c r="AO579" s="44"/>
      <c r="AP579" s="44"/>
      <c r="AQ579" s="44"/>
      <c r="AR579" s="44"/>
      <c r="AS579" s="45"/>
      <c r="AT579" s="45"/>
      <c r="AU579" s="45"/>
    </row>
    <row r="580" spans="2:47" x14ac:dyDescent="0.25">
      <c r="B580" s="39"/>
      <c r="C580" s="39"/>
      <c r="D580" s="40"/>
      <c r="E580" s="39"/>
      <c r="F580" s="39"/>
      <c r="G580" s="41"/>
      <c r="H580" s="42" t="str">
        <f t="shared" si="25"/>
        <v/>
      </c>
      <c r="I580" s="42" t="str">
        <f t="shared" si="26"/>
        <v/>
      </c>
      <c r="J580" s="43" t="str">
        <f t="shared" si="27"/>
        <v/>
      </c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44"/>
      <c r="AN580" s="44"/>
      <c r="AO580" s="44"/>
      <c r="AP580" s="44"/>
      <c r="AQ580" s="44"/>
      <c r="AR580" s="44"/>
      <c r="AS580" s="45"/>
      <c r="AT580" s="45"/>
      <c r="AU580" s="45"/>
    </row>
    <row r="581" spans="2:47" x14ac:dyDescent="0.25">
      <c r="B581" s="39"/>
      <c r="C581" s="39"/>
      <c r="D581" s="40"/>
      <c r="E581" s="39"/>
      <c r="F581" s="39"/>
      <c r="G581" s="41"/>
      <c r="H581" s="42" t="str">
        <f t="shared" si="25"/>
        <v/>
      </c>
      <c r="I581" s="42" t="str">
        <f t="shared" si="26"/>
        <v/>
      </c>
      <c r="J581" s="43" t="str">
        <f t="shared" si="27"/>
        <v/>
      </c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44"/>
      <c r="AN581" s="44"/>
      <c r="AO581" s="44"/>
      <c r="AP581" s="44"/>
      <c r="AQ581" s="44"/>
      <c r="AR581" s="44"/>
      <c r="AS581" s="45"/>
      <c r="AT581" s="45"/>
      <c r="AU581" s="45"/>
    </row>
    <row r="582" spans="2:47" x14ac:dyDescent="0.25">
      <c r="B582" s="39"/>
      <c r="C582" s="39"/>
      <c r="D582" s="40"/>
      <c r="E582" s="39"/>
      <c r="F582" s="39"/>
      <c r="G582" s="41"/>
      <c r="H582" s="42" t="str">
        <f t="shared" ref="H582:H645" si="28">IF($B582="","",SUM($K582:$AG582)+SUM($AS582:$BB582))</f>
        <v/>
      </c>
      <c r="I582" s="42" t="str">
        <f t="shared" ref="I582:I645" si="29">IF($B582="","",SUM($AH582:$AL582))</f>
        <v/>
      </c>
      <c r="J582" s="43" t="str">
        <f t="shared" ref="J582:J645" si="30">IF($B582="","",SUMPRODUCT($K582:$BB582,$K$2:$BB$2))</f>
        <v/>
      </c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44"/>
      <c r="AN582" s="44"/>
      <c r="AO582" s="44"/>
      <c r="AP582" s="44"/>
      <c r="AQ582" s="44"/>
      <c r="AR582" s="44"/>
      <c r="AS582" s="45"/>
      <c r="AT582" s="45"/>
      <c r="AU582" s="45"/>
    </row>
    <row r="583" spans="2:47" x14ac:dyDescent="0.25">
      <c r="B583" s="39"/>
      <c r="C583" s="39"/>
      <c r="D583" s="40"/>
      <c r="E583" s="39"/>
      <c r="F583" s="39"/>
      <c r="G583" s="41"/>
      <c r="H583" s="42" t="str">
        <f t="shared" si="28"/>
        <v/>
      </c>
      <c r="I583" s="42" t="str">
        <f t="shared" si="29"/>
        <v/>
      </c>
      <c r="J583" s="43" t="str">
        <f t="shared" si="30"/>
        <v/>
      </c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44"/>
      <c r="AN583" s="44"/>
      <c r="AO583" s="44"/>
      <c r="AP583" s="44"/>
      <c r="AQ583" s="44"/>
      <c r="AR583" s="44"/>
      <c r="AS583" s="45"/>
      <c r="AT583" s="45"/>
      <c r="AU583" s="45"/>
    </row>
    <row r="584" spans="2:47" x14ac:dyDescent="0.25">
      <c r="B584" s="39"/>
      <c r="C584" s="39"/>
      <c r="D584" s="40"/>
      <c r="E584" s="39"/>
      <c r="F584" s="39"/>
      <c r="G584" s="41"/>
      <c r="H584" s="42" t="str">
        <f t="shared" si="28"/>
        <v/>
      </c>
      <c r="I584" s="42" t="str">
        <f t="shared" si="29"/>
        <v/>
      </c>
      <c r="J584" s="43" t="str">
        <f t="shared" si="30"/>
        <v/>
      </c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44"/>
      <c r="AN584" s="44"/>
      <c r="AO584" s="44"/>
      <c r="AP584" s="44"/>
      <c r="AQ584" s="44"/>
      <c r="AR584" s="44"/>
      <c r="AS584" s="45"/>
      <c r="AT584" s="45"/>
      <c r="AU584" s="45"/>
    </row>
    <row r="585" spans="2:47" x14ac:dyDescent="0.25">
      <c r="B585" s="39"/>
      <c r="C585" s="39"/>
      <c r="D585" s="40"/>
      <c r="E585" s="39"/>
      <c r="F585" s="39"/>
      <c r="G585" s="41"/>
      <c r="H585" s="42" t="str">
        <f t="shared" si="28"/>
        <v/>
      </c>
      <c r="I585" s="42" t="str">
        <f t="shared" si="29"/>
        <v/>
      </c>
      <c r="J585" s="43" t="str">
        <f t="shared" si="30"/>
        <v/>
      </c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44"/>
      <c r="AN585" s="44"/>
      <c r="AO585" s="44"/>
      <c r="AP585" s="44"/>
      <c r="AQ585" s="44"/>
      <c r="AR585" s="44"/>
      <c r="AS585" s="45"/>
      <c r="AT585" s="45"/>
      <c r="AU585" s="45"/>
    </row>
    <row r="586" spans="2:47" x14ac:dyDescent="0.25">
      <c r="B586" s="39"/>
      <c r="C586" s="39"/>
      <c r="D586" s="40"/>
      <c r="E586" s="39"/>
      <c r="F586" s="39"/>
      <c r="G586" s="41"/>
      <c r="H586" s="42" t="str">
        <f t="shared" si="28"/>
        <v/>
      </c>
      <c r="I586" s="42" t="str">
        <f t="shared" si="29"/>
        <v/>
      </c>
      <c r="J586" s="43" t="str">
        <f t="shared" si="30"/>
        <v/>
      </c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44"/>
      <c r="AN586" s="44"/>
      <c r="AO586" s="44"/>
      <c r="AP586" s="44"/>
      <c r="AQ586" s="44"/>
      <c r="AR586" s="44"/>
      <c r="AS586" s="45"/>
      <c r="AT586" s="45"/>
      <c r="AU586" s="45"/>
    </row>
    <row r="587" spans="2:47" x14ac:dyDescent="0.25">
      <c r="B587" s="39"/>
      <c r="C587" s="39"/>
      <c r="D587" s="40"/>
      <c r="E587" s="39"/>
      <c r="F587" s="39"/>
      <c r="G587" s="41"/>
      <c r="H587" s="42" t="str">
        <f t="shared" si="28"/>
        <v/>
      </c>
      <c r="I587" s="42" t="str">
        <f t="shared" si="29"/>
        <v/>
      </c>
      <c r="J587" s="43" t="str">
        <f t="shared" si="30"/>
        <v/>
      </c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44"/>
      <c r="AN587" s="44"/>
      <c r="AO587" s="44"/>
      <c r="AP587" s="44"/>
      <c r="AQ587" s="44"/>
      <c r="AR587" s="44"/>
      <c r="AS587" s="45"/>
      <c r="AT587" s="45"/>
      <c r="AU587" s="45"/>
    </row>
    <row r="588" spans="2:47" x14ac:dyDescent="0.25">
      <c r="B588" s="39"/>
      <c r="C588" s="39"/>
      <c r="D588" s="40"/>
      <c r="E588" s="39"/>
      <c r="F588" s="39"/>
      <c r="G588" s="41"/>
      <c r="H588" s="42" t="str">
        <f t="shared" si="28"/>
        <v/>
      </c>
      <c r="I588" s="42" t="str">
        <f t="shared" si="29"/>
        <v/>
      </c>
      <c r="J588" s="43" t="str">
        <f t="shared" si="30"/>
        <v/>
      </c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44"/>
      <c r="AN588" s="44"/>
      <c r="AO588" s="44"/>
      <c r="AP588" s="44"/>
      <c r="AQ588" s="44"/>
      <c r="AR588" s="44"/>
      <c r="AS588" s="45"/>
      <c r="AT588" s="45"/>
      <c r="AU588" s="45"/>
    </row>
    <row r="589" spans="2:47" x14ac:dyDescent="0.25">
      <c r="B589" s="39"/>
      <c r="C589" s="39"/>
      <c r="D589" s="40"/>
      <c r="E589" s="39"/>
      <c r="F589" s="39"/>
      <c r="G589" s="41"/>
      <c r="H589" s="42" t="str">
        <f t="shared" si="28"/>
        <v/>
      </c>
      <c r="I589" s="42" t="str">
        <f t="shared" si="29"/>
        <v/>
      </c>
      <c r="J589" s="43" t="str">
        <f t="shared" si="30"/>
        <v/>
      </c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44"/>
      <c r="AN589" s="44"/>
      <c r="AO589" s="44"/>
      <c r="AP589" s="44"/>
      <c r="AQ589" s="44"/>
      <c r="AR589" s="44"/>
      <c r="AS589" s="45"/>
      <c r="AT589" s="45"/>
      <c r="AU589" s="45"/>
    </row>
    <row r="590" spans="2:47" x14ac:dyDescent="0.25">
      <c r="B590" s="39"/>
      <c r="C590" s="39"/>
      <c r="D590" s="40"/>
      <c r="E590" s="39"/>
      <c r="F590" s="39"/>
      <c r="G590" s="41"/>
      <c r="H590" s="42" t="str">
        <f t="shared" si="28"/>
        <v/>
      </c>
      <c r="I590" s="42" t="str">
        <f t="shared" si="29"/>
        <v/>
      </c>
      <c r="J590" s="43" t="str">
        <f t="shared" si="30"/>
        <v/>
      </c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44"/>
      <c r="AN590" s="44"/>
      <c r="AO590" s="44"/>
      <c r="AP590" s="44"/>
      <c r="AQ590" s="44"/>
      <c r="AR590" s="44"/>
      <c r="AS590" s="45"/>
      <c r="AT590" s="45"/>
      <c r="AU590" s="45"/>
    </row>
    <row r="591" spans="2:47" x14ac:dyDescent="0.25">
      <c r="B591" s="39"/>
      <c r="C591" s="39"/>
      <c r="D591" s="40"/>
      <c r="E591" s="39"/>
      <c r="F591" s="39"/>
      <c r="G591" s="41"/>
      <c r="H591" s="42" t="str">
        <f t="shared" si="28"/>
        <v/>
      </c>
      <c r="I591" s="42" t="str">
        <f t="shared" si="29"/>
        <v/>
      </c>
      <c r="J591" s="43" t="str">
        <f t="shared" si="30"/>
        <v/>
      </c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44"/>
      <c r="AN591" s="44"/>
      <c r="AO591" s="44"/>
      <c r="AP591" s="44"/>
      <c r="AQ591" s="44"/>
      <c r="AR591" s="44"/>
      <c r="AS591" s="45"/>
      <c r="AT591" s="45"/>
      <c r="AU591" s="45"/>
    </row>
    <row r="592" spans="2:47" x14ac:dyDescent="0.25">
      <c r="B592" s="39"/>
      <c r="C592" s="39"/>
      <c r="D592" s="40"/>
      <c r="E592" s="39"/>
      <c r="F592" s="39"/>
      <c r="G592" s="41"/>
      <c r="H592" s="42" t="str">
        <f t="shared" si="28"/>
        <v/>
      </c>
      <c r="I592" s="42" t="str">
        <f t="shared" si="29"/>
        <v/>
      </c>
      <c r="J592" s="43" t="str">
        <f t="shared" si="30"/>
        <v/>
      </c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44"/>
      <c r="AN592" s="44"/>
      <c r="AO592" s="44"/>
      <c r="AP592" s="44"/>
      <c r="AQ592" s="44"/>
      <c r="AR592" s="44"/>
      <c r="AS592" s="45"/>
      <c r="AT592" s="45"/>
      <c r="AU592" s="45"/>
    </row>
    <row r="593" spans="2:47" x14ac:dyDescent="0.25">
      <c r="B593" s="39"/>
      <c r="C593" s="39"/>
      <c r="D593" s="40"/>
      <c r="E593" s="39"/>
      <c r="F593" s="39"/>
      <c r="G593" s="41"/>
      <c r="H593" s="42" t="str">
        <f t="shared" si="28"/>
        <v/>
      </c>
      <c r="I593" s="42" t="str">
        <f t="shared" si="29"/>
        <v/>
      </c>
      <c r="J593" s="43" t="str">
        <f t="shared" si="30"/>
        <v/>
      </c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44"/>
      <c r="AN593" s="44"/>
      <c r="AO593" s="44"/>
      <c r="AP593" s="44"/>
      <c r="AQ593" s="44"/>
      <c r="AR593" s="44"/>
      <c r="AS593" s="45"/>
      <c r="AT593" s="45"/>
      <c r="AU593" s="45"/>
    </row>
    <row r="594" spans="2:47" x14ac:dyDescent="0.25">
      <c r="B594" s="39"/>
      <c r="C594" s="39"/>
      <c r="D594" s="40"/>
      <c r="E594" s="39"/>
      <c r="F594" s="39"/>
      <c r="G594" s="41"/>
      <c r="H594" s="42" t="str">
        <f t="shared" si="28"/>
        <v/>
      </c>
      <c r="I594" s="42" t="str">
        <f t="shared" si="29"/>
        <v/>
      </c>
      <c r="J594" s="43" t="str">
        <f t="shared" si="30"/>
        <v/>
      </c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44"/>
      <c r="AN594" s="44"/>
      <c r="AO594" s="44"/>
      <c r="AP594" s="44"/>
      <c r="AQ594" s="44"/>
      <c r="AR594" s="44"/>
      <c r="AS594" s="45"/>
      <c r="AT594" s="45"/>
      <c r="AU594" s="45"/>
    </row>
    <row r="595" spans="2:47" x14ac:dyDescent="0.25">
      <c r="B595" s="39"/>
      <c r="C595" s="39"/>
      <c r="D595" s="40"/>
      <c r="E595" s="39"/>
      <c r="F595" s="39"/>
      <c r="G595" s="41"/>
      <c r="H595" s="42" t="str">
        <f t="shared" si="28"/>
        <v/>
      </c>
      <c r="I595" s="42" t="str">
        <f t="shared" si="29"/>
        <v/>
      </c>
      <c r="J595" s="43" t="str">
        <f t="shared" si="30"/>
        <v/>
      </c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44"/>
      <c r="AN595" s="44"/>
      <c r="AO595" s="44"/>
      <c r="AP595" s="44"/>
      <c r="AQ595" s="44"/>
      <c r="AR595" s="44"/>
      <c r="AS595" s="45"/>
      <c r="AT595" s="45"/>
      <c r="AU595" s="45"/>
    </row>
    <row r="596" spans="2:47" x14ac:dyDescent="0.25">
      <c r="B596" s="39"/>
      <c r="C596" s="39"/>
      <c r="D596" s="40"/>
      <c r="E596" s="39"/>
      <c r="F596" s="39"/>
      <c r="G596" s="41"/>
      <c r="H596" s="42" t="str">
        <f t="shared" si="28"/>
        <v/>
      </c>
      <c r="I596" s="42" t="str">
        <f t="shared" si="29"/>
        <v/>
      </c>
      <c r="J596" s="43" t="str">
        <f t="shared" si="30"/>
        <v/>
      </c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44"/>
      <c r="AN596" s="44"/>
      <c r="AO596" s="44"/>
      <c r="AP596" s="44"/>
      <c r="AQ596" s="44"/>
      <c r="AR596" s="44"/>
      <c r="AS596" s="45"/>
      <c r="AT596" s="45"/>
      <c r="AU596" s="45"/>
    </row>
    <row r="597" spans="2:47" x14ac:dyDescent="0.25">
      <c r="B597" s="39"/>
      <c r="C597" s="39"/>
      <c r="D597" s="40"/>
      <c r="E597" s="39"/>
      <c r="F597" s="39"/>
      <c r="G597" s="41"/>
      <c r="H597" s="42" t="str">
        <f t="shared" si="28"/>
        <v/>
      </c>
      <c r="I597" s="42" t="str">
        <f t="shared" si="29"/>
        <v/>
      </c>
      <c r="J597" s="43" t="str">
        <f t="shared" si="30"/>
        <v/>
      </c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44"/>
      <c r="AN597" s="44"/>
      <c r="AO597" s="44"/>
      <c r="AP597" s="44"/>
      <c r="AQ597" s="44"/>
      <c r="AR597" s="44"/>
      <c r="AS597" s="45"/>
      <c r="AT597" s="45"/>
      <c r="AU597" s="45"/>
    </row>
    <row r="598" spans="2:47" x14ac:dyDescent="0.25">
      <c r="B598" s="39"/>
      <c r="C598" s="39"/>
      <c r="D598" s="40"/>
      <c r="E598" s="39"/>
      <c r="F598" s="39"/>
      <c r="G598" s="41"/>
      <c r="H598" s="42" t="str">
        <f t="shared" si="28"/>
        <v/>
      </c>
      <c r="I598" s="42" t="str">
        <f t="shared" si="29"/>
        <v/>
      </c>
      <c r="J598" s="43" t="str">
        <f t="shared" si="30"/>
        <v/>
      </c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44"/>
      <c r="AN598" s="44"/>
      <c r="AO598" s="44"/>
      <c r="AP598" s="44"/>
      <c r="AQ598" s="44"/>
      <c r="AR598" s="44"/>
      <c r="AS598" s="45"/>
      <c r="AT598" s="45"/>
      <c r="AU598" s="45"/>
    </row>
    <row r="599" spans="2:47" x14ac:dyDescent="0.25">
      <c r="B599" s="39"/>
      <c r="C599" s="39"/>
      <c r="D599" s="40"/>
      <c r="E599" s="39"/>
      <c r="F599" s="39"/>
      <c r="G599" s="41"/>
      <c r="H599" s="42" t="str">
        <f t="shared" si="28"/>
        <v/>
      </c>
      <c r="I599" s="42" t="str">
        <f t="shared" si="29"/>
        <v/>
      </c>
      <c r="J599" s="43" t="str">
        <f t="shared" si="30"/>
        <v/>
      </c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44"/>
      <c r="AN599" s="44"/>
      <c r="AO599" s="44"/>
      <c r="AP599" s="44"/>
      <c r="AQ599" s="44"/>
      <c r="AR599" s="44"/>
      <c r="AS599" s="45"/>
      <c r="AT599" s="45"/>
      <c r="AU599" s="45"/>
    </row>
    <row r="600" spans="2:47" x14ac:dyDescent="0.25">
      <c r="B600" s="39"/>
      <c r="C600" s="39"/>
      <c r="D600" s="40"/>
      <c r="E600" s="39"/>
      <c r="F600" s="39"/>
      <c r="G600" s="41"/>
      <c r="H600" s="42" t="str">
        <f t="shared" si="28"/>
        <v/>
      </c>
      <c r="I600" s="42" t="str">
        <f t="shared" si="29"/>
        <v/>
      </c>
      <c r="J600" s="43" t="str">
        <f t="shared" si="30"/>
        <v/>
      </c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44"/>
      <c r="AN600" s="44"/>
      <c r="AO600" s="44"/>
      <c r="AP600" s="44"/>
      <c r="AQ600" s="44"/>
      <c r="AR600" s="44"/>
      <c r="AS600" s="45"/>
      <c r="AT600" s="45"/>
      <c r="AU600" s="45"/>
    </row>
    <row r="601" spans="2:47" x14ac:dyDescent="0.25">
      <c r="B601" s="39"/>
      <c r="C601" s="39"/>
      <c r="D601" s="40"/>
      <c r="E601" s="39"/>
      <c r="F601" s="39"/>
      <c r="G601" s="41"/>
      <c r="H601" s="42" t="str">
        <f t="shared" si="28"/>
        <v/>
      </c>
      <c r="I601" s="42" t="str">
        <f t="shared" si="29"/>
        <v/>
      </c>
      <c r="J601" s="43" t="str">
        <f t="shared" si="30"/>
        <v/>
      </c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44"/>
      <c r="AN601" s="44"/>
      <c r="AO601" s="44"/>
      <c r="AP601" s="44"/>
      <c r="AQ601" s="44"/>
      <c r="AR601" s="44"/>
      <c r="AS601" s="45"/>
      <c r="AT601" s="45"/>
      <c r="AU601" s="45"/>
    </row>
    <row r="602" spans="2:47" x14ac:dyDescent="0.25">
      <c r="B602" s="39"/>
      <c r="C602" s="39"/>
      <c r="D602" s="40"/>
      <c r="E602" s="39"/>
      <c r="F602" s="39"/>
      <c r="G602" s="41"/>
      <c r="H602" s="42" t="str">
        <f t="shared" si="28"/>
        <v/>
      </c>
      <c r="I602" s="42" t="str">
        <f t="shared" si="29"/>
        <v/>
      </c>
      <c r="J602" s="43" t="str">
        <f t="shared" si="30"/>
        <v/>
      </c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44"/>
      <c r="AN602" s="44"/>
      <c r="AO602" s="44"/>
      <c r="AP602" s="44"/>
      <c r="AQ602" s="44"/>
      <c r="AR602" s="44"/>
      <c r="AS602" s="45"/>
      <c r="AT602" s="45"/>
      <c r="AU602" s="45"/>
    </row>
    <row r="603" spans="2:47" x14ac:dyDescent="0.25">
      <c r="B603" s="39"/>
      <c r="C603" s="39"/>
      <c r="D603" s="40"/>
      <c r="E603" s="39"/>
      <c r="F603" s="39"/>
      <c r="G603" s="41"/>
      <c r="H603" s="42" t="str">
        <f t="shared" si="28"/>
        <v/>
      </c>
      <c r="I603" s="42" t="str">
        <f t="shared" si="29"/>
        <v/>
      </c>
      <c r="J603" s="43" t="str">
        <f t="shared" si="30"/>
        <v/>
      </c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44"/>
      <c r="AN603" s="44"/>
      <c r="AO603" s="44"/>
      <c r="AP603" s="44"/>
      <c r="AQ603" s="44"/>
      <c r="AR603" s="44"/>
      <c r="AS603" s="45"/>
      <c r="AT603" s="45"/>
      <c r="AU603" s="45"/>
    </row>
    <row r="604" spans="2:47" x14ac:dyDescent="0.25">
      <c r="B604" s="39"/>
      <c r="C604" s="39"/>
      <c r="D604" s="40"/>
      <c r="E604" s="39"/>
      <c r="F604" s="39"/>
      <c r="G604" s="41"/>
      <c r="H604" s="42" t="str">
        <f t="shared" si="28"/>
        <v/>
      </c>
      <c r="I604" s="42" t="str">
        <f t="shared" si="29"/>
        <v/>
      </c>
      <c r="J604" s="43" t="str">
        <f t="shared" si="30"/>
        <v/>
      </c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44"/>
      <c r="AN604" s="44"/>
      <c r="AO604" s="44"/>
      <c r="AP604" s="44"/>
      <c r="AQ604" s="44"/>
      <c r="AR604" s="44"/>
      <c r="AS604" s="45"/>
      <c r="AT604" s="45"/>
      <c r="AU604" s="45"/>
    </row>
    <row r="605" spans="2:47" x14ac:dyDescent="0.25">
      <c r="B605" s="39"/>
      <c r="C605" s="39"/>
      <c r="D605" s="40"/>
      <c r="E605" s="39"/>
      <c r="F605" s="39"/>
      <c r="G605" s="41"/>
      <c r="H605" s="42" t="str">
        <f t="shared" si="28"/>
        <v/>
      </c>
      <c r="I605" s="42" t="str">
        <f t="shared" si="29"/>
        <v/>
      </c>
      <c r="J605" s="43" t="str">
        <f t="shared" si="30"/>
        <v/>
      </c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44"/>
      <c r="AN605" s="44"/>
      <c r="AO605" s="44"/>
      <c r="AP605" s="44"/>
      <c r="AQ605" s="44"/>
      <c r="AR605" s="44"/>
      <c r="AS605" s="45"/>
      <c r="AT605" s="45"/>
      <c r="AU605" s="45"/>
    </row>
    <row r="606" spans="2:47" x14ac:dyDescent="0.25">
      <c r="B606" s="39"/>
      <c r="C606" s="39"/>
      <c r="D606" s="40"/>
      <c r="E606" s="39"/>
      <c r="F606" s="39"/>
      <c r="G606" s="41"/>
      <c r="H606" s="42" t="str">
        <f t="shared" si="28"/>
        <v/>
      </c>
      <c r="I606" s="42" t="str">
        <f t="shared" si="29"/>
        <v/>
      </c>
      <c r="J606" s="43" t="str">
        <f t="shared" si="30"/>
        <v/>
      </c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44"/>
      <c r="AN606" s="44"/>
      <c r="AO606" s="44"/>
      <c r="AP606" s="44"/>
      <c r="AQ606" s="44"/>
      <c r="AR606" s="44"/>
      <c r="AS606" s="45"/>
      <c r="AT606" s="45"/>
      <c r="AU606" s="45"/>
    </row>
    <row r="607" spans="2:47" x14ac:dyDescent="0.25">
      <c r="B607" s="39"/>
      <c r="C607" s="39"/>
      <c r="D607" s="40"/>
      <c r="E607" s="39"/>
      <c r="F607" s="39"/>
      <c r="G607" s="41"/>
      <c r="H607" s="42" t="str">
        <f t="shared" si="28"/>
        <v/>
      </c>
      <c r="I607" s="42" t="str">
        <f t="shared" si="29"/>
        <v/>
      </c>
      <c r="J607" s="43" t="str">
        <f t="shared" si="30"/>
        <v/>
      </c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44"/>
      <c r="AN607" s="44"/>
      <c r="AO607" s="44"/>
      <c r="AP607" s="44"/>
      <c r="AQ607" s="44"/>
      <c r="AR607" s="44"/>
      <c r="AS607" s="45"/>
      <c r="AT607" s="45"/>
      <c r="AU607" s="45"/>
    </row>
    <row r="608" spans="2:47" x14ac:dyDescent="0.25">
      <c r="B608" s="39"/>
      <c r="C608" s="39"/>
      <c r="D608" s="40"/>
      <c r="E608" s="39"/>
      <c r="F608" s="39"/>
      <c r="G608" s="41"/>
      <c r="H608" s="42" t="str">
        <f t="shared" si="28"/>
        <v/>
      </c>
      <c r="I608" s="42" t="str">
        <f t="shared" si="29"/>
        <v/>
      </c>
      <c r="J608" s="43" t="str">
        <f t="shared" si="30"/>
        <v/>
      </c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44"/>
      <c r="AN608" s="44"/>
      <c r="AO608" s="44"/>
      <c r="AP608" s="44"/>
      <c r="AQ608" s="44"/>
      <c r="AR608" s="44"/>
      <c r="AS608" s="45"/>
      <c r="AT608" s="45"/>
      <c r="AU608" s="45"/>
    </row>
    <row r="609" spans="2:47" x14ac:dyDescent="0.25">
      <c r="B609" s="39"/>
      <c r="C609" s="39"/>
      <c r="D609" s="40"/>
      <c r="E609" s="39"/>
      <c r="F609" s="39"/>
      <c r="G609" s="41"/>
      <c r="H609" s="42" t="str">
        <f t="shared" si="28"/>
        <v/>
      </c>
      <c r="I609" s="42" t="str">
        <f t="shared" si="29"/>
        <v/>
      </c>
      <c r="J609" s="43" t="str">
        <f t="shared" si="30"/>
        <v/>
      </c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44"/>
      <c r="AN609" s="44"/>
      <c r="AO609" s="44"/>
      <c r="AP609" s="44"/>
      <c r="AQ609" s="44"/>
      <c r="AR609" s="44"/>
      <c r="AS609" s="45"/>
      <c r="AT609" s="45"/>
      <c r="AU609" s="45"/>
    </row>
    <row r="610" spans="2:47" x14ac:dyDescent="0.25">
      <c r="B610" s="39"/>
      <c r="C610" s="39"/>
      <c r="D610" s="40"/>
      <c r="E610" s="39"/>
      <c r="F610" s="39"/>
      <c r="G610" s="41"/>
      <c r="H610" s="42" t="str">
        <f t="shared" si="28"/>
        <v/>
      </c>
      <c r="I610" s="42" t="str">
        <f t="shared" si="29"/>
        <v/>
      </c>
      <c r="J610" s="43" t="str">
        <f t="shared" si="30"/>
        <v/>
      </c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44"/>
      <c r="AN610" s="44"/>
      <c r="AO610" s="44"/>
      <c r="AP610" s="44"/>
      <c r="AQ610" s="44"/>
      <c r="AR610" s="44"/>
      <c r="AS610" s="45"/>
      <c r="AT610" s="45"/>
      <c r="AU610" s="45"/>
    </row>
    <row r="611" spans="2:47" x14ac:dyDescent="0.25">
      <c r="B611" s="39"/>
      <c r="C611" s="39"/>
      <c r="D611" s="40"/>
      <c r="E611" s="39"/>
      <c r="F611" s="39"/>
      <c r="G611" s="41"/>
      <c r="H611" s="42" t="str">
        <f t="shared" si="28"/>
        <v/>
      </c>
      <c r="I611" s="42" t="str">
        <f t="shared" si="29"/>
        <v/>
      </c>
      <c r="J611" s="43" t="str">
        <f t="shared" si="30"/>
        <v/>
      </c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44"/>
      <c r="AN611" s="44"/>
      <c r="AO611" s="44"/>
      <c r="AP611" s="44"/>
      <c r="AQ611" s="44"/>
      <c r="AR611" s="44"/>
      <c r="AS611" s="45"/>
      <c r="AT611" s="45"/>
      <c r="AU611" s="45"/>
    </row>
    <row r="612" spans="2:47" x14ac:dyDescent="0.25">
      <c r="B612" s="39"/>
      <c r="C612" s="39"/>
      <c r="D612" s="40"/>
      <c r="E612" s="39"/>
      <c r="F612" s="39"/>
      <c r="G612" s="41"/>
      <c r="H612" s="42" t="str">
        <f t="shared" si="28"/>
        <v/>
      </c>
      <c r="I612" s="42" t="str">
        <f t="shared" si="29"/>
        <v/>
      </c>
      <c r="J612" s="43" t="str">
        <f t="shared" si="30"/>
        <v/>
      </c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44"/>
      <c r="AN612" s="44"/>
      <c r="AO612" s="44"/>
      <c r="AP612" s="44"/>
      <c r="AQ612" s="44"/>
      <c r="AR612" s="44"/>
      <c r="AS612" s="45"/>
      <c r="AT612" s="45"/>
      <c r="AU612" s="45"/>
    </row>
    <row r="613" spans="2:47" x14ac:dyDescent="0.25">
      <c r="B613" s="39"/>
      <c r="C613" s="39"/>
      <c r="D613" s="40"/>
      <c r="E613" s="39"/>
      <c r="F613" s="39"/>
      <c r="G613" s="41"/>
      <c r="H613" s="42" t="str">
        <f t="shared" si="28"/>
        <v/>
      </c>
      <c r="I613" s="42" t="str">
        <f t="shared" si="29"/>
        <v/>
      </c>
      <c r="J613" s="43" t="str">
        <f t="shared" si="30"/>
        <v/>
      </c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44"/>
      <c r="AN613" s="44"/>
      <c r="AO613" s="44"/>
      <c r="AP613" s="44"/>
      <c r="AQ613" s="44"/>
      <c r="AR613" s="44"/>
      <c r="AS613" s="45"/>
      <c r="AT613" s="45"/>
      <c r="AU613" s="45"/>
    </row>
    <row r="614" spans="2:47" x14ac:dyDescent="0.25">
      <c r="B614" s="39"/>
      <c r="C614" s="39"/>
      <c r="D614" s="40"/>
      <c r="E614" s="39"/>
      <c r="F614" s="39"/>
      <c r="G614" s="41"/>
      <c r="H614" s="42" t="str">
        <f t="shared" si="28"/>
        <v/>
      </c>
      <c r="I614" s="42" t="str">
        <f t="shared" si="29"/>
        <v/>
      </c>
      <c r="J614" s="43" t="str">
        <f t="shared" si="30"/>
        <v/>
      </c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44"/>
      <c r="AN614" s="44"/>
      <c r="AO614" s="44"/>
      <c r="AP614" s="44"/>
      <c r="AQ614" s="44"/>
      <c r="AR614" s="44"/>
      <c r="AS614" s="45"/>
      <c r="AT614" s="45"/>
      <c r="AU614" s="45"/>
    </row>
    <row r="615" spans="2:47" x14ac:dyDescent="0.25">
      <c r="B615" s="39"/>
      <c r="C615" s="39"/>
      <c r="D615" s="40"/>
      <c r="E615" s="39"/>
      <c r="F615" s="39"/>
      <c r="G615" s="41"/>
      <c r="H615" s="42" t="str">
        <f t="shared" si="28"/>
        <v/>
      </c>
      <c r="I615" s="42" t="str">
        <f t="shared" si="29"/>
        <v/>
      </c>
      <c r="J615" s="43" t="str">
        <f t="shared" si="30"/>
        <v/>
      </c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44"/>
      <c r="AN615" s="44"/>
      <c r="AO615" s="44"/>
      <c r="AP615" s="44"/>
      <c r="AQ615" s="44"/>
      <c r="AR615" s="44"/>
      <c r="AS615" s="45"/>
      <c r="AT615" s="45"/>
      <c r="AU615" s="45"/>
    </row>
    <row r="616" spans="2:47" x14ac:dyDescent="0.25">
      <c r="B616" s="39"/>
      <c r="C616" s="39"/>
      <c r="D616" s="40"/>
      <c r="E616" s="39"/>
      <c r="F616" s="39"/>
      <c r="G616" s="41"/>
      <c r="H616" s="42" t="str">
        <f t="shared" si="28"/>
        <v/>
      </c>
      <c r="I616" s="42" t="str">
        <f t="shared" si="29"/>
        <v/>
      </c>
      <c r="J616" s="43" t="str">
        <f t="shared" si="30"/>
        <v/>
      </c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44"/>
      <c r="AN616" s="44"/>
      <c r="AO616" s="44"/>
      <c r="AP616" s="44"/>
      <c r="AQ616" s="44"/>
      <c r="AR616" s="44"/>
      <c r="AS616" s="45"/>
      <c r="AT616" s="45"/>
      <c r="AU616" s="45"/>
    </row>
    <row r="617" spans="2:47" x14ac:dyDescent="0.25">
      <c r="B617" s="39"/>
      <c r="C617" s="39"/>
      <c r="D617" s="40"/>
      <c r="E617" s="39"/>
      <c r="F617" s="39"/>
      <c r="G617" s="41"/>
      <c r="H617" s="42" t="str">
        <f t="shared" si="28"/>
        <v/>
      </c>
      <c r="I617" s="42" t="str">
        <f t="shared" si="29"/>
        <v/>
      </c>
      <c r="J617" s="43" t="str">
        <f t="shared" si="30"/>
        <v/>
      </c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44"/>
      <c r="AN617" s="44"/>
      <c r="AO617" s="44"/>
      <c r="AP617" s="44"/>
      <c r="AQ617" s="44"/>
      <c r="AR617" s="44"/>
      <c r="AS617" s="45"/>
      <c r="AT617" s="45"/>
      <c r="AU617" s="45"/>
    </row>
    <row r="618" spans="2:47" x14ac:dyDescent="0.25">
      <c r="B618" s="39"/>
      <c r="C618" s="39"/>
      <c r="D618" s="40"/>
      <c r="E618" s="39"/>
      <c r="F618" s="39"/>
      <c r="G618" s="41"/>
      <c r="H618" s="42" t="str">
        <f t="shared" si="28"/>
        <v/>
      </c>
      <c r="I618" s="42" t="str">
        <f t="shared" si="29"/>
        <v/>
      </c>
      <c r="J618" s="43" t="str">
        <f t="shared" si="30"/>
        <v/>
      </c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44"/>
      <c r="AN618" s="44"/>
      <c r="AO618" s="44"/>
      <c r="AP618" s="44"/>
      <c r="AQ618" s="44"/>
      <c r="AR618" s="44"/>
      <c r="AS618" s="45"/>
      <c r="AT618" s="45"/>
      <c r="AU618" s="45"/>
    </row>
    <row r="619" spans="2:47" x14ac:dyDescent="0.25">
      <c r="B619" s="39"/>
      <c r="C619" s="39"/>
      <c r="D619" s="40"/>
      <c r="E619" s="39"/>
      <c r="F619" s="39"/>
      <c r="G619" s="41"/>
      <c r="H619" s="42" t="str">
        <f t="shared" si="28"/>
        <v/>
      </c>
      <c r="I619" s="42" t="str">
        <f t="shared" si="29"/>
        <v/>
      </c>
      <c r="J619" s="43" t="str">
        <f t="shared" si="30"/>
        <v/>
      </c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44"/>
      <c r="AN619" s="44"/>
      <c r="AO619" s="44"/>
      <c r="AP619" s="44"/>
      <c r="AQ619" s="44"/>
      <c r="AR619" s="44"/>
      <c r="AS619" s="45"/>
      <c r="AT619" s="45"/>
      <c r="AU619" s="45"/>
    </row>
    <row r="620" spans="2:47" x14ac:dyDescent="0.25">
      <c r="B620" s="39"/>
      <c r="C620" s="39"/>
      <c r="D620" s="40"/>
      <c r="E620" s="39"/>
      <c r="F620" s="39"/>
      <c r="G620" s="41"/>
      <c r="H620" s="42" t="str">
        <f t="shared" si="28"/>
        <v/>
      </c>
      <c r="I620" s="42" t="str">
        <f t="shared" si="29"/>
        <v/>
      </c>
      <c r="J620" s="43" t="str">
        <f t="shared" si="30"/>
        <v/>
      </c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44"/>
      <c r="AN620" s="44"/>
      <c r="AO620" s="44"/>
      <c r="AP620" s="44"/>
      <c r="AQ620" s="44"/>
      <c r="AR620" s="44"/>
      <c r="AS620" s="45"/>
      <c r="AT620" s="45"/>
      <c r="AU620" s="45"/>
    </row>
    <row r="621" spans="2:47" x14ac:dyDescent="0.25">
      <c r="B621" s="39"/>
      <c r="C621" s="39"/>
      <c r="D621" s="40"/>
      <c r="E621" s="39"/>
      <c r="F621" s="39"/>
      <c r="G621" s="41"/>
      <c r="H621" s="42" t="str">
        <f t="shared" si="28"/>
        <v/>
      </c>
      <c r="I621" s="42" t="str">
        <f t="shared" si="29"/>
        <v/>
      </c>
      <c r="J621" s="43" t="str">
        <f t="shared" si="30"/>
        <v/>
      </c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44"/>
      <c r="AN621" s="44"/>
      <c r="AO621" s="44"/>
      <c r="AP621" s="44"/>
      <c r="AQ621" s="44"/>
      <c r="AR621" s="44"/>
      <c r="AS621" s="45"/>
      <c r="AT621" s="45"/>
      <c r="AU621" s="45"/>
    </row>
    <row r="622" spans="2:47" x14ac:dyDescent="0.25">
      <c r="B622" s="39"/>
      <c r="C622" s="39"/>
      <c r="D622" s="40"/>
      <c r="E622" s="39"/>
      <c r="F622" s="39"/>
      <c r="G622" s="41"/>
      <c r="H622" s="42" t="str">
        <f t="shared" si="28"/>
        <v/>
      </c>
      <c r="I622" s="42" t="str">
        <f t="shared" si="29"/>
        <v/>
      </c>
      <c r="J622" s="43" t="str">
        <f t="shared" si="30"/>
        <v/>
      </c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44"/>
      <c r="AN622" s="44"/>
      <c r="AO622" s="44"/>
      <c r="AP622" s="44"/>
      <c r="AQ622" s="44"/>
      <c r="AR622" s="44"/>
      <c r="AS622" s="45"/>
      <c r="AT622" s="45"/>
      <c r="AU622" s="45"/>
    </row>
    <row r="623" spans="2:47" x14ac:dyDescent="0.25">
      <c r="B623" s="39"/>
      <c r="C623" s="39"/>
      <c r="D623" s="40"/>
      <c r="E623" s="39"/>
      <c r="F623" s="39"/>
      <c r="G623" s="41"/>
      <c r="H623" s="42" t="str">
        <f t="shared" si="28"/>
        <v/>
      </c>
      <c r="I623" s="42" t="str">
        <f t="shared" si="29"/>
        <v/>
      </c>
      <c r="J623" s="43" t="str">
        <f t="shared" si="30"/>
        <v/>
      </c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44"/>
      <c r="AN623" s="44"/>
      <c r="AO623" s="44"/>
      <c r="AP623" s="44"/>
      <c r="AQ623" s="44"/>
      <c r="AR623" s="44"/>
      <c r="AS623" s="45"/>
      <c r="AT623" s="45"/>
      <c r="AU623" s="45"/>
    </row>
    <row r="624" spans="2:47" x14ac:dyDescent="0.25">
      <c r="B624" s="39"/>
      <c r="C624" s="39"/>
      <c r="D624" s="40"/>
      <c r="E624" s="39"/>
      <c r="F624" s="39"/>
      <c r="G624" s="41"/>
      <c r="H624" s="42" t="str">
        <f t="shared" si="28"/>
        <v/>
      </c>
      <c r="I624" s="42" t="str">
        <f t="shared" si="29"/>
        <v/>
      </c>
      <c r="J624" s="43" t="str">
        <f t="shared" si="30"/>
        <v/>
      </c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44"/>
      <c r="AN624" s="44"/>
      <c r="AO624" s="44"/>
      <c r="AP624" s="44"/>
      <c r="AQ624" s="44"/>
      <c r="AR624" s="44"/>
      <c r="AS624" s="45"/>
      <c r="AT624" s="45"/>
      <c r="AU624" s="45"/>
    </row>
    <row r="625" spans="2:47" x14ac:dyDescent="0.25">
      <c r="B625" s="39"/>
      <c r="C625" s="39"/>
      <c r="D625" s="40"/>
      <c r="E625" s="39"/>
      <c r="F625" s="39"/>
      <c r="G625" s="41"/>
      <c r="H625" s="42" t="str">
        <f t="shared" si="28"/>
        <v/>
      </c>
      <c r="I625" s="42" t="str">
        <f t="shared" si="29"/>
        <v/>
      </c>
      <c r="J625" s="43" t="str">
        <f t="shared" si="30"/>
        <v/>
      </c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44"/>
      <c r="AN625" s="44"/>
      <c r="AO625" s="44"/>
      <c r="AP625" s="44"/>
      <c r="AQ625" s="44"/>
      <c r="AR625" s="44"/>
      <c r="AS625" s="45"/>
      <c r="AT625" s="45"/>
      <c r="AU625" s="45"/>
    </row>
    <row r="626" spans="2:47" x14ac:dyDescent="0.25">
      <c r="B626" s="39"/>
      <c r="C626" s="39"/>
      <c r="D626" s="40"/>
      <c r="E626" s="39"/>
      <c r="F626" s="39"/>
      <c r="G626" s="41"/>
      <c r="H626" s="42" t="str">
        <f t="shared" si="28"/>
        <v/>
      </c>
      <c r="I626" s="42" t="str">
        <f t="shared" si="29"/>
        <v/>
      </c>
      <c r="J626" s="43" t="str">
        <f t="shared" si="30"/>
        <v/>
      </c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44"/>
      <c r="AN626" s="44"/>
      <c r="AO626" s="44"/>
      <c r="AP626" s="44"/>
      <c r="AQ626" s="44"/>
      <c r="AR626" s="44"/>
      <c r="AS626" s="45"/>
      <c r="AT626" s="45"/>
      <c r="AU626" s="45"/>
    </row>
    <row r="627" spans="2:47" x14ac:dyDescent="0.25">
      <c r="B627" s="39"/>
      <c r="C627" s="39"/>
      <c r="D627" s="40"/>
      <c r="E627" s="39"/>
      <c r="F627" s="39"/>
      <c r="G627" s="41"/>
      <c r="H627" s="42" t="str">
        <f t="shared" si="28"/>
        <v/>
      </c>
      <c r="I627" s="42" t="str">
        <f t="shared" si="29"/>
        <v/>
      </c>
      <c r="J627" s="43" t="str">
        <f t="shared" si="30"/>
        <v/>
      </c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44"/>
      <c r="AN627" s="44"/>
      <c r="AO627" s="44"/>
      <c r="AP627" s="44"/>
      <c r="AQ627" s="44"/>
      <c r="AR627" s="44"/>
      <c r="AS627" s="45"/>
      <c r="AT627" s="45"/>
      <c r="AU627" s="45"/>
    </row>
    <row r="628" spans="2:47" x14ac:dyDescent="0.25">
      <c r="B628" s="39"/>
      <c r="C628" s="39"/>
      <c r="D628" s="40"/>
      <c r="E628" s="39"/>
      <c r="F628" s="39"/>
      <c r="G628" s="41"/>
      <c r="H628" s="42" t="str">
        <f t="shared" si="28"/>
        <v/>
      </c>
      <c r="I628" s="42" t="str">
        <f t="shared" si="29"/>
        <v/>
      </c>
      <c r="J628" s="43" t="str">
        <f t="shared" si="30"/>
        <v/>
      </c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44"/>
      <c r="AN628" s="44"/>
      <c r="AO628" s="44"/>
      <c r="AP628" s="44"/>
      <c r="AQ628" s="44"/>
      <c r="AR628" s="44"/>
      <c r="AS628" s="45"/>
      <c r="AT628" s="45"/>
      <c r="AU628" s="45"/>
    </row>
    <row r="629" spans="2:47" x14ac:dyDescent="0.25">
      <c r="B629" s="39"/>
      <c r="C629" s="39"/>
      <c r="D629" s="40"/>
      <c r="E629" s="39"/>
      <c r="F629" s="39"/>
      <c r="G629" s="41"/>
      <c r="H629" s="42" t="str">
        <f t="shared" si="28"/>
        <v/>
      </c>
      <c r="I629" s="42" t="str">
        <f t="shared" si="29"/>
        <v/>
      </c>
      <c r="J629" s="43" t="str">
        <f t="shared" si="30"/>
        <v/>
      </c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44"/>
      <c r="AN629" s="44"/>
      <c r="AO629" s="44"/>
      <c r="AP629" s="44"/>
      <c r="AQ629" s="44"/>
      <c r="AR629" s="44"/>
      <c r="AS629" s="45"/>
      <c r="AT629" s="45"/>
      <c r="AU629" s="45"/>
    </row>
    <row r="630" spans="2:47" x14ac:dyDescent="0.25">
      <c r="B630" s="39"/>
      <c r="C630" s="39"/>
      <c r="D630" s="40"/>
      <c r="E630" s="39"/>
      <c r="F630" s="39"/>
      <c r="G630" s="41"/>
      <c r="H630" s="42" t="str">
        <f t="shared" si="28"/>
        <v/>
      </c>
      <c r="I630" s="42" t="str">
        <f t="shared" si="29"/>
        <v/>
      </c>
      <c r="J630" s="43" t="str">
        <f t="shared" si="30"/>
        <v/>
      </c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44"/>
      <c r="AN630" s="44"/>
      <c r="AO630" s="44"/>
      <c r="AP630" s="44"/>
      <c r="AQ630" s="44"/>
      <c r="AR630" s="44"/>
      <c r="AS630" s="45"/>
      <c r="AT630" s="45"/>
      <c r="AU630" s="45"/>
    </row>
    <row r="631" spans="2:47" x14ac:dyDescent="0.25">
      <c r="B631" s="39"/>
      <c r="C631" s="39"/>
      <c r="D631" s="40"/>
      <c r="E631" s="39"/>
      <c r="F631" s="39"/>
      <c r="G631" s="41"/>
      <c r="H631" s="42" t="str">
        <f t="shared" si="28"/>
        <v/>
      </c>
      <c r="I631" s="42" t="str">
        <f t="shared" si="29"/>
        <v/>
      </c>
      <c r="J631" s="43" t="str">
        <f t="shared" si="30"/>
        <v/>
      </c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44"/>
      <c r="AN631" s="44"/>
      <c r="AO631" s="44"/>
      <c r="AP631" s="44"/>
      <c r="AQ631" s="44"/>
      <c r="AR631" s="44"/>
      <c r="AS631" s="45"/>
      <c r="AT631" s="45"/>
      <c r="AU631" s="45"/>
    </row>
    <row r="632" spans="2:47" x14ac:dyDescent="0.25">
      <c r="B632" s="39"/>
      <c r="C632" s="39"/>
      <c r="D632" s="40"/>
      <c r="E632" s="39"/>
      <c r="F632" s="39"/>
      <c r="G632" s="41"/>
      <c r="H632" s="42" t="str">
        <f t="shared" si="28"/>
        <v/>
      </c>
      <c r="I632" s="42" t="str">
        <f t="shared" si="29"/>
        <v/>
      </c>
      <c r="J632" s="43" t="str">
        <f t="shared" si="30"/>
        <v/>
      </c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44"/>
      <c r="AN632" s="44"/>
      <c r="AO632" s="44"/>
      <c r="AP632" s="44"/>
      <c r="AQ632" s="44"/>
      <c r="AR632" s="44"/>
      <c r="AS632" s="45"/>
      <c r="AT632" s="45"/>
      <c r="AU632" s="45"/>
    </row>
    <row r="633" spans="2:47" x14ac:dyDescent="0.25">
      <c r="B633" s="39"/>
      <c r="C633" s="39"/>
      <c r="D633" s="40"/>
      <c r="E633" s="39"/>
      <c r="F633" s="39"/>
      <c r="G633" s="41"/>
      <c r="H633" s="42" t="str">
        <f t="shared" si="28"/>
        <v/>
      </c>
      <c r="I633" s="42" t="str">
        <f t="shared" si="29"/>
        <v/>
      </c>
      <c r="J633" s="43" t="str">
        <f t="shared" si="30"/>
        <v/>
      </c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44"/>
      <c r="AN633" s="44"/>
      <c r="AO633" s="44"/>
      <c r="AP633" s="44"/>
      <c r="AQ633" s="44"/>
      <c r="AR633" s="44"/>
      <c r="AS633" s="45"/>
      <c r="AT633" s="45"/>
      <c r="AU633" s="45"/>
    </row>
    <row r="634" spans="2:47" x14ac:dyDescent="0.25">
      <c r="B634" s="39"/>
      <c r="C634" s="39"/>
      <c r="D634" s="40"/>
      <c r="E634" s="39"/>
      <c r="F634" s="39"/>
      <c r="G634" s="41"/>
      <c r="H634" s="42" t="str">
        <f t="shared" si="28"/>
        <v/>
      </c>
      <c r="I634" s="42" t="str">
        <f t="shared" si="29"/>
        <v/>
      </c>
      <c r="J634" s="43" t="str">
        <f t="shared" si="30"/>
        <v/>
      </c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44"/>
      <c r="AN634" s="44"/>
      <c r="AO634" s="44"/>
      <c r="AP634" s="44"/>
      <c r="AQ634" s="44"/>
      <c r="AR634" s="44"/>
      <c r="AS634" s="45"/>
      <c r="AT634" s="45"/>
      <c r="AU634" s="45"/>
    </row>
    <row r="635" spans="2:47" x14ac:dyDescent="0.25">
      <c r="B635" s="39"/>
      <c r="C635" s="39"/>
      <c r="D635" s="40"/>
      <c r="E635" s="39"/>
      <c r="F635" s="39"/>
      <c r="G635" s="41"/>
      <c r="H635" s="42" t="str">
        <f t="shared" si="28"/>
        <v/>
      </c>
      <c r="I635" s="42" t="str">
        <f t="shared" si="29"/>
        <v/>
      </c>
      <c r="J635" s="43" t="str">
        <f t="shared" si="30"/>
        <v/>
      </c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44"/>
      <c r="AN635" s="44"/>
      <c r="AO635" s="44"/>
      <c r="AP635" s="44"/>
      <c r="AQ635" s="44"/>
      <c r="AR635" s="44"/>
      <c r="AS635" s="45"/>
      <c r="AT635" s="45"/>
      <c r="AU635" s="45"/>
    </row>
    <row r="636" spans="2:47" x14ac:dyDescent="0.25">
      <c r="B636" s="39"/>
      <c r="C636" s="39"/>
      <c r="D636" s="40"/>
      <c r="E636" s="39"/>
      <c r="F636" s="39"/>
      <c r="G636" s="41"/>
      <c r="H636" s="42" t="str">
        <f t="shared" si="28"/>
        <v/>
      </c>
      <c r="I636" s="42" t="str">
        <f t="shared" si="29"/>
        <v/>
      </c>
      <c r="J636" s="43" t="str">
        <f t="shared" si="30"/>
        <v/>
      </c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44"/>
      <c r="AN636" s="44"/>
      <c r="AO636" s="44"/>
      <c r="AP636" s="44"/>
      <c r="AQ636" s="44"/>
      <c r="AR636" s="44"/>
      <c r="AS636" s="45"/>
      <c r="AT636" s="45"/>
      <c r="AU636" s="45"/>
    </row>
    <row r="637" spans="2:47" x14ac:dyDescent="0.25">
      <c r="B637" s="39"/>
      <c r="C637" s="39"/>
      <c r="D637" s="40"/>
      <c r="E637" s="39"/>
      <c r="F637" s="39"/>
      <c r="G637" s="41"/>
      <c r="H637" s="42" t="str">
        <f t="shared" si="28"/>
        <v/>
      </c>
      <c r="I637" s="42" t="str">
        <f t="shared" si="29"/>
        <v/>
      </c>
      <c r="J637" s="43" t="str">
        <f t="shared" si="30"/>
        <v/>
      </c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44"/>
      <c r="AN637" s="44"/>
      <c r="AO637" s="44"/>
      <c r="AP637" s="44"/>
      <c r="AQ637" s="44"/>
      <c r="AR637" s="44"/>
      <c r="AS637" s="45"/>
      <c r="AT637" s="45"/>
      <c r="AU637" s="45"/>
    </row>
    <row r="638" spans="2:47" x14ac:dyDescent="0.25">
      <c r="B638" s="39"/>
      <c r="C638" s="39"/>
      <c r="D638" s="40"/>
      <c r="E638" s="39"/>
      <c r="F638" s="39"/>
      <c r="G638" s="41"/>
      <c r="H638" s="42" t="str">
        <f t="shared" si="28"/>
        <v/>
      </c>
      <c r="I638" s="42" t="str">
        <f t="shared" si="29"/>
        <v/>
      </c>
      <c r="J638" s="43" t="str">
        <f t="shared" si="30"/>
        <v/>
      </c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44"/>
      <c r="AN638" s="44"/>
      <c r="AO638" s="44"/>
      <c r="AP638" s="44"/>
      <c r="AQ638" s="44"/>
      <c r="AR638" s="44"/>
      <c r="AS638" s="45"/>
      <c r="AT638" s="45"/>
      <c r="AU638" s="45"/>
    </row>
    <row r="639" spans="2:47" x14ac:dyDescent="0.25">
      <c r="B639" s="39"/>
      <c r="C639" s="39"/>
      <c r="D639" s="40"/>
      <c r="E639" s="39"/>
      <c r="F639" s="39"/>
      <c r="G639" s="41"/>
      <c r="H639" s="42" t="str">
        <f t="shared" si="28"/>
        <v/>
      </c>
      <c r="I639" s="42" t="str">
        <f t="shared" si="29"/>
        <v/>
      </c>
      <c r="J639" s="43" t="str">
        <f t="shared" si="30"/>
        <v/>
      </c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44"/>
      <c r="AN639" s="44"/>
      <c r="AO639" s="44"/>
      <c r="AP639" s="44"/>
      <c r="AQ639" s="44"/>
      <c r="AR639" s="44"/>
      <c r="AS639" s="45"/>
      <c r="AT639" s="45"/>
      <c r="AU639" s="45"/>
    </row>
    <row r="640" spans="2:47" x14ac:dyDescent="0.25">
      <c r="B640" s="39"/>
      <c r="C640" s="39"/>
      <c r="D640" s="40"/>
      <c r="E640" s="39"/>
      <c r="F640" s="39"/>
      <c r="G640" s="41"/>
      <c r="H640" s="42" t="str">
        <f t="shared" si="28"/>
        <v/>
      </c>
      <c r="I640" s="42" t="str">
        <f t="shared" si="29"/>
        <v/>
      </c>
      <c r="J640" s="43" t="str">
        <f t="shared" si="30"/>
        <v/>
      </c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44"/>
      <c r="AN640" s="44"/>
      <c r="AO640" s="44"/>
      <c r="AP640" s="44"/>
      <c r="AQ640" s="44"/>
      <c r="AR640" s="44"/>
      <c r="AS640" s="45"/>
      <c r="AT640" s="45"/>
      <c r="AU640" s="45"/>
    </row>
    <row r="641" spans="2:47" x14ac:dyDescent="0.25">
      <c r="B641" s="39"/>
      <c r="C641" s="39"/>
      <c r="D641" s="40"/>
      <c r="E641" s="39"/>
      <c r="F641" s="39"/>
      <c r="G641" s="41"/>
      <c r="H641" s="42" t="str">
        <f t="shared" si="28"/>
        <v/>
      </c>
      <c r="I641" s="42" t="str">
        <f t="shared" si="29"/>
        <v/>
      </c>
      <c r="J641" s="43" t="str">
        <f t="shared" si="30"/>
        <v/>
      </c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44"/>
      <c r="AN641" s="44"/>
      <c r="AO641" s="44"/>
      <c r="AP641" s="44"/>
      <c r="AQ641" s="44"/>
      <c r="AR641" s="44"/>
      <c r="AS641" s="45"/>
      <c r="AT641" s="45"/>
      <c r="AU641" s="45"/>
    </row>
    <row r="642" spans="2:47" x14ac:dyDescent="0.25">
      <c r="B642" s="39"/>
      <c r="C642" s="39"/>
      <c r="D642" s="40"/>
      <c r="E642" s="39"/>
      <c r="F642" s="39"/>
      <c r="G642" s="41"/>
      <c r="H642" s="42" t="str">
        <f t="shared" si="28"/>
        <v/>
      </c>
      <c r="I642" s="42" t="str">
        <f t="shared" si="29"/>
        <v/>
      </c>
      <c r="J642" s="43" t="str">
        <f t="shared" si="30"/>
        <v/>
      </c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44"/>
      <c r="AN642" s="44"/>
      <c r="AO642" s="44"/>
      <c r="AP642" s="44"/>
      <c r="AQ642" s="44"/>
      <c r="AR642" s="44"/>
      <c r="AS642" s="45"/>
      <c r="AT642" s="45"/>
      <c r="AU642" s="45"/>
    </row>
    <row r="643" spans="2:47" x14ac:dyDescent="0.25">
      <c r="B643" s="39"/>
      <c r="C643" s="39"/>
      <c r="D643" s="40"/>
      <c r="E643" s="39"/>
      <c r="F643" s="39"/>
      <c r="G643" s="41"/>
      <c r="H643" s="42" t="str">
        <f t="shared" si="28"/>
        <v/>
      </c>
      <c r="I643" s="42" t="str">
        <f t="shared" si="29"/>
        <v/>
      </c>
      <c r="J643" s="43" t="str">
        <f t="shared" si="30"/>
        <v/>
      </c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44"/>
      <c r="AN643" s="44"/>
      <c r="AO643" s="44"/>
      <c r="AP643" s="44"/>
      <c r="AQ643" s="44"/>
      <c r="AR643" s="44"/>
      <c r="AS643" s="45"/>
      <c r="AT643" s="45"/>
      <c r="AU643" s="45"/>
    </row>
    <row r="644" spans="2:47" x14ac:dyDescent="0.25">
      <c r="B644" s="39"/>
      <c r="C644" s="39"/>
      <c r="D644" s="40"/>
      <c r="E644" s="39"/>
      <c r="F644" s="39"/>
      <c r="G644" s="41"/>
      <c r="H644" s="42" t="str">
        <f t="shared" si="28"/>
        <v/>
      </c>
      <c r="I644" s="42" t="str">
        <f t="shared" si="29"/>
        <v/>
      </c>
      <c r="J644" s="43" t="str">
        <f t="shared" si="30"/>
        <v/>
      </c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44"/>
      <c r="AN644" s="44"/>
      <c r="AO644" s="44"/>
      <c r="AP644" s="44"/>
      <c r="AQ644" s="44"/>
      <c r="AR644" s="44"/>
      <c r="AS644" s="45"/>
      <c r="AT644" s="45"/>
      <c r="AU644" s="45"/>
    </row>
    <row r="645" spans="2:47" x14ac:dyDescent="0.25">
      <c r="B645" s="39"/>
      <c r="C645" s="39"/>
      <c r="D645" s="40"/>
      <c r="E645" s="39"/>
      <c r="F645" s="39"/>
      <c r="G645" s="41"/>
      <c r="H645" s="42" t="str">
        <f t="shared" si="28"/>
        <v/>
      </c>
      <c r="I645" s="42" t="str">
        <f t="shared" si="29"/>
        <v/>
      </c>
      <c r="J645" s="43" t="str">
        <f t="shared" si="30"/>
        <v/>
      </c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44"/>
      <c r="AN645" s="44"/>
      <c r="AO645" s="44"/>
      <c r="AP645" s="44"/>
      <c r="AQ645" s="44"/>
      <c r="AR645" s="44"/>
      <c r="AS645" s="45"/>
      <c r="AT645" s="45"/>
      <c r="AU645" s="45"/>
    </row>
    <row r="646" spans="2:47" x14ac:dyDescent="0.25">
      <c r="B646" s="39"/>
      <c r="C646" s="39"/>
      <c r="D646" s="40"/>
      <c r="E646" s="39"/>
      <c r="F646" s="39"/>
      <c r="G646" s="41"/>
      <c r="H646" s="42" t="str">
        <f t="shared" ref="H646:H709" si="31">IF($B646="","",SUM($K646:$AG646)+SUM($AS646:$BB646))</f>
        <v/>
      </c>
      <c r="I646" s="42" t="str">
        <f t="shared" ref="I646:I709" si="32">IF($B646="","",SUM($AH646:$AL646))</f>
        <v/>
      </c>
      <c r="J646" s="43" t="str">
        <f t="shared" ref="J646:J709" si="33">IF($B646="","",SUMPRODUCT($K646:$BB646,$K$2:$BB$2))</f>
        <v/>
      </c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44"/>
      <c r="AN646" s="44"/>
      <c r="AO646" s="44"/>
      <c r="AP646" s="44"/>
      <c r="AQ646" s="44"/>
      <c r="AR646" s="44"/>
      <c r="AS646" s="45"/>
      <c r="AT646" s="45"/>
      <c r="AU646" s="45"/>
    </row>
    <row r="647" spans="2:47" x14ac:dyDescent="0.25">
      <c r="B647" s="39"/>
      <c r="C647" s="39"/>
      <c r="D647" s="40"/>
      <c r="E647" s="39"/>
      <c r="F647" s="39"/>
      <c r="G647" s="41"/>
      <c r="H647" s="42" t="str">
        <f t="shared" si="31"/>
        <v/>
      </c>
      <c r="I647" s="42" t="str">
        <f t="shared" si="32"/>
        <v/>
      </c>
      <c r="J647" s="43" t="str">
        <f t="shared" si="33"/>
        <v/>
      </c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44"/>
      <c r="AN647" s="44"/>
      <c r="AO647" s="44"/>
      <c r="AP647" s="44"/>
      <c r="AQ647" s="44"/>
      <c r="AR647" s="44"/>
      <c r="AS647" s="45"/>
      <c r="AT647" s="45"/>
      <c r="AU647" s="45"/>
    </row>
    <row r="648" spans="2:47" x14ac:dyDescent="0.25">
      <c r="B648" s="39"/>
      <c r="C648" s="39"/>
      <c r="D648" s="40"/>
      <c r="E648" s="39"/>
      <c r="F648" s="39"/>
      <c r="G648" s="41"/>
      <c r="H648" s="42" t="str">
        <f t="shared" si="31"/>
        <v/>
      </c>
      <c r="I648" s="42" t="str">
        <f t="shared" si="32"/>
        <v/>
      </c>
      <c r="J648" s="43" t="str">
        <f t="shared" si="33"/>
        <v/>
      </c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44"/>
      <c r="AN648" s="44"/>
      <c r="AO648" s="44"/>
      <c r="AP648" s="44"/>
      <c r="AQ648" s="44"/>
      <c r="AR648" s="44"/>
      <c r="AS648" s="45"/>
      <c r="AT648" s="45"/>
      <c r="AU648" s="45"/>
    </row>
    <row r="649" spans="2:47" x14ac:dyDescent="0.25">
      <c r="B649" s="39"/>
      <c r="C649" s="39"/>
      <c r="D649" s="40"/>
      <c r="E649" s="39"/>
      <c r="F649" s="39"/>
      <c r="G649" s="41"/>
      <c r="H649" s="42" t="str">
        <f t="shared" si="31"/>
        <v/>
      </c>
      <c r="I649" s="42" t="str">
        <f t="shared" si="32"/>
        <v/>
      </c>
      <c r="J649" s="43" t="str">
        <f t="shared" si="33"/>
        <v/>
      </c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44"/>
      <c r="AN649" s="44"/>
      <c r="AO649" s="44"/>
      <c r="AP649" s="44"/>
      <c r="AQ649" s="44"/>
      <c r="AR649" s="44"/>
      <c r="AS649" s="45"/>
      <c r="AT649" s="45"/>
      <c r="AU649" s="45"/>
    </row>
    <row r="650" spans="2:47" x14ac:dyDescent="0.25">
      <c r="B650" s="39"/>
      <c r="C650" s="39"/>
      <c r="D650" s="40"/>
      <c r="E650" s="39"/>
      <c r="F650" s="39"/>
      <c r="G650" s="41"/>
      <c r="H650" s="42" t="str">
        <f t="shared" si="31"/>
        <v/>
      </c>
      <c r="I650" s="42" t="str">
        <f t="shared" si="32"/>
        <v/>
      </c>
      <c r="J650" s="43" t="str">
        <f t="shared" si="33"/>
        <v/>
      </c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44"/>
      <c r="AN650" s="44"/>
      <c r="AO650" s="44"/>
      <c r="AP650" s="44"/>
      <c r="AQ650" s="44"/>
      <c r="AR650" s="44"/>
      <c r="AS650" s="45"/>
      <c r="AT650" s="45"/>
      <c r="AU650" s="45"/>
    </row>
    <row r="651" spans="2:47" x14ac:dyDescent="0.25">
      <c r="B651" s="39"/>
      <c r="C651" s="39"/>
      <c r="D651" s="40"/>
      <c r="E651" s="39"/>
      <c r="F651" s="39"/>
      <c r="G651" s="41"/>
      <c r="H651" s="42" t="str">
        <f t="shared" si="31"/>
        <v/>
      </c>
      <c r="I651" s="42" t="str">
        <f t="shared" si="32"/>
        <v/>
      </c>
      <c r="J651" s="43" t="str">
        <f t="shared" si="33"/>
        <v/>
      </c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44"/>
      <c r="AN651" s="44"/>
      <c r="AO651" s="44"/>
      <c r="AP651" s="44"/>
      <c r="AQ651" s="44"/>
      <c r="AR651" s="44"/>
      <c r="AS651" s="45"/>
      <c r="AT651" s="45"/>
      <c r="AU651" s="45"/>
    </row>
    <row r="652" spans="2:47" x14ac:dyDescent="0.25">
      <c r="B652" s="39"/>
      <c r="C652" s="39"/>
      <c r="D652" s="40"/>
      <c r="E652" s="39"/>
      <c r="F652" s="39"/>
      <c r="G652" s="41"/>
      <c r="H652" s="42" t="str">
        <f t="shared" si="31"/>
        <v/>
      </c>
      <c r="I652" s="42" t="str">
        <f t="shared" si="32"/>
        <v/>
      </c>
      <c r="J652" s="43" t="str">
        <f t="shared" si="33"/>
        <v/>
      </c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44"/>
      <c r="AN652" s="44"/>
      <c r="AO652" s="44"/>
      <c r="AP652" s="44"/>
      <c r="AQ652" s="44"/>
      <c r="AR652" s="44"/>
      <c r="AS652" s="45"/>
      <c r="AT652" s="45"/>
      <c r="AU652" s="45"/>
    </row>
    <row r="653" spans="2:47" x14ac:dyDescent="0.25">
      <c r="B653" s="39"/>
      <c r="C653" s="39"/>
      <c r="D653" s="40"/>
      <c r="E653" s="39"/>
      <c r="F653" s="39"/>
      <c r="G653" s="41"/>
      <c r="H653" s="42" t="str">
        <f t="shared" si="31"/>
        <v/>
      </c>
      <c r="I653" s="42" t="str">
        <f t="shared" si="32"/>
        <v/>
      </c>
      <c r="J653" s="43" t="str">
        <f t="shared" si="33"/>
        <v/>
      </c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44"/>
      <c r="AN653" s="44"/>
      <c r="AO653" s="44"/>
      <c r="AP653" s="44"/>
      <c r="AQ653" s="44"/>
      <c r="AR653" s="44"/>
      <c r="AS653" s="45"/>
      <c r="AT653" s="45"/>
      <c r="AU653" s="45"/>
    </row>
    <row r="654" spans="2:47" x14ac:dyDescent="0.25">
      <c r="B654" s="39"/>
      <c r="C654" s="39"/>
      <c r="D654" s="40"/>
      <c r="E654" s="39"/>
      <c r="F654" s="39"/>
      <c r="G654" s="41"/>
      <c r="H654" s="42" t="str">
        <f t="shared" si="31"/>
        <v/>
      </c>
      <c r="I654" s="42" t="str">
        <f t="shared" si="32"/>
        <v/>
      </c>
      <c r="J654" s="43" t="str">
        <f t="shared" si="33"/>
        <v/>
      </c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44"/>
      <c r="AN654" s="44"/>
      <c r="AO654" s="44"/>
      <c r="AP654" s="44"/>
      <c r="AQ654" s="44"/>
      <c r="AR654" s="44"/>
      <c r="AS654" s="45"/>
      <c r="AT654" s="45"/>
      <c r="AU654" s="45"/>
    </row>
    <row r="655" spans="2:47" x14ac:dyDescent="0.25">
      <c r="B655" s="39"/>
      <c r="C655" s="39"/>
      <c r="D655" s="40"/>
      <c r="E655" s="39"/>
      <c r="F655" s="39"/>
      <c r="G655" s="41"/>
      <c r="H655" s="42" t="str">
        <f t="shared" si="31"/>
        <v/>
      </c>
      <c r="I655" s="42" t="str">
        <f t="shared" si="32"/>
        <v/>
      </c>
      <c r="J655" s="43" t="str">
        <f t="shared" si="33"/>
        <v/>
      </c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44"/>
      <c r="AN655" s="44"/>
      <c r="AO655" s="44"/>
      <c r="AP655" s="44"/>
      <c r="AQ655" s="44"/>
      <c r="AR655" s="44"/>
      <c r="AS655" s="45"/>
      <c r="AT655" s="45"/>
      <c r="AU655" s="45"/>
    </row>
    <row r="656" spans="2:47" x14ac:dyDescent="0.25">
      <c r="B656" s="39"/>
      <c r="C656" s="39"/>
      <c r="D656" s="40"/>
      <c r="E656" s="39"/>
      <c r="F656" s="39"/>
      <c r="G656" s="41"/>
      <c r="H656" s="42" t="str">
        <f t="shared" si="31"/>
        <v/>
      </c>
      <c r="I656" s="42" t="str">
        <f t="shared" si="32"/>
        <v/>
      </c>
      <c r="J656" s="43" t="str">
        <f t="shared" si="33"/>
        <v/>
      </c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44"/>
      <c r="AN656" s="44"/>
      <c r="AO656" s="44"/>
      <c r="AP656" s="44"/>
      <c r="AQ656" s="44"/>
      <c r="AR656" s="44"/>
      <c r="AS656" s="45"/>
      <c r="AT656" s="45"/>
      <c r="AU656" s="45"/>
    </row>
    <row r="657" spans="2:47" x14ac:dyDescent="0.25">
      <c r="B657" s="39"/>
      <c r="C657" s="39"/>
      <c r="D657" s="40"/>
      <c r="E657" s="39"/>
      <c r="F657" s="39"/>
      <c r="G657" s="41"/>
      <c r="H657" s="42" t="str">
        <f t="shared" si="31"/>
        <v/>
      </c>
      <c r="I657" s="42" t="str">
        <f t="shared" si="32"/>
        <v/>
      </c>
      <c r="J657" s="43" t="str">
        <f t="shared" si="33"/>
        <v/>
      </c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44"/>
      <c r="AN657" s="44"/>
      <c r="AO657" s="44"/>
      <c r="AP657" s="44"/>
      <c r="AQ657" s="44"/>
      <c r="AR657" s="44"/>
      <c r="AS657" s="45"/>
      <c r="AT657" s="45"/>
      <c r="AU657" s="45"/>
    </row>
    <row r="658" spans="2:47" x14ac:dyDescent="0.25">
      <c r="B658" s="39"/>
      <c r="C658" s="39"/>
      <c r="D658" s="40"/>
      <c r="E658" s="39"/>
      <c r="F658" s="39"/>
      <c r="G658" s="41"/>
      <c r="H658" s="42" t="str">
        <f t="shared" si="31"/>
        <v/>
      </c>
      <c r="I658" s="42" t="str">
        <f t="shared" si="32"/>
        <v/>
      </c>
      <c r="J658" s="43" t="str">
        <f t="shared" si="33"/>
        <v/>
      </c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44"/>
      <c r="AN658" s="44"/>
      <c r="AO658" s="44"/>
      <c r="AP658" s="44"/>
      <c r="AQ658" s="44"/>
      <c r="AR658" s="44"/>
      <c r="AS658" s="45"/>
      <c r="AT658" s="45"/>
      <c r="AU658" s="45"/>
    </row>
    <row r="659" spans="2:47" x14ac:dyDescent="0.25">
      <c r="B659" s="39"/>
      <c r="C659" s="39"/>
      <c r="D659" s="40"/>
      <c r="E659" s="39"/>
      <c r="F659" s="39"/>
      <c r="G659" s="41"/>
      <c r="H659" s="42" t="str">
        <f t="shared" si="31"/>
        <v/>
      </c>
      <c r="I659" s="42" t="str">
        <f t="shared" si="32"/>
        <v/>
      </c>
      <c r="J659" s="43" t="str">
        <f t="shared" si="33"/>
        <v/>
      </c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44"/>
      <c r="AN659" s="44"/>
      <c r="AO659" s="44"/>
      <c r="AP659" s="44"/>
      <c r="AQ659" s="44"/>
      <c r="AR659" s="44"/>
      <c r="AS659" s="45"/>
      <c r="AT659" s="45"/>
      <c r="AU659" s="45"/>
    </row>
    <row r="660" spans="2:47" x14ac:dyDescent="0.25">
      <c r="B660" s="39"/>
      <c r="C660" s="39"/>
      <c r="D660" s="40"/>
      <c r="E660" s="39"/>
      <c r="F660" s="39"/>
      <c r="G660" s="41"/>
      <c r="H660" s="42" t="str">
        <f t="shared" si="31"/>
        <v/>
      </c>
      <c r="I660" s="42" t="str">
        <f t="shared" si="32"/>
        <v/>
      </c>
      <c r="J660" s="43" t="str">
        <f t="shared" si="33"/>
        <v/>
      </c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44"/>
      <c r="AN660" s="44"/>
      <c r="AO660" s="44"/>
      <c r="AP660" s="44"/>
      <c r="AQ660" s="44"/>
      <c r="AR660" s="44"/>
      <c r="AS660" s="45"/>
      <c r="AT660" s="45"/>
      <c r="AU660" s="45"/>
    </row>
    <row r="661" spans="2:47" x14ac:dyDescent="0.25">
      <c r="B661" s="39"/>
      <c r="C661" s="39"/>
      <c r="D661" s="40"/>
      <c r="E661" s="39"/>
      <c r="F661" s="39"/>
      <c r="G661" s="41"/>
      <c r="H661" s="42" t="str">
        <f t="shared" si="31"/>
        <v/>
      </c>
      <c r="I661" s="42" t="str">
        <f t="shared" si="32"/>
        <v/>
      </c>
      <c r="J661" s="43" t="str">
        <f t="shared" si="33"/>
        <v/>
      </c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44"/>
      <c r="AN661" s="44"/>
      <c r="AO661" s="44"/>
      <c r="AP661" s="44"/>
      <c r="AQ661" s="44"/>
      <c r="AR661" s="44"/>
      <c r="AS661" s="45"/>
      <c r="AT661" s="45"/>
      <c r="AU661" s="45"/>
    </row>
    <row r="662" spans="2:47" x14ac:dyDescent="0.25">
      <c r="B662" s="39"/>
      <c r="C662" s="39"/>
      <c r="D662" s="40"/>
      <c r="E662" s="39"/>
      <c r="F662" s="39"/>
      <c r="G662" s="41"/>
      <c r="H662" s="42" t="str">
        <f t="shared" si="31"/>
        <v/>
      </c>
      <c r="I662" s="42" t="str">
        <f t="shared" si="32"/>
        <v/>
      </c>
      <c r="J662" s="43" t="str">
        <f t="shared" si="33"/>
        <v/>
      </c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44"/>
      <c r="AN662" s="44"/>
      <c r="AO662" s="44"/>
      <c r="AP662" s="44"/>
      <c r="AQ662" s="44"/>
      <c r="AR662" s="44"/>
      <c r="AS662" s="45"/>
      <c r="AT662" s="45"/>
      <c r="AU662" s="45"/>
    </row>
    <row r="663" spans="2:47" x14ac:dyDescent="0.25">
      <c r="B663" s="39"/>
      <c r="C663" s="39"/>
      <c r="D663" s="40"/>
      <c r="E663" s="39"/>
      <c r="F663" s="39"/>
      <c r="G663" s="41"/>
      <c r="H663" s="42" t="str">
        <f t="shared" si="31"/>
        <v/>
      </c>
      <c r="I663" s="42" t="str">
        <f t="shared" si="32"/>
        <v/>
      </c>
      <c r="J663" s="43" t="str">
        <f t="shared" si="33"/>
        <v/>
      </c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44"/>
      <c r="AN663" s="44"/>
      <c r="AO663" s="44"/>
      <c r="AP663" s="44"/>
      <c r="AQ663" s="44"/>
      <c r="AR663" s="44"/>
      <c r="AS663" s="45"/>
      <c r="AT663" s="45"/>
      <c r="AU663" s="45"/>
    </row>
    <row r="664" spans="2:47" x14ac:dyDescent="0.25">
      <c r="B664" s="39"/>
      <c r="C664" s="39"/>
      <c r="D664" s="40"/>
      <c r="E664" s="39"/>
      <c r="F664" s="39"/>
      <c r="G664" s="41"/>
      <c r="H664" s="42" t="str">
        <f t="shared" si="31"/>
        <v/>
      </c>
      <c r="I664" s="42" t="str">
        <f t="shared" si="32"/>
        <v/>
      </c>
      <c r="J664" s="43" t="str">
        <f t="shared" si="33"/>
        <v/>
      </c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44"/>
      <c r="AN664" s="44"/>
      <c r="AO664" s="44"/>
      <c r="AP664" s="44"/>
      <c r="AQ664" s="44"/>
      <c r="AR664" s="44"/>
      <c r="AS664" s="45"/>
      <c r="AT664" s="45"/>
      <c r="AU664" s="45"/>
    </row>
    <row r="665" spans="2:47" x14ac:dyDescent="0.25">
      <c r="B665" s="39"/>
      <c r="C665" s="39"/>
      <c r="D665" s="40"/>
      <c r="E665" s="39"/>
      <c r="F665" s="39"/>
      <c r="G665" s="41"/>
      <c r="H665" s="42" t="str">
        <f t="shared" si="31"/>
        <v/>
      </c>
      <c r="I665" s="42" t="str">
        <f t="shared" si="32"/>
        <v/>
      </c>
      <c r="J665" s="43" t="str">
        <f t="shared" si="33"/>
        <v/>
      </c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44"/>
      <c r="AN665" s="44"/>
      <c r="AO665" s="44"/>
      <c r="AP665" s="44"/>
      <c r="AQ665" s="44"/>
      <c r="AR665" s="44"/>
      <c r="AS665" s="45"/>
      <c r="AT665" s="45"/>
      <c r="AU665" s="45"/>
    </row>
    <row r="666" spans="2:47" x14ac:dyDescent="0.25">
      <c r="B666" s="39"/>
      <c r="C666" s="39"/>
      <c r="D666" s="40"/>
      <c r="E666" s="39"/>
      <c r="F666" s="39"/>
      <c r="G666" s="41"/>
      <c r="H666" s="42" t="str">
        <f t="shared" si="31"/>
        <v/>
      </c>
      <c r="I666" s="42" t="str">
        <f t="shared" si="32"/>
        <v/>
      </c>
      <c r="J666" s="43" t="str">
        <f t="shared" si="33"/>
        <v/>
      </c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44"/>
      <c r="AN666" s="44"/>
      <c r="AO666" s="44"/>
      <c r="AP666" s="44"/>
      <c r="AQ666" s="44"/>
      <c r="AR666" s="44"/>
      <c r="AS666" s="45"/>
      <c r="AT666" s="45"/>
      <c r="AU666" s="45"/>
    </row>
    <row r="667" spans="2:47" x14ac:dyDescent="0.25">
      <c r="B667" s="39"/>
      <c r="C667" s="39"/>
      <c r="D667" s="40"/>
      <c r="E667" s="39"/>
      <c r="F667" s="39"/>
      <c r="G667" s="41"/>
      <c r="H667" s="42" t="str">
        <f t="shared" si="31"/>
        <v/>
      </c>
      <c r="I667" s="42" t="str">
        <f t="shared" si="32"/>
        <v/>
      </c>
      <c r="J667" s="43" t="str">
        <f t="shared" si="33"/>
        <v/>
      </c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44"/>
      <c r="AN667" s="44"/>
      <c r="AO667" s="44"/>
      <c r="AP667" s="44"/>
      <c r="AQ667" s="44"/>
      <c r="AR667" s="44"/>
      <c r="AS667" s="45"/>
      <c r="AT667" s="45"/>
      <c r="AU667" s="45"/>
    </row>
    <row r="668" spans="2:47" x14ac:dyDescent="0.25">
      <c r="B668" s="39"/>
      <c r="C668" s="39"/>
      <c r="D668" s="40"/>
      <c r="E668" s="39"/>
      <c r="F668" s="39"/>
      <c r="G668" s="41"/>
      <c r="H668" s="42" t="str">
        <f t="shared" si="31"/>
        <v/>
      </c>
      <c r="I668" s="42" t="str">
        <f t="shared" si="32"/>
        <v/>
      </c>
      <c r="J668" s="43" t="str">
        <f t="shared" si="33"/>
        <v/>
      </c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44"/>
      <c r="AN668" s="44"/>
      <c r="AO668" s="44"/>
      <c r="AP668" s="44"/>
      <c r="AQ668" s="44"/>
      <c r="AR668" s="44"/>
      <c r="AS668" s="45"/>
      <c r="AT668" s="45"/>
      <c r="AU668" s="45"/>
    </row>
    <row r="669" spans="2:47" x14ac:dyDescent="0.25">
      <c r="B669" s="39"/>
      <c r="C669" s="39"/>
      <c r="D669" s="40"/>
      <c r="E669" s="39"/>
      <c r="F669" s="39"/>
      <c r="G669" s="41"/>
      <c r="H669" s="42" t="str">
        <f t="shared" si="31"/>
        <v/>
      </c>
      <c r="I669" s="42" t="str">
        <f t="shared" si="32"/>
        <v/>
      </c>
      <c r="J669" s="43" t="str">
        <f t="shared" si="33"/>
        <v/>
      </c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44"/>
      <c r="AN669" s="44"/>
      <c r="AO669" s="44"/>
      <c r="AP669" s="44"/>
      <c r="AQ669" s="44"/>
      <c r="AR669" s="44"/>
      <c r="AS669" s="45"/>
      <c r="AT669" s="45"/>
      <c r="AU669" s="45"/>
    </row>
    <row r="670" spans="2:47" x14ac:dyDescent="0.25">
      <c r="B670" s="39"/>
      <c r="C670" s="39"/>
      <c r="D670" s="40"/>
      <c r="E670" s="39"/>
      <c r="F670" s="39"/>
      <c r="G670" s="41"/>
      <c r="H670" s="42" t="str">
        <f t="shared" si="31"/>
        <v/>
      </c>
      <c r="I670" s="42" t="str">
        <f t="shared" si="32"/>
        <v/>
      </c>
      <c r="J670" s="43" t="str">
        <f t="shared" si="33"/>
        <v/>
      </c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44"/>
      <c r="AN670" s="44"/>
      <c r="AO670" s="44"/>
      <c r="AP670" s="44"/>
      <c r="AQ670" s="44"/>
      <c r="AR670" s="44"/>
      <c r="AS670" s="45"/>
      <c r="AT670" s="45"/>
      <c r="AU670" s="45"/>
    </row>
    <row r="671" spans="2:47" x14ac:dyDescent="0.25">
      <c r="B671" s="39"/>
      <c r="C671" s="39"/>
      <c r="D671" s="40"/>
      <c r="E671" s="39"/>
      <c r="F671" s="39"/>
      <c r="G671" s="41"/>
      <c r="H671" s="42" t="str">
        <f t="shared" si="31"/>
        <v/>
      </c>
      <c r="I671" s="42" t="str">
        <f t="shared" si="32"/>
        <v/>
      </c>
      <c r="J671" s="43" t="str">
        <f t="shared" si="33"/>
        <v/>
      </c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44"/>
      <c r="AN671" s="44"/>
      <c r="AO671" s="44"/>
      <c r="AP671" s="44"/>
      <c r="AQ671" s="44"/>
      <c r="AR671" s="44"/>
      <c r="AS671" s="45"/>
      <c r="AT671" s="45"/>
      <c r="AU671" s="45"/>
    </row>
    <row r="672" spans="2:47" x14ac:dyDescent="0.25">
      <c r="B672" s="39"/>
      <c r="C672" s="39"/>
      <c r="D672" s="40"/>
      <c r="E672" s="39"/>
      <c r="F672" s="39"/>
      <c r="G672" s="41"/>
      <c r="H672" s="42" t="str">
        <f t="shared" si="31"/>
        <v/>
      </c>
      <c r="I672" s="42" t="str">
        <f t="shared" si="32"/>
        <v/>
      </c>
      <c r="J672" s="43" t="str">
        <f t="shared" si="33"/>
        <v/>
      </c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44"/>
      <c r="AN672" s="44"/>
      <c r="AO672" s="44"/>
      <c r="AP672" s="44"/>
      <c r="AQ672" s="44"/>
      <c r="AR672" s="44"/>
      <c r="AS672" s="45"/>
      <c r="AT672" s="45"/>
      <c r="AU672" s="45"/>
    </row>
    <row r="673" spans="2:47" x14ac:dyDescent="0.25">
      <c r="B673" s="39"/>
      <c r="C673" s="39"/>
      <c r="D673" s="40"/>
      <c r="E673" s="39"/>
      <c r="F673" s="39"/>
      <c r="G673" s="41"/>
      <c r="H673" s="42" t="str">
        <f t="shared" si="31"/>
        <v/>
      </c>
      <c r="I673" s="42" t="str">
        <f t="shared" si="32"/>
        <v/>
      </c>
      <c r="J673" s="43" t="str">
        <f t="shared" si="33"/>
        <v/>
      </c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44"/>
      <c r="AN673" s="44"/>
      <c r="AO673" s="44"/>
      <c r="AP673" s="44"/>
      <c r="AQ673" s="44"/>
      <c r="AR673" s="44"/>
      <c r="AS673" s="45"/>
      <c r="AT673" s="45"/>
      <c r="AU673" s="45"/>
    </row>
    <row r="674" spans="2:47" x14ac:dyDescent="0.25">
      <c r="B674" s="39"/>
      <c r="C674" s="39"/>
      <c r="D674" s="40"/>
      <c r="E674" s="39"/>
      <c r="F674" s="39"/>
      <c r="G674" s="41"/>
      <c r="H674" s="42" t="str">
        <f t="shared" si="31"/>
        <v/>
      </c>
      <c r="I674" s="42" t="str">
        <f t="shared" si="32"/>
        <v/>
      </c>
      <c r="J674" s="43" t="str">
        <f t="shared" si="33"/>
        <v/>
      </c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44"/>
      <c r="AN674" s="44"/>
      <c r="AO674" s="44"/>
      <c r="AP674" s="44"/>
      <c r="AQ674" s="44"/>
      <c r="AR674" s="44"/>
      <c r="AS674" s="45"/>
      <c r="AT674" s="45"/>
      <c r="AU674" s="45"/>
    </row>
    <row r="675" spans="2:47" x14ac:dyDescent="0.25">
      <c r="B675" s="39"/>
      <c r="C675" s="39"/>
      <c r="D675" s="40"/>
      <c r="E675" s="39"/>
      <c r="F675" s="39"/>
      <c r="G675" s="41"/>
      <c r="H675" s="42" t="str">
        <f t="shared" si="31"/>
        <v/>
      </c>
      <c r="I675" s="42" t="str">
        <f t="shared" si="32"/>
        <v/>
      </c>
      <c r="J675" s="43" t="str">
        <f t="shared" si="33"/>
        <v/>
      </c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44"/>
      <c r="AN675" s="44"/>
      <c r="AO675" s="44"/>
      <c r="AP675" s="44"/>
      <c r="AQ675" s="44"/>
      <c r="AR675" s="44"/>
      <c r="AS675" s="45"/>
      <c r="AT675" s="45"/>
      <c r="AU675" s="45"/>
    </row>
    <row r="676" spans="2:47" x14ac:dyDescent="0.25">
      <c r="B676" s="39"/>
      <c r="C676" s="39"/>
      <c r="D676" s="40"/>
      <c r="E676" s="39"/>
      <c r="F676" s="39"/>
      <c r="G676" s="41"/>
      <c r="H676" s="42" t="str">
        <f t="shared" si="31"/>
        <v/>
      </c>
      <c r="I676" s="42" t="str">
        <f t="shared" si="32"/>
        <v/>
      </c>
      <c r="J676" s="43" t="str">
        <f t="shared" si="33"/>
        <v/>
      </c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44"/>
      <c r="AN676" s="44"/>
      <c r="AO676" s="44"/>
      <c r="AP676" s="44"/>
      <c r="AQ676" s="44"/>
      <c r="AR676" s="44"/>
      <c r="AS676" s="45"/>
      <c r="AT676" s="45"/>
      <c r="AU676" s="45"/>
    </row>
    <row r="677" spans="2:47" x14ac:dyDescent="0.25">
      <c r="B677" s="39"/>
      <c r="C677" s="39"/>
      <c r="D677" s="40"/>
      <c r="E677" s="39"/>
      <c r="F677" s="39"/>
      <c r="G677" s="41"/>
      <c r="H677" s="42" t="str">
        <f t="shared" si="31"/>
        <v/>
      </c>
      <c r="I677" s="42" t="str">
        <f t="shared" si="32"/>
        <v/>
      </c>
      <c r="J677" s="43" t="str">
        <f t="shared" si="33"/>
        <v/>
      </c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44"/>
      <c r="AN677" s="44"/>
      <c r="AO677" s="44"/>
      <c r="AP677" s="44"/>
      <c r="AQ677" s="44"/>
      <c r="AR677" s="44"/>
      <c r="AS677" s="45"/>
      <c r="AT677" s="45"/>
      <c r="AU677" s="45"/>
    </row>
    <row r="678" spans="2:47" x14ac:dyDescent="0.25">
      <c r="B678" s="39"/>
      <c r="C678" s="39"/>
      <c r="D678" s="40"/>
      <c r="E678" s="39"/>
      <c r="F678" s="39"/>
      <c r="G678" s="41"/>
      <c r="H678" s="42" t="str">
        <f t="shared" si="31"/>
        <v/>
      </c>
      <c r="I678" s="42" t="str">
        <f t="shared" si="32"/>
        <v/>
      </c>
      <c r="J678" s="43" t="str">
        <f t="shared" si="33"/>
        <v/>
      </c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44"/>
      <c r="AN678" s="44"/>
      <c r="AO678" s="44"/>
      <c r="AP678" s="44"/>
      <c r="AQ678" s="44"/>
      <c r="AR678" s="44"/>
      <c r="AS678" s="45"/>
      <c r="AT678" s="45"/>
      <c r="AU678" s="45"/>
    </row>
    <row r="679" spans="2:47" x14ac:dyDescent="0.25">
      <c r="B679" s="39"/>
      <c r="C679" s="39"/>
      <c r="D679" s="40"/>
      <c r="E679" s="39"/>
      <c r="F679" s="39"/>
      <c r="G679" s="41"/>
      <c r="H679" s="42" t="str">
        <f t="shared" si="31"/>
        <v/>
      </c>
      <c r="I679" s="42" t="str">
        <f t="shared" si="32"/>
        <v/>
      </c>
      <c r="J679" s="43" t="str">
        <f t="shared" si="33"/>
        <v/>
      </c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44"/>
      <c r="AN679" s="44"/>
      <c r="AO679" s="44"/>
      <c r="AP679" s="44"/>
      <c r="AQ679" s="44"/>
      <c r="AR679" s="44"/>
      <c r="AS679" s="45"/>
      <c r="AT679" s="45"/>
      <c r="AU679" s="45"/>
    </row>
    <row r="680" spans="2:47" x14ac:dyDescent="0.25">
      <c r="B680" s="39"/>
      <c r="C680" s="39"/>
      <c r="D680" s="40"/>
      <c r="E680" s="39"/>
      <c r="F680" s="39"/>
      <c r="G680" s="41"/>
      <c r="H680" s="42" t="str">
        <f t="shared" si="31"/>
        <v/>
      </c>
      <c r="I680" s="42" t="str">
        <f t="shared" si="32"/>
        <v/>
      </c>
      <c r="J680" s="43" t="str">
        <f t="shared" si="33"/>
        <v/>
      </c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44"/>
      <c r="AN680" s="44"/>
      <c r="AO680" s="44"/>
      <c r="AP680" s="44"/>
      <c r="AQ680" s="44"/>
      <c r="AR680" s="44"/>
      <c r="AS680" s="45"/>
      <c r="AT680" s="45"/>
      <c r="AU680" s="45"/>
    </row>
    <row r="681" spans="2:47" x14ac:dyDescent="0.25">
      <c r="B681" s="39"/>
      <c r="C681" s="39"/>
      <c r="D681" s="40"/>
      <c r="E681" s="39"/>
      <c r="F681" s="39"/>
      <c r="G681" s="41"/>
      <c r="H681" s="42" t="str">
        <f t="shared" si="31"/>
        <v/>
      </c>
      <c r="I681" s="42" t="str">
        <f t="shared" si="32"/>
        <v/>
      </c>
      <c r="J681" s="43" t="str">
        <f t="shared" si="33"/>
        <v/>
      </c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44"/>
      <c r="AN681" s="44"/>
      <c r="AO681" s="44"/>
      <c r="AP681" s="44"/>
      <c r="AQ681" s="44"/>
      <c r="AR681" s="44"/>
      <c r="AS681" s="45"/>
      <c r="AT681" s="45"/>
      <c r="AU681" s="45"/>
    </row>
    <row r="682" spans="2:47" x14ac:dyDescent="0.25">
      <c r="B682" s="39"/>
      <c r="C682" s="39"/>
      <c r="D682" s="40"/>
      <c r="E682" s="39"/>
      <c r="F682" s="39"/>
      <c r="G682" s="41"/>
      <c r="H682" s="42" t="str">
        <f t="shared" si="31"/>
        <v/>
      </c>
      <c r="I682" s="42" t="str">
        <f t="shared" si="32"/>
        <v/>
      </c>
      <c r="J682" s="43" t="str">
        <f t="shared" si="33"/>
        <v/>
      </c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44"/>
      <c r="AN682" s="44"/>
      <c r="AO682" s="44"/>
      <c r="AP682" s="44"/>
      <c r="AQ682" s="44"/>
      <c r="AR682" s="44"/>
      <c r="AS682" s="45"/>
      <c r="AT682" s="45"/>
      <c r="AU682" s="45"/>
    </row>
    <row r="683" spans="2:47" x14ac:dyDescent="0.25">
      <c r="B683" s="39"/>
      <c r="C683" s="39"/>
      <c r="D683" s="40"/>
      <c r="E683" s="39"/>
      <c r="F683" s="39"/>
      <c r="G683" s="41"/>
      <c r="H683" s="42" t="str">
        <f t="shared" si="31"/>
        <v/>
      </c>
      <c r="I683" s="42" t="str">
        <f t="shared" si="32"/>
        <v/>
      </c>
      <c r="J683" s="43" t="str">
        <f t="shared" si="33"/>
        <v/>
      </c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44"/>
      <c r="AN683" s="44"/>
      <c r="AO683" s="44"/>
      <c r="AP683" s="44"/>
      <c r="AQ683" s="44"/>
      <c r="AR683" s="44"/>
      <c r="AS683" s="45"/>
      <c r="AT683" s="45"/>
      <c r="AU683" s="45"/>
    </row>
    <row r="684" spans="2:47" x14ac:dyDescent="0.25">
      <c r="B684" s="39"/>
      <c r="C684" s="39"/>
      <c r="D684" s="40"/>
      <c r="E684" s="39"/>
      <c r="F684" s="39"/>
      <c r="G684" s="41"/>
      <c r="H684" s="42" t="str">
        <f t="shared" si="31"/>
        <v/>
      </c>
      <c r="I684" s="42" t="str">
        <f t="shared" si="32"/>
        <v/>
      </c>
      <c r="J684" s="43" t="str">
        <f t="shared" si="33"/>
        <v/>
      </c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44"/>
      <c r="AN684" s="44"/>
      <c r="AO684" s="44"/>
      <c r="AP684" s="44"/>
      <c r="AQ684" s="44"/>
      <c r="AR684" s="44"/>
      <c r="AS684" s="45"/>
      <c r="AT684" s="45"/>
      <c r="AU684" s="45"/>
    </row>
    <row r="685" spans="2:47" x14ac:dyDescent="0.25">
      <c r="B685" s="39"/>
      <c r="C685" s="39"/>
      <c r="D685" s="40"/>
      <c r="E685" s="39"/>
      <c r="F685" s="39"/>
      <c r="G685" s="41"/>
      <c r="H685" s="42" t="str">
        <f t="shared" si="31"/>
        <v/>
      </c>
      <c r="I685" s="42" t="str">
        <f t="shared" si="32"/>
        <v/>
      </c>
      <c r="J685" s="43" t="str">
        <f t="shared" si="33"/>
        <v/>
      </c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44"/>
      <c r="AN685" s="44"/>
      <c r="AO685" s="44"/>
      <c r="AP685" s="44"/>
      <c r="AQ685" s="44"/>
      <c r="AR685" s="44"/>
      <c r="AS685" s="45"/>
      <c r="AT685" s="45"/>
      <c r="AU685" s="45"/>
    </row>
    <row r="686" spans="2:47" x14ac:dyDescent="0.25">
      <c r="B686" s="39"/>
      <c r="C686" s="39"/>
      <c r="D686" s="40"/>
      <c r="E686" s="39"/>
      <c r="F686" s="39"/>
      <c r="G686" s="41"/>
      <c r="H686" s="42" t="str">
        <f t="shared" si="31"/>
        <v/>
      </c>
      <c r="I686" s="42" t="str">
        <f t="shared" si="32"/>
        <v/>
      </c>
      <c r="J686" s="43" t="str">
        <f t="shared" si="33"/>
        <v/>
      </c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44"/>
      <c r="AN686" s="44"/>
      <c r="AO686" s="44"/>
      <c r="AP686" s="44"/>
      <c r="AQ686" s="44"/>
      <c r="AR686" s="44"/>
      <c r="AS686" s="45"/>
      <c r="AT686" s="45"/>
      <c r="AU686" s="45"/>
    </row>
    <row r="687" spans="2:47" x14ac:dyDescent="0.25">
      <c r="B687" s="39"/>
      <c r="C687" s="39"/>
      <c r="D687" s="40"/>
      <c r="E687" s="39"/>
      <c r="F687" s="39"/>
      <c r="G687" s="41"/>
      <c r="H687" s="42" t="str">
        <f t="shared" si="31"/>
        <v/>
      </c>
      <c r="I687" s="42" t="str">
        <f t="shared" si="32"/>
        <v/>
      </c>
      <c r="J687" s="43" t="str">
        <f t="shared" si="33"/>
        <v/>
      </c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44"/>
      <c r="AN687" s="44"/>
      <c r="AO687" s="44"/>
      <c r="AP687" s="44"/>
      <c r="AQ687" s="44"/>
      <c r="AR687" s="44"/>
      <c r="AS687" s="45"/>
      <c r="AT687" s="45"/>
      <c r="AU687" s="45"/>
    </row>
    <row r="688" spans="2:47" x14ac:dyDescent="0.25">
      <c r="B688" s="39"/>
      <c r="C688" s="39"/>
      <c r="D688" s="40"/>
      <c r="E688" s="39"/>
      <c r="F688" s="39"/>
      <c r="G688" s="41"/>
      <c r="H688" s="42" t="str">
        <f t="shared" si="31"/>
        <v/>
      </c>
      <c r="I688" s="42" t="str">
        <f t="shared" si="32"/>
        <v/>
      </c>
      <c r="J688" s="43" t="str">
        <f t="shared" si="33"/>
        <v/>
      </c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44"/>
      <c r="AN688" s="44"/>
      <c r="AO688" s="44"/>
      <c r="AP688" s="44"/>
      <c r="AQ688" s="44"/>
      <c r="AR688" s="44"/>
      <c r="AS688" s="45"/>
      <c r="AT688" s="45"/>
      <c r="AU688" s="45"/>
    </row>
    <row r="689" spans="2:47" x14ac:dyDescent="0.25">
      <c r="B689" s="39"/>
      <c r="C689" s="39"/>
      <c r="D689" s="40"/>
      <c r="E689" s="39"/>
      <c r="F689" s="39"/>
      <c r="G689" s="41"/>
      <c r="H689" s="42" t="str">
        <f t="shared" si="31"/>
        <v/>
      </c>
      <c r="I689" s="42" t="str">
        <f t="shared" si="32"/>
        <v/>
      </c>
      <c r="J689" s="43" t="str">
        <f t="shared" si="33"/>
        <v/>
      </c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44"/>
      <c r="AN689" s="44"/>
      <c r="AO689" s="44"/>
      <c r="AP689" s="44"/>
      <c r="AQ689" s="44"/>
      <c r="AR689" s="44"/>
      <c r="AS689" s="45"/>
      <c r="AT689" s="45"/>
      <c r="AU689" s="45"/>
    </row>
    <row r="690" spans="2:47" x14ac:dyDescent="0.25">
      <c r="B690" s="39"/>
      <c r="C690" s="39"/>
      <c r="D690" s="40"/>
      <c r="E690" s="39"/>
      <c r="F690" s="39"/>
      <c r="G690" s="41"/>
      <c r="H690" s="42" t="str">
        <f t="shared" si="31"/>
        <v/>
      </c>
      <c r="I690" s="42" t="str">
        <f t="shared" si="32"/>
        <v/>
      </c>
      <c r="J690" s="43" t="str">
        <f t="shared" si="33"/>
        <v/>
      </c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44"/>
      <c r="AN690" s="44"/>
      <c r="AO690" s="44"/>
      <c r="AP690" s="44"/>
      <c r="AQ690" s="44"/>
      <c r="AR690" s="44"/>
      <c r="AS690" s="45"/>
      <c r="AT690" s="45"/>
      <c r="AU690" s="45"/>
    </row>
    <row r="691" spans="2:47" x14ac:dyDescent="0.25">
      <c r="B691" s="39"/>
      <c r="C691" s="39"/>
      <c r="D691" s="40"/>
      <c r="E691" s="39"/>
      <c r="F691" s="39"/>
      <c r="G691" s="41"/>
      <c r="H691" s="42" t="str">
        <f t="shared" si="31"/>
        <v/>
      </c>
      <c r="I691" s="42" t="str">
        <f t="shared" si="32"/>
        <v/>
      </c>
      <c r="J691" s="43" t="str">
        <f t="shared" si="33"/>
        <v/>
      </c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44"/>
      <c r="AN691" s="44"/>
      <c r="AO691" s="44"/>
      <c r="AP691" s="44"/>
      <c r="AQ691" s="44"/>
      <c r="AR691" s="44"/>
      <c r="AS691" s="45"/>
      <c r="AT691" s="45"/>
      <c r="AU691" s="45"/>
    </row>
    <row r="692" spans="2:47" x14ac:dyDescent="0.25">
      <c r="B692" s="39"/>
      <c r="C692" s="39"/>
      <c r="D692" s="40"/>
      <c r="E692" s="39"/>
      <c r="F692" s="39"/>
      <c r="G692" s="41"/>
      <c r="H692" s="42" t="str">
        <f t="shared" si="31"/>
        <v/>
      </c>
      <c r="I692" s="42" t="str">
        <f t="shared" si="32"/>
        <v/>
      </c>
      <c r="J692" s="43" t="str">
        <f t="shared" si="33"/>
        <v/>
      </c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44"/>
      <c r="AN692" s="44"/>
      <c r="AO692" s="44"/>
      <c r="AP692" s="44"/>
      <c r="AQ692" s="44"/>
      <c r="AR692" s="44"/>
      <c r="AS692" s="45"/>
      <c r="AT692" s="45"/>
      <c r="AU692" s="45"/>
    </row>
    <row r="693" spans="2:47" x14ac:dyDescent="0.25">
      <c r="B693" s="39"/>
      <c r="C693" s="39"/>
      <c r="D693" s="40"/>
      <c r="E693" s="39"/>
      <c r="F693" s="39"/>
      <c r="G693" s="41"/>
      <c r="H693" s="42" t="str">
        <f t="shared" si="31"/>
        <v/>
      </c>
      <c r="I693" s="42" t="str">
        <f t="shared" si="32"/>
        <v/>
      </c>
      <c r="J693" s="43" t="str">
        <f t="shared" si="33"/>
        <v/>
      </c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44"/>
      <c r="AN693" s="44"/>
      <c r="AO693" s="44"/>
      <c r="AP693" s="44"/>
      <c r="AQ693" s="44"/>
      <c r="AR693" s="44"/>
      <c r="AS693" s="45"/>
      <c r="AT693" s="45"/>
      <c r="AU693" s="45"/>
    </row>
    <row r="694" spans="2:47" x14ac:dyDescent="0.25">
      <c r="B694" s="39"/>
      <c r="C694" s="39"/>
      <c r="D694" s="40"/>
      <c r="E694" s="39"/>
      <c r="F694" s="39"/>
      <c r="G694" s="41"/>
      <c r="H694" s="42" t="str">
        <f t="shared" si="31"/>
        <v/>
      </c>
      <c r="I694" s="42" t="str">
        <f t="shared" si="32"/>
        <v/>
      </c>
      <c r="J694" s="43" t="str">
        <f t="shared" si="33"/>
        <v/>
      </c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44"/>
      <c r="AN694" s="44"/>
      <c r="AO694" s="44"/>
      <c r="AP694" s="44"/>
      <c r="AQ694" s="44"/>
      <c r="AR694" s="44"/>
      <c r="AS694" s="45"/>
      <c r="AT694" s="45"/>
      <c r="AU694" s="45"/>
    </row>
    <row r="695" spans="2:47" x14ac:dyDescent="0.25">
      <c r="B695" s="39"/>
      <c r="C695" s="39"/>
      <c r="D695" s="40"/>
      <c r="E695" s="39"/>
      <c r="F695" s="39"/>
      <c r="G695" s="41"/>
      <c r="H695" s="42" t="str">
        <f t="shared" si="31"/>
        <v/>
      </c>
      <c r="I695" s="42" t="str">
        <f t="shared" si="32"/>
        <v/>
      </c>
      <c r="J695" s="43" t="str">
        <f t="shared" si="33"/>
        <v/>
      </c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44"/>
      <c r="AN695" s="44"/>
      <c r="AO695" s="44"/>
      <c r="AP695" s="44"/>
      <c r="AQ695" s="44"/>
      <c r="AR695" s="44"/>
      <c r="AS695" s="45"/>
      <c r="AT695" s="45"/>
      <c r="AU695" s="45"/>
    </row>
    <row r="696" spans="2:47" x14ac:dyDescent="0.25">
      <c r="B696" s="39"/>
      <c r="C696" s="39"/>
      <c r="D696" s="40"/>
      <c r="E696" s="39"/>
      <c r="F696" s="39"/>
      <c r="G696" s="41"/>
      <c r="H696" s="42" t="str">
        <f t="shared" si="31"/>
        <v/>
      </c>
      <c r="I696" s="42" t="str">
        <f t="shared" si="32"/>
        <v/>
      </c>
      <c r="J696" s="43" t="str">
        <f t="shared" si="33"/>
        <v/>
      </c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44"/>
      <c r="AN696" s="44"/>
      <c r="AO696" s="44"/>
      <c r="AP696" s="44"/>
      <c r="AQ696" s="44"/>
      <c r="AR696" s="44"/>
      <c r="AS696" s="45"/>
      <c r="AT696" s="45"/>
      <c r="AU696" s="45"/>
    </row>
    <row r="697" spans="2:47" x14ac:dyDescent="0.25">
      <c r="B697" s="39"/>
      <c r="C697" s="39"/>
      <c r="D697" s="40"/>
      <c r="E697" s="39"/>
      <c r="F697" s="39"/>
      <c r="G697" s="41"/>
      <c r="H697" s="42" t="str">
        <f t="shared" si="31"/>
        <v/>
      </c>
      <c r="I697" s="42" t="str">
        <f t="shared" si="32"/>
        <v/>
      </c>
      <c r="J697" s="43" t="str">
        <f t="shared" si="33"/>
        <v/>
      </c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44"/>
      <c r="AN697" s="44"/>
      <c r="AO697" s="44"/>
      <c r="AP697" s="44"/>
      <c r="AQ697" s="44"/>
      <c r="AR697" s="44"/>
      <c r="AS697" s="45"/>
      <c r="AT697" s="45"/>
      <c r="AU697" s="45"/>
    </row>
    <row r="698" spans="2:47" x14ac:dyDescent="0.25">
      <c r="B698" s="39"/>
      <c r="C698" s="39"/>
      <c r="D698" s="40"/>
      <c r="E698" s="39"/>
      <c r="F698" s="39"/>
      <c r="G698" s="41"/>
      <c r="H698" s="42" t="str">
        <f t="shared" si="31"/>
        <v/>
      </c>
      <c r="I698" s="42" t="str">
        <f t="shared" si="32"/>
        <v/>
      </c>
      <c r="J698" s="43" t="str">
        <f t="shared" si="33"/>
        <v/>
      </c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44"/>
      <c r="AN698" s="44"/>
      <c r="AO698" s="44"/>
      <c r="AP698" s="44"/>
      <c r="AQ698" s="44"/>
      <c r="AR698" s="44"/>
      <c r="AS698" s="45"/>
      <c r="AT698" s="45"/>
      <c r="AU698" s="45"/>
    </row>
    <row r="699" spans="2:47" x14ac:dyDescent="0.25">
      <c r="B699" s="39"/>
      <c r="C699" s="39"/>
      <c r="D699" s="40"/>
      <c r="E699" s="39"/>
      <c r="F699" s="39"/>
      <c r="G699" s="41"/>
      <c r="H699" s="42" t="str">
        <f t="shared" si="31"/>
        <v/>
      </c>
      <c r="I699" s="42" t="str">
        <f t="shared" si="32"/>
        <v/>
      </c>
      <c r="J699" s="43" t="str">
        <f t="shared" si="33"/>
        <v/>
      </c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44"/>
      <c r="AN699" s="44"/>
      <c r="AO699" s="44"/>
      <c r="AP699" s="44"/>
      <c r="AQ699" s="44"/>
      <c r="AR699" s="44"/>
      <c r="AS699" s="45"/>
      <c r="AT699" s="45"/>
      <c r="AU699" s="45"/>
    </row>
    <row r="700" spans="2:47" x14ac:dyDescent="0.25">
      <c r="B700" s="39"/>
      <c r="C700" s="39"/>
      <c r="D700" s="40"/>
      <c r="E700" s="39"/>
      <c r="F700" s="39"/>
      <c r="G700" s="41"/>
      <c r="H700" s="42" t="str">
        <f t="shared" si="31"/>
        <v/>
      </c>
      <c r="I700" s="42" t="str">
        <f t="shared" si="32"/>
        <v/>
      </c>
      <c r="J700" s="43" t="str">
        <f t="shared" si="33"/>
        <v/>
      </c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44"/>
      <c r="AN700" s="44"/>
      <c r="AO700" s="44"/>
      <c r="AP700" s="44"/>
      <c r="AQ700" s="44"/>
      <c r="AR700" s="44"/>
      <c r="AS700" s="45"/>
      <c r="AT700" s="45"/>
      <c r="AU700" s="45"/>
    </row>
    <row r="701" spans="2:47" x14ac:dyDescent="0.25">
      <c r="B701" s="39"/>
      <c r="C701" s="39"/>
      <c r="D701" s="40"/>
      <c r="E701" s="39"/>
      <c r="F701" s="39"/>
      <c r="G701" s="41"/>
      <c r="H701" s="42" t="str">
        <f t="shared" si="31"/>
        <v/>
      </c>
      <c r="I701" s="42" t="str">
        <f t="shared" si="32"/>
        <v/>
      </c>
      <c r="J701" s="43" t="str">
        <f t="shared" si="33"/>
        <v/>
      </c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44"/>
      <c r="AN701" s="44"/>
      <c r="AO701" s="44"/>
      <c r="AP701" s="44"/>
      <c r="AQ701" s="44"/>
      <c r="AR701" s="44"/>
      <c r="AS701" s="45"/>
      <c r="AT701" s="45"/>
      <c r="AU701" s="45"/>
    </row>
    <row r="702" spans="2:47" x14ac:dyDescent="0.25">
      <c r="B702" s="39"/>
      <c r="C702" s="39"/>
      <c r="D702" s="40"/>
      <c r="E702" s="39"/>
      <c r="F702" s="39"/>
      <c r="G702" s="41"/>
      <c r="H702" s="42" t="str">
        <f t="shared" si="31"/>
        <v/>
      </c>
      <c r="I702" s="42" t="str">
        <f t="shared" si="32"/>
        <v/>
      </c>
      <c r="J702" s="43" t="str">
        <f t="shared" si="33"/>
        <v/>
      </c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44"/>
      <c r="AN702" s="44"/>
      <c r="AO702" s="44"/>
      <c r="AP702" s="44"/>
      <c r="AQ702" s="44"/>
      <c r="AR702" s="44"/>
      <c r="AS702" s="45"/>
      <c r="AT702" s="45"/>
      <c r="AU702" s="45"/>
    </row>
    <row r="703" spans="2:47" x14ac:dyDescent="0.25">
      <c r="B703" s="39"/>
      <c r="C703" s="39"/>
      <c r="D703" s="40"/>
      <c r="E703" s="39"/>
      <c r="F703" s="39"/>
      <c r="G703" s="41"/>
      <c r="H703" s="42" t="str">
        <f t="shared" si="31"/>
        <v/>
      </c>
      <c r="I703" s="42" t="str">
        <f t="shared" si="32"/>
        <v/>
      </c>
      <c r="J703" s="43" t="str">
        <f t="shared" si="33"/>
        <v/>
      </c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44"/>
      <c r="AN703" s="44"/>
      <c r="AO703" s="44"/>
      <c r="AP703" s="44"/>
      <c r="AQ703" s="44"/>
      <c r="AR703" s="44"/>
      <c r="AS703" s="45"/>
      <c r="AT703" s="45"/>
      <c r="AU703" s="45"/>
    </row>
    <row r="704" spans="2:47" x14ac:dyDescent="0.25">
      <c r="B704" s="39"/>
      <c r="C704" s="39"/>
      <c r="D704" s="40"/>
      <c r="E704" s="39"/>
      <c r="F704" s="39"/>
      <c r="G704" s="41"/>
      <c r="H704" s="42" t="str">
        <f t="shared" si="31"/>
        <v/>
      </c>
      <c r="I704" s="42" t="str">
        <f t="shared" si="32"/>
        <v/>
      </c>
      <c r="J704" s="43" t="str">
        <f t="shared" si="33"/>
        <v/>
      </c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44"/>
      <c r="AN704" s="44"/>
      <c r="AO704" s="44"/>
      <c r="AP704" s="44"/>
      <c r="AQ704" s="44"/>
      <c r="AR704" s="44"/>
      <c r="AS704" s="45"/>
      <c r="AT704" s="45"/>
      <c r="AU704" s="45"/>
    </row>
    <row r="705" spans="2:47" x14ac:dyDescent="0.25">
      <c r="B705" s="39"/>
      <c r="C705" s="39"/>
      <c r="D705" s="40"/>
      <c r="E705" s="39"/>
      <c r="F705" s="39"/>
      <c r="G705" s="41"/>
      <c r="H705" s="42" t="str">
        <f t="shared" si="31"/>
        <v/>
      </c>
      <c r="I705" s="42" t="str">
        <f t="shared" si="32"/>
        <v/>
      </c>
      <c r="J705" s="43" t="str">
        <f t="shared" si="33"/>
        <v/>
      </c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44"/>
      <c r="AN705" s="44"/>
      <c r="AO705" s="44"/>
      <c r="AP705" s="44"/>
      <c r="AQ705" s="44"/>
      <c r="AR705" s="44"/>
      <c r="AS705" s="45"/>
      <c r="AT705" s="45"/>
      <c r="AU705" s="45"/>
    </row>
    <row r="706" spans="2:47" x14ac:dyDescent="0.25">
      <c r="B706" s="39"/>
      <c r="C706" s="39"/>
      <c r="D706" s="40"/>
      <c r="E706" s="39"/>
      <c r="F706" s="39"/>
      <c r="G706" s="41"/>
      <c r="H706" s="42" t="str">
        <f t="shared" si="31"/>
        <v/>
      </c>
      <c r="I706" s="42" t="str">
        <f t="shared" si="32"/>
        <v/>
      </c>
      <c r="J706" s="43" t="str">
        <f t="shared" si="33"/>
        <v/>
      </c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44"/>
      <c r="AN706" s="44"/>
      <c r="AO706" s="44"/>
      <c r="AP706" s="44"/>
      <c r="AQ706" s="44"/>
      <c r="AR706" s="44"/>
      <c r="AS706" s="45"/>
      <c r="AT706" s="45"/>
      <c r="AU706" s="45"/>
    </row>
    <row r="707" spans="2:47" x14ac:dyDescent="0.25">
      <c r="B707" s="39"/>
      <c r="C707" s="39"/>
      <c r="D707" s="40"/>
      <c r="E707" s="39"/>
      <c r="F707" s="39"/>
      <c r="G707" s="41"/>
      <c r="H707" s="42" t="str">
        <f t="shared" si="31"/>
        <v/>
      </c>
      <c r="I707" s="42" t="str">
        <f t="shared" si="32"/>
        <v/>
      </c>
      <c r="J707" s="43" t="str">
        <f t="shared" si="33"/>
        <v/>
      </c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44"/>
      <c r="AN707" s="44"/>
      <c r="AO707" s="44"/>
      <c r="AP707" s="44"/>
      <c r="AQ707" s="44"/>
      <c r="AR707" s="44"/>
      <c r="AS707" s="45"/>
      <c r="AT707" s="45"/>
      <c r="AU707" s="45"/>
    </row>
    <row r="708" spans="2:47" x14ac:dyDescent="0.25">
      <c r="B708" s="39"/>
      <c r="C708" s="39"/>
      <c r="D708" s="40"/>
      <c r="E708" s="39"/>
      <c r="F708" s="39"/>
      <c r="G708" s="41"/>
      <c r="H708" s="42" t="str">
        <f t="shared" si="31"/>
        <v/>
      </c>
      <c r="I708" s="42" t="str">
        <f t="shared" si="32"/>
        <v/>
      </c>
      <c r="J708" s="43" t="str">
        <f t="shared" si="33"/>
        <v/>
      </c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44"/>
      <c r="AN708" s="44"/>
      <c r="AO708" s="44"/>
      <c r="AP708" s="44"/>
      <c r="AQ708" s="44"/>
      <c r="AR708" s="44"/>
      <c r="AS708" s="45"/>
      <c r="AT708" s="45"/>
      <c r="AU708" s="45"/>
    </row>
    <row r="709" spans="2:47" x14ac:dyDescent="0.25">
      <c r="B709" s="39"/>
      <c r="C709" s="39"/>
      <c r="D709" s="40"/>
      <c r="E709" s="39"/>
      <c r="F709" s="39"/>
      <c r="G709" s="41"/>
      <c r="H709" s="42" t="str">
        <f t="shared" si="31"/>
        <v/>
      </c>
      <c r="I709" s="42" t="str">
        <f t="shared" si="32"/>
        <v/>
      </c>
      <c r="J709" s="43" t="str">
        <f t="shared" si="33"/>
        <v/>
      </c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44"/>
      <c r="AN709" s="44"/>
      <c r="AO709" s="44"/>
      <c r="AP709" s="44"/>
      <c r="AQ709" s="44"/>
      <c r="AR709" s="44"/>
      <c r="AS709" s="45"/>
      <c r="AT709" s="45"/>
      <c r="AU709" s="45"/>
    </row>
    <row r="710" spans="2:47" x14ac:dyDescent="0.25">
      <c r="B710" s="39"/>
      <c r="C710" s="39"/>
      <c r="D710" s="40"/>
      <c r="E710" s="39"/>
      <c r="F710" s="39"/>
      <c r="G710" s="41"/>
      <c r="H710" s="42" t="str">
        <f t="shared" ref="H710:H773" si="34">IF($B710="","",SUM($K710:$AG710)+SUM($AS710:$BB710))</f>
        <v/>
      </c>
      <c r="I710" s="42" t="str">
        <f t="shared" ref="I710:I773" si="35">IF($B710="","",SUM($AH710:$AL710))</f>
        <v/>
      </c>
      <c r="J710" s="43" t="str">
        <f t="shared" ref="J710:J773" si="36">IF($B710="","",SUMPRODUCT($K710:$BB710,$K$2:$BB$2))</f>
        <v/>
      </c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44"/>
      <c r="AN710" s="44"/>
      <c r="AO710" s="44"/>
      <c r="AP710" s="44"/>
      <c r="AQ710" s="44"/>
      <c r="AR710" s="44"/>
      <c r="AS710" s="45"/>
      <c r="AT710" s="45"/>
      <c r="AU710" s="45"/>
    </row>
    <row r="711" spans="2:47" x14ac:dyDescent="0.25">
      <c r="B711" s="39"/>
      <c r="C711" s="39"/>
      <c r="D711" s="40"/>
      <c r="E711" s="39"/>
      <c r="F711" s="39"/>
      <c r="G711" s="41"/>
      <c r="H711" s="42" t="str">
        <f t="shared" si="34"/>
        <v/>
      </c>
      <c r="I711" s="42" t="str">
        <f t="shared" si="35"/>
        <v/>
      </c>
      <c r="J711" s="43" t="str">
        <f t="shared" si="36"/>
        <v/>
      </c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44"/>
      <c r="AN711" s="44"/>
      <c r="AO711" s="44"/>
      <c r="AP711" s="44"/>
      <c r="AQ711" s="44"/>
      <c r="AR711" s="44"/>
      <c r="AS711" s="45"/>
      <c r="AT711" s="45"/>
      <c r="AU711" s="45"/>
    </row>
    <row r="712" spans="2:47" x14ac:dyDescent="0.25">
      <c r="B712" s="39"/>
      <c r="C712" s="39"/>
      <c r="D712" s="40"/>
      <c r="E712" s="39"/>
      <c r="F712" s="39"/>
      <c r="G712" s="41"/>
      <c r="H712" s="42" t="str">
        <f t="shared" si="34"/>
        <v/>
      </c>
      <c r="I712" s="42" t="str">
        <f t="shared" si="35"/>
        <v/>
      </c>
      <c r="J712" s="43" t="str">
        <f t="shared" si="36"/>
        <v/>
      </c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44"/>
      <c r="AN712" s="44"/>
      <c r="AO712" s="44"/>
      <c r="AP712" s="44"/>
      <c r="AQ712" s="44"/>
      <c r="AR712" s="44"/>
      <c r="AS712" s="45"/>
      <c r="AT712" s="45"/>
      <c r="AU712" s="45"/>
    </row>
    <row r="713" spans="2:47" x14ac:dyDescent="0.25">
      <c r="B713" s="39"/>
      <c r="C713" s="39"/>
      <c r="D713" s="40"/>
      <c r="E713" s="39"/>
      <c r="F713" s="39"/>
      <c r="G713" s="41"/>
      <c r="H713" s="42" t="str">
        <f t="shared" si="34"/>
        <v/>
      </c>
      <c r="I713" s="42" t="str">
        <f t="shared" si="35"/>
        <v/>
      </c>
      <c r="J713" s="43" t="str">
        <f t="shared" si="36"/>
        <v/>
      </c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44"/>
      <c r="AN713" s="44"/>
      <c r="AO713" s="44"/>
      <c r="AP713" s="44"/>
      <c r="AQ713" s="44"/>
      <c r="AR713" s="44"/>
      <c r="AS713" s="45"/>
      <c r="AT713" s="45"/>
      <c r="AU713" s="45"/>
    </row>
    <row r="714" spans="2:47" x14ac:dyDescent="0.25">
      <c r="B714" s="39"/>
      <c r="C714" s="39"/>
      <c r="D714" s="40"/>
      <c r="E714" s="39"/>
      <c r="F714" s="39"/>
      <c r="G714" s="41"/>
      <c r="H714" s="42" t="str">
        <f t="shared" si="34"/>
        <v/>
      </c>
      <c r="I714" s="42" t="str">
        <f t="shared" si="35"/>
        <v/>
      </c>
      <c r="J714" s="43" t="str">
        <f t="shared" si="36"/>
        <v/>
      </c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44"/>
      <c r="AN714" s="44"/>
      <c r="AO714" s="44"/>
      <c r="AP714" s="44"/>
      <c r="AQ714" s="44"/>
      <c r="AR714" s="44"/>
      <c r="AS714" s="45"/>
      <c r="AT714" s="45"/>
      <c r="AU714" s="45"/>
    </row>
    <row r="715" spans="2:47" x14ac:dyDescent="0.25">
      <c r="B715" s="39"/>
      <c r="C715" s="39"/>
      <c r="D715" s="40"/>
      <c r="E715" s="39"/>
      <c r="F715" s="39"/>
      <c r="G715" s="41"/>
      <c r="H715" s="42" t="str">
        <f t="shared" si="34"/>
        <v/>
      </c>
      <c r="I715" s="42" t="str">
        <f t="shared" si="35"/>
        <v/>
      </c>
      <c r="J715" s="43" t="str">
        <f t="shared" si="36"/>
        <v/>
      </c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44"/>
      <c r="AN715" s="44"/>
      <c r="AO715" s="44"/>
      <c r="AP715" s="44"/>
      <c r="AQ715" s="44"/>
      <c r="AR715" s="44"/>
      <c r="AS715" s="45"/>
      <c r="AT715" s="45"/>
      <c r="AU715" s="45"/>
    </row>
    <row r="716" spans="2:47" x14ac:dyDescent="0.25">
      <c r="B716" s="39"/>
      <c r="C716" s="39"/>
      <c r="D716" s="40"/>
      <c r="E716" s="39"/>
      <c r="F716" s="39"/>
      <c r="G716" s="41"/>
      <c r="H716" s="42" t="str">
        <f t="shared" si="34"/>
        <v/>
      </c>
      <c r="I716" s="42" t="str">
        <f t="shared" si="35"/>
        <v/>
      </c>
      <c r="J716" s="43" t="str">
        <f t="shared" si="36"/>
        <v/>
      </c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44"/>
      <c r="AN716" s="44"/>
      <c r="AO716" s="44"/>
      <c r="AP716" s="44"/>
      <c r="AQ716" s="44"/>
      <c r="AR716" s="44"/>
      <c r="AS716" s="45"/>
      <c r="AT716" s="45"/>
      <c r="AU716" s="45"/>
    </row>
    <row r="717" spans="2:47" x14ac:dyDescent="0.25">
      <c r="B717" s="39"/>
      <c r="C717" s="39"/>
      <c r="D717" s="40"/>
      <c r="E717" s="39"/>
      <c r="F717" s="39"/>
      <c r="G717" s="41"/>
      <c r="H717" s="42" t="str">
        <f t="shared" si="34"/>
        <v/>
      </c>
      <c r="I717" s="42" t="str">
        <f t="shared" si="35"/>
        <v/>
      </c>
      <c r="J717" s="43" t="str">
        <f t="shared" si="36"/>
        <v/>
      </c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44"/>
      <c r="AN717" s="44"/>
      <c r="AO717" s="44"/>
      <c r="AP717" s="44"/>
      <c r="AQ717" s="44"/>
      <c r="AR717" s="44"/>
      <c r="AS717" s="45"/>
      <c r="AT717" s="45"/>
      <c r="AU717" s="45"/>
    </row>
    <row r="718" spans="2:47" x14ac:dyDescent="0.25">
      <c r="B718" s="39"/>
      <c r="C718" s="39"/>
      <c r="D718" s="40"/>
      <c r="E718" s="39"/>
      <c r="F718" s="39"/>
      <c r="G718" s="41"/>
      <c r="H718" s="42" t="str">
        <f t="shared" si="34"/>
        <v/>
      </c>
      <c r="I718" s="42" t="str">
        <f t="shared" si="35"/>
        <v/>
      </c>
      <c r="J718" s="43" t="str">
        <f t="shared" si="36"/>
        <v/>
      </c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44"/>
      <c r="AN718" s="44"/>
      <c r="AO718" s="44"/>
      <c r="AP718" s="44"/>
      <c r="AQ718" s="44"/>
      <c r="AR718" s="44"/>
      <c r="AS718" s="45"/>
      <c r="AT718" s="45"/>
      <c r="AU718" s="45"/>
    </row>
    <row r="719" spans="2:47" x14ac:dyDescent="0.25">
      <c r="B719" s="39"/>
      <c r="C719" s="39"/>
      <c r="D719" s="40"/>
      <c r="E719" s="39"/>
      <c r="F719" s="39"/>
      <c r="G719" s="41"/>
      <c r="H719" s="42" t="str">
        <f t="shared" si="34"/>
        <v/>
      </c>
      <c r="I719" s="42" t="str">
        <f t="shared" si="35"/>
        <v/>
      </c>
      <c r="J719" s="43" t="str">
        <f t="shared" si="36"/>
        <v/>
      </c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44"/>
      <c r="AN719" s="44"/>
      <c r="AO719" s="44"/>
      <c r="AP719" s="44"/>
      <c r="AQ719" s="44"/>
      <c r="AR719" s="44"/>
      <c r="AS719" s="45"/>
      <c r="AT719" s="45"/>
      <c r="AU719" s="45"/>
    </row>
    <row r="720" spans="2:47" x14ac:dyDescent="0.25">
      <c r="B720" s="39"/>
      <c r="C720" s="39"/>
      <c r="D720" s="40"/>
      <c r="E720" s="39"/>
      <c r="F720" s="39"/>
      <c r="G720" s="41"/>
      <c r="H720" s="42" t="str">
        <f t="shared" si="34"/>
        <v/>
      </c>
      <c r="I720" s="42" t="str">
        <f t="shared" si="35"/>
        <v/>
      </c>
      <c r="J720" s="43" t="str">
        <f t="shared" si="36"/>
        <v/>
      </c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44"/>
      <c r="AN720" s="44"/>
      <c r="AO720" s="44"/>
      <c r="AP720" s="44"/>
      <c r="AQ720" s="44"/>
      <c r="AR720" s="44"/>
      <c r="AS720" s="45"/>
      <c r="AT720" s="45"/>
      <c r="AU720" s="45"/>
    </row>
    <row r="721" spans="2:47" x14ac:dyDescent="0.25">
      <c r="B721" s="39"/>
      <c r="C721" s="39"/>
      <c r="D721" s="40"/>
      <c r="E721" s="39"/>
      <c r="F721" s="39"/>
      <c r="G721" s="41"/>
      <c r="H721" s="42" t="str">
        <f t="shared" si="34"/>
        <v/>
      </c>
      <c r="I721" s="42" t="str">
        <f t="shared" si="35"/>
        <v/>
      </c>
      <c r="J721" s="43" t="str">
        <f t="shared" si="36"/>
        <v/>
      </c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44"/>
      <c r="AN721" s="44"/>
      <c r="AO721" s="44"/>
      <c r="AP721" s="44"/>
      <c r="AQ721" s="44"/>
      <c r="AR721" s="44"/>
      <c r="AS721" s="45"/>
      <c r="AT721" s="45"/>
      <c r="AU721" s="45"/>
    </row>
    <row r="722" spans="2:47" x14ac:dyDescent="0.25">
      <c r="B722" s="39"/>
      <c r="C722" s="39"/>
      <c r="D722" s="40"/>
      <c r="E722" s="39"/>
      <c r="F722" s="39"/>
      <c r="G722" s="41"/>
      <c r="H722" s="42" t="str">
        <f t="shared" si="34"/>
        <v/>
      </c>
      <c r="I722" s="42" t="str">
        <f t="shared" si="35"/>
        <v/>
      </c>
      <c r="J722" s="43" t="str">
        <f t="shared" si="36"/>
        <v/>
      </c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44"/>
      <c r="AN722" s="44"/>
      <c r="AO722" s="44"/>
      <c r="AP722" s="44"/>
      <c r="AQ722" s="44"/>
      <c r="AR722" s="44"/>
      <c r="AS722" s="45"/>
      <c r="AT722" s="45"/>
      <c r="AU722" s="45"/>
    </row>
    <row r="723" spans="2:47" x14ac:dyDescent="0.25">
      <c r="B723" s="39"/>
      <c r="C723" s="39"/>
      <c r="D723" s="40"/>
      <c r="E723" s="39"/>
      <c r="F723" s="39"/>
      <c r="G723" s="41"/>
      <c r="H723" s="42" t="str">
        <f t="shared" si="34"/>
        <v/>
      </c>
      <c r="I723" s="42" t="str">
        <f t="shared" si="35"/>
        <v/>
      </c>
      <c r="J723" s="43" t="str">
        <f t="shared" si="36"/>
        <v/>
      </c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44"/>
      <c r="AN723" s="44"/>
      <c r="AO723" s="44"/>
      <c r="AP723" s="44"/>
      <c r="AQ723" s="44"/>
      <c r="AR723" s="44"/>
      <c r="AS723" s="45"/>
      <c r="AT723" s="45"/>
      <c r="AU723" s="45"/>
    </row>
    <row r="724" spans="2:47" x14ac:dyDescent="0.25">
      <c r="B724" s="39"/>
      <c r="C724" s="39"/>
      <c r="D724" s="40"/>
      <c r="E724" s="39"/>
      <c r="F724" s="39"/>
      <c r="G724" s="41"/>
      <c r="H724" s="42" t="str">
        <f t="shared" si="34"/>
        <v/>
      </c>
      <c r="I724" s="42" t="str">
        <f t="shared" si="35"/>
        <v/>
      </c>
      <c r="J724" s="43" t="str">
        <f t="shared" si="36"/>
        <v/>
      </c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44"/>
      <c r="AN724" s="44"/>
      <c r="AO724" s="44"/>
      <c r="AP724" s="44"/>
      <c r="AQ724" s="44"/>
      <c r="AR724" s="44"/>
      <c r="AS724" s="45"/>
      <c r="AT724" s="45"/>
      <c r="AU724" s="45"/>
    </row>
    <row r="725" spans="2:47" x14ac:dyDescent="0.25">
      <c r="B725" s="39"/>
      <c r="C725" s="39"/>
      <c r="D725" s="40"/>
      <c r="E725" s="39"/>
      <c r="F725" s="39"/>
      <c r="G725" s="41"/>
      <c r="H725" s="42" t="str">
        <f t="shared" si="34"/>
        <v/>
      </c>
      <c r="I725" s="42" t="str">
        <f t="shared" si="35"/>
        <v/>
      </c>
      <c r="J725" s="43" t="str">
        <f t="shared" si="36"/>
        <v/>
      </c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44"/>
      <c r="AN725" s="44"/>
      <c r="AO725" s="44"/>
      <c r="AP725" s="44"/>
      <c r="AQ725" s="44"/>
      <c r="AR725" s="44"/>
      <c r="AS725" s="45"/>
      <c r="AT725" s="45"/>
      <c r="AU725" s="45"/>
    </row>
    <row r="726" spans="2:47" x14ac:dyDescent="0.25">
      <c r="B726" s="39"/>
      <c r="C726" s="39"/>
      <c r="D726" s="40"/>
      <c r="E726" s="39"/>
      <c r="F726" s="39"/>
      <c r="G726" s="41"/>
      <c r="H726" s="42" t="str">
        <f t="shared" si="34"/>
        <v/>
      </c>
      <c r="I726" s="42" t="str">
        <f t="shared" si="35"/>
        <v/>
      </c>
      <c r="J726" s="43" t="str">
        <f t="shared" si="36"/>
        <v/>
      </c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44"/>
      <c r="AN726" s="44"/>
      <c r="AO726" s="44"/>
      <c r="AP726" s="44"/>
      <c r="AQ726" s="44"/>
      <c r="AR726" s="44"/>
      <c r="AS726" s="45"/>
      <c r="AT726" s="45"/>
      <c r="AU726" s="45"/>
    </row>
    <row r="727" spans="2:47" x14ac:dyDescent="0.25">
      <c r="B727" s="39"/>
      <c r="C727" s="39"/>
      <c r="D727" s="40"/>
      <c r="E727" s="39"/>
      <c r="F727" s="39"/>
      <c r="G727" s="41"/>
      <c r="H727" s="42" t="str">
        <f t="shared" si="34"/>
        <v/>
      </c>
      <c r="I727" s="42" t="str">
        <f t="shared" si="35"/>
        <v/>
      </c>
      <c r="J727" s="43" t="str">
        <f t="shared" si="36"/>
        <v/>
      </c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44"/>
      <c r="AN727" s="44"/>
      <c r="AO727" s="44"/>
      <c r="AP727" s="44"/>
      <c r="AQ727" s="44"/>
      <c r="AR727" s="44"/>
      <c r="AS727" s="45"/>
      <c r="AT727" s="45"/>
      <c r="AU727" s="45"/>
    </row>
    <row r="728" spans="2:47" x14ac:dyDescent="0.25">
      <c r="B728" s="39"/>
      <c r="C728" s="39"/>
      <c r="D728" s="40"/>
      <c r="E728" s="39"/>
      <c r="F728" s="39"/>
      <c r="G728" s="41"/>
      <c r="H728" s="42" t="str">
        <f t="shared" si="34"/>
        <v/>
      </c>
      <c r="I728" s="42" t="str">
        <f t="shared" si="35"/>
        <v/>
      </c>
      <c r="J728" s="43" t="str">
        <f t="shared" si="36"/>
        <v/>
      </c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44"/>
      <c r="AN728" s="44"/>
      <c r="AO728" s="44"/>
      <c r="AP728" s="44"/>
      <c r="AQ728" s="44"/>
      <c r="AR728" s="44"/>
      <c r="AS728" s="45"/>
      <c r="AT728" s="45"/>
      <c r="AU728" s="45"/>
    </row>
    <row r="729" spans="2:47" x14ac:dyDescent="0.25">
      <c r="B729" s="39"/>
      <c r="C729" s="39"/>
      <c r="D729" s="40"/>
      <c r="E729" s="39"/>
      <c r="F729" s="39"/>
      <c r="G729" s="41"/>
      <c r="H729" s="42" t="str">
        <f t="shared" si="34"/>
        <v/>
      </c>
      <c r="I729" s="42" t="str">
        <f t="shared" si="35"/>
        <v/>
      </c>
      <c r="J729" s="43" t="str">
        <f t="shared" si="36"/>
        <v/>
      </c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44"/>
      <c r="AN729" s="44"/>
      <c r="AO729" s="44"/>
      <c r="AP729" s="44"/>
      <c r="AQ729" s="44"/>
      <c r="AR729" s="44"/>
      <c r="AS729" s="45"/>
      <c r="AT729" s="45"/>
      <c r="AU729" s="45"/>
    </row>
    <row r="730" spans="2:47" x14ac:dyDescent="0.25">
      <c r="B730" s="39"/>
      <c r="C730" s="39"/>
      <c r="D730" s="40"/>
      <c r="E730" s="39"/>
      <c r="F730" s="39"/>
      <c r="G730" s="41"/>
      <c r="H730" s="42" t="str">
        <f t="shared" si="34"/>
        <v/>
      </c>
      <c r="I730" s="42" t="str">
        <f t="shared" si="35"/>
        <v/>
      </c>
      <c r="J730" s="43" t="str">
        <f t="shared" si="36"/>
        <v/>
      </c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44"/>
      <c r="AN730" s="44"/>
      <c r="AO730" s="44"/>
      <c r="AP730" s="44"/>
      <c r="AQ730" s="44"/>
      <c r="AR730" s="44"/>
      <c r="AS730" s="45"/>
      <c r="AT730" s="45"/>
      <c r="AU730" s="45"/>
    </row>
    <row r="731" spans="2:47" x14ac:dyDescent="0.25">
      <c r="B731" s="39"/>
      <c r="C731" s="39"/>
      <c r="D731" s="40"/>
      <c r="E731" s="39"/>
      <c r="F731" s="39"/>
      <c r="G731" s="41"/>
      <c r="H731" s="42" t="str">
        <f t="shared" si="34"/>
        <v/>
      </c>
      <c r="I731" s="42" t="str">
        <f t="shared" si="35"/>
        <v/>
      </c>
      <c r="J731" s="43" t="str">
        <f t="shared" si="36"/>
        <v/>
      </c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44"/>
      <c r="AN731" s="44"/>
      <c r="AO731" s="44"/>
      <c r="AP731" s="44"/>
      <c r="AQ731" s="44"/>
      <c r="AR731" s="44"/>
      <c r="AS731" s="45"/>
      <c r="AT731" s="45"/>
      <c r="AU731" s="45"/>
    </row>
    <row r="732" spans="2:47" x14ac:dyDescent="0.25">
      <c r="B732" s="39"/>
      <c r="C732" s="39"/>
      <c r="D732" s="40"/>
      <c r="E732" s="39"/>
      <c r="F732" s="39"/>
      <c r="G732" s="41"/>
      <c r="H732" s="42" t="str">
        <f t="shared" si="34"/>
        <v/>
      </c>
      <c r="I732" s="42" t="str">
        <f t="shared" si="35"/>
        <v/>
      </c>
      <c r="J732" s="43" t="str">
        <f t="shared" si="36"/>
        <v/>
      </c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44"/>
      <c r="AN732" s="44"/>
      <c r="AO732" s="44"/>
      <c r="AP732" s="44"/>
      <c r="AQ732" s="44"/>
      <c r="AR732" s="44"/>
      <c r="AS732" s="45"/>
      <c r="AT732" s="45"/>
      <c r="AU732" s="45"/>
    </row>
    <row r="733" spans="2:47" x14ac:dyDescent="0.25">
      <c r="B733" s="39"/>
      <c r="C733" s="39"/>
      <c r="D733" s="40"/>
      <c r="E733" s="39"/>
      <c r="F733" s="39"/>
      <c r="G733" s="41"/>
      <c r="H733" s="42" t="str">
        <f t="shared" si="34"/>
        <v/>
      </c>
      <c r="I733" s="42" t="str">
        <f t="shared" si="35"/>
        <v/>
      </c>
      <c r="J733" s="43" t="str">
        <f t="shared" si="36"/>
        <v/>
      </c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44"/>
      <c r="AN733" s="44"/>
      <c r="AO733" s="44"/>
      <c r="AP733" s="44"/>
      <c r="AQ733" s="44"/>
      <c r="AR733" s="44"/>
      <c r="AS733" s="45"/>
      <c r="AT733" s="45"/>
      <c r="AU733" s="45"/>
    </row>
    <row r="734" spans="2:47" x14ac:dyDescent="0.25">
      <c r="B734" s="39"/>
      <c r="C734" s="39"/>
      <c r="D734" s="40"/>
      <c r="E734" s="39"/>
      <c r="F734" s="39"/>
      <c r="G734" s="41"/>
      <c r="H734" s="42" t="str">
        <f t="shared" si="34"/>
        <v/>
      </c>
      <c r="I734" s="42" t="str">
        <f t="shared" si="35"/>
        <v/>
      </c>
      <c r="J734" s="43" t="str">
        <f t="shared" si="36"/>
        <v/>
      </c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44"/>
      <c r="AN734" s="44"/>
      <c r="AO734" s="44"/>
      <c r="AP734" s="44"/>
      <c r="AQ734" s="44"/>
      <c r="AR734" s="44"/>
      <c r="AS734" s="45"/>
      <c r="AT734" s="45"/>
      <c r="AU734" s="45"/>
    </row>
    <row r="735" spans="2:47" x14ac:dyDescent="0.25">
      <c r="B735" s="39"/>
      <c r="C735" s="39"/>
      <c r="D735" s="40"/>
      <c r="E735" s="39"/>
      <c r="F735" s="39"/>
      <c r="G735" s="41"/>
      <c r="H735" s="42" t="str">
        <f t="shared" si="34"/>
        <v/>
      </c>
      <c r="I735" s="42" t="str">
        <f t="shared" si="35"/>
        <v/>
      </c>
      <c r="J735" s="43" t="str">
        <f t="shared" si="36"/>
        <v/>
      </c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44"/>
      <c r="AN735" s="44"/>
      <c r="AO735" s="44"/>
      <c r="AP735" s="44"/>
      <c r="AQ735" s="44"/>
      <c r="AR735" s="44"/>
      <c r="AS735" s="45"/>
      <c r="AT735" s="45"/>
      <c r="AU735" s="45"/>
    </row>
    <row r="736" spans="2:47" x14ac:dyDescent="0.25">
      <c r="B736" s="39"/>
      <c r="C736" s="39"/>
      <c r="D736" s="40"/>
      <c r="E736" s="39"/>
      <c r="F736" s="39"/>
      <c r="G736" s="41"/>
      <c r="H736" s="42" t="str">
        <f t="shared" si="34"/>
        <v/>
      </c>
      <c r="I736" s="42" t="str">
        <f t="shared" si="35"/>
        <v/>
      </c>
      <c r="J736" s="43" t="str">
        <f t="shared" si="36"/>
        <v/>
      </c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44"/>
      <c r="AN736" s="44"/>
      <c r="AO736" s="44"/>
      <c r="AP736" s="44"/>
      <c r="AQ736" s="44"/>
      <c r="AR736" s="44"/>
      <c r="AS736" s="45"/>
      <c r="AT736" s="45"/>
      <c r="AU736" s="45"/>
    </row>
    <row r="737" spans="2:47" x14ac:dyDescent="0.25">
      <c r="B737" s="39"/>
      <c r="C737" s="39"/>
      <c r="D737" s="40"/>
      <c r="E737" s="39"/>
      <c r="F737" s="39"/>
      <c r="G737" s="41"/>
      <c r="H737" s="42" t="str">
        <f t="shared" si="34"/>
        <v/>
      </c>
      <c r="I737" s="42" t="str">
        <f t="shared" si="35"/>
        <v/>
      </c>
      <c r="J737" s="43" t="str">
        <f t="shared" si="36"/>
        <v/>
      </c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44"/>
      <c r="AN737" s="44"/>
      <c r="AO737" s="44"/>
      <c r="AP737" s="44"/>
      <c r="AQ737" s="44"/>
      <c r="AR737" s="44"/>
      <c r="AS737" s="45"/>
      <c r="AT737" s="45"/>
      <c r="AU737" s="45"/>
    </row>
    <row r="738" spans="2:47" x14ac:dyDescent="0.25">
      <c r="B738" s="39"/>
      <c r="C738" s="39"/>
      <c r="D738" s="40"/>
      <c r="E738" s="39"/>
      <c r="F738" s="39"/>
      <c r="G738" s="41"/>
      <c r="H738" s="42" t="str">
        <f t="shared" si="34"/>
        <v/>
      </c>
      <c r="I738" s="42" t="str">
        <f t="shared" si="35"/>
        <v/>
      </c>
      <c r="J738" s="43" t="str">
        <f t="shared" si="36"/>
        <v/>
      </c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44"/>
      <c r="AN738" s="44"/>
      <c r="AO738" s="44"/>
      <c r="AP738" s="44"/>
      <c r="AQ738" s="44"/>
      <c r="AR738" s="44"/>
      <c r="AS738" s="45"/>
      <c r="AT738" s="45"/>
      <c r="AU738" s="45"/>
    </row>
    <row r="739" spans="2:47" x14ac:dyDescent="0.25">
      <c r="B739" s="39"/>
      <c r="C739" s="39"/>
      <c r="D739" s="40"/>
      <c r="E739" s="39"/>
      <c r="F739" s="39"/>
      <c r="G739" s="41"/>
      <c r="H739" s="42" t="str">
        <f t="shared" si="34"/>
        <v/>
      </c>
      <c r="I739" s="42" t="str">
        <f t="shared" si="35"/>
        <v/>
      </c>
      <c r="J739" s="43" t="str">
        <f t="shared" si="36"/>
        <v/>
      </c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44"/>
      <c r="AN739" s="44"/>
      <c r="AO739" s="44"/>
      <c r="AP739" s="44"/>
      <c r="AQ739" s="44"/>
      <c r="AR739" s="44"/>
      <c r="AS739" s="45"/>
      <c r="AT739" s="45"/>
      <c r="AU739" s="45"/>
    </row>
    <row r="740" spans="2:47" x14ac:dyDescent="0.25">
      <c r="B740" s="39"/>
      <c r="C740" s="39"/>
      <c r="D740" s="40"/>
      <c r="E740" s="39"/>
      <c r="F740" s="39"/>
      <c r="G740" s="41"/>
      <c r="H740" s="42" t="str">
        <f t="shared" si="34"/>
        <v/>
      </c>
      <c r="I740" s="42" t="str">
        <f t="shared" si="35"/>
        <v/>
      </c>
      <c r="J740" s="43" t="str">
        <f t="shared" si="36"/>
        <v/>
      </c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44"/>
      <c r="AN740" s="44"/>
      <c r="AO740" s="44"/>
      <c r="AP740" s="44"/>
      <c r="AQ740" s="44"/>
      <c r="AR740" s="44"/>
      <c r="AS740" s="45"/>
      <c r="AT740" s="45"/>
      <c r="AU740" s="45"/>
    </row>
    <row r="741" spans="2:47" x14ac:dyDescent="0.25">
      <c r="B741" s="39"/>
      <c r="C741" s="39"/>
      <c r="D741" s="40"/>
      <c r="E741" s="39"/>
      <c r="F741" s="39"/>
      <c r="G741" s="41"/>
      <c r="H741" s="42" t="str">
        <f t="shared" si="34"/>
        <v/>
      </c>
      <c r="I741" s="42" t="str">
        <f t="shared" si="35"/>
        <v/>
      </c>
      <c r="J741" s="43" t="str">
        <f t="shared" si="36"/>
        <v/>
      </c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44"/>
      <c r="AN741" s="44"/>
      <c r="AO741" s="44"/>
      <c r="AP741" s="44"/>
      <c r="AQ741" s="44"/>
      <c r="AR741" s="44"/>
      <c r="AS741" s="45"/>
      <c r="AT741" s="45"/>
      <c r="AU741" s="45"/>
    </row>
    <row r="742" spans="2:47" x14ac:dyDescent="0.25">
      <c r="B742" s="39"/>
      <c r="C742" s="39"/>
      <c r="D742" s="40"/>
      <c r="E742" s="39"/>
      <c r="F742" s="39"/>
      <c r="G742" s="41"/>
      <c r="H742" s="42" t="str">
        <f t="shared" si="34"/>
        <v/>
      </c>
      <c r="I742" s="42" t="str">
        <f t="shared" si="35"/>
        <v/>
      </c>
      <c r="J742" s="43" t="str">
        <f t="shared" si="36"/>
        <v/>
      </c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44"/>
      <c r="AN742" s="44"/>
      <c r="AO742" s="44"/>
      <c r="AP742" s="44"/>
      <c r="AQ742" s="44"/>
      <c r="AR742" s="44"/>
      <c r="AS742" s="45"/>
      <c r="AT742" s="45"/>
      <c r="AU742" s="45"/>
    </row>
    <row r="743" spans="2:47" x14ac:dyDescent="0.25">
      <c r="B743" s="39"/>
      <c r="C743" s="39"/>
      <c r="D743" s="40"/>
      <c r="E743" s="39"/>
      <c r="F743" s="39"/>
      <c r="G743" s="41"/>
      <c r="H743" s="42" t="str">
        <f t="shared" si="34"/>
        <v/>
      </c>
      <c r="I743" s="42" t="str">
        <f t="shared" si="35"/>
        <v/>
      </c>
      <c r="J743" s="43" t="str">
        <f t="shared" si="36"/>
        <v/>
      </c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44"/>
      <c r="AN743" s="44"/>
      <c r="AO743" s="44"/>
      <c r="AP743" s="44"/>
      <c r="AQ743" s="44"/>
      <c r="AR743" s="44"/>
      <c r="AS743" s="45"/>
      <c r="AT743" s="45"/>
      <c r="AU743" s="45"/>
    </row>
    <row r="744" spans="2:47" x14ac:dyDescent="0.25">
      <c r="B744" s="39"/>
      <c r="C744" s="39"/>
      <c r="D744" s="40"/>
      <c r="E744" s="39"/>
      <c r="F744" s="39"/>
      <c r="G744" s="41"/>
      <c r="H744" s="42" t="str">
        <f t="shared" si="34"/>
        <v/>
      </c>
      <c r="I744" s="42" t="str">
        <f t="shared" si="35"/>
        <v/>
      </c>
      <c r="J744" s="43" t="str">
        <f t="shared" si="36"/>
        <v/>
      </c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44"/>
      <c r="AN744" s="44"/>
      <c r="AO744" s="44"/>
      <c r="AP744" s="44"/>
      <c r="AQ744" s="44"/>
      <c r="AR744" s="44"/>
      <c r="AS744" s="45"/>
      <c r="AT744" s="45"/>
      <c r="AU744" s="45"/>
    </row>
    <row r="745" spans="2:47" x14ac:dyDescent="0.25">
      <c r="B745" s="39"/>
      <c r="C745" s="39"/>
      <c r="D745" s="40"/>
      <c r="E745" s="39"/>
      <c r="F745" s="39"/>
      <c r="G745" s="41"/>
      <c r="H745" s="42" t="str">
        <f t="shared" si="34"/>
        <v/>
      </c>
      <c r="I745" s="42" t="str">
        <f t="shared" si="35"/>
        <v/>
      </c>
      <c r="J745" s="43" t="str">
        <f t="shared" si="36"/>
        <v/>
      </c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44"/>
      <c r="AN745" s="44"/>
      <c r="AO745" s="44"/>
      <c r="AP745" s="44"/>
      <c r="AQ745" s="44"/>
      <c r="AR745" s="44"/>
      <c r="AS745" s="45"/>
      <c r="AT745" s="45"/>
      <c r="AU745" s="45"/>
    </row>
    <row r="746" spans="2:47" x14ac:dyDescent="0.25">
      <c r="B746" s="39"/>
      <c r="C746" s="39"/>
      <c r="D746" s="40"/>
      <c r="E746" s="39"/>
      <c r="F746" s="39"/>
      <c r="G746" s="41"/>
      <c r="H746" s="42" t="str">
        <f t="shared" si="34"/>
        <v/>
      </c>
      <c r="I746" s="42" t="str">
        <f t="shared" si="35"/>
        <v/>
      </c>
      <c r="J746" s="43" t="str">
        <f t="shared" si="36"/>
        <v/>
      </c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44"/>
      <c r="AN746" s="44"/>
      <c r="AO746" s="44"/>
      <c r="AP746" s="44"/>
      <c r="AQ746" s="44"/>
      <c r="AR746" s="44"/>
      <c r="AS746" s="45"/>
      <c r="AT746" s="45"/>
      <c r="AU746" s="45"/>
    </row>
    <row r="747" spans="2:47" x14ac:dyDescent="0.25">
      <c r="B747" s="39"/>
      <c r="C747" s="39"/>
      <c r="D747" s="40"/>
      <c r="E747" s="39"/>
      <c r="F747" s="39"/>
      <c r="G747" s="41"/>
      <c r="H747" s="42" t="str">
        <f t="shared" si="34"/>
        <v/>
      </c>
      <c r="I747" s="42" t="str">
        <f t="shared" si="35"/>
        <v/>
      </c>
      <c r="J747" s="43" t="str">
        <f t="shared" si="36"/>
        <v/>
      </c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44"/>
      <c r="AN747" s="44"/>
      <c r="AO747" s="44"/>
      <c r="AP747" s="44"/>
      <c r="AQ747" s="44"/>
      <c r="AR747" s="44"/>
      <c r="AS747" s="45"/>
      <c r="AT747" s="45"/>
      <c r="AU747" s="45"/>
    </row>
    <row r="748" spans="2:47" x14ac:dyDescent="0.25">
      <c r="B748" s="39"/>
      <c r="C748" s="39"/>
      <c r="D748" s="40"/>
      <c r="E748" s="39"/>
      <c r="F748" s="39"/>
      <c r="G748" s="41"/>
      <c r="H748" s="42" t="str">
        <f t="shared" si="34"/>
        <v/>
      </c>
      <c r="I748" s="42" t="str">
        <f t="shared" si="35"/>
        <v/>
      </c>
      <c r="J748" s="43" t="str">
        <f t="shared" si="36"/>
        <v/>
      </c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44"/>
      <c r="AN748" s="44"/>
      <c r="AO748" s="44"/>
      <c r="AP748" s="44"/>
      <c r="AQ748" s="44"/>
      <c r="AR748" s="44"/>
      <c r="AS748" s="45"/>
      <c r="AT748" s="45"/>
      <c r="AU748" s="45"/>
    </row>
    <row r="749" spans="2:47" x14ac:dyDescent="0.25">
      <c r="B749" s="39"/>
      <c r="C749" s="39"/>
      <c r="D749" s="40"/>
      <c r="E749" s="39"/>
      <c r="F749" s="39"/>
      <c r="G749" s="41"/>
      <c r="H749" s="42" t="str">
        <f t="shared" si="34"/>
        <v/>
      </c>
      <c r="I749" s="42" t="str">
        <f t="shared" si="35"/>
        <v/>
      </c>
      <c r="J749" s="43" t="str">
        <f t="shared" si="36"/>
        <v/>
      </c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44"/>
      <c r="AN749" s="44"/>
      <c r="AO749" s="44"/>
      <c r="AP749" s="44"/>
      <c r="AQ749" s="44"/>
      <c r="AR749" s="44"/>
      <c r="AS749" s="45"/>
      <c r="AT749" s="45"/>
      <c r="AU749" s="45"/>
    </row>
    <row r="750" spans="2:47" x14ac:dyDescent="0.25">
      <c r="B750" s="39"/>
      <c r="C750" s="39"/>
      <c r="D750" s="40"/>
      <c r="E750" s="39"/>
      <c r="F750" s="39"/>
      <c r="G750" s="41"/>
      <c r="H750" s="42" t="str">
        <f t="shared" si="34"/>
        <v/>
      </c>
      <c r="I750" s="42" t="str">
        <f t="shared" si="35"/>
        <v/>
      </c>
      <c r="J750" s="43" t="str">
        <f t="shared" si="36"/>
        <v/>
      </c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44"/>
      <c r="AN750" s="44"/>
      <c r="AO750" s="44"/>
      <c r="AP750" s="44"/>
      <c r="AQ750" s="44"/>
      <c r="AR750" s="44"/>
      <c r="AS750" s="45"/>
      <c r="AT750" s="45"/>
      <c r="AU750" s="45"/>
    </row>
    <row r="751" spans="2:47" x14ac:dyDescent="0.25">
      <c r="B751" s="39"/>
      <c r="C751" s="39"/>
      <c r="D751" s="40"/>
      <c r="E751" s="39"/>
      <c r="F751" s="39"/>
      <c r="G751" s="41"/>
      <c r="H751" s="42" t="str">
        <f t="shared" si="34"/>
        <v/>
      </c>
      <c r="I751" s="42" t="str">
        <f t="shared" si="35"/>
        <v/>
      </c>
      <c r="J751" s="43" t="str">
        <f t="shared" si="36"/>
        <v/>
      </c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44"/>
      <c r="AN751" s="44"/>
      <c r="AO751" s="44"/>
      <c r="AP751" s="44"/>
      <c r="AQ751" s="44"/>
      <c r="AR751" s="44"/>
      <c r="AS751" s="45"/>
      <c r="AT751" s="45"/>
      <c r="AU751" s="45"/>
    </row>
    <row r="752" spans="2:47" x14ac:dyDescent="0.25">
      <c r="B752" s="39"/>
      <c r="C752" s="39"/>
      <c r="D752" s="40"/>
      <c r="E752" s="39"/>
      <c r="F752" s="39"/>
      <c r="G752" s="41"/>
      <c r="H752" s="42" t="str">
        <f t="shared" si="34"/>
        <v/>
      </c>
      <c r="I752" s="42" t="str">
        <f t="shared" si="35"/>
        <v/>
      </c>
      <c r="J752" s="43" t="str">
        <f t="shared" si="36"/>
        <v/>
      </c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44"/>
      <c r="AN752" s="44"/>
      <c r="AO752" s="44"/>
      <c r="AP752" s="44"/>
      <c r="AQ752" s="44"/>
      <c r="AR752" s="44"/>
      <c r="AS752" s="45"/>
      <c r="AT752" s="45"/>
      <c r="AU752" s="45"/>
    </row>
    <row r="753" spans="2:47" x14ac:dyDescent="0.25">
      <c r="B753" s="39"/>
      <c r="C753" s="39"/>
      <c r="D753" s="40"/>
      <c r="E753" s="39"/>
      <c r="F753" s="39"/>
      <c r="G753" s="41"/>
      <c r="H753" s="42" t="str">
        <f t="shared" si="34"/>
        <v/>
      </c>
      <c r="I753" s="42" t="str">
        <f t="shared" si="35"/>
        <v/>
      </c>
      <c r="J753" s="43" t="str">
        <f t="shared" si="36"/>
        <v/>
      </c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44"/>
      <c r="AN753" s="44"/>
      <c r="AO753" s="44"/>
      <c r="AP753" s="44"/>
      <c r="AQ753" s="44"/>
      <c r="AR753" s="44"/>
      <c r="AS753" s="45"/>
      <c r="AT753" s="45"/>
      <c r="AU753" s="45"/>
    </row>
    <row r="754" spans="2:47" x14ac:dyDescent="0.25">
      <c r="B754" s="39"/>
      <c r="C754" s="39"/>
      <c r="D754" s="40"/>
      <c r="E754" s="39"/>
      <c r="F754" s="39"/>
      <c r="G754" s="41"/>
      <c r="H754" s="42" t="str">
        <f t="shared" si="34"/>
        <v/>
      </c>
      <c r="I754" s="42" t="str">
        <f t="shared" si="35"/>
        <v/>
      </c>
      <c r="J754" s="43" t="str">
        <f t="shared" si="36"/>
        <v/>
      </c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44"/>
      <c r="AN754" s="44"/>
      <c r="AO754" s="44"/>
      <c r="AP754" s="44"/>
      <c r="AQ754" s="44"/>
      <c r="AR754" s="44"/>
      <c r="AS754" s="45"/>
      <c r="AT754" s="45"/>
      <c r="AU754" s="45"/>
    </row>
    <row r="755" spans="2:47" x14ac:dyDescent="0.25">
      <c r="B755" s="39"/>
      <c r="C755" s="39"/>
      <c r="D755" s="40"/>
      <c r="E755" s="39"/>
      <c r="F755" s="39"/>
      <c r="G755" s="41"/>
      <c r="H755" s="42" t="str">
        <f t="shared" si="34"/>
        <v/>
      </c>
      <c r="I755" s="42" t="str">
        <f t="shared" si="35"/>
        <v/>
      </c>
      <c r="J755" s="43" t="str">
        <f t="shared" si="36"/>
        <v/>
      </c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44"/>
      <c r="AN755" s="44"/>
      <c r="AO755" s="44"/>
      <c r="AP755" s="44"/>
      <c r="AQ755" s="44"/>
      <c r="AR755" s="44"/>
      <c r="AS755" s="45"/>
      <c r="AT755" s="45"/>
      <c r="AU755" s="45"/>
    </row>
    <row r="756" spans="2:47" x14ac:dyDescent="0.25">
      <c r="B756" s="39"/>
      <c r="C756" s="39"/>
      <c r="D756" s="40"/>
      <c r="E756" s="39"/>
      <c r="F756" s="39"/>
      <c r="G756" s="41"/>
      <c r="H756" s="42" t="str">
        <f t="shared" si="34"/>
        <v/>
      </c>
      <c r="I756" s="42" t="str">
        <f t="shared" si="35"/>
        <v/>
      </c>
      <c r="J756" s="43" t="str">
        <f t="shared" si="36"/>
        <v/>
      </c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44"/>
      <c r="AN756" s="44"/>
      <c r="AO756" s="44"/>
      <c r="AP756" s="44"/>
      <c r="AQ756" s="44"/>
      <c r="AR756" s="44"/>
      <c r="AS756" s="45"/>
      <c r="AT756" s="45"/>
      <c r="AU756" s="45"/>
    </row>
    <row r="757" spans="2:47" x14ac:dyDescent="0.25">
      <c r="B757" s="39"/>
      <c r="C757" s="39"/>
      <c r="D757" s="40"/>
      <c r="E757" s="39"/>
      <c r="F757" s="39"/>
      <c r="G757" s="41"/>
      <c r="H757" s="42" t="str">
        <f t="shared" si="34"/>
        <v/>
      </c>
      <c r="I757" s="42" t="str">
        <f t="shared" si="35"/>
        <v/>
      </c>
      <c r="J757" s="43" t="str">
        <f t="shared" si="36"/>
        <v/>
      </c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44"/>
      <c r="AN757" s="44"/>
      <c r="AO757" s="44"/>
      <c r="AP757" s="44"/>
      <c r="AQ757" s="44"/>
      <c r="AR757" s="44"/>
      <c r="AS757" s="45"/>
      <c r="AT757" s="45"/>
      <c r="AU757" s="45"/>
    </row>
    <row r="758" spans="2:47" x14ac:dyDescent="0.25">
      <c r="B758" s="39"/>
      <c r="C758" s="39"/>
      <c r="D758" s="40"/>
      <c r="E758" s="39"/>
      <c r="F758" s="39"/>
      <c r="G758" s="41"/>
      <c r="H758" s="42" t="str">
        <f t="shared" si="34"/>
        <v/>
      </c>
      <c r="I758" s="42" t="str">
        <f t="shared" si="35"/>
        <v/>
      </c>
      <c r="J758" s="43" t="str">
        <f t="shared" si="36"/>
        <v/>
      </c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44"/>
      <c r="AN758" s="44"/>
      <c r="AO758" s="44"/>
      <c r="AP758" s="44"/>
      <c r="AQ758" s="44"/>
      <c r="AR758" s="44"/>
      <c r="AS758" s="45"/>
      <c r="AT758" s="45"/>
      <c r="AU758" s="45"/>
    </row>
    <row r="759" spans="2:47" x14ac:dyDescent="0.25">
      <c r="B759" s="39"/>
      <c r="C759" s="39"/>
      <c r="D759" s="40"/>
      <c r="E759" s="39"/>
      <c r="F759" s="39"/>
      <c r="G759" s="41"/>
      <c r="H759" s="42" t="str">
        <f t="shared" si="34"/>
        <v/>
      </c>
      <c r="I759" s="42" t="str">
        <f t="shared" si="35"/>
        <v/>
      </c>
      <c r="J759" s="43" t="str">
        <f t="shared" si="36"/>
        <v/>
      </c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44"/>
      <c r="AN759" s="44"/>
      <c r="AO759" s="44"/>
      <c r="AP759" s="44"/>
      <c r="AQ759" s="44"/>
      <c r="AR759" s="44"/>
      <c r="AS759" s="45"/>
      <c r="AT759" s="45"/>
      <c r="AU759" s="45"/>
    </row>
    <row r="760" spans="2:47" x14ac:dyDescent="0.25">
      <c r="B760" s="39"/>
      <c r="C760" s="39"/>
      <c r="D760" s="40"/>
      <c r="E760" s="39"/>
      <c r="F760" s="39"/>
      <c r="G760" s="41"/>
      <c r="H760" s="42" t="str">
        <f t="shared" si="34"/>
        <v/>
      </c>
      <c r="I760" s="42" t="str">
        <f t="shared" si="35"/>
        <v/>
      </c>
      <c r="J760" s="43" t="str">
        <f t="shared" si="36"/>
        <v/>
      </c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44"/>
      <c r="AN760" s="44"/>
      <c r="AO760" s="44"/>
      <c r="AP760" s="44"/>
      <c r="AQ760" s="44"/>
      <c r="AR760" s="44"/>
      <c r="AS760" s="45"/>
      <c r="AT760" s="45"/>
      <c r="AU760" s="45"/>
    </row>
    <row r="761" spans="2:47" x14ac:dyDescent="0.25">
      <c r="B761" s="39"/>
      <c r="C761" s="39"/>
      <c r="D761" s="40"/>
      <c r="E761" s="39"/>
      <c r="F761" s="39"/>
      <c r="G761" s="41"/>
      <c r="H761" s="42" t="str">
        <f t="shared" si="34"/>
        <v/>
      </c>
      <c r="I761" s="42" t="str">
        <f t="shared" si="35"/>
        <v/>
      </c>
      <c r="J761" s="43" t="str">
        <f t="shared" si="36"/>
        <v/>
      </c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44"/>
      <c r="AN761" s="44"/>
      <c r="AO761" s="44"/>
      <c r="AP761" s="44"/>
      <c r="AQ761" s="44"/>
      <c r="AR761" s="44"/>
      <c r="AS761" s="45"/>
      <c r="AT761" s="45"/>
      <c r="AU761" s="45"/>
    </row>
    <row r="762" spans="2:47" x14ac:dyDescent="0.25">
      <c r="B762" s="39"/>
      <c r="C762" s="39"/>
      <c r="D762" s="40"/>
      <c r="E762" s="39"/>
      <c r="F762" s="39"/>
      <c r="G762" s="41"/>
      <c r="H762" s="42" t="str">
        <f t="shared" si="34"/>
        <v/>
      </c>
      <c r="I762" s="42" t="str">
        <f t="shared" si="35"/>
        <v/>
      </c>
      <c r="J762" s="43" t="str">
        <f t="shared" si="36"/>
        <v/>
      </c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44"/>
      <c r="AN762" s="44"/>
      <c r="AO762" s="44"/>
      <c r="AP762" s="44"/>
      <c r="AQ762" s="44"/>
      <c r="AR762" s="44"/>
      <c r="AS762" s="45"/>
      <c r="AT762" s="45"/>
      <c r="AU762" s="45"/>
    </row>
    <row r="763" spans="2:47" x14ac:dyDescent="0.25">
      <c r="B763" s="39"/>
      <c r="C763" s="39"/>
      <c r="D763" s="40"/>
      <c r="E763" s="39"/>
      <c r="F763" s="39"/>
      <c r="G763" s="41"/>
      <c r="H763" s="42" t="str">
        <f t="shared" si="34"/>
        <v/>
      </c>
      <c r="I763" s="42" t="str">
        <f t="shared" si="35"/>
        <v/>
      </c>
      <c r="J763" s="43" t="str">
        <f t="shared" si="36"/>
        <v/>
      </c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44"/>
      <c r="AN763" s="44"/>
      <c r="AO763" s="44"/>
      <c r="AP763" s="44"/>
      <c r="AQ763" s="44"/>
      <c r="AR763" s="44"/>
      <c r="AS763" s="45"/>
      <c r="AT763" s="45"/>
      <c r="AU763" s="45"/>
    </row>
    <row r="764" spans="2:47" x14ac:dyDescent="0.25">
      <c r="B764" s="39"/>
      <c r="C764" s="39"/>
      <c r="D764" s="40"/>
      <c r="E764" s="39"/>
      <c r="F764" s="39"/>
      <c r="G764" s="41"/>
      <c r="H764" s="42" t="str">
        <f t="shared" si="34"/>
        <v/>
      </c>
      <c r="I764" s="42" t="str">
        <f t="shared" si="35"/>
        <v/>
      </c>
      <c r="J764" s="43" t="str">
        <f t="shared" si="36"/>
        <v/>
      </c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44"/>
      <c r="AN764" s="44"/>
      <c r="AO764" s="44"/>
      <c r="AP764" s="44"/>
      <c r="AQ764" s="44"/>
      <c r="AR764" s="44"/>
      <c r="AS764" s="45"/>
      <c r="AT764" s="45"/>
      <c r="AU764" s="45"/>
    </row>
    <row r="765" spans="2:47" x14ac:dyDescent="0.25">
      <c r="B765" s="39"/>
      <c r="C765" s="39"/>
      <c r="D765" s="40"/>
      <c r="E765" s="39"/>
      <c r="F765" s="39"/>
      <c r="G765" s="41"/>
      <c r="H765" s="42" t="str">
        <f t="shared" si="34"/>
        <v/>
      </c>
      <c r="I765" s="42" t="str">
        <f t="shared" si="35"/>
        <v/>
      </c>
      <c r="J765" s="43" t="str">
        <f t="shared" si="36"/>
        <v/>
      </c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44"/>
      <c r="AN765" s="44"/>
      <c r="AO765" s="44"/>
      <c r="AP765" s="44"/>
      <c r="AQ765" s="44"/>
      <c r="AR765" s="44"/>
      <c r="AS765" s="45"/>
      <c r="AT765" s="45"/>
      <c r="AU765" s="45"/>
    </row>
    <row r="766" spans="2:47" x14ac:dyDescent="0.25">
      <c r="B766" s="39"/>
      <c r="C766" s="39"/>
      <c r="D766" s="40"/>
      <c r="E766" s="39"/>
      <c r="F766" s="39"/>
      <c r="G766" s="41"/>
      <c r="H766" s="42" t="str">
        <f t="shared" si="34"/>
        <v/>
      </c>
      <c r="I766" s="42" t="str">
        <f t="shared" si="35"/>
        <v/>
      </c>
      <c r="J766" s="43" t="str">
        <f t="shared" si="36"/>
        <v/>
      </c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44"/>
      <c r="AN766" s="44"/>
      <c r="AO766" s="44"/>
      <c r="AP766" s="44"/>
      <c r="AQ766" s="44"/>
      <c r="AR766" s="44"/>
      <c r="AS766" s="45"/>
      <c r="AT766" s="45"/>
      <c r="AU766" s="45"/>
    </row>
    <row r="767" spans="2:47" x14ac:dyDescent="0.25">
      <c r="B767" s="39"/>
      <c r="C767" s="39"/>
      <c r="D767" s="40"/>
      <c r="E767" s="39"/>
      <c r="F767" s="39"/>
      <c r="G767" s="41"/>
      <c r="H767" s="42" t="str">
        <f t="shared" si="34"/>
        <v/>
      </c>
      <c r="I767" s="42" t="str">
        <f t="shared" si="35"/>
        <v/>
      </c>
      <c r="J767" s="43" t="str">
        <f t="shared" si="36"/>
        <v/>
      </c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44"/>
      <c r="AN767" s="44"/>
      <c r="AO767" s="44"/>
      <c r="AP767" s="44"/>
      <c r="AQ767" s="44"/>
      <c r="AR767" s="44"/>
      <c r="AS767" s="45"/>
      <c r="AT767" s="45"/>
      <c r="AU767" s="45"/>
    </row>
    <row r="768" spans="2:47" x14ac:dyDescent="0.25">
      <c r="B768" s="39"/>
      <c r="C768" s="39"/>
      <c r="D768" s="40"/>
      <c r="E768" s="39"/>
      <c r="F768" s="39"/>
      <c r="G768" s="41"/>
      <c r="H768" s="42" t="str">
        <f t="shared" si="34"/>
        <v/>
      </c>
      <c r="I768" s="42" t="str">
        <f t="shared" si="35"/>
        <v/>
      </c>
      <c r="J768" s="43" t="str">
        <f t="shared" si="36"/>
        <v/>
      </c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44"/>
      <c r="AN768" s="44"/>
      <c r="AO768" s="44"/>
      <c r="AP768" s="44"/>
      <c r="AQ768" s="44"/>
      <c r="AR768" s="44"/>
      <c r="AS768" s="45"/>
      <c r="AT768" s="45"/>
      <c r="AU768" s="45"/>
    </row>
    <row r="769" spans="2:47" x14ac:dyDescent="0.25">
      <c r="B769" s="39"/>
      <c r="C769" s="39"/>
      <c r="D769" s="40"/>
      <c r="E769" s="39"/>
      <c r="F769" s="39"/>
      <c r="G769" s="41"/>
      <c r="H769" s="42" t="str">
        <f t="shared" si="34"/>
        <v/>
      </c>
      <c r="I769" s="42" t="str">
        <f t="shared" si="35"/>
        <v/>
      </c>
      <c r="J769" s="43" t="str">
        <f t="shared" si="36"/>
        <v/>
      </c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44"/>
      <c r="AN769" s="44"/>
      <c r="AO769" s="44"/>
      <c r="AP769" s="44"/>
      <c r="AQ769" s="44"/>
      <c r="AR769" s="44"/>
      <c r="AS769" s="45"/>
      <c r="AT769" s="45"/>
      <c r="AU769" s="45"/>
    </row>
    <row r="770" spans="2:47" x14ac:dyDescent="0.25">
      <c r="B770" s="39"/>
      <c r="C770" s="39"/>
      <c r="D770" s="40"/>
      <c r="E770" s="39"/>
      <c r="F770" s="39"/>
      <c r="G770" s="41"/>
      <c r="H770" s="42" t="str">
        <f t="shared" si="34"/>
        <v/>
      </c>
      <c r="I770" s="42" t="str">
        <f t="shared" si="35"/>
        <v/>
      </c>
      <c r="J770" s="43" t="str">
        <f t="shared" si="36"/>
        <v/>
      </c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44"/>
      <c r="AN770" s="44"/>
      <c r="AO770" s="44"/>
      <c r="AP770" s="44"/>
      <c r="AQ770" s="44"/>
      <c r="AR770" s="44"/>
      <c r="AS770" s="45"/>
      <c r="AT770" s="45"/>
      <c r="AU770" s="45"/>
    </row>
    <row r="771" spans="2:47" x14ac:dyDescent="0.25">
      <c r="B771" s="39"/>
      <c r="C771" s="39"/>
      <c r="D771" s="40"/>
      <c r="E771" s="39"/>
      <c r="F771" s="39"/>
      <c r="G771" s="41"/>
      <c r="H771" s="42" t="str">
        <f t="shared" si="34"/>
        <v/>
      </c>
      <c r="I771" s="42" t="str">
        <f t="shared" si="35"/>
        <v/>
      </c>
      <c r="J771" s="43" t="str">
        <f t="shared" si="36"/>
        <v/>
      </c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44"/>
      <c r="AN771" s="44"/>
      <c r="AO771" s="44"/>
      <c r="AP771" s="44"/>
      <c r="AQ771" s="44"/>
      <c r="AR771" s="44"/>
      <c r="AS771" s="45"/>
      <c r="AT771" s="45"/>
      <c r="AU771" s="45"/>
    </row>
    <row r="772" spans="2:47" x14ac:dyDescent="0.25">
      <c r="B772" s="39"/>
      <c r="C772" s="39"/>
      <c r="D772" s="40"/>
      <c r="E772" s="39"/>
      <c r="F772" s="39"/>
      <c r="G772" s="41"/>
      <c r="H772" s="42" t="str">
        <f t="shared" si="34"/>
        <v/>
      </c>
      <c r="I772" s="42" t="str">
        <f t="shared" si="35"/>
        <v/>
      </c>
      <c r="J772" s="43" t="str">
        <f t="shared" si="36"/>
        <v/>
      </c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44"/>
      <c r="AN772" s="44"/>
      <c r="AO772" s="44"/>
      <c r="AP772" s="44"/>
      <c r="AQ772" s="44"/>
      <c r="AR772" s="44"/>
      <c r="AS772" s="45"/>
      <c r="AT772" s="45"/>
      <c r="AU772" s="45"/>
    </row>
    <row r="773" spans="2:47" x14ac:dyDescent="0.25">
      <c r="B773" s="39"/>
      <c r="C773" s="39"/>
      <c r="D773" s="40"/>
      <c r="E773" s="39"/>
      <c r="F773" s="39"/>
      <c r="G773" s="41"/>
      <c r="H773" s="42" t="str">
        <f t="shared" si="34"/>
        <v/>
      </c>
      <c r="I773" s="42" t="str">
        <f t="shared" si="35"/>
        <v/>
      </c>
      <c r="J773" s="43" t="str">
        <f t="shared" si="36"/>
        <v/>
      </c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44"/>
      <c r="AN773" s="44"/>
      <c r="AO773" s="44"/>
      <c r="AP773" s="44"/>
      <c r="AQ773" s="44"/>
      <c r="AR773" s="44"/>
      <c r="AS773" s="45"/>
      <c r="AT773" s="45"/>
      <c r="AU773" s="45"/>
    </row>
    <row r="774" spans="2:47" x14ac:dyDescent="0.25">
      <c r="B774" s="39"/>
      <c r="C774" s="39"/>
      <c r="D774" s="40"/>
      <c r="E774" s="39"/>
      <c r="F774" s="39"/>
      <c r="G774" s="41"/>
      <c r="H774" s="42" t="str">
        <f t="shared" ref="H774:H837" si="37">IF($B774="","",SUM($K774:$AG774)+SUM($AS774:$BB774))</f>
        <v/>
      </c>
      <c r="I774" s="42" t="str">
        <f t="shared" ref="I774:I837" si="38">IF($B774="","",SUM($AH774:$AL774))</f>
        <v/>
      </c>
      <c r="J774" s="43" t="str">
        <f t="shared" ref="J774:J837" si="39">IF($B774="","",SUMPRODUCT($K774:$BB774,$K$2:$BB$2))</f>
        <v/>
      </c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44"/>
      <c r="AN774" s="44"/>
      <c r="AO774" s="44"/>
      <c r="AP774" s="44"/>
      <c r="AQ774" s="44"/>
      <c r="AR774" s="44"/>
      <c r="AS774" s="45"/>
      <c r="AT774" s="45"/>
      <c r="AU774" s="45"/>
    </row>
    <row r="775" spans="2:47" x14ac:dyDescent="0.25">
      <c r="B775" s="39"/>
      <c r="C775" s="39"/>
      <c r="D775" s="40"/>
      <c r="E775" s="39"/>
      <c r="F775" s="39"/>
      <c r="G775" s="41"/>
      <c r="H775" s="42" t="str">
        <f t="shared" si="37"/>
        <v/>
      </c>
      <c r="I775" s="42" t="str">
        <f t="shared" si="38"/>
        <v/>
      </c>
      <c r="J775" s="43" t="str">
        <f t="shared" si="39"/>
        <v/>
      </c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44"/>
      <c r="AN775" s="44"/>
      <c r="AO775" s="44"/>
      <c r="AP775" s="44"/>
      <c r="AQ775" s="44"/>
      <c r="AR775" s="44"/>
      <c r="AS775" s="45"/>
      <c r="AT775" s="45"/>
      <c r="AU775" s="45"/>
    </row>
    <row r="776" spans="2:47" x14ac:dyDescent="0.25">
      <c r="B776" s="39"/>
      <c r="C776" s="39"/>
      <c r="D776" s="40"/>
      <c r="E776" s="39"/>
      <c r="F776" s="39"/>
      <c r="G776" s="41"/>
      <c r="H776" s="42" t="str">
        <f t="shared" si="37"/>
        <v/>
      </c>
      <c r="I776" s="42" t="str">
        <f t="shared" si="38"/>
        <v/>
      </c>
      <c r="J776" s="43" t="str">
        <f t="shared" si="39"/>
        <v/>
      </c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44"/>
      <c r="AN776" s="44"/>
      <c r="AO776" s="44"/>
      <c r="AP776" s="44"/>
      <c r="AQ776" s="44"/>
      <c r="AR776" s="44"/>
      <c r="AS776" s="45"/>
      <c r="AT776" s="45"/>
      <c r="AU776" s="45"/>
    </row>
    <row r="777" spans="2:47" x14ac:dyDescent="0.25">
      <c r="B777" s="39"/>
      <c r="C777" s="39"/>
      <c r="D777" s="40"/>
      <c r="E777" s="39"/>
      <c r="F777" s="39"/>
      <c r="G777" s="41"/>
      <c r="H777" s="42" t="str">
        <f t="shared" si="37"/>
        <v/>
      </c>
      <c r="I777" s="42" t="str">
        <f t="shared" si="38"/>
        <v/>
      </c>
      <c r="J777" s="43" t="str">
        <f t="shared" si="39"/>
        <v/>
      </c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44"/>
      <c r="AN777" s="44"/>
      <c r="AO777" s="44"/>
      <c r="AP777" s="44"/>
      <c r="AQ777" s="44"/>
      <c r="AR777" s="44"/>
      <c r="AS777" s="45"/>
      <c r="AT777" s="45"/>
      <c r="AU777" s="45"/>
    </row>
    <row r="778" spans="2:47" x14ac:dyDescent="0.25">
      <c r="B778" s="39"/>
      <c r="C778" s="39"/>
      <c r="D778" s="40"/>
      <c r="E778" s="39"/>
      <c r="F778" s="39"/>
      <c r="G778" s="41"/>
      <c r="H778" s="42" t="str">
        <f t="shared" si="37"/>
        <v/>
      </c>
      <c r="I778" s="42" t="str">
        <f t="shared" si="38"/>
        <v/>
      </c>
      <c r="J778" s="43" t="str">
        <f t="shared" si="39"/>
        <v/>
      </c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44"/>
      <c r="AN778" s="44"/>
      <c r="AO778" s="44"/>
      <c r="AP778" s="44"/>
      <c r="AQ778" s="44"/>
      <c r="AR778" s="44"/>
      <c r="AS778" s="45"/>
      <c r="AT778" s="45"/>
      <c r="AU778" s="45"/>
    </row>
    <row r="779" spans="2:47" x14ac:dyDescent="0.25">
      <c r="B779" s="39"/>
      <c r="C779" s="39"/>
      <c r="D779" s="40"/>
      <c r="E779" s="39"/>
      <c r="F779" s="39"/>
      <c r="G779" s="41"/>
      <c r="H779" s="42" t="str">
        <f t="shared" si="37"/>
        <v/>
      </c>
      <c r="I779" s="42" t="str">
        <f t="shared" si="38"/>
        <v/>
      </c>
      <c r="J779" s="43" t="str">
        <f t="shared" si="39"/>
        <v/>
      </c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44"/>
      <c r="AN779" s="44"/>
      <c r="AO779" s="44"/>
      <c r="AP779" s="44"/>
      <c r="AQ779" s="44"/>
      <c r="AR779" s="44"/>
      <c r="AS779" s="45"/>
      <c r="AT779" s="45"/>
      <c r="AU779" s="45"/>
    </row>
    <row r="780" spans="2:47" x14ac:dyDescent="0.25">
      <c r="B780" s="39"/>
      <c r="C780" s="39"/>
      <c r="D780" s="40"/>
      <c r="E780" s="39"/>
      <c r="F780" s="39"/>
      <c r="G780" s="41"/>
      <c r="H780" s="42" t="str">
        <f t="shared" si="37"/>
        <v/>
      </c>
      <c r="I780" s="42" t="str">
        <f t="shared" si="38"/>
        <v/>
      </c>
      <c r="J780" s="43" t="str">
        <f t="shared" si="39"/>
        <v/>
      </c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44"/>
      <c r="AN780" s="44"/>
      <c r="AO780" s="44"/>
      <c r="AP780" s="44"/>
      <c r="AQ780" s="44"/>
      <c r="AR780" s="44"/>
      <c r="AS780" s="45"/>
      <c r="AT780" s="45"/>
      <c r="AU780" s="45"/>
    </row>
    <row r="781" spans="2:47" x14ac:dyDescent="0.25">
      <c r="B781" s="39"/>
      <c r="C781" s="39"/>
      <c r="D781" s="40"/>
      <c r="E781" s="39"/>
      <c r="F781" s="39"/>
      <c r="G781" s="41"/>
      <c r="H781" s="42" t="str">
        <f t="shared" si="37"/>
        <v/>
      </c>
      <c r="I781" s="42" t="str">
        <f t="shared" si="38"/>
        <v/>
      </c>
      <c r="J781" s="43" t="str">
        <f t="shared" si="39"/>
        <v/>
      </c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44"/>
      <c r="AN781" s="44"/>
      <c r="AO781" s="44"/>
      <c r="AP781" s="44"/>
      <c r="AQ781" s="44"/>
      <c r="AR781" s="44"/>
      <c r="AS781" s="45"/>
      <c r="AT781" s="45"/>
      <c r="AU781" s="45"/>
    </row>
    <row r="782" spans="2:47" x14ac:dyDescent="0.25">
      <c r="B782" s="39"/>
      <c r="C782" s="39"/>
      <c r="D782" s="40"/>
      <c r="E782" s="39"/>
      <c r="F782" s="39"/>
      <c r="G782" s="41"/>
      <c r="H782" s="42" t="str">
        <f t="shared" si="37"/>
        <v/>
      </c>
      <c r="I782" s="42" t="str">
        <f t="shared" si="38"/>
        <v/>
      </c>
      <c r="J782" s="43" t="str">
        <f t="shared" si="39"/>
        <v/>
      </c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44"/>
      <c r="AN782" s="44"/>
      <c r="AO782" s="44"/>
      <c r="AP782" s="44"/>
      <c r="AQ782" s="44"/>
      <c r="AR782" s="44"/>
      <c r="AS782" s="45"/>
      <c r="AT782" s="45"/>
      <c r="AU782" s="45"/>
    </row>
    <row r="783" spans="2:47" x14ac:dyDescent="0.25">
      <c r="B783" s="39"/>
      <c r="C783" s="39"/>
      <c r="D783" s="40"/>
      <c r="E783" s="39"/>
      <c r="F783" s="39"/>
      <c r="G783" s="41"/>
      <c r="H783" s="42" t="str">
        <f t="shared" si="37"/>
        <v/>
      </c>
      <c r="I783" s="42" t="str">
        <f t="shared" si="38"/>
        <v/>
      </c>
      <c r="J783" s="43" t="str">
        <f t="shared" si="39"/>
        <v/>
      </c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44"/>
      <c r="AN783" s="44"/>
      <c r="AO783" s="44"/>
      <c r="AP783" s="44"/>
      <c r="AQ783" s="44"/>
      <c r="AR783" s="44"/>
      <c r="AS783" s="45"/>
      <c r="AT783" s="45"/>
      <c r="AU783" s="45"/>
    </row>
    <row r="784" spans="2:47" x14ac:dyDescent="0.25">
      <c r="B784" s="39"/>
      <c r="C784" s="39"/>
      <c r="D784" s="40"/>
      <c r="E784" s="39"/>
      <c r="F784" s="39"/>
      <c r="G784" s="41"/>
      <c r="H784" s="42" t="str">
        <f t="shared" si="37"/>
        <v/>
      </c>
      <c r="I784" s="42" t="str">
        <f t="shared" si="38"/>
        <v/>
      </c>
      <c r="J784" s="43" t="str">
        <f t="shared" si="39"/>
        <v/>
      </c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44"/>
      <c r="AN784" s="44"/>
      <c r="AO784" s="44"/>
      <c r="AP784" s="44"/>
      <c r="AQ784" s="44"/>
      <c r="AR784" s="44"/>
      <c r="AS784" s="45"/>
      <c r="AT784" s="45"/>
      <c r="AU784" s="45"/>
    </row>
    <row r="785" spans="2:47" x14ac:dyDescent="0.25">
      <c r="B785" s="39"/>
      <c r="C785" s="39"/>
      <c r="D785" s="40"/>
      <c r="E785" s="39"/>
      <c r="F785" s="39"/>
      <c r="G785" s="41"/>
      <c r="H785" s="42" t="str">
        <f t="shared" si="37"/>
        <v/>
      </c>
      <c r="I785" s="42" t="str">
        <f t="shared" si="38"/>
        <v/>
      </c>
      <c r="J785" s="43" t="str">
        <f t="shared" si="39"/>
        <v/>
      </c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44"/>
      <c r="AN785" s="44"/>
      <c r="AO785" s="44"/>
      <c r="AP785" s="44"/>
      <c r="AQ785" s="44"/>
      <c r="AR785" s="44"/>
      <c r="AS785" s="45"/>
      <c r="AT785" s="45"/>
      <c r="AU785" s="45"/>
    </row>
    <row r="786" spans="2:47" x14ac:dyDescent="0.25">
      <c r="B786" s="39"/>
      <c r="C786" s="39"/>
      <c r="D786" s="40"/>
      <c r="E786" s="39"/>
      <c r="F786" s="39"/>
      <c r="G786" s="41"/>
      <c r="H786" s="42" t="str">
        <f t="shared" si="37"/>
        <v/>
      </c>
      <c r="I786" s="42" t="str">
        <f t="shared" si="38"/>
        <v/>
      </c>
      <c r="J786" s="43" t="str">
        <f t="shared" si="39"/>
        <v/>
      </c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44"/>
      <c r="AN786" s="44"/>
      <c r="AO786" s="44"/>
      <c r="AP786" s="44"/>
      <c r="AQ786" s="44"/>
      <c r="AR786" s="44"/>
      <c r="AS786" s="45"/>
      <c r="AT786" s="45"/>
      <c r="AU786" s="45"/>
    </row>
    <row r="787" spans="2:47" x14ac:dyDescent="0.25">
      <c r="B787" s="39"/>
      <c r="C787" s="39"/>
      <c r="D787" s="40"/>
      <c r="E787" s="39"/>
      <c r="F787" s="39"/>
      <c r="G787" s="41"/>
      <c r="H787" s="42" t="str">
        <f t="shared" si="37"/>
        <v/>
      </c>
      <c r="I787" s="42" t="str">
        <f t="shared" si="38"/>
        <v/>
      </c>
      <c r="J787" s="43" t="str">
        <f t="shared" si="39"/>
        <v/>
      </c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44"/>
      <c r="AN787" s="44"/>
      <c r="AO787" s="44"/>
      <c r="AP787" s="44"/>
      <c r="AQ787" s="44"/>
      <c r="AR787" s="44"/>
      <c r="AS787" s="45"/>
      <c r="AT787" s="45"/>
      <c r="AU787" s="45"/>
    </row>
    <row r="788" spans="2:47" x14ac:dyDescent="0.25">
      <c r="B788" s="39"/>
      <c r="C788" s="39"/>
      <c r="D788" s="40"/>
      <c r="E788" s="39"/>
      <c r="F788" s="39"/>
      <c r="G788" s="41"/>
      <c r="H788" s="42" t="str">
        <f t="shared" si="37"/>
        <v/>
      </c>
      <c r="I788" s="42" t="str">
        <f t="shared" si="38"/>
        <v/>
      </c>
      <c r="J788" s="43" t="str">
        <f t="shared" si="39"/>
        <v/>
      </c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44"/>
      <c r="AN788" s="44"/>
      <c r="AO788" s="44"/>
      <c r="AP788" s="44"/>
      <c r="AQ788" s="44"/>
      <c r="AR788" s="44"/>
      <c r="AS788" s="45"/>
      <c r="AT788" s="45"/>
      <c r="AU788" s="45"/>
    </row>
    <row r="789" spans="2:47" x14ac:dyDescent="0.25">
      <c r="B789" s="39"/>
      <c r="C789" s="39"/>
      <c r="D789" s="40"/>
      <c r="E789" s="39"/>
      <c r="F789" s="39"/>
      <c r="G789" s="41"/>
      <c r="H789" s="42" t="str">
        <f t="shared" si="37"/>
        <v/>
      </c>
      <c r="I789" s="42" t="str">
        <f t="shared" si="38"/>
        <v/>
      </c>
      <c r="J789" s="43" t="str">
        <f t="shared" si="39"/>
        <v/>
      </c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44"/>
      <c r="AN789" s="44"/>
      <c r="AO789" s="44"/>
      <c r="AP789" s="44"/>
      <c r="AQ789" s="44"/>
      <c r="AR789" s="44"/>
      <c r="AS789" s="45"/>
      <c r="AT789" s="45"/>
      <c r="AU789" s="45"/>
    </row>
    <row r="790" spans="2:47" x14ac:dyDescent="0.25">
      <c r="B790" s="39"/>
      <c r="C790" s="39"/>
      <c r="D790" s="40"/>
      <c r="E790" s="39"/>
      <c r="F790" s="39"/>
      <c r="G790" s="41"/>
      <c r="H790" s="42" t="str">
        <f t="shared" si="37"/>
        <v/>
      </c>
      <c r="I790" s="42" t="str">
        <f t="shared" si="38"/>
        <v/>
      </c>
      <c r="J790" s="43" t="str">
        <f t="shared" si="39"/>
        <v/>
      </c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44"/>
      <c r="AN790" s="44"/>
      <c r="AO790" s="44"/>
      <c r="AP790" s="44"/>
      <c r="AQ790" s="44"/>
      <c r="AR790" s="44"/>
      <c r="AS790" s="45"/>
      <c r="AT790" s="45"/>
      <c r="AU790" s="45"/>
    </row>
    <row r="791" spans="2:47" x14ac:dyDescent="0.25">
      <c r="B791" s="39"/>
      <c r="C791" s="39"/>
      <c r="D791" s="40"/>
      <c r="E791" s="39"/>
      <c r="F791" s="39"/>
      <c r="G791" s="41"/>
      <c r="H791" s="42" t="str">
        <f t="shared" si="37"/>
        <v/>
      </c>
      <c r="I791" s="42" t="str">
        <f t="shared" si="38"/>
        <v/>
      </c>
      <c r="J791" s="43" t="str">
        <f t="shared" si="39"/>
        <v/>
      </c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44"/>
      <c r="AN791" s="44"/>
      <c r="AO791" s="44"/>
      <c r="AP791" s="44"/>
      <c r="AQ791" s="44"/>
      <c r="AR791" s="44"/>
      <c r="AS791" s="45"/>
      <c r="AT791" s="45"/>
      <c r="AU791" s="45"/>
    </row>
    <row r="792" spans="2:47" x14ac:dyDescent="0.25">
      <c r="B792" s="39"/>
      <c r="C792" s="39"/>
      <c r="D792" s="40"/>
      <c r="E792" s="39"/>
      <c r="F792" s="39"/>
      <c r="G792" s="41"/>
      <c r="H792" s="42" t="str">
        <f t="shared" si="37"/>
        <v/>
      </c>
      <c r="I792" s="42" t="str">
        <f t="shared" si="38"/>
        <v/>
      </c>
      <c r="J792" s="43" t="str">
        <f t="shared" si="39"/>
        <v/>
      </c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44"/>
      <c r="AN792" s="44"/>
      <c r="AO792" s="44"/>
      <c r="AP792" s="44"/>
      <c r="AQ792" s="44"/>
      <c r="AR792" s="44"/>
      <c r="AS792" s="45"/>
      <c r="AT792" s="45"/>
      <c r="AU792" s="45"/>
    </row>
    <row r="793" spans="2:47" x14ac:dyDescent="0.25">
      <c r="B793" s="39"/>
      <c r="C793" s="39"/>
      <c r="D793" s="40"/>
      <c r="E793" s="39"/>
      <c r="F793" s="39"/>
      <c r="G793" s="41"/>
      <c r="H793" s="42" t="str">
        <f t="shared" si="37"/>
        <v/>
      </c>
      <c r="I793" s="42" t="str">
        <f t="shared" si="38"/>
        <v/>
      </c>
      <c r="J793" s="43" t="str">
        <f t="shared" si="39"/>
        <v/>
      </c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44"/>
      <c r="AN793" s="44"/>
      <c r="AO793" s="44"/>
      <c r="AP793" s="44"/>
      <c r="AQ793" s="44"/>
      <c r="AR793" s="44"/>
      <c r="AS793" s="45"/>
      <c r="AT793" s="45"/>
      <c r="AU793" s="45"/>
    </row>
    <row r="794" spans="2:47" x14ac:dyDescent="0.25">
      <c r="B794" s="39"/>
      <c r="C794" s="39"/>
      <c r="D794" s="40"/>
      <c r="E794" s="39"/>
      <c r="F794" s="39"/>
      <c r="G794" s="41"/>
      <c r="H794" s="42" t="str">
        <f t="shared" si="37"/>
        <v/>
      </c>
      <c r="I794" s="42" t="str">
        <f t="shared" si="38"/>
        <v/>
      </c>
      <c r="J794" s="43" t="str">
        <f t="shared" si="39"/>
        <v/>
      </c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44"/>
      <c r="AN794" s="44"/>
      <c r="AO794" s="44"/>
      <c r="AP794" s="44"/>
      <c r="AQ794" s="44"/>
      <c r="AR794" s="44"/>
      <c r="AS794" s="45"/>
      <c r="AT794" s="45"/>
      <c r="AU794" s="45"/>
    </row>
    <row r="795" spans="2:47" x14ac:dyDescent="0.25">
      <c r="B795" s="39"/>
      <c r="C795" s="39"/>
      <c r="D795" s="40"/>
      <c r="E795" s="39"/>
      <c r="F795" s="39"/>
      <c r="G795" s="41"/>
      <c r="H795" s="42" t="str">
        <f t="shared" si="37"/>
        <v/>
      </c>
      <c r="I795" s="42" t="str">
        <f t="shared" si="38"/>
        <v/>
      </c>
      <c r="J795" s="43" t="str">
        <f t="shared" si="39"/>
        <v/>
      </c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44"/>
      <c r="AN795" s="44"/>
      <c r="AO795" s="44"/>
      <c r="AP795" s="44"/>
      <c r="AQ795" s="44"/>
      <c r="AR795" s="44"/>
      <c r="AS795" s="45"/>
      <c r="AT795" s="45"/>
      <c r="AU795" s="45"/>
    </row>
    <row r="796" spans="2:47" x14ac:dyDescent="0.25">
      <c r="B796" s="39"/>
      <c r="C796" s="39"/>
      <c r="D796" s="40"/>
      <c r="E796" s="39"/>
      <c r="F796" s="39"/>
      <c r="G796" s="41"/>
      <c r="H796" s="42" t="str">
        <f t="shared" si="37"/>
        <v/>
      </c>
      <c r="I796" s="42" t="str">
        <f t="shared" si="38"/>
        <v/>
      </c>
      <c r="J796" s="43" t="str">
        <f t="shared" si="39"/>
        <v/>
      </c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44"/>
      <c r="AN796" s="44"/>
      <c r="AO796" s="44"/>
      <c r="AP796" s="44"/>
      <c r="AQ796" s="44"/>
      <c r="AR796" s="44"/>
      <c r="AS796" s="45"/>
      <c r="AT796" s="45"/>
      <c r="AU796" s="45"/>
    </row>
    <row r="797" spans="2:47" x14ac:dyDescent="0.25">
      <c r="B797" s="39"/>
      <c r="C797" s="39"/>
      <c r="D797" s="40"/>
      <c r="E797" s="39"/>
      <c r="F797" s="39"/>
      <c r="G797" s="41"/>
      <c r="H797" s="42" t="str">
        <f t="shared" si="37"/>
        <v/>
      </c>
      <c r="I797" s="42" t="str">
        <f t="shared" si="38"/>
        <v/>
      </c>
      <c r="J797" s="43" t="str">
        <f t="shared" si="39"/>
        <v/>
      </c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44"/>
      <c r="AN797" s="44"/>
      <c r="AO797" s="44"/>
      <c r="AP797" s="44"/>
      <c r="AQ797" s="44"/>
      <c r="AR797" s="44"/>
      <c r="AS797" s="45"/>
      <c r="AT797" s="45"/>
      <c r="AU797" s="45"/>
    </row>
    <row r="798" spans="2:47" x14ac:dyDescent="0.25">
      <c r="B798" s="39"/>
      <c r="C798" s="39"/>
      <c r="D798" s="40"/>
      <c r="E798" s="39"/>
      <c r="F798" s="39"/>
      <c r="G798" s="41"/>
      <c r="H798" s="42" t="str">
        <f t="shared" si="37"/>
        <v/>
      </c>
      <c r="I798" s="42" t="str">
        <f t="shared" si="38"/>
        <v/>
      </c>
      <c r="J798" s="43" t="str">
        <f t="shared" si="39"/>
        <v/>
      </c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44"/>
      <c r="AN798" s="44"/>
      <c r="AO798" s="44"/>
      <c r="AP798" s="44"/>
      <c r="AQ798" s="44"/>
      <c r="AR798" s="44"/>
      <c r="AS798" s="45"/>
      <c r="AT798" s="45"/>
      <c r="AU798" s="45"/>
    </row>
    <row r="799" spans="2:47" x14ac:dyDescent="0.25">
      <c r="B799" s="39"/>
      <c r="C799" s="39"/>
      <c r="D799" s="40"/>
      <c r="E799" s="39"/>
      <c r="F799" s="39"/>
      <c r="G799" s="41"/>
      <c r="H799" s="42" t="str">
        <f t="shared" si="37"/>
        <v/>
      </c>
      <c r="I799" s="42" t="str">
        <f t="shared" si="38"/>
        <v/>
      </c>
      <c r="J799" s="43" t="str">
        <f t="shared" si="39"/>
        <v/>
      </c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44"/>
      <c r="AN799" s="44"/>
      <c r="AO799" s="44"/>
      <c r="AP799" s="44"/>
      <c r="AQ799" s="44"/>
      <c r="AR799" s="44"/>
      <c r="AS799" s="45"/>
      <c r="AT799" s="45"/>
      <c r="AU799" s="45"/>
    </row>
    <row r="800" spans="2:47" x14ac:dyDescent="0.25">
      <c r="B800" s="39"/>
      <c r="C800" s="39"/>
      <c r="D800" s="40"/>
      <c r="E800" s="39"/>
      <c r="F800" s="39"/>
      <c r="G800" s="41"/>
      <c r="H800" s="42" t="str">
        <f t="shared" si="37"/>
        <v/>
      </c>
      <c r="I800" s="42" t="str">
        <f t="shared" si="38"/>
        <v/>
      </c>
      <c r="J800" s="43" t="str">
        <f t="shared" si="39"/>
        <v/>
      </c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44"/>
      <c r="AN800" s="44"/>
      <c r="AO800" s="44"/>
      <c r="AP800" s="44"/>
      <c r="AQ800" s="44"/>
      <c r="AR800" s="44"/>
      <c r="AS800" s="45"/>
      <c r="AT800" s="45"/>
      <c r="AU800" s="45"/>
    </row>
    <row r="801" spans="2:47" x14ac:dyDescent="0.25">
      <c r="B801" s="39"/>
      <c r="C801" s="39"/>
      <c r="D801" s="40"/>
      <c r="E801" s="39"/>
      <c r="F801" s="39"/>
      <c r="G801" s="41"/>
      <c r="H801" s="42" t="str">
        <f t="shared" si="37"/>
        <v/>
      </c>
      <c r="I801" s="42" t="str">
        <f t="shared" si="38"/>
        <v/>
      </c>
      <c r="J801" s="43" t="str">
        <f t="shared" si="39"/>
        <v/>
      </c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44"/>
      <c r="AN801" s="44"/>
      <c r="AO801" s="44"/>
      <c r="AP801" s="44"/>
      <c r="AQ801" s="44"/>
      <c r="AR801" s="44"/>
      <c r="AS801" s="45"/>
      <c r="AT801" s="45"/>
      <c r="AU801" s="45"/>
    </row>
    <row r="802" spans="2:47" x14ac:dyDescent="0.25">
      <c r="B802" s="39"/>
      <c r="C802" s="39"/>
      <c r="D802" s="40"/>
      <c r="E802" s="39"/>
      <c r="F802" s="39"/>
      <c r="G802" s="41"/>
      <c r="H802" s="42" t="str">
        <f t="shared" si="37"/>
        <v/>
      </c>
      <c r="I802" s="42" t="str">
        <f t="shared" si="38"/>
        <v/>
      </c>
      <c r="J802" s="43" t="str">
        <f t="shared" si="39"/>
        <v/>
      </c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44"/>
      <c r="AN802" s="44"/>
      <c r="AO802" s="44"/>
      <c r="AP802" s="44"/>
      <c r="AQ802" s="44"/>
      <c r="AR802" s="44"/>
      <c r="AS802" s="45"/>
      <c r="AT802" s="45"/>
      <c r="AU802" s="45"/>
    </row>
    <row r="803" spans="2:47" x14ac:dyDescent="0.25">
      <c r="B803" s="39"/>
      <c r="C803" s="39"/>
      <c r="D803" s="40"/>
      <c r="E803" s="39"/>
      <c r="F803" s="39"/>
      <c r="G803" s="41"/>
      <c r="H803" s="42" t="str">
        <f t="shared" si="37"/>
        <v/>
      </c>
      <c r="I803" s="42" t="str">
        <f t="shared" si="38"/>
        <v/>
      </c>
      <c r="J803" s="43" t="str">
        <f t="shared" si="39"/>
        <v/>
      </c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44"/>
      <c r="AN803" s="44"/>
      <c r="AO803" s="44"/>
      <c r="AP803" s="44"/>
      <c r="AQ803" s="44"/>
      <c r="AR803" s="44"/>
      <c r="AS803" s="45"/>
      <c r="AT803" s="45"/>
      <c r="AU803" s="45"/>
    </row>
    <row r="804" spans="2:47" x14ac:dyDescent="0.25">
      <c r="B804" s="39"/>
      <c r="C804" s="39"/>
      <c r="D804" s="40"/>
      <c r="E804" s="39"/>
      <c r="F804" s="39"/>
      <c r="G804" s="41"/>
      <c r="H804" s="42" t="str">
        <f t="shared" si="37"/>
        <v/>
      </c>
      <c r="I804" s="42" t="str">
        <f t="shared" si="38"/>
        <v/>
      </c>
      <c r="J804" s="43" t="str">
        <f t="shared" si="39"/>
        <v/>
      </c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44"/>
      <c r="AN804" s="44"/>
      <c r="AO804" s="44"/>
      <c r="AP804" s="44"/>
      <c r="AQ804" s="44"/>
      <c r="AR804" s="44"/>
      <c r="AS804" s="45"/>
      <c r="AT804" s="45"/>
      <c r="AU804" s="45"/>
    </row>
    <row r="805" spans="2:47" x14ac:dyDescent="0.25">
      <c r="B805" s="39"/>
      <c r="C805" s="39"/>
      <c r="D805" s="40"/>
      <c r="E805" s="39"/>
      <c r="F805" s="39"/>
      <c r="G805" s="41"/>
      <c r="H805" s="42" t="str">
        <f t="shared" si="37"/>
        <v/>
      </c>
      <c r="I805" s="42" t="str">
        <f t="shared" si="38"/>
        <v/>
      </c>
      <c r="J805" s="43" t="str">
        <f t="shared" si="39"/>
        <v/>
      </c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44"/>
      <c r="AN805" s="44"/>
      <c r="AO805" s="44"/>
      <c r="AP805" s="44"/>
      <c r="AQ805" s="44"/>
      <c r="AR805" s="44"/>
      <c r="AS805" s="45"/>
      <c r="AT805" s="45"/>
      <c r="AU805" s="45"/>
    </row>
    <row r="806" spans="2:47" x14ac:dyDescent="0.25">
      <c r="B806" s="39"/>
      <c r="C806" s="39"/>
      <c r="D806" s="40"/>
      <c r="E806" s="39"/>
      <c r="F806" s="39"/>
      <c r="G806" s="41"/>
      <c r="H806" s="42" t="str">
        <f t="shared" si="37"/>
        <v/>
      </c>
      <c r="I806" s="42" t="str">
        <f t="shared" si="38"/>
        <v/>
      </c>
      <c r="J806" s="43" t="str">
        <f t="shared" si="39"/>
        <v/>
      </c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44"/>
      <c r="AN806" s="44"/>
      <c r="AO806" s="44"/>
      <c r="AP806" s="44"/>
      <c r="AQ806" s="44"/>
      <c r="AR806" s="44"/>
      <c r="AS806" s="45"/>
      <c r="AT806" s="45"/>
      <c r="AU806" s="45"/>
    </row>
    <row r="807" spans="2:47" x14ac:dyDescent="0.25">
      <c r="B807" s="39"/>
      <c r="C807" s="39"/>
      <c r="D807" s="40"/>
      <c r="E807" s="39"/>
      <c r="F807" s="39"/>
      <c r="G807" s="41"/>
      <c r="H807" s="42" t="str">
        <f t="shared" si="37"/>
        <v/>
      </c>
      <c r="I807" s="42" t="str">
        <f t="shared" si="38"/>
        <v/>
      </c>
      <c r="J807" s="43" t="str">
        <f t="shared" si="39"/>
        <v/>
      </c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44"/>
      <c r="AN807" s="44"/>
      <c r="AO807" s="44"/>
      <c r="AP807" s="44"/>
      <c r="AQ807" s="44"/>
      <c r="AR807" s="44"/>
      <c r="AS807" s="45"/>
      <c r="AT807" s="45"/>
      <c r="AU807" s="45"/>
    </row>
    <row r="808" spans="2:47" x14ac:dyDescent="0.25">
      <c r="B808" s="39"/>
      <c r="C808" s="39"/>
      <c r="D808" s="40"/>
      <c r="E808" s="39"/>
      <c r="F808" s="39"/>
      <c r="G808" s="41"/>
      <c r="H808" s="42" t="str">
        <f t="shared" si="37"/>
        <v/>
      </c>
      <c r="I808" s="42" t="str">
        <f t="shared" si="38"/>
        <v/>
      </c>
      <c r="J808" s="43" t="str">
        <f t="shared" si="39"/>
        <v/>
      </c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44"/>
      <c r="AN808" s="44"/>
      <c r="AO808" s="44"/>
      <c r="AP808" s="44"/>
      <c r="AQ808" s="44"/>
      <c r="AR808" s="44"/>
      <c r="AS808" s="45"/>
      <c r="AT808" s="45"/>
      <c r="AU808" s="45"/>
    </row>
    <row r="809" spans="2:47" x14ac:dyDescent="0.25">
      <c r="B809" s="39"/>
      <c r="C809" s="39"/>
      <c r="D809" s="40"/>
      <c r="E809" s="39"/>
      <c r="F809" s="39"/>
      <c r="G809" s="41"/>
      <c r="H809" s="42" t="str">
        <f t="shared" si="37"/>
        <v/>
      </c>
      <c r="I809" s="42" t="str">
        <f t="shared" si="38"/>
        <v/>
      </c>
      <c r="J809" s="43" t="str">
        <f t="shared" si="39"/>
        <v/>
      </c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44"/>
      <c r="AN809" s="44"/>
      <c r="AO809" s="44"/>
      <c r="AP809" s="44"/>
      <c r="AQ809" s="44"/>
      <c r="AR809" s="44"/>
      <c r="AS809" s="45"/>
      <c r="AT809" s="45"/>
      <c r="AU809" s="45"/>
    </row>
    <row r="810" spans="2:47" x14ac:dyDescent="0.25">
      <c r="B810" s="39"/>
      <c r="C810" s="39"/>
      <c r="D810" s="40"/>
      <c r="E810" s="39"/>
      <c r="F810" s="39"/>
      <c r="G810" s="41"/>
      <c r="H810" s="42" t="str">
        <f t="shared" si="37"/>
        <v/>
      </c>
      <c r="I810" s="42" t="str">
        <f t="shared" si="38"/>
        <v/>
      </c>
      <c r="J810" s="43" t="str">
        <f t="shared" si="39"/>
        <v/>
      </c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44"/>
      <c r="AN810" s="44"/>
      <c r="AO810" s="44"/>
      <c r="AP810" s="44"/>
      <c r="AQ810" s="44"/>
      <c r="AR810" s="44"/>
      <c r="AS810" s="45"/>
      <c r="AT810" s="45"/>
      <c r="AU810" s="45"/>
    </row>
    <row r="811" spans="2:47" x14ac:dyDescent="0.25">
      <c r="B811" s="39"/>
      <c r="C811" s="39"/>
      <c r="D811" s="40"/>
      <c r="E811" s="39"/>
      <c r="F811" s="39"/>
      <c r="G811" s="41"/>
      <c r="H811" s="42" t="str">
        <f t="shared" si="37"/>
        <v/>
      </c>
      <c r="I811" s="42" t="str">
        <f t="shared" si="38"/>
        <v/>
      </c>
      <c r="J811" s="43" t="str">
        <f t="shared" si="39"/>
        <v/>
      </c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44"/>
      <c r="AN811" s="44"/>
      <c r="AO811" s="44"/>
      <c r="AP811" s="44"/>
      <c r="AQ811" s="44"/>
      <c r="AR811" s="44"/>
      <c r="AS811" s="45"/>
      <c r="AT811" s="45"/>
      <c r="AU811" s="45"/>
    </row>
    <row r="812" spans="2:47" x14ac:dyDescent="0.25">
      <c r="B812" s="39"/>
      <c r="C812" s="39"/>
      <c r="D812" s="40"/>
      <c r="E812" s="39"/>
      <c r="F812" s="39"/>
      <c r="G812" s="41"/>
      <c r="H812" s="42" t="str">
        <f t="shared" si="37"/>
        <v/>
      </c>
      <c r="I812" s="42" t="str">
        <f t="shared" si="38"/>
        <v/>
      </c>
      <c r="J812" s="43" t="str">
        <f t="shared" si="39"/>
        <v/>
      </c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44"/>
      <c r="AN812" s="44"/>
      <c r="AO812" s="44"/>
      <c r="AP812" s="44"/>
      <c r="AQ812" s="44"/>
      <c r="AR812" s="44"/>
      <c r="AS812" s="45"/>
      <c r="AT812" s="45"/>
      <c r="AU812" s="45"/>
    </row>
    <row r="813" spans="2:47" x14ac:dyDescent="0.25">
      <c r="B813" s="39"/>
      <c r="C813" s="39"/>
      <c r="D813" s="40"/>
      <c r="E813" s="39"/>
      <c r="F813" s="39"/>
      <c r="G813" s="41"/>
      <c r="H813" s="42" t="str">
        <f t="shared" si="37"/>
        <v/>
      </c>
      <c r="I813" s="42" t="str">
        <f t="shared" si="38"/>
        <v/>
      </c>
      <c r="J813" s="43" t="str">
        <f t="shared" si="39"/>
        <v/>
      </c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44"/>
      <c r="AN813" s="44"/>
      <c r="AO813" s="44"/>
      <c r="AP813" s="44"/>
      <c r="AQ813" s="44"/>
      <c r="AR813" s="44"/>
      <c r="AS813" s="45"/>
      <c r="AT813" s="45"/>
      <c r="AU813" s="45"/>
    </row>
    <row r="814" spans="2:47" x14ac:dyDescent="0.25">
      <c r="B814" s="39"/>
      <c r="C814" s="39"/>
      <c r="D814" s="40"/>
      <c r="E814" s="39"/>
      <c r="F814" s="39"/>
      <c r="G814" s="41"/>
      <c r="H814" s="42" t="str">
        <f t="shared" si="37"/>
        <v/>
      </c>
      <c r="I814" s="42" t="str">
        <f t="shared" si="38"/>
        <v/>
      </c>
      <c r="J814" s="43" t="str">
        <f t="shared" si="39"/>
        <v/>
      </c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44"/>
      <c r="AN814" s="44"/>
      <c r="AO814" s="44"/>
      <c r="AP814" s="44"/>
      <c r="AQ814" s="44"/>
      <c r="AR814" s="44"/>
      <c r="AS814" s="45"/>
      <c r="AT814" s="45"/>
      <c r="AU814" s="45"/>
    </row>
    <row r="815" spans="2:47" x14ac:dyDescent="0.25">
      <c r="B815" s="39"/>
      <c r="C815" s="39"/>
      <c r="D815" s="40"/>
      <c r="E815" s="39"/>
      <c r="F815" s="39"/>
      <c r="G815" s="41"/>
      <c r="H815" s="42" t="str">
        <f t="shared" si="37"/>
        <v/>
      </c>
      <c r="I815" s="42" t="str">
        <f t="shared" si="38"/>
        <v/>
      </c>
      <c r="J815" s="43" t="str">
        <f t="shared" si="39"/>
        <v/>
      </c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44"/>
      <c r="AN815" s="44"/>
      <c r="AO815" s="44"/>
      <c r="AP815" s="44"/>
      <c r="AQ815" s="44"/>
      <c r="AR815" s="44"/>
      <c r="AS815" s="45"/>
      <c r="AT815" s="45"/>
      <c r="AU815" s="45"/>
    </row>
    <row r="816" spans="2:47" x14ac:dyDescent="0.25">
      <c r="B816" s="39"/>
      <c r="C816" s="39"/>
      <c r="D816" s="40"/>
      <c r="E816" s="39"/>
      <c r="F816" s="39"/>
      <c r="G816" s="41"/>
      <c r="H816" s="42" t="str">
        <f t="shared" si="37"/>
        <v/>
      </c>
      <c r="I816" s="42" t="str">
        <f t="shared" si="38"/>
        <v/>
      </c>
      <c r="J816" s="43" t="str">
        <f t="shared" si="39"/>
        <v/>
      </c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44"/>
      <c r="AN816" s="44"/>
      <c r="AO816" s="44"/>
      <c r="AP816" s="44"/>
      <c r="AQ816" s="44"/>
      <c r="AR816" s="44"/>
      <c r="AS816" s="45"/>
      <c r="AT816" s="45"/>
      <c r="AU816" s="45"/>
    </row>
    <row r="817" spans="2:47" x14ac:dyDescent="0.25">
      <c r="B817" s="39"/>
      <c r="C817" s="39"/>
      <c r="D817" s="40"/>
      <c r="E817" s="39"/>
      <c r="F817" s="39"/>
      <c r="G817" s="41"/>
      <c r="H817" s="42" t="str">
        <f t="shared" si="37"/>
        <v/>
      </c>
      <c r="I817" s="42" t="str">
        <f t="shared" si="38"/>
        <v/>
      </c>
      <c r="J817" s="43" t="str">
        <f t="shared" si="39"/>
        <v/>
      </c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44"/>
      <c r="AN817" s="44"/>
      <c r="AO817" s="44"/>
      <c r="AP817" s="44"/>
      <c r="AQ817" s="44"/>
      <c r="AR817" s="44"/>
      <c r="AS817" s="45"/>
      <c r="AT817" s="45"/>
      <c r="AU817" s="45"/>
    </row>
    <row r="818" spans="2:47" x14ac:dyDescent="0.25">
      <c r="B818" s="39"/>
      <c r="C818" s="39"/>
      <c r="D818" s="40"/>
      <c r="E818" s="39"/>
      <c r="F818" s="39"/>
      <c r="G818" s="41"/>
      <c r="H818" s="42" t="str">
        <f t="shared" si="37"/>
        <v/>
      </c>
      <c r="I818" s="42" t="str">
        <f t="shared" si="38"/>
        <v/>
      </c>
      <c r="J818" s="43" t="str">
        <f t="shared" si="39"/>
        <v/>
      </c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44"/>
      <c r="AN818" s="44"/>
      <c r="AO818" s="44"/>
      <c r="AP818" s="44"/>
      <c r="AQ818" s="44"/>
      <c r="AR818" s="44"/>
      <c r="AS818" s="45"/>
      <c r="AT818" s="45"/>
      <c r="AU818" s="45"/>
    </row>
    <row r="819" spans="2:47" x14ac:dyDescent="0.25">
      <c r="B819" s="39"/>
      <c r="C819" s="39"/>
      <c r="D819" s="40"/>
      <c r="E819" s="39"/>
      <c r="F819" s="39"/>
      <c r="G819" s="41"/>
      <c r="H819" s="42" t="str">
        <f t="shared" si="37"/>
        <v/>
      </c>
      <c r="I819" s="42" t="str">
        <f t="shared" si="38"/>
        <v/>
      </c>
      <c r="J819" s="43" t="str">
        <f t="shared" si="39"/>
        <v/>
      </c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44"/>
      <c r="AN819" s="44"/>
      <c r="AO819" s="44"/>
      <c r="AP819" s="44"/>
      <c r="AQ819" s="44"/>
      <c r="AR819" s="44"/>
      <c r="AS819" s="45"/>
      <c r="AT819" s="45"/>
      <c r="AU819" s="45"/>
    </row>
    <row r="820" spans="2:47" x14ac:dyDescent="0.25">
      <c r="B820" s="39"/>
      <c r="C820" s="39"/>
      <c r="D820" s="40"/>
      <c r="E820" s="39"/>
      <c r="F820" s="39"/>
      <c r="G820" s="41"/>
      <c r="H820" s="42" t="str">
        <f t="shared" si="37"/>
        <v/>
      </c>
      <c r="I820" s="42" t="str">
        <f t="shared" si="38"/>
        <v/>
      </c>
      <c r="J820" s="43" t="str">
        <f t="shared" si="39"/>
        <v/>
      </c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44"/>
      <c r="AN820" s="44"/>
      <c r="AO820" s="44"/>
      <c r="AP820" s="44"/>
      <c r="AQ820" s="44"/>
      <c r="AR820" s="44"/>
      <c r="AS820" s="45"/>
      <c r="AT820" s="45"/>
      <c r="AU820" s="45"/>
    </row>
    <row r="821" spans="2:47" x14ac:dyDescent="0.25">
      <c r="B821" s="39"/>
      <c r="C821" s="39"/>
      <c r="D821" s="40"/>
      <c r="E821" s="39"/>
      <c r="F821" s="39"/>
      <c r="G821" s="41"/>
      <c r="H821" s="42" t="str">
        <f t="shared" si="37"/>
        <v/>
      </c>
      <c r="I821" s="42" t="str">
        <f t="shared" si="38"/>
        <v/>
      </c>
      <c r="J821" s="43" t="str">
        <f t="shared" si="39"/>
        <v/>
      </c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44"/>
      <c r="AN821" s="44"/>
      <c r="AO821" s="44"/>
      <c r="AP821" s="44"/>
      <c r="AQ821" s="44"/>
      <c r="AR821" s="44"/>
      <c r="AS821" s="45"/>
      <c r="AT821" s="45"/>
      <c r="AU821" s="45"/>
    </row>
    <row r="822" spans="2:47" x14ac:dyDescent="0.25">
      <c r="B822" s="39"/>
      <c r="C822" s="39"/>
      <c r="D822" s="40"/>
      <c r="E822" s="39"/>
      <c r="F822" s="39"/>
      <c r="G822" s="41"/>
      <c r="H822" s="42" t="str">
        <f t="shared" si="37"/>
        <v/>
      </c>
      <c r="I822" s="42" t="str">
        <f t="shared" si="38"/>
        <v/>
      </c>
      <c r="J822" s="43" t="str">
        <f t="shared" si="39"/>
        <v/>
      </c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44"/>
      <c r="AN822" s="44"/>
      <c r="AO822" s="44"/>
      <c r="AP822" s="44"/>
      <c r="AQ822" s="44"/>
      <c r="AR822" s="44"/>
      <c r="AS822" s="45"/>
      <c r="AT822" s="45"/>
      <c r="AU822" s="45"/>
    </row>
    <row r="823" spans="2:47" x14ac:dyDescent="0.25">
      <c r="B823" s="39"/>
      <c r="C823" s="39"/>
      <c r="D823" s="40"/>
      <c r="E823" s="39"/>
      <c r="F823" s="39"/>
      <c r="G823" s="41"/>
      <c r="H823" s="42" t="str">
        <f t="shared" si="37"/>
        <v/>
      </c>
      <c r="I823" s="42" t="str">
        <f t="shared" si="38"/>
        <v/>
      </c>
      <c r="J823" s="43" t="str">
        <f t="shared" si="39"/>
        <v/>
      </c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44"/>
      <c r="AN823" s="44"/>
      <c r="AO823" s="44"/>
      <c r="AP823" s="44"/>
      <c r="AQ823" s="44"/>
      <c r="AR823" s="44"/>
      <c r="AS823" s="45"/>
      <c r="AT823" s="45"/>
      <c r="AU823" s="45"/>
    </row>
    <row r="824" spans="2:47" x14ac:dyDescent="0.25">
      <c r="B824" s="39"/>
      <c r="C824" s="39"/>
      <c r="D824" s="40"/>
      <c r="E824" s="39"/>
      <c r="F824" s="39"/>
      <c r="G824" s="41"/>
      <c r="H824" s="42" t="str">
        <f t="shared" si="37"/>
        <v/>
      </c>
      <c r="I824" s="42" t="str">
        <f t="shared" si="38"/>
        <v/>
      </c>
      <c r="J824" s="43" t="str">
        <f t="shared" si="39"/>
        <v/>
      </c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44"/>
      <c r="AN824" s="44"/>
      <c r="AO824" s="44"/>
      <c r="AP824" s="44"/>
      <c r="AQ824" s="44"/>
      <c r="AR824" s="44"/>
      <c r="AS824" s="45"/>
      <c r="AT824" s="45"/>
      <c r="AU824" s="45"/>
    </row>
    <row r="825" spans="2:47" x14ac:dyDescent="0.25">
      <c r="B825" s="39"/>
      <c r="C825" s="39"/>
      <c r="D825" s="40"/>
      <c r="E825" s="39"/>
      <c r="F825" s="39"/>
      <c r="G825" s="41"/>
      <c r="H825" s="42" t="str">
        <f t="shared" si="37"/>
        <v/>
      </c>
      <c r="I825" s="42" t="str">
        <f t="shared" si="38"/>
        <v/>
      </c>
      <c r="J825" s="43" t="str">
        <f t="shared" si="39"/>
        <v/>
      </c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44"/>
      <c r="AN825" s="44"/>
      <c r="AO825" s="44"/>
      <c r="AP825" s="44"/>
      <c r="AQ825" s="44"/>
      <c r="AR825" s="44"/>
      <c r="AS825" s="45"/>
      <c r="AT825" s="45"/>
      <c r="AU825" s="45"/>
    </row>
    <row r="826" spans="2:47" x14ac:dyDescent="0.25">
      <c r="B826" s="39"/>
      <c r="C826" s="39"/>
      <c r="D826" s="40"/>
      <c r="E826" s="39"/>
      <c r="F826" s="39"/>
      <c r="G826" s="41"/>
      <c r="H826" s="42" t="str">
        <f t="shared" si="37"/>
        <v/>
      </c>
      <c r="I826" s="42" t="str">
        <f t="shared" si="38"/>
        <v/>
      </c>
      <c r="J826" s="43" t="str">
        <f t="shared" si="39"/>
        <v/>
      </c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44"/>
      <c r="AN826" s="44"/>
      <c r="AO826" s="44"/>
      <c r="AP826" s="44"/>
      <c r="AQ826" s="44"/>
      <c r="AR826" s="44"/>
      <c r="AS826" s="45"/>
      <c r="AT826" s="45"/>
      <c r="AU826" s="45"/>
    </row>
    <row r="827" spans="2:47" x14ac:dyDescent="0.25">
      <c r="B827" s="39"/>
      <c r="C827" s="39"/>
      <c r="D827" s="40"/>
      <c r="E827" s="39"/>
      <c r="F827" s="39"/>
      <c r="G827" s="41"/>
      <c r="H827" s="42" t="str">
        <f t="shared" si="37"/>
        <v/>
      </c>
      <c r="I827" s="42" t="str">
        <f t="shared" si="38"/>
        <v/>
      </c>
      <c r="J827" s="43" t="str">
        <f t="shared" si="39"/>
        <v/>
      </c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44"/>
      <c r="AN827" s="44"/>
      <c r="AO827" s="44"/>
      <c r="AP827" s="44"/>
      <c r="AQ827" s="44"/>
      <c r="AR827" s="44"/>
      <c r="AS827" s="45"/>
      <c r="AT827" s="45"/>
      <c r="AU827" s="45"/>
    </row>
    <row r="828" spans="2:47" x14ac:dyDescent="0.25">
      <c r="B828" s="39"/>
      <c r="C828" s="39"/>
      <c r="D828" s="40"/>
      <c r="E828" s="39"/>
      <c r="F828" s="39"/>
      <c r="G828" s="41"/>
      <c r="H828" s="42" t="str">
        <f t="shared" si="37"/>
        <v/>
      </c>
      <c r="I828" s="42" t="str">
        <f t="shared" si="38"/>
        <v/>
      </c>
      <c r="J828" s="43" t="str">
        <f t="shared" si="39"/>
        <v/>
      </c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44"/>
      <c r="AN828" s="44"/>
      <c r="AO828" s="44"/>
      <c r="AP828" s="44"/>
      <c r="AQ828" s="44"/>
      <c r="AR828" s="44"/>
      <c r="AS828" s="45"/>
      <c r="AT828" s="45"/>
      <c r="AU828" s="45"/>
    </row>
    <row r="829" spans="2:47" x14ac:dyDescent="0.25">
      <c r="B829" s="39"/>
      <c r="C829" s="39"/>
      <c r="D829" s="40"/>
      <c r="E829" s="39"/>
      <c r="F829" s="39"/>
      <c r="G829" s="41"/>
      <c r="H829" s="42" t="str">
        <f t="shared" si="37"/>
        <v/>
      </c>
      <c r="I829" s="42" t="str">
        <f t="shared" si="38"/>
        <v/>
      </c>
      <c r="J829" s="43" t="str">
        <f t="shared" si="39"/>
        <v/>
      </c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44"/>
      <c r="AN829" s="44"/>
      <c r="AO829" s="44"/>
      <c r="AP829" s="44"/>
      <c r="AQ829" s="44"/>
      <c r="AR829" s="44"/>
      <c r="AS829" s="45"/>
      <c r="AT829" s="45"/>
      <c r="AU829" s="45"/>
    </row>
    <row r="830" spans="2:47" x14ac:dyDescent="0.25">
      <c r="B830" s="39"/>
      <c r="C830" s="39"/>
      <c r="D830" s="40"/>
      <c r="E830" s="39"/>
      <c r="F830" s="39"/>
      <c r="G830" s="41"/>
      <c r="H830" s="42" t="str">
        <f t="shared" si="37"/>
        <v/>
      </c>
      <c r="I830" s="42" t="str">
        <f t="shared" si="38"/>
        <v/>
      </c>
      <c r="J830" s="43" t="str">
        <f t="shared" si="39"/>
        <v/>
      </c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44"/>
      <c r="AN830" s="44"/>
      <c r="AO830" s="44"/>
      <c r="AP830" s="44"/>
      <c r="AQ830" s="44"/>
      <c r="AR830" s="44"/>
      <c r="AS830" s="45"/>
      <c r="AT830" s="45"/>
      <c r="AU830" s="45"/>
    </row>
    <row r="831" spans="2:47" x14ac:dyDescent="0.25">
      <c r="B831" s="39"/>
      <c r="C831" s="39"/>
      <c r="D831" s="40"/>
      <c r="E831" s="39"/>
      <c r="F831" s="39"/>
      <c r="G831" s="41"/>
      <c r="H831" s="42" t="str">
        <f t="shared" si="37"/>
        <v/>
      </c>
      <c r="I831" s="42" t="str">
        <f t="shared" si="38"/>
        <v/>
      </c>
      <c r="J831" s="43" t="str">
        <f t="shared" si="39"/>
        <v/>
      </c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44"/>
      <c r="AN831" s="44"/>
      <c r="AO831" s="44"/>
      <c r="AP831" s="44"/>
      <c r="AQ831" s="44"/>
      <c r="AR831" s="44"/>
      <c r="AS831" s="45"/>
      <c r="AT831" s="45"/>
      <c r="AU831" s="45"/>
    </row>
    <row r="832" spans="2:47" x14ac:dyDescent="0.25">
      <c r="B832" s="39"/>
      <c r="C832" s="39"/>
      <c r="D832" s="40"/>
      <c r="E832" s="39"/>
      <c r="F832" s="39"/>
      <c r="G832" s="41"/>
      <c r="H832" s="42" t="str">
        <f t="shared" si="37"/>
        <v/>
      </c>
      <c r="I832" s="42" t="str">
        <f t="shared" si="38"/>
        <v/>
      </c>
      <c r="J832" s="43" t="str">
        <f t="shared" si="39"/>
        <v/>
      </c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44"/>
      <c r="AN832" s="44"/>
      <c r="AO832" s="44"/>
      <c r="AP832" s="44"/>
      <c r="AQ832" s="44"/>
      <c r="AR832" s="44"/>
      <c r="AS832" s="45"/>
      <c r="AT832" s="45"/>
      <c r="AU832" s="45"/>
    </row>
    <row r="833" spans="2:47" x14ac:dyDescent="0.25">
      <c r="B833" s="39"/>
      <c r="C833" s="39"/>
      <c r="D833" s="40"/>
      <c r="E833" s="39"/>
      <c r="F833" s="39"/>
      <c r="G833" s="41"/>
      <c r="H833" s="42" t="str">
        <f t="shared" si="37"/>
        <v/>
      </c>
      <c r="I833" s="42" t="str">
        <f t="shared" si="38"/>
        <v/>
      </c>
      <c r="J833" s="43" t="str">
        <f t="shared" si="39"/>
        <v/>
      </c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44"/>
      <c r="AN833" s="44"/>
      <c r="AO833" s="44"/>
      <c r="AP833" s="44"/>
      <c r="AQ833" s="44"/>
      <c r="AR833" s="44"/>
      <c r="AS833" s="45"/>
      <c r="AT833" s="45"/>
      <c r="AU833" s="45"/>
    </row>
    <row r="834" spans="2:47" x14ac:dyDescent="0.25">
      <c r="B834" s="39"/>
      <c r="C834" s="39"/>
      <c r="D834" s="40"/>
      <c r="E834" s="39"/>
      <c r="F834" s="39"/>
      <c r="G834" s="41"/>
      <c r="H834" s="42" t="str">
        <f t="shared" si="37"/>
        <v/>
      </c>
      <c r="I834" s="42" t="str">
        <f t="shared" si="38"/>
        <v/>
      </c>
      <c r="J834" s="43" t="str">
        <f t="shared" si="39"/>
        <v/>
      </c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44"/>
      <c r="AN834" s="44"/>
      <c r="AO834" s="44"/>
      <c r="AP834" s="44"/>
      <c r="AQ834" s="44"/>
      <c r="AR834" s="44"/>
      <c r="AS834" s="45"/>
      <c r="AT834" s="45"/>
      <c r="AU834" s="45"/>
    </row>
    <row r="835" spans="2:47" x14ac:dyDescent="0.25">
      <c r="B835" s="39"/>
      <c r="C835" s="39"/>
      <c r="D835" s="40"/>
      <c r="E835" s="39"/>
      <c r="F835" s="39"/>
      <c r="G835" s="41"/>
      <c r="H835" s="42" t="str">
        <f t="shared" si="37"/>
        <v/>
      </c>
      <c r="I835" s="42" t="str">
        <f t="shared" si="38"/>
        <v/>
      </c>
      <c r="J835" s="43" t="str">
        <f t="shared" si="39"/>
        <v/>
      </c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44"/>
      <c r="AN835" s="44"/>
      <c r="AO835" s="44"/>
      <c r="AP835" s="44"/>
      <c r="AQ835" s="44"/>
      <c r="AR835" s="44"/>
      <c r="AS835" s="45"/>
      <c r="AT835" s="45"/>
      <c r="AU835" s="45"/>
    </row>
    <row r="836" spans="2:47" x14ac:dyDescent="0.25">
      <c r="B836" s="39"/>
      <c r="C836" s="39"/>
      <c r="D836" s="40"/>
      <c r="E836" s="39"/>
      <c r="F836" s="39"/>
      <c r="G836" s="41"/>
      <c r="H836" s="42" t="str">
        <f t="shared" si="37"/>
        <v/>
      </c>
      <c r="I836" s="42" t="str">
        <f t="shared" si="38"/>
        <v/>
      </c>
      <c r="J836" s="43" t="str">
        <f t="shared" si="39"/>
        <v/>
      </c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44"/>
      <c r="AN836" s="44"/>
      <c r="AO836" s="44"/>
      <c r="AP836" s="44"/>
      <c r="AQ836" s="44"/>
      <c r="AR836" s="44"/>
      <c r="AS836" s="45"/>
      <c r="AT836" s="45"/>
      <c r="AU836" s="45"/>
    </row>
    <row r="837" spans="2:47" x14ac:dyDescent="0.25">
      <c r="B837" s="39"/>
      <c r="C837" s="39"/>
      <c r="D837" s="40"/>
      <c r="E837" s="39"/>
      <c r="F837" s="39"/>
      <c r="G837" s="41"/>
      <c r="H837" s="42" t="str">
        <f t="shared" si="37"/>
        <v/>
      </c>
      <c r="I837" s="42" t="str">
        <f t="shared" si="38"/>
        <v/>
      </c>
      <c r="J837" s="43" t="str">
        <f t="shared" si="39"/>
        <v/>
      </c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44"/>
      <c r="AN837" s="44"/>
      <c r="AO837" s="44"/>
      <c r="AP837" s="44"/>
      <c r="AQ837" s="44"/>
      <c r="AR837" s="44"/>
      <c r="AS837" s="45"/>
      <c r="AT837" s="45"/>
      <c r="AU837" s="45"/>
    </row>
    <row r="838" spans="2:47" x14ac:dyDescent="0.25">
      <c r="B838" s="39"/>
      <c r="C838" s="39"/>
      <c r="D838" s="40"/>
      <c r="E838" s="39"/>
      <c r="F838" s="39"/>
      <c r="G838" s="41"/>
      <c r="H838" s="42" t="str">
        <f t="shared" ref="H838:H901" si="40">IF($B838="","",SUM($K838:$AG838)+SUM($AS838:$BB838))</f>
        <v/>
      </c>
      <c r="I838" s="42" t="str">
        <f t="shared" ref="I838:I901" si="41">IF($B838="","",SUM($AH838:$AL838))</f>
        <v/>
      </c>
      <c r="J838" s="43" t="str">
        <f t="shared" ref="J838:J901" si="42">IF($B838="","",SUMPRODUCT($K838:$BB838,$K$2:$BB$2))</f>
        <v/>
      </c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44"/>
      <c r="AN838" s="44"/>
      <c r="AO838" s="44"/>
      <c r="AP838" s="44"/>
      <c r="AQ838" s="44"/>
      <c r="AR838" s="44"/>
      <c r="AS838" s="45"/>
      <c r="AT838" s="45"/>
      <c r="AU838" s="45"/>
    </row>
    <row r="839" spans="2:47" x14ac:dyDescent="0.25">
      <c r="B839" s="39"/>
      <c r="C839" s="39"/>
      <c r="D839" s="40"/>
      <c r="E839" s="39"/>
      <c r="F839" s="39"/>
      <c r="G839" s="41"/>
      <c r="H839" s="42" t="str">
        <f t="shared" si="40"/>
        <v/>
      </c>
      <c r="I839" s="42" t="str">
        <f t="shared" si="41"/>
        <v/>
      </c>
      <c r="J839" s="43" t="str">
        <f t="shared" si="42"/>
        <v/>
      </c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44"/>
      <c r="AN839" s="44"/>
      <c r="AO839" s="44"/>
      <c r="AP839" s="44"/>
      <c r="AQ839" s="44"/>
      <c r="AR839" s="44"/>
      <c r="AS839" s="45"/>
      <c r="AT839" s="45"/>
      <c r="AU839" s="45"/>
    </row>
    <row r="840" spans="2:47" x14ac:dyDescent="0.25">
      <c r="B840" s="39"/>
      <c r="C840" s="39"/>
      <c r="D840" s="40"/>
      <c r="E840" s="39"/>
      <c r="F840" s="39"/>
      <c r="G840" s="41"/>
      <c r="H840" s="42" t="str">
        <f t="shared" si="40"/>
        <v/>
      </c>
      <c r="I840" s="42" t="str">
        <f t="shared" si="41"/>
        <v/>
      </c>
      <c r="J840" s="43" t="str">
        <f t="shared" si="42"/>
        <v/>
      </c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44"/>
      <c r="AN840" s="44"/>
      <c r="AO840" s="44"/>
      <c r="AP840" s="44"/>
      <c r="AQ840" s="44"/>
      <c r="AR840" s="44"/>
      <c r="AS840" s="45"/>
      <c r="AT840" s="45"/>
      <c r="AU840" s="45"/>
    </row>
    <row r="841" spans="2:47" x14ac:dyDescent="0.25">
      <c r="B841" s="39"/>
      <c r="C841" s="39"/>
      <c r="D841" s="40"/>
      <c r="E841" s="39"/>
      <c r="F841" s="39"/>
      <c r="G841" s="41"/>
      <c r="H841" s="42" t="str">
        <f t="shared" si="40"/>
        <v/>
      </c>
      <c r="I841" s="42" t="str">
        <f t="shared" si="41"/>
        <v/>
      </c>
      <c r="J841" s="43" t="str">
        <f t="shared" si="42"/>
        <v/>
      </c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44"/>
      <c r="AN841" s="44"/>
      <c r="AO841" s="44"/>
      <c r="AP841" s="44"/>
      <c r="AQ841" s="44"/>
      <c r="AR841" s="44"/>
      <c r="AS841" s="45"/>
      <c r="AT841" s="45"/>
      <c r="AU841" s="45"/>
    </row>
    <row r="842" spans="2:47" x14ac:dyDescent="0.25">
      <c r="B842" s="39"/>
      <c r="C842" s="39"/>
      <c r="D842" s="40"/>
      <c r="E842" s="39"/>
      <c r="F842" s="39"/>
      <c r="G842" s="41"/>
      <c r="H842" s="42" t="str">
        <f t="shared" si="40"/>
        <v/>
      </c>
      <c r="I842" s="42" t="str">
        <f t="shared" si="41"/>
        <v/>
      </c>
      <c r="J842" s="43" t="str">
        <f t="shared" si="42"/>
        <v/>
      </c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44"/>
      <c r="AN842" s="44"/>
      <c r="AO842" s="44"/>
      <c r="AP842" s="44"/>
      <c r="AQ842" s="44"/>
      <c r="AR842" s="44"/>
      <c r="AS842" s="45"/>
      <c r="AT842" s="45"/>
      <c r="AU842" s="45"/>
    </row>
    <row r="843" spans="2:47" x14ac:dyDescent="0.25">
      <c r="B843" s="39"/>
      <c r="C843" s="39"/>
      <c r="D843" s="40"/>
      <c r="E843" s="39"/>
      <c r="F843" s="39"/>
      <c r="G843" s="41"/>
      <c r="H843" s="42" t="str">
        <f t="shared" si="40"/>
        <v/>
      </c>
      <c r="I843" s="42" t="str">
        <f t="shared" si="41"/>
        <v/>
      </c>
      <c r="J843" s="43" t="str">
        <f t="shared" si="42"/>
        <v/>
      </c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44"/>
      <c r="AN843" s="44"/>
      <c r="AO843" s="44"/>
      <c r="AP843" s="44"/>
      <c r="AQ843" s="44"/>
      <c r="AR843" s="44"/>
      <c r="AS843" s="45"/>
      <c r="AT843" s="45"/>
      <c r="AU843" s="45"/>
    </row>
    <row r="844" spans="2:47" x14ac:dyDescent="0.25">
      <c r="B844" s="39"/>
      <c r="C844" s="39"/>
      <c r="D844" s="40"/>
      <c r="E844" s="39"/>
      <c r="F844" s="39"/>
      <c r="G844" s="41"/>
      <c r="H844" s="42" t="str">
        <f t="shared" si="40"/>
        <v/>
      </c>
      <c r="I844" s="42" t="str">
        <f t="shared" si="41"/>
        <v/>
      </c>
      <c r="J844" s="43" t="str">
        <f t="shared" si="42"/>
        <v/>
      </c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44"/>
      <c r="AN844" s="44"/>
      <c r="AO844" s="44"/>
      <c r="AP844" s="44"/>
      <c r="AQ844" s="44"/>
      <c r="AR844" s="44"/>
      <c r="AS844" s="45"/>
      <c r="AT844" s="45"/>
      <c r="AU844" s="45"/>
    </row>
    <row r="845" spans="2:47" x14ac:dyDescent="0.25">
      <c r="B845" s="39"/>
      <c r="C845" s="39"/>
      <c r="D845" s="40"/>
      <c r="E845" s="39"/>
      <c r="F845" s="39"/>
      <c r="G845" s="41"/>
      <c r="H845" s="42" t="str">
        <f t="shared" si="40"/>
        <v/>
      </c>
      <c r="I845" s="42" t="str">
        <f t="shared" si="41"/>
        <v/>
      </c>
      <c r="J845" s="43" t="str">
        <f t="shared" si="42"/>
        <v/>
      </c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44"/>
      <c r="AN845" s="44"/>
      <c r="AO845" s="44"/>
      <c r="AP845" s="44"/>
      <c r="AQ845" s="44"/>
      <c r="AR845" s="44"/>
      <c r="AS845" s="45"/>
      <c r="AT845" s="45"/>
      <c r="AU845" s="45"/>
    </row>
    <row r="846" spans="2:47" x14ac:dyDescent="0.25">
      <c r="B846" s="39"/>
      <c r="C846" s="39"/>
      <c r="D846" s="40"/>
      <c r="E846" s="39"/>
      <c r="F846" s="39"/>
      <c r="G846" s="41"/>
      <c r="H846" s="42" t="str">
        <f t="shared" si="40"/>
        <v/>
      </c>
      <c r="I846" s="42" t="str">
        <f t="shared" si="41"/>
        <v/>
      </c>
      <c r="J846" s="43" t="str">
        <f t="shared" si="42"/>
        <v/>
      </c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44"/>
      <c r="AN846" s="44"/>
      <c r="AO846" s="44"/>
      <c r="AP846" s="44"/>
      <c r="AQ846" s="44"/>
      <c r="AR846" s="44"/>
      <c r="AS846" s="45"/>
      <c r="AT846" s="45"/>
      <c r="AU846" s="45"/>
    </row>
    <row r="847" spans="2:47" x14ac:dyDescent="0.25">
      <c r="B847" s="39"/>
      <c r="C847" s="39"/>
      <c r="D847" s="40"/>
      <c r="E847" s="39"/>
      <c r="F847" s="39"/>
      <c r="G847" s="41"/>
      <c r="H847" s="42" t="str">
        <f t="shared" si="40"/>
        <v/>
      </c>
      <c r="I847" s="42" t="str">
        <f t="shared" si="41"/>
        <v/>
      </c>
      <c r="J847" s="43" t="str">
        <f t="shared" si="42"/>
        <v/>
      </c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44"/>
      <c r="AN847" s="44"/>
      <c r="AO847" s="44"/>
      <c r="AP847" s="44"/>
      <c r="AQ847" s="44"/>
      <c r="AR847" s="44"/>
      <c r="AS847" s="45"/>
      <c r="AT847" s="45"/>
      <c r="AU847" s="45"/>
    </row>
    <row r="848" spans="2:47" x14ac:dyDescent="0.25">
      <c r="B848" s="39"/>
      <c r="C848" s="39"/>
      <c r="D848" s="40"/>
      <c r="E848" s="39"/>
      <c r="F848" s="39"/>
      <c r="G848" s="41"/>
      <c r="H848" s="42" t="str">
        <f t="shared" si="40"/>
        <v/>
      </c>
      <c r="I848" s="42" t="str">
        <f t="shared" si="41"/>
        <v/>
      </c>
      <c r="J848" s="43" t="str">
        <f t="shared" si="42"/>
        <v/>
      </c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44"/>
      <c r="AN848" s="44"/>
      <c r="AO848" s="44"/>
      <c r="AP848" s="44"/>
      <c r="AQ848" s="44"/>
      <c r="AR848" s="44"/>
      <c r="AS848" s="45"/>
      <c r="AT848" s="45"/>
      <c r="AU848" s="45"/>
    </row>
    <row r="849" spans="2:47" x14ac:dyDescent="0.25">
      <c r="B849" s="39"/>
      <c r="C849" s="39"/>
      <c r="D849" s="40"/>
      <c r="E849" s="39"/>
      <c r="F849" s="39"/>
      <c r="G849" s="41"/>
      <c r="H849" s="42" t="str">
        <f t="shared" si="40"/>
        <v/>
      </c>
      <c r="I849" s="42" t="str">
        <f t="shared" si="41"/>
        <v/>
      </c>
      <c r="J849" s="43" t="str">
        <f t="shared" si="42"/>
        <v/>
      </c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44"/>
      <c r="AN849" s="44"/>
      <c r="AO849" s="44"/>
      <c r="AP849" s="44"/>
      <c r="AQ849" s="44"/>
      <c r="AR849" s="44"/>
      <c r="AS849" s="45"/>
      <c r="AT849" s="45"/>
      <c r="AU849" s="45"/>
    </row>
    <row r="850" spans="2:47" x14ac:dyDescent="0.25">
      <c r="B850" s="39"/>
      <c r="C850" s="39"/>
      <c r="D850" s="40"/>
      <c r="E850" s="39"/>
      <c r="F850" s="39"/>
      <c r="G850" s="41"/>
      <c r="H850" s="42" t="str">
        <f t="shared" si="40"/>
        <v/>
      </c>
      <c r="I850" s="42" t="str">
        <f t="shared" si="41"/>
        <v/>
      </c>
      <c r="J850" s="43" t="str">
        <f t="shared" si="42"/>
        <v/>
      </c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44"/>
      <c r="AN850" s="44"/>
      <c r="AO850" s="44"/>
      <c r="AP850" s="44"/>
      <c r="AQ850" s="44"/>
      <c r="AR850" s="44"/>
      <c r="AS850" s="45"/>
      <c r="AT850" s="45"/>
      <c r="AU850" s="45"/>
    </row>
    <row r="851" spans="2:47" x14ac:dyDescent="0.25">
      <c r="B851" s="39"/>
      <c r="C851" s="39"/>
      <c r="D851" s="40"/>
      <c r="E851" s="39"/>
      <c r="F851" s="39"/>
      <c r="G851" s="41"/>
      <c r="H851" s="42" t="str">
        <f t="shared" si="40"/>
        <v/>
      </c>
      <c r="I851" s="42" t="str">
        <f t="shared" si="41"/>
        <v/>
      </c>
      <c r="J851" s="43" t="str">
        <f t="shared" si="42"/>
        <v/>
      </c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44"/>
      <c r="AN851" s="44"/>
      <c r="AO851" s="44"/>
      <c r="AP851" s="44"/>
      <c r="AQ851" s="44"/>
      <c r="AR851" s="44"/>
      <c r="AS851" s="45"/>
      <c r="AT851" s="45"/>
      <c r="AU851" s="45"/>
    </row>
    <row r="852" spans="2:47" x14ac:dyDescent="0.25">
      <c r="B852" s="39"/>
      <c r="C852" s="39"/>
      <c r="D852" s="40"/>
      <c r="E852" s="39"/>
      <c r="F852" s="39"/>
      <c r="G852" s="41"/>
      <c r="H852" s="42" t="str">
        <f t="shared" si="40"/>
        <v/>
      </c>
      <c r="I852" s="42" t="str">
        <f t="shared" si="41"/>
        <v/>
      </c>
      <c r="J852" s="43" t="str">
        <f t="shared" si="42"/>
        <v/>
      </c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44"/>
      <c r="AN852" s="44"/>
      <c r="AO852" s="44"/>
      <c r="AP852" s="44"/>
      <c r="AQ852" s="44"/>
      <c r="AR852" s="44"/>
      <c r="AS852" s="45"/>
      <c r="AT852" s="45"/>
      <c r="AU852" s="45"/>
    </row>
    <row r="853" spans="2:47" x14ac:dyDescent="0.25">
      <c r="B853" s="39"/>
      <c r="C853" s="39"/>
      <c r="D853" s="40"/>
      <c r="E853" s="39"/>
      <c r="F853" s="39"/>
      <c r="G853" s="41"/>
      <c r="H853" s="42" t="str">
        <f t="shared" si="40"/>
        <v/>
      </c>
      <c r="I853" s="42" t="str">
        <f t="shared" si="41"/>
        <v/>
      </c>
      <c r="J853" s="43" t="str">
        <f t="shared" si="42"/>
        <v/>
      </c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44"/>
      <c r="AN853" s="44"/>
      <c r="AO853" s="44"/>
      <c r="AP853" s="44"/>
      <c r="AQ853" s="44"/>
      <c r="AR853" s="44"/>
      <c r="AS853" s="45"/>
      <c r="AT853" s="45"/>
      <c r="AU853" s="45"/>
    </row>
    <row r="854" spans="2:47" x14ac:dyDescent="0.25">
      <c r="B854" s="39"/>
      <c r="C854" s="39"/>
      <c r="D854" s="40"/>
      <c r="E854" s="39"/>
      <c r="F854" s="39"/>
      <c r="G854" s="41"/>
      <c r="H854" s="42" t="str">
        <f t="shared" si="40"/>
        <v/>
      </c>
      <c r="I854" s="42" t="str">
        <f t="shared" si="41"/>
        <v/>
      </c>
      <c r="J854" s="43" t="str">
        <f t="shared" si="42"/>
        <v/>
      </c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44"/>
      <c r="AN854" s="44"/>
      <c r="AO854" s="44"/>
      <c r="AP854" s="44"/>
      <c r="AQ854" s="44"/>
      <c r="AR854" s="44"/>
      <c r="AS854" s="45"/>
      <c r="AT854" s="45"/>
      <c r="AU854" s="45"/>
    </row>
    <row r="855" spans="2:47" x14ac:dyDescent="0.25">
      <c r="B855" s="39"/>
      <c r="C855" s="39"/>
      <c r="D855" s="40"/>
      <c r="E855" s="39"/>
      <c r="F855" s="39"/>
      <c r="G855" s="41"/>
      <c r="H855" s="42" t="str">
        <f t="shared" si="40"/>
        <v/>
      </c>
      <c r="I855" s="42" t="str">
        <f t="shared" si="41"/>
        <v/>
      </c>
      <c r="J855" s="43" t="str">
        <f t="shared" si="42"/>
        <v/>
      </c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44"/>
      <c r="AN855" s="44"/>
      <c r="AO855" s="44"/>
      <c r="AP855" s="44"/>
      <c r="AQ855" s="44"/>
      <c r="AR855" s="44"/>
      <c r="AS855" s="45"/>
      <c r="AT855" s="45"/>
      <c r="AU855" s="45"/>
    </row>
    <row r="856" spans="2:47" x14ac:dyDescent="0.25">
      <c r="B856" s="39"/>
      <c r="C856" s="39"/>
      <c r="D856" s="40"/>
      <c r="E856" s="39"/>
      <c r="F856" s="39"/>
      <c r="G856" s="41"/>
      <c r="H856" s="42" t="str">
        <f t="shared" si="40"/>
        <v/>
      </c>
      <c r="I856" s="42" t="str">
        <f t="shared" si="41"/>
        <v/>
      </c>
      <c r="J856" s="43" t="str">
        <f t="shared" si="42"/>
        <v/>
      </c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44"/>
      <c r="AN856" s="44"/>
      <c r="AO856" s="44"/>
      <c r="AP856" s="44"/>
      <c r="AQ856" s="44"/>
      <c r="AR856" s="44"/>
      <c r="AS856" s="45"/>
      <c r="AT856" s="45"/>
      <c r="AU856" s="45"/>
    </row>
    <row r="857" spans="2:47" x14ac:dyDescent="0.25">
      <c r="B857" s="39"/>
      <c r="C857" s="39"/>
      <c r="D857" s="40"/>
      <c r="E857" s="39"/>
      <c r="F857" s="39"/>
      <c r="G857" s="41"/>
      <c r="H857" s="42" t="str">
        <f t="shared" si="40"/>
        <v/>
      </c>
      <c r="I857" s="42" t="str">
        <f t="shared" si="41"/>
        <v/>
      </c>
      <c r="J857" s="43" t="str">
        <f t="shared" si="42"/>
        <v/>
      </c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44"/>
      <c r="AN857" s="44"/>
      <c r="AO857" s="44"/>
      <c r="AP857" s="44"/>
      <c r="AQ857" s="44"/>
      <c r="AR857" s="44"/>
      <c r="AS857" s="45"/>
      <c r="AT857" s="45"/>
      <c r="AU857" s="45"/>
    </row>
    <row r="858" spans="2:47" x14ac:dyDescent="0.25">
      <c r="B858" s="39"/>
      <c r="C858" s="39"/>
      <c r="D858" s="40"/>
      <c r="E858" s="39"/>
      <c r="F858" s="39"/>
      <c r="G858" s="41"/>
      <c r="H858" s="42" t="str">
        <f t="shared" si="40"/>
        <v/>
      </c>
      <c r="I858" s="42" t="str">
        <f t="shared" si="41"/>
        <v/>
      </c>
      <c r="J858" s="43" t="str">
        <f t="shared" si="42"/>
        <v/>
      </c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44"/>
      <c r="AN858" s="44"/>
      <c r="AO858" s="44"/>
      <c r="AP858" s="44"/>
      <c r="AQ858" s="44"/>
      <c r="AR858" s="44"/>
      <c r="AS858" s="45"/>
      <c r="AT858" s="45"/>
      <c r="AU858" s="45"/>
    </row>
    <row r="859" spans="2:47" x14ac:dyDescent="0.25">
      <c r="B859" s="39"/>
      <c r="C859" s="39"/>
      <c r="D859" s="40"/>
      <c r="E859" s="39"/>
      <c r="F859" s="39"/>
      <c r="G859" s="41"/>
      <c r="H859" s="42" t="str">
        <f t="shared" si="40"/>
        <v/>
      </c>
      <c r="I859" s="42" t="str">
        <f t="shared" si="41"/>
        <v/>
      </c>
      <c r="J859" s="43" t="str">
        <f t="shared" si="42"/>
        <v/>
      </c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44"/>
      <c r="AN859" s="44"/>
      <c r="AO859" s="44"/>
      <c r="AP859" s="44"/>
      <c r="AQ859" s="44"/>
      <c r="AR859" s="44"/>
      <c r="AS859" s="45"/>
      <c r="AT859" s="45"/>
      <c r="AU859" s="45"/>
    </row>
    <row r="860" spans="2:47" x14ac:dyDescent="0.25">
      <c r="B860" s="39"/>
      <c r="C860" s="39"/>
      <c r="D860" s="40"/>
      <c r="E860" s="39"/>
      <c r="F860" s="39"/>
      <c r="G860" s="41"/>
      <c r="H860" s="42" t="str">
        <f t="shared" si="40"/>
        <v/>
      </c>
      <c r="I860" s="42" t="str">
        <f t="shared" si="41"/>
        <v/>
      </c>
      <c r="J860" s="43" t="str">
        <f t="shared" si="42"/>
        <v/>
      </c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44"/>
      <c r="AN860" s="44"/>
      <c r="AO860" s="44"/>
      <c r="AP860" s="44"/>
      <c r="AQ860" s="44"/>
      <c r="AR860" s="44"/>
      <c r="AS860" s="45"/>
      <c r="AT860" s="45"/>
      <c r="AU860" s="45"/>
    </row>
    <row r="861" spans="2:47" x14ac:dyDescent="0.25">
      <c r="B861" s="39"/>
      <c r="C861" s="39"/>
      <c r="D861" s="40"/>
      <c r="E861" s="39"/>
      <c r="F861" s="39"/>
      <c r="G861" s="41"/>
      <c r="H861" s="42" t="str">
        <f t="shared" si="40"/>
        <v/>
      </c>
      <c r="I861" s="42" t="str">
        <f t="shared" si="41"/>
        <v/>
      </c>
      <c r="J861" s="43" t="str">
        <f t="shared" si="42"/>
        <v/>
      </c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44"/>
      <c r="AN861" s="44"/>
      <c r="AO861" s="44"/>
      <c r="AP861" s="44"/>
      <c r="AQ861" s="44"/>
      <c r="AR861" s="44"/>
      <c r="AS861" s="45"/>
      <c r="AT861" s="45"/>
      <c r="AU861" s="45"/>
    </row>
    <row r="862" spans="2:47" x14ac:dyDescent="0.25">
      <c r="B862" s="39"/>
      <c r="C862" s="39"/>
      <c r="D862" s="40"/>
      <c r="E862" s="39"/>
      <c r="F862" s="39"/>
      <c r="G862" s="41"/>
      <c r="H862" s="42" t="str">
        <f t="shared" si="40"/>
        <v/>
      </c>
      <c r="I862" s="42" t="str">
        <f t="shared" si="41"/>
        <v/>
      </c>
      <c r="J862" s="43" t="str">
        <f t="shared" si="42"/>
        <v/>
      </c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44"/>
      <c r="AN862" s="44"/>
      <c r="AO862" s="44"/>
      <c r="AP862" s="44"/>
      <c r="AQ862" s="44"/>
      <c r="AR862" s="44"/>
      <c r="AS862" s="45"/>
      <c r="AT862" s="45"/>
      <c r="AU862" s="45"/>
    </row>
    <row r="863" spans="2:47" x14ac:dyDescent="0.25">
      <c r="B863" s="39"/>
      <c r="C863" s="39"/>
      <c r="D863" s="40"/>
      <c r="E863" s="39"/>
      <c r="F863" s="39"/>
      <c r="G863" s="41"/>
      <c r="H863" s="42" t="str">
        <f t="shared" si="40"/>
        <v/>
      </c>
      <c r="I863" s="42" t="str">
        <f t="shared" si="41"/>
        <v/>
      </c>
      <c r="J863" s="43" t="str">
        <f t="shared" si="42"/>
        <v/>
      </c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44"/>
      <c r="AN863" s="44"/>
      <c r="AO863" s="44"/>
      <c r="AP863" s="44"/>
      <c r="AQ863" s="44"/>
      <c r="AR863" s="44"/>
      <c r="AS863" s="45"/>
      <c r="AT863" s="45"/>
      <c r="AU863" s="45"/>
    </row>
    <row r="864" spans="2:47" x14ac:dyDescent="0.25">
      <c r="B864" s="39"/>
      <c r="C864" s="39"/>
      <c r="D864" s="40"/>
      <c r="E864" s="39"/>
      <c r="F864" s="39"/>
      <c r="G864" s="41"/>
      <c r="H864" s="42" t="str">
        <f t="shared" si="40"/>
        <v/>
      </c>
      <c r="I864" s="42" t="str">
        <f t="shared" si="41"/>
        <v/>
      </c>
      <c r="J864" s="43" t="str">
        <f t="shared" si="42"/>
        <v/>
      </c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44"/>
      <c r="AN864" s="44"/>
      <c r="AO864" s="44"/>
      <c r="AP864" s="44"/>
      <c r="AQ864" s="44"/>
      <c r="AR864" s="44"/>
      <c r="AS864" s="45"/>
      <c r="AT864" s="45"/>
      <c r="AU864" s="45"/>
    </row>
    <row r="865" spans="2:47" x14ac:dyDescent="0.25">
      <c r="B865" s="39"/>
      <c r="C865" s="39"/>
      <c r="D865" s="40"/>
      <c r="E865" s="39"/>
      <c r="F865" s="39"/>
      <c r="G865" s="41"/>
      <c r="H865" s="42" t="str">
        <f t="shared" si="40"/>
        <v/>
      </c>
      <c r="I865" s="42" t="str">
        <f t="shared" si="41"/>
        <v/>
      </c>
      <c r="J865" s="43" t="str">
        <f t="shared" si="42"/>
        <v/>
      </c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44"/>
      <c r="AN865" s="44"/>
      <c r="AO865" s="44"/>
      <c r="AP865" s="44"/>
      <c r="AQ865" s="44"/>
      <c r="AR865" s="44"/>
      <c r="AS865" s="45"/>
      <c r="AT865" s="45"/>
      <c r="AU865" s="45"/>
    </row>
    <row r="866" spans="2:47" x14ac:dyDescent="0.25">
      <c r="B866" s="39"/>
      <c r="C866" s="39"/>
      <c r="D866" s="40"/>
      <c r="E866" s="39"/>
      <c r="F866" s="39"/>
      <c r="G866" s="41"/>
      <c r="H866" s="42" t="str">
        <f t="shared" si="40"/>
        <v/>
      </c>
      <c r="I866" s="42" t="str">
        <f t="shared" si="41"/>
        <v/>
      </c>
      <c r="J866" s="43" t="str">
        <f t="shared" si="42"/>
        <v/>
      </c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44"/>
      <c r="AN866" s="44"/>
      <c r="AO866" s="44"/>
      <c r="AP866" s="44"/>
      <c r="AQ866" s="44"/>
      <c r="AR866" s="44"/>
      <c r="AS866" s="45"/>
      <c r="AT866" s="45"/>
      <c r="AU866" s="45"/>
    </row>
    <row r="867" spans="2:47" x14ac:dyDescent="0.25">
      <c r="B867" s="39"/>
      <c r="C867" s="39"/>
      <c r="D867" s="40"/>
      <c r="E867" s="39"/>
      <c r="F867" s="39"/>
      <c r="G867" s="41"/>
      <c r="H867" s="42" t="str">
        <f t="shared" si="40"/>
        <v/>
      </c>
      <c r="I867" s="42" t="str">
        <f t="shared" si="41"/>
        <v/>
      </c>
      <c r="J867" s="43" t="str">
        <f t="shared" si="42"/>
        <v/>
      </c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44"/>
      <c r="AN867" s="44"/>
      <c r="AO867" s="44"/>
      <c r="AP867" s="44"/>
      <c r="AQ867" s="44"/>
      <c r="AR867" s="44"/>
      <c r="AS867" s="45"/>
      <c r="AT867" s="45"/>
      <c r="AU867" s="45"/>
    </row>
    <row r="868" spans="2:47" x14ac:dyDescent="0.25">
      <c r="B868" s="39"/>
      <c r="C868" s="39"/>
      <c r="D868" s="40"/>
      <c r="E868" s="39"/>
      <c r="F868" s="39"/>
      <c r="G868" s="41"/>
      <c r="H868" s="42" t="str">
        <f t="shared" si="40"/>
        <v/>
      </c>
      <c r="I868" s="42" t="str">
        <f t="shared" si="41"/>
        <v/>
      </c>
      <c r="J868" s="43" t="str">
        <f t="shared" si="42"/>
        <v/>
      </c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44"/>
      <c r="AN868" s="44"/>
      <c r="AO868" s="44"/>
      <c r="AP868" s="44"/>
      <c r="AQ868" s="44"/>
      <c r="AR868" s="44"/>
      <c r="AS868" s="45"/>
      <c r="AT868" s="45"/>
      <c r="AU868" s="45"/>
    </row>
    <row r="869" spans="2:47" x14ac:dyDescent="0.25">
      <c r="B869" s="39"/>
      <c r="C869" s="39"/>
      <c r="D869" s="40"/>
      <c r="E869" s="39"/>
      <c r="F869" s="39"/>
      <c r="G869" s="41"/>
      <c r="H869" s="42" t="str">
        <f t="shared" si="40"/>
        <v/>
      </c>
      <c r="I869" s="42" t="str">
        <f t="shared" si="41"/>
        <v/>
      </c>
      <c r="J869" s="43" t="str">
        <f t="shared" si="42"/>
        <v/>
      </c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44"/>
      <c r="AN869" s="44"/>
      <c r="AO869" s="44"/>
      <c r="AP869" s="44"/>
      <c r="AQ869" s="44"/>
      <c r="AR869" s="44"/>
      <c r="AS869" s="45"/>
      <c r="AT869" s="45"/>
      <c r="AU869" s="45"/>
    </row>
    <row r="870" spans="2:47" x14ac:dyDescent="0.25">
      <c r="B870" s="39"/>
      <c r="C870" s="39"/>
      <c r="D870" s="40"/>
      <c r="E870" s="39"/>
      <c r="F870" s="39"/>
      <c r="G870" s="41"/>
      <c r="H870" s="42" t="str">
        <f t="shared" si="40"/>
        <v/>
      </c>
      <c r="I870" s="42" t="str">
        <f t="shared" si="41"/>
        <v/>
      </c>
      <c r="J870" s="43" t="str">
        <f t="shared" si="42"/>
        <v/>
      </c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44"/>
      <c r="AN870" s="44"/>
      <c r="AO870" s="44"/>
      <c r="AP870" s="44"/>
      <c r="AQ870" s="44"/>
      <c r="AR870" s="44"/>
      <c r="AS870" s="45"/>
      <c r="AT870" s="45"/>
      <c r="AU870" s="45"/>
    </row>
    <row r="871" spans="2:47" x14ac:dyDescent="0.25">
      <c r="B871" s="39"/>
      <c r="C871" s="39"/>
      <c r="D871" s="40"/>
      <c r="E871" s="39"/>
      <c r="F871" s="39"/>
      <c r="G871" s="41"/>
      <c r="H871" s="42" t="str">
        <f t="shared" si="40"/>
        <v/>
      </c>
      <c r="I871" s="42" t="str">
        <f t="shared" si="41"/>
        <v/>
      </c>
      <c r="J871" s="43" t="str">
        <f t="shared" si="42"/>
        <v/>
      </c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44"/>
      <c r="AN871" s="44"/>
      <c r="AO871" s="44"/>
      <c r="AP871" s="44"/>
      <c r="AQ871" s="44"/>
      <c r="AR871" s="44"/>
      <c r="AS871" s="45"/>
      <c r="AT871" s="45"/>
      <c r="AU871" s="45"/>
    </row>
    <row r="872" spans="2:47" x14ac:dyDescent="0.25">
      <c r="B872" s="39"/>
      <c r="C872" s="39"/>
      <c r="D872" s="40"/>
      <c r="E872" s="39"/>
      <c r="F872" s="39"/>
      <c r="G872" s="41"/>
      <c r="H872" s="42" t="str">
        <f t="shared" si="40"/>
        <v/>
      </c>
      <c r="I872" s="42" t="str">
        <f t="shared" si="41"/>
        <v/>
      </c>
      <c r="J872" s="43" t="str">
        <f t="shared" si="42"/>
        <v/>
      </c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44"/>
      <c r="AN872" s="44"/>
      <c r="AO872" s="44"/>
      <c r="AP872" s="44"/>
      <c r="AQ872" s="44"/>
      <c r="AR872" s="44"/>
      <c r="AS872" s="45"/>
      <c r="AT872" s="45"/>
      <c r="AU872" s="45"/>
    </row>
    <row r="873" spans="2:47" x14ac:dyDescent="0.25">
      <c r="B873" s="39"/>
      <c r="C873" s="39"/>
      <c r="D873" s="40"/>
      <c r="E873" s="39"/>
      <c r="F873" s="39"/>
      <c r="G873" s="41"/>
      <c r="H873" s="42" t="str">
        <f t="shared" si="40"/>
        <v/>
      </c>
      <c r="I873" s="42" t="str">
        <f t="shared" si="41"/>
        <v/>
      </c>
      <c r="J873" s="43" t="str">
        <f t="shared" si="42"/>
        <v/>
      </c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44"/>
      <c r="AN873" s="44"/>
      <c r="AO873" s="44"/>
      <c r="AP873" s="44"/>
      <c r="AQ873" s="44"/>
      <c r="AR873" s="44"/>
      <c r="AS873" s="45"/>
      <c r="AT873" s="45"/>
      <c r="AU873" s="45"/>
    </row>
    <row r="874" spans="2:47" x14ac:dyDescent="0.25">
      <c r="B874" s="39"/>
      <c r="C874" s="39"/>
      <c r="D874" s="40"/>
      <c r="E874" s="39"/>
      <c r="F874" s="39"/>
      <c r="G874" s="41"/>
      <c r="H874" s="42" t="str">
        <f t="shared" si="40"/>
        <v/>
      </c>
      <c r="I874" s="42" t="str">
        <f t="shared" si="41"/>
        <v/>
      </c>
      <c r="J874" s="43" t="str">
        <f t="shared" si="42"/>
        <v/>
      </c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44"/>
      <c r="AN874" s="44"/>
      <c r="AO874" s="44"/>
      <c r="AP874" s="44"/>
      <c r="AQ874" s="44"/>
      <c r="AR874" s="44"/>
      <c r="AS874" s="45"/>
      <c r="AT874" s="45"/>
      <c r="AU874" s="45"/>
    </row>
    <row r="875" spans="2:47" x14ac:dyDescent="0.25">
      <c r="B875" s="39"/>
      <c r="C875" s="39"/>
      <c r="D875" s="40"/>
      <c r="E875" s="39"/>
      <c r="F875" s="39"/>
      <c r="G875" s="41"/>
      <c r="H875" s="42" t="str">
        <f t="shared" si="40"/>
        <v/>
      </c>
      <c r="I875" s="42" t="str">
        <f t="shared" si="41"/>
        <v/>
      </c>
      <c r="J875" s="43" t="str">
        <f t="shared" si="42"/>
        <v/>
      </c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44"/>
      <c r="AN875" s="44"/>
      <c r="AO875" s="44"/>
      <c r="AP875" s="44"/>
      <c r="AQ875" s="44"/>
      <c r="AR875" s="44"/>
      <c r="AS875" s="45"/>
      <c r="AT875" s="45"/>
      <c r="AU875" s="45"/>
    </row>
    <row r="876" spans="2:47" x14ac:dyDescent="0.25">
      <c r="B876" s="39"/>
      <c r="C876" s="39"/>
      <c r="D876" s="40"/>
      <c r="E876" s="39"/>
      <c r="F876" s="39"/>
      <c r="G876" s="41"/>
      <c r="H876" s="42" t="str">
        <f t="shared" si="40"/>
        <v/>
      </c>
      <c r="I876" s="42" t="str">
        <f t="shared" si="41"/>
        <v/>
      </c>
      <c r="J876" s="43" t="str">
        <f t="shared" si="42"/>
        <v/>
      </c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44"/>
      <c r="AN876" s="44"/>
      <c r="AO876" s="44"/>
      <c r="AP876" s="44"/>
      <c r="AQ876" s="44"/>
      <c r="AR876" s="44"/>
      <c r="AS876" s="45"/>
      <c r="AT876" s="45"/>
      <c r="AU876" s="45"/>
    </row>
    <row r="877" spans="2:47" x14ac:dyDescent="0.25">
      <c r="B877" s="39"/>
      <c r="C877" s="39"/>
      <c r="D877" s="40"/>
      <c r="E877" s="39"/>
      <c r="F877" s="39"/>
      <c r="G877" s="41"/>
      <c r="H877" s="42" t="str">
        <f t="shared" si="40"/>
        <v/>
      </c>
      <c r="I877" s="42" t="str">
        <f t="shared" si="41"/>
        <v/>
      </c>
      <c r="J877" s="43" t="str">
        <f t="shared" si="42"/>
        <v/>
      </c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44"/>
      <c r="AN877" s="44"/>
      <c r="AO877" s="44"/>
      <c r="AP877" s="44"/>
      <c r="AQ877" s="44"/>
      <c r="AR877" s="44"/>
      <c r="AS877" s="45"/>
      <c r="AT877" s="45"/>
      <c r="AU877" s="45"/>
    </row>
    <row r="878" spans="2:47" x14ac:dyDescent="0.25">
      <c r="B878" s="39"/>
      <c r="C878" s="39"/>
      <c r="D878" s="40"/>
      <c r="E878" s="39"/>
      <c r="F878" s="39"/>
      <c r="G878" s="41"/>
      <c r="H878" s="42" t="str">
        <f t="shared" si="40"/>
        <v/>
      </c>
      <c r="I878" s="42" t="str">
        <f t="shared" si="41"/>
        <v/>
      </c>
      <c r="J878" s="43" t="str">
        <f t="shared" si="42"/>
        <v/>
      </c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44"/>
      <c r="AN878" s="44"/>
      <c r="AO878" s="44"/>
      <c r="AP878" s="44"/>
      <c r="AQ878" s="44"/>
      <c r="AR878" s="44"/>
      <c r="AS878" s="45"/>
      <c r="AT878" s="45"/>
      <c r="AU878" s="45"/>
    </row>
    <row r="879" spans="2:47" x14ac:dyDescent="0.25">
      <c r="B879" s="39"/>
      <c r="C879" s="39"/>
      <c r="D879" s="40"/>
      <c r="E879" s="39"/>
      <c r="F879" s="39"/>
      <c r="G879" s="41"/>
      <c r="H879" s="42" t="str">
        <f t="shared" si="40"/>
        <v/>
      </c>
      <c r="I879" s="42" t="str">
        <f t="shared" si="41"/>
        <v/>
      </c>
      <c r="J879" s="43" t="str">
        <f t="shared" si="42"/>
        <v/>
      </c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44"/>
      <c r="AN879" s="44"/>
      <c r="AO879" s="44"/>
      <c r="AP879" s="44"/>
      <c r="AQ879" s="44"/>
      <c r="AR879" s="44"/>
      <c r="AS879" s="45"/>
      <c r="AT879" s="45"/>
      <c r="AU879" s="45"/>
    </row>
    <row r="880" spans="2:47" x14ac:dyDescent="0.25">
      <c r="B880" s="39"/>
      <c r="C880" s="39"/>
      <c r="D880" s="40"/>
      <c r="E880" s="39"/>
      <c r="F880" s="39"/>
      <c r="G880" s="41"/>
      <c r="H880" s="42" t="str">
        <f t="shared" si="40"/>
        <v/>
      </c>
      <c r="I880" s="42" t="str">
        <f t="shared" si="41"/>
        <v/>
      </c>
      <c r="J880" s="43" t="str">
        <f t="shared" si="42"/>
        <v/>
      </c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44"/>
      <c r="AN880" s="44"/>
      <c r="AO880" s="44"/>
      <c r="AP880" s="44"/>
      <c r="AQ880" s="44"/>
      <c r="AR880" s="44"/>
      <c r="AS880" s="45"/>
      <c r="AT880" s="45"/>
      <c r="AU880" s="45"/>
    </row>
    <row r="881" spans="2:47" x14ac:dyDescent="0.25">
      <c r="B881" s="39"/>
      <c r="C881" s="39"/>
      <c r="D881" s="40"/>
      <c r="E881" s="39"/>
      <c r="F881" s="39"/>
      <c r="G881" s="41"/>
      <c r="H881" s="42" t="str">
        <f t="shared" si="40"/>
        <v/>
      </c>
      <c r="I881" s="42" t="str">
        <f t="shared" si="41"/>
        <v/>
      </c>
      <c r="J881" s="43" t="str">
        <f t="shared" si="42"/>
        <v/>
      </c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44"/>
      <c r="AN881" s="44"/>
      <c r="AO881" s="44"/>
      <c r="AP881" s="44"/>
      <c r="AQ881" s="44"/>
      <c r="AR881" s="44"/>
      <c r="AS881" s="45"/>
      <c r="AT881" s="45"/>
      <c r="AU881" s="45"/>
    </row>
    <row r="882" spans="2:47" x14ac:dyDescent="0.25">
      <c r="B882" s="39"/>
      <c r="C882" s="39"/>
      <c r="D882" s="40"/>
      <c r="E882" s="39"/>
      <c r="F882" s="39"/>
      <c r="G882" s="41"/>
      <c r="H882" s="42" t="str">
        <f t="shared" si="40"/>
        <v/>
      </c>
      <c r="I882" s="42" t="str">
        <f t="shared" si="41"/>
        <v/>
      </c>
      <c r="J882" s="43" t="str">
        <f t="shared" si="42"/>
        <v/>
      </c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44"/>
      <c r="AN882" s="44"/>
      <c r="AO882" s="44"/>
      <c r="AP882" s="44"/>
      <c r="AQ882" s="44"/>
      <c r="AR882" s="44"/>
      <c r="AS882" s="45"/>
      <c r="AT882" s="45"/>
      <c r="AU882" s="45"/>
    </row>
    <row r="883" spans="2:47" x14ac:dyDescent="0.25">
      <c r="B883" s="39"/>
      <c r="C883" s="39"/>
      <c r="D883" s="40"/>
      <c r="E883" s="39"/>
      <c r="F883" s="39"/>
      <c r="G883" s="41"/>
      <c r="H883" s="42" t="str">
        <f t="shared" si="40"/>
        <v/>
      </c>
      <c r="I883" s="42" t="str">
        <f t="shared" si="41"/>
        <v/>
      </c>
      <c r="J883" s="43" t="str">
        <f t="shared" si="42"/>
        <v/>
      </c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44"/>
      <c r="AN883" s="44"/>
      <c r="AO883" s="44"/>
      <c r="AP883" s="44"/>
      <c r="AQ883" s="44"/>
      <c r="AR883" s="44"/>
      <c r="AS883" s="45"/>
      <c r="AT883" s="45"/>
      <c r="AU883" s="45"/>
    </row>
    <row r="884" spans="2:47" x14ac:dyDescent="0.25">
      <c r="B884" s="39"/>
      <c r="C884" s="39"/>
      <c r="D884" s="40"/>
      <c r="E884" s="39"/>
      <c r="F884" s="39"/>
      <c r="G884" s="41"/>
      <c r="H884" s="42" t="str">
        <f t="shared" si="40"/>
        <v/>
      </c>
      <c r="I884" s="42" t="str">
        <f t="shared" si="41"/>
        <v/>
      </c>
      <c r="J884" s="43" t="str">
        <f t="shared" si="42"/>
        <v/>
      </c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44"/>
      <c r="AN884" s="44"/>
      <c r="AO884" s="44"/>
      <c r="AP884" s="44"/>
      <c r="AQ884" s="44"/>
      <c r="AR884" s="44"/>
      <c r="AS884" s="45"/>
      <c r="AT884" s="45"/>
      <c r="AU884" s="45"/>
    </row>
    <row r="885" spans="2:47" x14ac:dyDescent="0.25">
      <c r="B885" s="39"/>
      <c r="C885" s="39"/>
      <c r="D885" s="40"/>
      <c r="E885" s="39"/>
      <c r="F885" s="39"/>
      <c r="G885" s="41"/>
      <c r="H885" s="42" t="str">
        <f t="shared" si="40"/>
        <v/>
      </c>
      <c r="I885" s="42" t="str">
        <f t="shared" si="41"/>
        <v/>
      </c>
      <c r="J885" s="43" t="str">
        <f t="shared" si="42"/>
        <v/>
      </c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44"/>
      <c r="AN885" s="44"/>
      <c r="AO885" s="44"/>
      <c r="AP885" s="44"/>
      <c r="AQ885" s="44"/>
      <c r="AR885" s="44"/>
      <c r="AS885" s="45"/>
      <c r="AT885" s="45"/>
      <c r="AU885" s="45"/>
    </row>
    <row r="886" spans="2:47" x14ac:dyDescent="0.25">
      <c r="B886" s="39"/>
      <c r="C886" s="39"/>
      <c r="D886" s="40"/>
      <c r="E886" s="39"/>
      <c r="F886" s="39"/>
      <c r="G886" s="41"/>
      <c r="H886" s="42" t="str">
        <f t="shared" si="40"/>
        <v/>
      </c>
      <c r="I886" s="42" t="str">
        <f t="shared" si="41"/>
        <v/>
      </c>
      <c r="J886" s="43" t="str">
        <f t="shared" si="42"/>
        <v/>
      </c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44"/>
      <c r="AN886" s="44"/>
      <c r="AO886" s="44"/>
      <c r="AP886" s="44"/>
      <c r="AQ886" s="44"/>
      <c r="AR886" s="44"/>
      <c r="AS886" s="45"/>
      <c r="AT886" s="45"/>
      <c r="AU886" s="45"/>
    </row>
    <row r="887" spans="2:47" x14ac:dyDescent="0.25">
      <c r="B887" s="39"/>
      <c r="C887" s="39"/>
      <c r="D887" s="40"/>
      <c r="E887" s="39"/>
      <c r="F887" s="39"/>
      <c r="G887" s="41"/>
      <c r="H887" s="42" t="str">
        <f t="shared" si="40"/>
        <v/>
      </c>
      <c r="I887" s="42" t="str">
        <f t="shared" si="41"/>
        <v/>
      </c>
      <c r="J887" s="43" t="str">
        <f t="shared" si="42"/>
        <v/>
      </c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44"/>
      <c r="AN887" s="44"/>
      <c r="AO887" s="44"/>
      <c r="AP887" s="44"/>
      <c r="AQ887" s="44"/>
      <c r="AR887" s="44"/>
      <c r="AS887" s="45"/>
      <c r="AT887" s="45"/>
      <c r="AU887" s="45"/>
    </row>
    <row r="888" spans="2:47" x14ac:dyDescent="0.25">
      <c r="B888" s="39"/>
      <c r="C888" s="39"/>
      <c r="D888" s="40"/>
      <c r="E888" s="39"/>
      <c r="F888" s="39"/>
      <c r="G888" s="41"/>
      <c r="H888" s="42" t="str">
        <f t="shared" si="40"/>
        <v/>
      </c>
      <c r="I888" s="42" t="str">
        <f t="shared" si="41"/>
        <v/>
      </c>
      <c r="J888" s="43" t="str">
        <f t="shared" si="42"/>
        <v/>
      </c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44"/>
      <c r="AN888" s="44"/>
      <c r="AO888" s="44"/>
      <c r="AP888" s="44"/>
      <c r="AQ888" s="44"/>
      <c r="AR888" s="44"/>
      <c r="AS888" s="45"/>
      <c r="AT888" s="45"/>
      <c r="AU888" s="45"/>
    </row>
    <row r="889" spans="2:47" x14ac:dyDescent="0.25">
      <c r="B889" s="39"/>
      <c r="C889" s="39"/>
      <c r="D889" s="40"/>
      <c r="E889" s="39"/>
      <c r="F889" s="39"/>
      <c r="G889" s="41"/>
      <c r="H889" s="42" t="str">
        <f t="shared" si="40"/>
        <v/>
      </c>
      <c r="I889" s="42" t="str">
        <f t="shared" si="41"/>
        <v/>
      </c>
      <c r="J889" s="43" t="str">
        <f t="shared" si="42"/>
        <v/>
      </c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44"/>
      <c r="AN889" s="44"/>
      <c r="AO889" s="44"/>
      <c r="AP889" s="44"/>
      <c r="AQ889" s="44"/>
      <c r="AR889" s="44"/>
      <c r="AS889" s="45"/>
      <c r="AT889" s="45"/>
      <c r="AU889" s="45"/>
    </row>
    <row r="890" spans="2:47" x14ac:dyDescent="0.25">
      <c r="B890" s="39"/>
      <c r="C890" s="39"/>
      <c r="D890" s="40"/>
      <c r="E890" s="39"/>
      <c r="F890" s="39"/>
      <c r="G890" s="41"/>
      <c r="H890" s="42" t="str">
        <f t="shared" si="40"/>
        <v/>
      </c>
      <c r="I890" s="42" t="str">
        <f t="shared" si="41"/>
        <v/>
      </c>
      <c r="J890" s="43" t="str">
        <f t="shared" si="42"/>
        <v/>
      </c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44"/>
      <c r="AN890" s="44"/>
      <c r="AO890" s="44"/>
      <c r="AP890" s="44"/>
      <c r="AQ890" s="44"/>
      <c r="AR890" s="44"/>
      <c r="AS890" s="45"/>
      <c r="AT890" s="45"/>
      <c r="AU890" s="45"/>
    </row>
    <row r="891" spans="2:47" x14ac:dyDescent="0.25">
      <c r="B891" s="39"/>
      <c r="C891" s="39"/>
      <c r="D891" s="40"/>
      <c r="E891" s="39"/>
      <c r="F891" s="39"/>
      <c r="G891" s="41"/>
      <c r="H891" s="42" t="str">
        <f t="shared" si="40"/>
        <v/>
      </c>
      <c r="I891" s="42" t="str">
        <f t="shared" si="41"/>
        <v/>
      </c>
      <c r="J891" s="43" t="str">
        <f t="shared" si="42"/>
        <v/>
      </c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44"/>
      <c r="AN891" s="44"/>
      <c r="AO891" s="44"/>
      <c r="AP891" s="44"/>
      <c r="AQ891" s="44"/>
      <c r="AR891" s="44"/>
      <c r="AS891" s="45"/>
      <c r="AT891" s="45"/>
      <c r="AU891" s="45"/>
    </row>
    <row r="892" spans="2:47" x14ac:dyDescent="0.25">
      <c r="B892" s="39"/>
      <c r="C892" s="39"/>
      <c r="D892" s="40"/>
      <c r="E892" s="39"/>
      <c r="F892" s="39"/>
      <c r="G892" s="41"/>
      <c r="H892" s="42" t="str">
        <f t="shared" si="40"/>
        <v/>
      </c>
      <c r="I892" s="42" t="str">
        <f t="shared" si="41"/>
        <v/>
      </c>
      <c r="J892" s="43" t="str">
        <f t="shared" si="42"/>
        <v/>
      </c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44"/>
      <c r="AN892" s="44"/>
      <c r="AO892" s="44"/>
      <c r="AP892" s="44"/>
      <c r="AQ892" s="44"/>
      <c r="AR892" s="44"/>
      <c r="AS892" s="45"/>
      <c r="AT892" s="45"/>
      <c r="AU892" s="45"/>
    </row>
    <row r="893" spans="2:47" x14ac:dyDescent="0.25">
      <c r="B893" s="39"/>
      <c r="C893" s="39"/>
      <c r="D893" s="40"/>
      <c r="E893" s="39"/>
      <c r="F893" s="39"/>
      <c r="G893" s="41"/>
      <c r="H893" s="42" t="str">
        <f t="shared" si="40"/>
        <v/>
      </c>
      <c r="I893" s="42" t="str">
        <f t="shared" si="41"/>
        <v/>
      </c>
      <c r="J893" s="43" t="str">
        <f t="shared" si="42"/>
        <v/>
      </c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44"/>
      <c r="AN893" s="44"/>
      <c r="AO893" s="44"/>
      <c r="AP893" s="44"/>
      <c r="AQ893" s="44"/>
      <c r="AR893" s="44"/>
      <c r="AS893" s="45"/>
      <c r="AT893" s="45"/>
      <c r="AU893" s="45"/>
    </row>
    <row r="894" spans="2:47" x14ac:dyDescent="0.25">
      <c r="B894" s="39"/>
      <c r="C894" s="39"/>
      <c r="D894" s="40"/>
      <c r="E894" s="39"/>
      <c r="F894" s="39"/>
      <c r="G894" s="41"/>
      <c r="H894" s="42" t="str">
        <f t="shared" si="40"/>
        <v/>
      </c>
      <c r="I894" s="42" t="str">
        <f t="shared" si="41"/>
        <v/>
      </c>
      <c r="J894" s="43" t="str">
        <f t="shared" si="42"/>
        <v/>
      </c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44"/>
      <c r="AN894" s="44"/>
      <c r="AO894" s="44"/>
      <c r="AP894" s="44"/>
      <c r="AQ894" s="44"/>
      <c r="AR894" s="44"/>
      <c r="AS894" s="45"/>
      <c r="AT894" s="45"/>
      <c r="AU894" s="45"/>
    </row>
    <row r="895" spans="2:47" x14ac:dyDescent="0.25">
      <c r="B895" s="39"/>
      <c r="C895" s="39"/>
      <c r="D895" s="40"/>
      <c r="E895" s="39"/>
      <c r="F895" s="39"/>
      <c r="G895" s="41"/>
      <c r="H895" s="42" t="str">
        <f t="shared" si="40"/>
        <v/>
      </c>
      <c r="I895" s="42" t="str">
        <f t="shared" si="41"/>
        <v/>
      </c>
      <c r="J895" s="43" t="str">
        <f t="shared" si="42"/>
        <v/>
      </c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44"/>
      <c r="AN895" s="44"/>
      <c r="AO895" s="44"/>
      <c r="AP895" s="44"/>
      <c r="AQ895" s="44"/>
      <c r="AR895" s="44"/>
      <c r="AS895" s="45"/>
      <c r="AT895" s="45"/>
      <c r="AU895" s="45"/>
    </row>
    <row r="896" spans="2:47" x14ac:dyDescent="0.25">
      <c r="B896" s="39"/>
      <c r="C896" s="39"/>
      <c r="D896" s="40"/>
      <c r="E896" s="39"/>
      <c r="F896" s="39"/>
      <c r="G896" s="41"/>
      <c r="H896" s="42" t="str">
        <f t="shared" si="40"/>
        <v/>
      </c>
      <c r="I896" s="42" t="str">
        <f t="shared" si="41"/>
        <v/>
      </c>
      <c r="J896" s="43" t="str">
        <f t="shared" si="42"/>
        <v/>
      </c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44"/>
      <c r="AN896" s="44"/>
      <c r="AO896" s="44"/>
      <c r="AP896" s="44"/>
      <c r="AQ896" s="44"/>
      <c r="AR896" s="44"/>
      <c r="AS896" s="45"/>
      <c r="AT896" s="45"/>
      <c r="AU896" s="45"/>
    </row>
    <row r="897" spans="2:47" x14ac:dyDescent="0.25">
      <c r="B897" s="39"/>
      <c r="C897" s="39"/>
      <c r="D897" s="40"/>
      <c r="E897" s="39"/>
      <c r="F897" s="39"/>
      <c r="G897" s="41"/>
      <c r="H897" s="42" t="str">
        <f t="shared" si="40"/>
        <v/>
      </c>
      <c r="I897" s="42" t="str">
        <f t="shared" si="41"/>
        <v/>
      </c>
      <c r="J897" s="43" t="str">
        <f t="shared" si="42"/>
        <v/>
      </c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44"/>
      <c r="AN897" s="44"/>
      <c r="AO897" s="44"/>
      <c r="AP897" s="44"/>
      <c r="AQ897" s="44"/>
      <c r="AR897" s="44"/>
      <c r="AS897" s="45"/>
      <c r="AT897" s="45"/>
      <c r="AU897" s="45"/>
    </row>
    <row r="898" spans="2:47" x14ac:dyDescent="0.25">
      <c r="B898" s="39"/>
      <c r="C898" s="39"/>
      <c r="D898" s="40"/>
      <c r="E898" s="39"/>
      <c r="F898" s="39"/>
      <c r="G898" s="41"/>
      <c r="H898" s="42" t="str">
        <f t="shared" si="40"/>
        <v/>
      </c>
      <c r="I898" s="42" t="str">
        <f t="shared" si="41"/>
        <v/>
      </c>
      <c r="J898" s="43" t="str">
        <f t="shared" si="42"/>
        <v/>
      </c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44"/>
      <c r="AN898" s="44"/>
      <c r="AO898" s="44"/>
      <c r="AP898" s="44"/>
      <c r="AQ898" s="44"/>
      <c r="AR898" s="44"/>
      <c r="AS898" s="45"/>
      <c r="AT898" s="45"/>
      <c r="AU898" s="45"/>
    </row>
    <row r="899" spans="2:47" x14ac:dyDescent="0.25">
      <c r="B899" s="39"/>
      <c r="C899" s="39"/>
      <c r="D899" s="40"/>
      <c r="E899" s="39"/>
      <c r="F899" s="39"/>
      <c r="G899" s="41"/>
      <c r="H899" s="42" t="str">
        <f t="shared" si="40"/>
        <v/>
      </c>
      <c r="I899" s="42" t="str">
        <f t="shared" si="41"/>
        <v/>
      </c>
      <c r="J899" s="43" t="str">
        <f t="shared" si="42"/>
        <v/>
      </c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44"/>
      <c r="AN899" s="44"/>
      <c r="AO899" s="44"/>
      <c r="AP899" s="44"/>
      <c r="AQ899" s="44"/>
      <c r="AR899" s="44"/>
      <c r="AS899" s="45"/>
      <c r="AT899" s="45"/>
      <c r="AU899" s="45"/>
    </row>
    <row r="900" spans="2:47" x14ac:dyDescent="0.25">
      <c r="B900" s="39"/>
      <c r="C900" s="39"/>
      <c r="D900" s="40"/>
      <c r="E900" s="39"/>
      <c r="F900" s="39"/>
      <c r="G900" s="41"/>
      <c r="H900" s="42" t="str">
        <f t="shared" si="40"/>
        <v/>
      </c>
      <c r="I900" s="42" t="str">
        <f t="shared" si="41"/>
        <v/>
      </c>
      <c r="J900" s="43" t="str">
        <f t="shared" si="42"/>
        <v/>
      </c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44"/>
      <c r="AN900" s="44"/>
      <c r="AO900" s="44"/>
      <c r="AP900" s="44"/>
      <c r="AQ900" s="44"/>
      <c r="AR900" s="44"/>
      <c r="AS900" s="45"/>
      <c r="AT900" s="45"/>
      <c r="AU900" s="45"/>
    </row>
    <row r="901" spans="2:47" x14ac:dyDescent="0.25">
      <c r="B901" s="39"/>
      <c r="C901" s="39"/>
      <c r="D901" s="40"/>
      <c r="E901" s="39"/>
      <c r="F901" s="39"/>
      <c r="G901" s="41"/>
      <c r="H901" s="42" t="str">
        <f t="shared" si="40"/>
        <v/>
      </c>
      <c r="I901" s="42" t="str">
        <f t="shared" si="41"/>
        <v/>
      </c>
      <c r="J901" s="43" t="str">
        <f t="shared" si="42"/>
        <v/>
      </c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44"/>
      <c r="AN901" s="44"/>
      <c r="AO901" s="44"/>
      <c r="AP901" s="44"/>
      <c r="AQ901" s="44"/>
      <c r="AR901" s="44"/>
      <c r="AS901" s="45"/>
      <c r="AT901" s="45"/>
      <c r="AU901" s="45"/>
    </row>
    <row r="902" spans="2:47" x14ac:dyDescent="0.25">
      <c r="B902" s="39"/>
      <c r="C902" s="39"/>
      <c r="D902" s="40"/>
      <c r="E902" s="39"/>
      <c r="F902" s="39"/>
      <c r="G902" s="41"/>
      <c r="H902" s="42" t="str">
        <f t="shared" ref="H902:H965" si="43">IF($B902="","",SUM($K902:$AG902)+SUM($AS902:$BB902))</f>
        <v/>
      </c>
      <c r="I902" s="42" t="str">
        <f t="shared" ref="I902:I965" si="44">IF($B902="","",SUM($AH902:$AL902))</f>
        <v/>
      </c>
      <c r="J902" s="43" t="str">
        <f t="shared" ref="J902:J965" si="45">IF($B902="","",SUMPRODUCT($K902:$BB902,$K$2:$BB$2))</f>
        <v/>
      </c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44"/>
      <c r="AN902" s="44"/>
      <c r="AO902" s="44"/>
      <c r="AP902" s="44"/>
      <c r="AQ902" s="44"/>
      <c r="AR902" s="44"/>
      <c r="AS902" s="45"/>
      <c r="AT902" s="45"/>
      <c r="AU902" s="45"/>
    </row>
    <row r="903" spans="2:47" x14ac:dyDescent="0.25">
      <c r="B903" s="39"/>
      <c r="C903" s="39"/>
      <c r="D903" s="40"/>
      <c r="E903" s="39"/>
      <c r="F903" s="39"/>
      <c r="G903" s="41"/>
      <c r="H903" s="42" t="str">
        <f t="shared" si="43"/>
        <v/>
      </c>
      <c r="I903" s="42" t="str">
        <f t="shared" si="44"/>
        <v/>
      </c>
      <c r="J903" s="43" t="str">
        <f t="shared" si="45"/>
        <v/>
      </c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44"/>
      <c r="AN903" s="44"/>
      <c r="AO903" s="44"/>
      <c r="AP903" s="44"/>
      <c r="AQ903" s="44"/>
      <c r="AR903" s="44"/>
      <c r="AS903" s="45"/>
      <c r="AT903" s="45"/>
      <c r="AU903" s="45"/>
    </row>
    <row r="904" spans="2:47" x14ac:dyDescent="0.25">
      <c r="B904" s="39"/>
      <c r="C904" s="39"/>
      <c r="D904" s="40"/>
      <c r="E904" s="39"/>
      <c r="F904" s="39"/>
      <c r="G904" s="41"/>
      <c r="H904" s="42" t="str">
        <f t="shared" si="43"/>
        <v/>
      </c>
      <c r="I904" s="42" t="str">
        <f t="shared" si="44"/>
        <v/>
      </c>
      <c r="J904" s="43" t="str">
        <f t="shared" si="45"/>
        <v/>
      </c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44"/>
      <c r="AN904" s="44"/>
      <c r="AO904" s="44"/>
      <c r="AP904" s="44"/>
      <c r="AQ904" s="44"/>
      <c r="AR904" s="44"/>
      <c r="AS904" s="45"/>
      <c r="AT904" s="45"/>
      <c r="AU904" s="45"/>
    </row>
    <row r="905" spans="2:47" x14ac:dyDescent="0.25">
      <c r="B905" s="39"/>
      <c r="C905" s="39"/>
      <c r="D905" s="40"/>
      <c r="E905" s="39"/>
      <c r="F905" s="39"/>
      <c r="G905" s="41"/>
      <c r="H905" s="42" t="str">
        <f t="shared" si="43"/>
        <v/>
      </c>
      <c r="I905" s="42" t="str">
        <f t="shared" si="44"/>
        <v/>
      </c>
      <c r="J905" s="43" t="str">
        <f t="shared" si="45"/>
        <v/>
      </c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44"/>
      <c r="AN905" s="44"/>
      <c r="AO905" s="44"/>
      <c r="AP905" s="44"/>
      <c r="AQ905" s="44"/>
      <c r="AR905" s="44"/>
      <c r="AS905" s="45"/>
      <c r="AT905" s="45"/>
      <c r="AU905" s="45"/>
    </row>
    <row r="906" spans="2:47" x14ac:dyDescent="0.25">
      <c r="B906" s="39"/>
      <c r="C906" s="39"/>
      <c r="D906" s="40"/>
      <c r="E906" s="39"/>
      <c r="F906" s="39"/>
      <c r="G906" s="41"/>
      <c r="H906" s="42" t="str">
        <f t="shared" si="43"/>
        <v/>
      </c>
      <c r="I906" s="42" t="str">
        <f t="shared" si="44"/>
        <v/>
      </c>
      <c r="J906" s="43" t="str">
        <f t="shared" si="45"/>
        <v/>
      </c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44"/>
      <c r="AN906" s="44"/>
      <c r="AO906" s="44"/>
      <c r="AP906" s="44"/>
      <c r="AQ906" s="44"/>
      <c r="AR906" s="44"/>
      <c r="AS906" s="45"/>
      <c r="AT906" s="45"/>
      <c r="AU906" s="45"/>
    </row>
    <row r="907" spans="2:47" x14ac:dyDescent="0.25">
      <c r="B907" s="39"/>
      <c r="C907" s="39"/>
      <c r="D907" s="40"/>
      <c r="E907" s="39"/>
      <c r="F907" s="39"/>
      <c r="G907" s="41"/>
      <c r="H907" s="42" t="str">
        <f t="shared" si="43"/>
        <v/>
      </c>
      <c r="I907" s="42" t="str">
        <f t="shared" si="44"/>
        <v/>
      </c>
      <c r="J907" s="43" t="str">
        <f t="shared" si="45"/>
        <v/>
      </c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44"/>
      <c r="AN907" s="44"/>
      <c r="AO907" s="44"/>
      <c r="AP907" s="44"/>
      <c r="AQ907" s="44"/>
      <c r="AR907" s="44"/>
      <c r="AS907" s="45"/>
      <c r="AT907" s="45"/>
      <c r="AU907" s="45"/>
    </row>
    <row r="908" spans="2:47" x14ac:dyDescent="0.25">
      <c r="B908" s="39"/>
      <c r="C908" s="39"/>
      <c r="D908" s="40"/>
      <c r="E908" s="39"/>
      <c r="F908" s="39"/>
      <c r="G908" s="41"/>
      <c r="H908" s="42" t="str">
        <f t="shared" si="43"/>
        <v/>
      </c>
      <c r="I908" s="42" t="str">
        <f t="shared" si="44"/>
        <v/>
      </c>
      <c r="J908" s="43" t="str">
        <f t="shared" si="45"/>
        <v/>
      </c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44"/>
      <c r="AN908" s="44"/>
      <c r="AO908" s="44"/>
      <c r="AP908" s="44"/>
      <c r="AQ908" s="44"/>
      <c r="AR908" s="44"/>
      <c r="AS908" s="45"/>
      <c r="AT908" s="45"/>
      <c r="AU908" s="45"/>
    </row>
    <row r="909" spans="2:47" x14ac:dyDescent="0.25">
      <c r="B909" s="39"/>
      <c r="C909" s="39"/>
      <c r="D909" s="40"/>
      <c r="E909" s="39"/>
      <c r="F909" s="39"/>
      <c r="G909" s="41"/>
      <c r="H909" s="42" t="str">
        <f t="shared" si="43"/>
        <v/>
      </c>
      <c r="I909" s="42" t="str">
        <f t="shared" si="44"/>
        <v/>
      </c>
      <c r="J909" s="43" t="str">
        <f t="shared" si="45"/>
        <v/>
      </c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44"/>
      <c r="AN909" s="44"/>
      <c r="AO909" s="44"/>
      <c r="AP909" s="44"/>
      <c r="AQ909" s="44"/>
      <c r="AR909" s="44"/>
      <c r="AS909" s="45"/>
      <c r="AT909" s="45"/>
      <c r="AU909" s="45"/>
    </row>
    <row r="910" spans="2:47" x14ac:dyDescent="0.25">
      <c r="B910" s="39"/>
      <c r="C910" s="39"/>
      <c r="D910" s="40"/>
      <c r="E910" s="39"/>
      <c r="F910" s="39"/>
      <c r="G910" s="41"/>
      <c r="H910" s="42" t="str">
        <f t="shared" si="43"/>
        <v/>
      </c>
      <c r="I910" s="42" t="str">
        <f t="shared" si="44"/>
        <v/>
      </c>
      <c r="J910" s="43" t="str">
        <f t="shared" si="45"/>
        <v/>
      </c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44"/>
      <c r="AN910" s="44"/>
      <c r="AO910" s="44"/>
      <c r="AP910" s="44"/>
      <c r="AQ910" s="44"/>
      <c r="AR910" s="44"/>
      <c r="AS910" s="45"/>
      <c r="AT910" s="45"/>
      <c r="AU910" s="45"/>
    </row>
    <row r="911" spans="2:47" x14ac:dyDescent="0.25">
      <c r="B911" s="39"/>
      <c r="C911" s="39"/>
      <c r="D911" s="40"/>
      <c r="E911" s="39"/>
      <c r="F911" s="39"/>
      <c r="G911" s="41"/>
      <c r="H911" s="42" t="str">
        <f t="shared" si="43"/>
        <v/>
      </c>
      <c r="I911" s="42" t="str">
        <f t="shared" si="44"/>
        <v/>
      </c>
      <c r="J911" s="43" t="str">
        <f t="shared" si="45"/>
        <v/>
      </c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44"/>
      <c r="AN911" s="44"/>
      <c r="AO911" s="44"/>
      <c r="AP911" s="44"/>
      <c r="AQ911" s="44"/>
      <c r="AR911" s="44"/>
      <c r="AS911" s="45"/>
      <c r="AT911" s="45"/>
      <c r="AU911" s="45"/>
    </row>
    <row r="912" spans="2:47" x14ac:dyDescent="0.25">
      <c r="B912" s="39"/>
      <c r="C912" s="39"/>
      <c r="D912" s="40"/>
      <c r="E912" s="39"/>
      <c r="F912" s="39"/>
      <c r="G912" s="41"/>
      <c r="H912" s="42" t="str">
        <f t="shared" si="43"/>
        <v/>
      </c>
      <c r="I912" s="42" t="str">
        <f t="shared" si="44"/>
        <v/>
      </c>
      <c r="J912" s="43" t="str">
        <f t="shared" si="45"/>
        <v/>
      </c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44"/>
      <c r="AN912" s="44"/>
      <c r="AO912" s="44"/>
      <c r="AP912" s="44"/>
      <c r="AQ912" s="44"/>
      <c r="AR912" s="44"/>
      <c r="AS912" s="45"/>
      <c r="AT912" s="45"/>
      <c r="AU912" s="45"/>
    </row>
    <row r="913" spans="2:47" x14ac:dyDescent="0.25">
      <c r="B913" s="39"/>
      <c r="C913" s="39"/>
      <c r="D913" s="40"/>
      <c r="E913" s="39"/>
      <c r="F913" s="39"/>
      <c r="G913" s="41"/>
      <c r="H913" s="42" t="str">
        <f t="shared" si="43"/>
        <v/>
      </c>
      <c r="I913" s="42" t="str">
        <f t="shared" si="44"/>
        <v/>
      </c>
      <c r="J913" s="43" t="str">
        <f t="shared" si="45"/>
        <v/>
      </c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44"/>
      <c r="AN913" s="44"/>
      <c r="AO913" s="44"/>
      <c r="AP913" s="44"/>
      <c r="AQ913" s="44"/>
      <c r="AR913" s="44"/>
      <c r="AS913" s="45"/>
      <c r="AT913" s="45"/>
      <c r="AU913" s="45"/>
    </row>
    <row r="914" spans="2:47" x14ac:dyDescent="0.25">
      <c r="B914" s="39"/>
      <c r="C914" s="39"/>
      <c r="D914" s="40"/>
      <c r="E914" s="39"/>
      <c r="F914" s="39"/>
      <c r="G914" s="41"/>
      <c r="H914" s="42" t="str">
        <f t="shared" si="43"/>
        <v/>
      </c>
      <c r="I914" s="42" t="str">
        <f t="shared" si="44"/>
        <v/>
      </c>
      <c r="J914" s="43" t="str">
        <f t="shared" si="45"/>
        <v/>
      </c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44"/>
      <c r="AN914" s="44"/>
      <c r="AO914" s="44"/>
      <c r="AP914" s="44"/>
      <c r="AQ914" s="44"/>
      <c r="AR914" s="44"/>
      <c r="AS914" s="45"/>
      <c r="AT914" s="45"/>
      <c r="AU914" s="45"/>
    </row>
    <row r="915" spans="2:47" x14ac:dyDescent="0.25">
      <c r="B915" s="39"/>
      <c r="C915" s="39"/>
      <c r="D915" s="40"/>
      <c r="E915" s="39"/>
      <c r="F915" s="39"/>
      <c r="G915" s="41"/>
      <c r="H915" s="42" t="str">
        <f t="shared" si="43"/>
        <v/>
      </c>
      <c r="I915" s="42" t="str">
        <f t="shared" si="44"/>
        <v/>
      </c>
      <c r="J915" s="43" t="str">
        <f t="shared" si="45"/>
        <v/>
      </c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44"/>
      <c r="AN915" s="44"/>
      <c r="AO915" s="44"/>
      <c r="AP915" s="44"/>
      <c r="AQ915" s="44"/>
      <c r="AR915" s="44"/>
      <c r="AS915" s="45"/>
      <c r="AT915" s="45"/>
      <c r="AU915" s="45"/>
    </row>
    <row r="916" spans="2:47" x14ac:dyDescent="0.25">
      <c r="B916" s="39"/>
      <c r="C916" s="39"/>
      <c r="D916" s="40"/>
      <c r="E916" s="39"/>
      <c r="F916" s="39"/>
      <c r="G916" s="41"/>
      <c r="H916" s="42" t="str">
        <f t="shared" si="43"/>
        <v/>
      </c>
      <c r="I916" s="42" t="str">
        <f t="shared" si="44"/>
        <v/>
      </c>
      <c r="J916" s="43" t="str">
        <f t="shared" si="45"/>
        <v/>
      </c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44"/>
      <c r="AN916" s="44"/>
      <c r="AO916" s="44"/>
      <c r="AP916" s="44"/>
      <c r="AQ916" s="44"/>
      <c r="AR916" s="44"/>
      <c r="AS916" s="45"/>
      <c r="AT916" s="45"/>
      <c r="AU916" s="45"/>
    </row>
    <row r="917" spans="2:47" x14ac:dyDescent="0.25">
      <c r="B917" s="39"/>
      <c r="C917" s="39"/>
      <c r="D917" s="40"/>
      <c r="E917" s="39"/>
      <c r="F917" s="39"/>
      <c r="G917" s="41"/>
      <c r="H917" s="42" t="str">
        <f t="shared" si="43"/>
        <v/>
      </c>
      <c r="I917" s="42" t="str">
        <f t="shared" si="44"/>
        <v/>
      </c>
      <c r="J917" s="43" t="str">
        <f t="shared" si="45"/>
        <v/>
      </c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44"/>
      <c r="AN917" s="44"/>
      <c r="AO917" s="44"/>
      <c r="AP917" s="44"/>
      <c r="AQ917" s="44"/>
      <c r="AR917" s="44"/>
      <c r="AS917" s="45"/>
      <c r="AT917" s="45"/>
      <c r="AU917" s="45"/>
    </row>
    <row r="918" spans="2:47" x14ac:dyDescent="0.25">
      <c r="B918" s="39"/>
      <c r="C918" s="39"/>
      <c r="D918" s="40"/>
      <c r="E918" s="39"/>
      <c r="F918" s="39"/>
      <c r="G918" s="41"/>
      <c r="H918" s="42" t="str">
        <f t="shared" si="43"/>
        <v/>
      </c>
      <c r="I918" s="42" t="str">
        <f t="shared" si="44"/>
        <v/>
      </c>
      <c r="J918" s="43" t="str">
        <f t="shared" si="45"/>
        <v/>
      </c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44"/>
      <c r="AN918" s="44"/>
      <c r="AO918" s="44"/>
      <c r="AP918" s="44"/>
      <c r="AQ918" s="44"/>
      <c r="AR918" s="44"/>
      <c r="AS918" s="45"/>
      <c r="AT918" s="45"/>
      <c r="AU918" s="45"/>
    </row>
    <row r="919" spans="2:47" x14ac:dyDescent="0.25">
      <c r="B919" s="39"/>
      <c r="C919" s="39"/>
      <c r="D919" s="40"/>
      <c r="E919" s="39"/>
      <c r="F919" s="39"/>
      <c r="G919" s="41"/>
      <c r="H919" s="42" t="str">
        <f t="shared" si="43"/>
        <v/>
      </c>
      <c r="I919" s="42" t="str">
        <f t="shared" si="44"/>
        <v/>
      </c>
      <c r="J919" s="43" t="str">
        <f t="shared" si="45"/>
        <v/>
      </c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44"/>
      <c r="AN919" s="44"/>
      <c r="AO919" s="44"/>
      <c r="AP919" s="44"/>
      <c r="AQ919" s="44"/>
      <c r="AR919" s="44"/>
      <c r="AS919" s="45"/>
      <c r="AT919" s="45"/>
      <c r="AU919" s="45"/>
    </row>
    <row r="920" spans="2:47" x14ac:dyDescent="0.25">
      <c r="B920" s="39"/>
      <c r="C920" s="39"/>
      <c r="D920" s="40"/>
      <c r="E920" s="39"/>
      <c r="F920" s="39"/>
      <c r="G920" s="41"/>
      <c r="H920" s="42" t="str">
        <f t="shared" si="43"/>
        <v/>
      </c>
      <c r="I920" s="42" t="str">
        <f t="shared" si="44"/>
        <v/>
      </c>
      <c r="J920" s="43" t="str">
        <f t="shared" si="45"/>
        <v/>
      </c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44"/>
      <c r="AN920" s="44"/>
      <c r="AO920" s="44"/>
      <c r="AP920" s="44"/>
      <c r="AQ920" s="44"/>
      <c r="AR920" s="44"/>
      <c r="AS920" s="45"/>
      <c r="AT920" s="45"/>
      <c r="AU920" s="45"/>
    </row>
    <row r="921" spans="2:47" x14ac:dyDescent="0.25">
      <c r="B921" s="39"/>
      <c r="C921" s="39"/>
      <c r="D921" s="40"/>
      <c r="E921" s="39"/>
      <c r="F921" s="39"/>
      <c r="G921" s="41"/>
      <c r="H921" s="42" t="str">
        <f t="shared" si="43"/>
        <v/>
      </c>
      <c r="I921" s="42" t="str">
        <f t="shared" si="44"/>
        <v/>
      </c>
      <c r="J921" s="43" t="str">
        <f t="shared" si="45"/>
        <v/>
      </c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44"/>
      <c r="AN921" s="44"/>
      <c r="AO921" s="44"/>
      <c r="AP921" s="44"/>
      <c r="AQ921" s="44"/>
      <c r="AR921" s="44"/>
      <c r="AS921" s="45"/>
      <c r="AT921" s="45"/>
      <c r="AU921" s="45"/>
    </row>
    <row r="922" spans="2:47" x14ac:dyDescent="0.25">
      <c r="B922" s="39"/>
      <c r="C922" s="39"/>
      <c r="D922" s="40"/>
      <c r="E922" s="39"/>
      <c r="F922" s="39"/>
      <c r="G922" s="41"/>
      <c r="H922" s="42" t="str">
        <f t="shared" si="43"/>
        <v/>
      </c>
      <c r="I922" s="42" t="str">
        <f t="shared" si="44"/>
        <v/>
      </c>
      <c r="J922" s="43" t="str">
        <f t="shared" si="45"/>
        <v/>
      </c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44"/>
      <c r="AN922" s="44"/>
      <c r="AO922" s="44"/>
      <c r="AP922" s="44"/>
      <c r="AQ922" s="44"/>
      <c r="AR922" s="44"/>
      <c r="AS922" s="45"/>
      <c r="AT922" s="45"/>
      <c r="AU922" s="45"/>
    </row>
    <row r="923" spans="2:47" x14ac:dyDescent="0.25">
      <c r="B923" s="39"/>
      <c r="C923" s="39"/>
      <c r="D923" s="40"/>
      <c r="E923" s="39"/>
      <c r="F923" s="39"/>
      <c r="G923" s="41"/>
      <c r="H923" s="42" t="str">
        <f t="shared" si="43"/>
        <v/>
      </c>
      <c r="I923" s="42" t="str">
        <f t="shared" si="44"/>
        <v/>
      </c>
      <c r="J923" s="43" t="str">
        <f t="shared" si="45"/>
        <v/>
      </c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44"/>
      <c r="AN923" s="44"/>
      <c r="AO923" s="44"/>
      <c r="AP923" s="44"/>
      <c r="AQ923" s="44"/>
      <c r="AR923" s="44"/>
      <c r="AS923" s="45"/>
      <c r="AT923" s="45"/>
      <c r="AU923" s="45"/>
    </row>
    <row r="924" spans="2:47" x14ac:dyDescent="0.25">
      <c r="B924" s="39"/>
      <c r="C924" s="39"/>
      <c r="D924" s="40"/>
      <c r="E924" s="39"/>
      <c r="F924" s="39"/>
      <c r="G924" s="41"/>
      <c r="H924" s="42" t="str">
        <f t="shared" si="43"/>
        <v/>
      </c>
      <c r="I924" s="42" t="str">
        <f t="shared" si="44"/>
        <v/>
      </c>
      <c r="J924" s="43" t="str">
        <f t="shared" si="45"/>
        <v/>
      </c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44"/>
      <c r="AN924" s="44"/>
      <c r="AO924" s="44"/>
      <c r="AP924" s="44"/>
      <c r="AQ924" s="44"/>
      <c r="AR924" s="44"/>
      <c r="AS924" s="45"/>
      <c r="AT924" s="45"/>
      <c r="AU924" s="45"/>
    </row>
    <row r="925" spans="2:47" x14ac:dyDescent="0.25">
      <c r="B925" s="39"/>
      <c r="C925" s="39"/>
      <c r="D925" s="40"/>
      <c r="E925" s="39"/>
      <c r="F925" s="39"/>
      <c r="G925" s="41"/>
      <c r="H925" s="42" t="str">
        <f t="shared" si="43"/>
        <v/>
      </c>
      <c r="I925" s="42" t="str">
        <f t="shared" si="44"/>
        <v/>
      </c>
      <c r="J925" s="43" t="str">
        <f t="shared" si="45"/>
        <v/>
      </c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44"/>
      <c r="AN925" s="44"/>
      <c r="AO925" s="44"/>
      <c r="AP925" s="44"/>
      <c r="AQ925" s="44"/>
      <c r="AR925" s="44"/>
      <c r="AS925" s="45"/>
      <c r="AT925" s="45"/>
      <c r="AU925" s="45"/>
    </row>
    <row r="926" spans="2:47" x14ac:dyDescent="0.25">
      <c r="B926" s="39"/>
      <c r="C926" s="39"/>
      <c r="D926" s="40"/>
      <c r="E926" s="39"/>
      <c r="F926" s="39"/>
      <c r="G926" s="41"/>
      <c r="H926" s="42" t="str">
        <f t="shared" si="43"/>
        <v/>
      </c>
      <c r="I926" s="42" t="str">
        <f t="shared" si="44"/>
        <v/>
      </c>
      <c r="J926" s="43" t="str">
        <f t="shared" si="45"/>
        <v/>
      </c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44"/>
      <c r="AN926" s="44"/>
      <c r="AO926" s="44"/>
      <c r="AP926" s="44"/>
      <c r="AQ926" s="44"/>
      <c r="AR926" s="44"/>
      <c r="AS926" s="45"/>
      <c r="AT926" s="45"/>
      <c r="AU926" s="45"/>
    </row>
    <row r="927" spans="2:47" x14ac:dyDescent="0.25">
      <c r="B927" s="39"/>
      <c r="C927" s="39"/>
      <c r="D927" s="40"/>
      <c r="E927" s="39"/>
      <c r="F927" s="39"/>
      <c r="G927" s="41"/>
      <c r="H927" s="42" t="str">
        <f t="shared" si="43"/>
        <v/>
      </c>
      <c r="I927" s="42" t="str">
        <f t="shared" si="44"/>
        <v/>
      </c>
      <c r="J927" s="43" t="str">
        <f t="shared" si="45"/>
        <v/>
      </c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44"/>
      <c r="AN927" s="44"/>
      <c r="AO927" s="44"/>
      <c r="AP927" s="44"/>
      <c r="AQ927" s="44"/>
      <c r="AR927" s="44"/>
      <c r="AS927" s="45"/>
      <c r="AT927" s="45"/>
      <c r="AU927" s="45"/>
    </row>
    <row r="928" spans="2:47" x14ac:dyDescent="0.25">
      <c r="B928" s="39"/>
      <c r="C928" s="39"/>
      <c r="D928" s="40"/>
      <c r="E928" s="39"/>
      <c r="F928" s="39"/>
      <c r="G928" s="41"/>
      <c r="H928" s="42" t="str">
        <f t="shared" si="43"/>
        <v/>
      </c>
      <c r="I928" s="42" t="str">
        <f t="shared" si="44"/>
        <v/>
      </c>
      <c r="J928" s="43" t="str">
        <f t="shared" si="45"/>
        <v/>
      </c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44"/>
      <c r="AN928" s="44"/>
      <c r="AO928" s="44"/>
      <c r="AP928" s="44"/>
      <c r="AQ928" s="44"/>
      <c r="AR928" s="44"/>
      <c r="AS928" s="45"/>
      <c r="AT928" s="45"/>
      <c r="AU928" s="45"/>
    </row>
    <row r="929" spans="2:47" x14ac:dyDescent="0.25">
      <c r="B929" s="39"/>
      <c r="C929" s="39"/>
      <c r="D929" s="40"/>
      <c r="E929" s="39"/>
      <c r="F929" s="39"/>
      <c r="G929" s="41"/>
      <c r="H929" s="42" t="str">
        <f t="shared" si="43"/>
        <v/>
      </c>
      <c r="I929" s="42" t="str">
        <f t="shared" si="44"/>
        <v/>
      </c>
      <c r="J929" s="43" t="str">
        <f t="shared" si="45"/>
        <v/>
      </c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44"/>
      <c r="AN929" s="44"/>
      <c r="AO929" s="44"/>
      <c r="AP929" s="44"/>
      <c r="AQ929" s="44"/>
      <c r="AR929" s="44"/>
      <c r="AS929" s="45"/>
      <c r="AT929" s="45"/>
      <c r="AU929" s="45"/>
    </row>
    <row r="930" spans="2:47" x14ac:dyDescent="0.25">
      <c r="B930" s="39"/>
      <c r="C930" s="39"/>
      <c r="D930" s="40"/>
      <c r="E930" s="39"/>
      <c r="F930" s="39"/>
      <c r="G930" s="41"/>
      <c r="H930" s="42" t="str">
        <f t="shared" si="43"/>
        <v/>
      </c>
      <c r="I930" s="42" t="str">
        <f t="shared" si="44"/>
        <v/>
      </c>
      <c r="J930" s="43" t="str">
        <f t="shared" si="45"/>
        <v/>
      </c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44"/>
      <c r="AN930" s="44"/>
      <c r="AO930" s="44"/>
      <c r="AP930" s="44"/>
      <c r="AQ930" s="44"/>
      <c r="AR930" s="44"/>
      <c r="AS930" s="45"/>
      <c r="AT930" s="45"/>
      <c r="AU930" s="45"/>
    </row>
    <row r="931" spans="2:47" x14ac:dyDescent="0.25">
      <c r="B931" s="39"/>
      <c r="C931" s="39"/>
      <c r="D931" s="40"/>
      <c r="E931" s="39"/>
      <c r="F931" s="39"/>
      <c r="G931" s="41"/>
      <c r="H931" s="42" t="str">
        <f t="shared" si="43"/>
        <v/>
      </c>
      <c r="I931" s="42" t="str">
        <f t="shared" si="44"/>
        <v/>
      </c>
      <c r="J931" s="43" t="str">
        <f t="shared" si="45"/>
        <v/>
      </c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44"/>
      <c r="AN931" s="44"/>
      <c r="AO931" s="44"/>
      <c r="AP931" s="44"/>
      <c r="AQ931" s="44"/>
      <c r="AR931" s="44"/>
      <c r="AS931" s="45"/>
      <c r="AT931" s="45"/>
      <c r="AU931" s="45"/>
    </row>
    <row r="932" spans="2:47" x14ac:dyDescent="0.25">
      <c r="B932" s="39"/>
      <c r="C932" s="39"/>
      <c r="D932" s="40"/>
      <c r="E932" s="39"/>
      <c r="F932" s="39"/>
      <c r="G932" s="41"/>
      <c r="H932" s="42" t="str">
        <f t="shared" si="43"/>
        <v/>
      </c>
      <c r="I932" s="42" t="str">
        <f t="shared" si="44"/>
        <v/>
      </c>
      <c r="J932" s="43" t="str">
        <f t="shared" si="45"/>
        <v/>
      </c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44"/>
      <c r="AN932" s="44"/>
      <c r="AO932" s="44"/>
      <c r="AP932" s="44"/>
      <c r="AQ932" s="44"/>
      <c r="AR932" s="44"/>
      <c r="AS932" s="45"/>
      <c r="AT932" s="45"/>
      <c r="AU932" s="45"/>
    </row>
    <row r="933" spans="2:47" x14ac:dyDescent="0.25">
      <c r="B933" s="39"/>
      <c r="C933" s="39"/>
      <c r="D933" s="40"/>
      <c r="E933" s="39"/>
      <c r="F933" s="39"/>
      <c r="G933" s="41"/>
      <c r="H933" s="42" t="str">
        <f t="shared" si="43"/>
        <v/>
      </c>
      <c r="I933" s="42" t="str">
        <f t="shared" si="44"/>
        <v/>
      </c>
      <c r="J933" s="43" t="str">
        <f t="shared" si="45"/>
        <v/>
      </c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44"/>
      <c r="AN933" s="44"/>
      <c r="AO933" s="44"/>
      <c r="AP933" s="44"/>
      <c r="AQ933" s="44"/>
      <c r="AR933" s="44"/>
      <c r="AS933" s="45"/>
      <c r="AT933" s="45"/>
      <c r="AU933" s="45"/>
    </row>
    <row r="934" spans="2:47" x14ac:dyDescent="0.25">
      <c r="B934" s="39"/>
      <c r="C934" s="39"/>
      <c r="D934" s="40"/>
      <c r="E934" s="39"/>
      <c r="F934" s="39"/>
      <c r="G934" s="41"/>
      <c r="H934" s="42" t="str">
        <f t="shared" si="43"/>
        <v/>
      </c>
      <c r="I934" s="42" t="str">
        <f t="shared" si="44"/>
        <v/>
      </c>
      <c r="J934" s="43" t="str">
        <f t="shared" si="45"/>
        <v/>
      </c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44"/>
      <c r="AN934" s="44"/>
      <c r="AO934" s="44"/>
      <c r="AP934" s="44"/>
      <c r="AQ934" s="44"/>
      <c r="AR934" s="44"/>
      <c r="AS934" s="45"/>
      <c r="AT934" s="45"/>
      <c r="AU934" s="45"/>
    </row>
    <row r="935" spans="2:47" x14ac:dyDescent="0.25">
      <c r="B935" s="39"/>
      <c r="C935" s="39"/>
      <c r="D935" s="40"/>
      <c r="E935" s="39"/>
      <c r="F935" s="39"/>
      <c r="G935" s="41"/>
      <c r="H935" s="42" t="str">
        <f t="shared" si="43"/>
        <v/>
      </c>
      <c r="I935" s="42" t="str">
        <f t="shared" si="44"/>
        <v/>
      </c>
      <c r="J935" s="43" t="str">
        <f t="shared" si="45"/>
        <v/>
      </c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44"/>
      <c r="AN935" s="44"/>
      <c r="AO935" s="44"/>
      <c r="AP935" s="44"/>
      <c r="AQ935" s="44"/>
      <c r="AR935" s="44"/>
      <c r="AS935" s="45"/>
      <c r="AT935" s="45"/>
      <c r="AU935" s="45"/>
    </row>
    <row r="936" spans="2:47" x14ac:dyDescent="0.25">
      <c r="B936" s="39"/>
      <c r="C936" s="39"/>
      <c r="D936" s="40"/>
      <c r="E936" s="39"/>
      <c r="F936" s="39"/>
      <c r="G936" s="41"/>
      <c r="H936" s="42" t="str">
        <f t="shared" si="43"/>
        <v/>
      </c>
      <c r="I936" s="42" t="str">
        <f t="shared" si="44"/>
        <v/>
      </c>
      <c r="J936" s="43" t="str">
        <f t="shared" si="45"/>
        <v/>
      </c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44"/>
      <c r="AN936" s="44"/>
      <c r="AO936" s="44"/>
      <c r="AP936" s="44"/>
      <c r="AQ936" s="44"/>
      <c r="AR936" s="44"/>
      <c r="AS936" s="45"/>
      <c r="AT936" s="45"/>
      <c r="AU936" s="45"/>
    </row>
    <row r="937" spans="2:47" x14ac:dyDescent="0.25">
      <c r="B937" s="39"/>
      <c r="C937" s="39"/>
      <c r="D937" s="40"/>
      <c r="E937" s="39"/>
      <c r="F937" s="39"/>
      <c r="G937" s="41"/>
      <c r="H937" s="42" t="str">
        <f t="shared" si="43"/>
        <v/>
      </c>
      <c r="I937" s="42" t="str">
        <f t="shared" si="44"/>
        <v/>
      </c>
      <c r="J937" s="43" t="str">
        <f t="shared" si="45"/>
        <v/>
      </c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44"/>
      <c r="AN937" s="44"/>
      <c r="AO937" s="44"/>
      <c r="AP937" s="44"/>
      <c r="AQ937" s="44"/>
      <c r="AR937" s="44"/>
      <c r="AS937" s="45"/>
      <c r="AT937" s="45"/>
      <c r="AU937" s="45"/>
    </row>
    <row r="938" spans="2:47" x14ac:dyDescent="0.25">
      <c r="B938" s="39"/>
      <c r="C938" s="39"/>
      <c r="D938" s="40"/>
      <c r="E938" s="39"/>
      <c r="F938" s="39"/>
      <c r="G938" s="41"/>
      <c r="H938" s="42" t="str">
        <f t="shared" si="43"/>
        <v/>
      </c>
      <c r="I938" s="42" t="str">
        <f t="shared" si="44"/>
        <v/>
      </c>
      <c r="J938" s="43" t="str">
        <f t="shared" si="45"/>
        <v/>
      </c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44"/>
      <c r="AN938" s="44"/>
      <c r="AO938" s="44"/>
      <c r="AP938" s="44"/>
      <c r="AQ938" s="44"/>
      <c r="AR938" s="44"/>
      <c r="AS938" s="45"/>
      <c r="AT938" s="45"/>
      <c r="AU938" s="45"/>
    </row>
    <row r="939" spans="2:47" x14ac:dyDescent="0.25">
      <c r="B939" s="39"/>
      <c r="C939" s="39"/>
      <c r="D939" s="40"/>
      <c r="E939" s="39"/>
      <c r="F939" s="39"/>
      <c r="G939" s="41"/>
      <c r="H939" s="42" t="str">
        <f t="shared" si="43"/>
        <v/>
      </c>
      <c r="I939" s="42" t="str">
        <f t="shared" si="44"/>
        <v/>
      </c>
      <c r="J939" s="43" t="str">
        <f t="shared" si="45"/>
        <v/>
      </c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44"/>
      <c r="AN939" s="44"/>
      <c r="AO939" s="44"/>
      <c r="AP939" s="44"/>
      <c r="AQ939" s="44"/>
      <c r="AR939" s="44"/>
      <c r="AS939" s="45"/>
      <c r="AT939" s="45"/>
      <c r="AU939" s="45"/>
    </row>
    <row r="940" spans="2:47" x14ac:dyDescent="0.25">
      <c r="B940" s="39"/>
      <c r="C940" s="39"/>
      <c r="D940" s="40"/>
      <c r="E940" s="39"/>
      <c r="F940" s="39"/>
      <c r="G940" s="41"/>
      <c r="H940" s="42" t="str">
        <f t="shared" si="43"/>
        <v/>
      </c>
      <c r="I940" s="42" t="str">
        <f t="shared" si="44"/>
        <v/>
      </c>
      <c r="J940" s="43" t="str">
        <f t="shared" si="45"/>
        <v/>
      </c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44"/>
      <c r="AN940" s="44"/>
      <c r="AO940" s="44"/>
      <c r="AP940" s="44"/>
      <c r="AQ940" s="44"/>
      <c r="AR940" s="44"/>
      <c r="AS940" s="45"/>
      <c r="AT940" s="45"/>
      <c r="AU940" s="45"/>
    </row>
    <row r="941" spans="2:47" x14ac:dyDescent="0.25">
      <c r="B941" s="39"/>
      <c r="C941" s="39"/>
      <c r="D941" s="40"/>
      <c r="E941" s="39"/>
      <c r="F941" s="39"/>
      <c r="G941" s="41"/>
      <c r="H941" s="42" t="str">
        <f t="shared" si="43"/>
        <v/>
      </c>
      <c r="I941" s="42" t="str">
        <f t="shared" si="44"/>
        <v/>
      </c>
      <c r="J941" s="43" t="str">
        <f t="shared" si="45"/>
        <v/>
      </c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44"/>
      <c r="AN941" s="44"/>
      <c r="AO941" s="44"/>
      <c r="AP941" s="44"/>
      <c r="AQ941" s="44"/>
      <c r="AR941" s="44"/>
      <c r="AS941" s="45"/>
      <c r="AT941" s="45"/>
      <c r="AU941" s="45"/>
    </row>
    <row r="942" spans="2:47" x14ac:dyDescent="0.25">
      <c r="B942" s="39"/>
      <c r="C942" s="39"/>
      <c r="D942" s="40"/>
      <c r="E942" s="39"/>
      <c r="F942" s="39"/>
      <c r="G942" s="41"/>
      <c r="H942" s="42" t="str">
        <f t="shared" si="43"/>
        <v/>
      </c>
      <c r="I942" s="42" t="str">
        <f t="shared" si="44"/>
        <v/>
      </c>
      <c r="J942" s="43" t="str">
        <f t="shared" si="45"/>
        <v/>
      </c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44"/>
      <c r="AN942" s="44"/>
      <c r="AO942" s="44"/>
      <c r="AP942" s="44"/>
      <c r="AQ942" s="44"/>
      <c r="AR942" s="44"/>
      <c r="AS942" s="45"/>
      <c r="AT942" s="45"/>
      <c r="AU942" s="45"/>
    </row>
    <row r="943" spans="2:47" x14ac:dyDescent="0.25">
      <c r="B943" s="39"/>
      <c r="C943" s="39"/>
      <c r="D943" s="40"/>
      <c r="E943" s="39"/>
      <c r="F943" s="39"/>
      <c r="G943" s="41"/>
      <c r="H943" s="42" t="str">
        <f t="shared" si="43"/>
        <v/>
      </c>
      <c r="I943" s="42" t="str">
        <f t="shared" si="44"/>
        <v/>
      </c>
      <c r="J943" s="43" t="str">
        <f t="shared" si="45"/>
        <v/>
      </c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44"/>
      <c r="AN943" s="44"/>
      <c r="AO943" s="44"/>
      <c r="AP943" s="44"/>
      <c r="AQ943" s="44"/>
      <c r="AR943" s="44"/>
      <c r="AS943" s="45"/>
      <c r="AT943" s="45"/>
      <c r="AU943" s="45"/>
    </row>
    <row r="944" spans="2:47" x14ac:dyDescent="0.25">
      <c r="B944" s="39"/>
      <c r="C944" s="39"/>
      <c r="D944" s="40"/>
      <c r="E944" s="39"/>
      <c r="F944" s="39"/>
      <c r="G944" s="41"/>
      <c r="H944" s="42" t="str">
        <f t="shared" si="43"/>
        <v/>
      </c>
      <c r="I944" s="42" t="str">
        <f t="shared" si="44"/>
        <v/>
      </c>
      <c r="J944" s="43" t="str">
        <f t="shared" si="45"/>
        <v/>
      </c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44"/>
      <c r="AN944" s="44"/>
      <c r="AO944" s="44"/>
      <c r="AP944" s="44"/>
      <c r="AQ944" s="44"/>
      <c r="AR944" s="44"/>
      <c r="AS944" s="45"/>
      <c r="AT944" s="45"/>
      <c r="AU944" s="45"/>
    </row>
    <row r="945" spans="2:47" x14ac:dyDescent="0.25">
      <c r="B945" s="39"/>
      <c r="C945" s="39"/>
      <c r="D945" s="40"/>
      <c r="E945" s="39"/>
      <c r="F945" s="39"/>
      <c r="G945" s="41"/>
      <c r="H945" s="42" t="str">
        <f t="shared" si="43"/>
        <v/>
      </c>
      <c r="I945" s="42" t="str">
        <f t="shared" si="44"/>
        <v/>
      </c>
      <c r="J945" s="43" t="str">
        <f t="shared" si="45"/>
        <v/>
      </c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44"/>
      <c r="AN945" s="44"/>
      <c r="AO945" s="44"/>
      <c r="AP945" s="44"/>
      <c r="AQ945" s="44"/>
      <c r="AR945" s="44"/>
      <c r="AS945" s="45"/>
      <c r="AT945" s="45"/>
      <c r="AU945" s="45"/>
    </row>
    <row r="946" spans="2:47" x14ac:dyDescent="0.25">
      <c r="B946" s="39"/>
      <c r="C946" s="39"/>
      <c r="D946" s="40"/>
      <c r="E946" s="39"/>
      <c r="F946" s="39"/>
      <c r="G946" s="41"/>
      <c r="H946" s="42" t="str">
        <f t="shared" si="43"/>
        <v/>
      </c>
      <c r="I946" s="42" t="str">
        <f t="shared" si="44"/>
        <v/>
      </c>
      <c r="J946" s="43" t="str">
        <f t="shared" si="45"/>
        <v/>
      </c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44"/>
      <c r="AN946" s="44"/>
      <c r="AO946" s="44"/>
      <c r="AP946" s="44"/>
      <c r="AQ946" s="44"/>
      <c r="AR946" s="44"/>
      <c r="AS946" s="45"/>
      <c r="AT946" s="45"/>
      <c r="AU946" s="45"/>
    </row>
    <row r="947" spans="2:47" x14ac:dyDescent="0.25">
      <c r="B947" s="39"/>
      <c r="C947" s="39"/>
      <c r="D947" s="40"/>
      <c r="E947" s="39"/>
      <c r="F947" s="39"/>
      <c r="G947" s="41"/>
      <c r="H947" s="42" t="str">
        <f t="shared" si="43"/>
        <v/>
      </c>
      <c r="I947" s="42" t="str">
        <f t="shared" si="44"/>
        <v/>
      </c>
      <c r="J947" s="43" t="str">
        <f t="shared" si="45"/>
        <v/>
      </c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44"/>
      <c r="AN947" s="44"/>
      <c r="AO947" s="44"/>
      <c r="AP947" s="44"/>
      <c r="AQ947" s="44"/>
      <c r="AR947" s="44"/>
      <c r="AS947" s="45"/>
      <c r="AT947" s="45"/>
      <c r="AU947" s="45"/>
    </row>
    <row r="948" spans="2:47" x14ac:dyDescent="0.25">
      <c r="B948" s="39"/>
      <c r="C948" s="39"/>
      <c r="D948" s="40"/>
      <c r="E948" s="39"/>
      <c r="F948" s="39"/>
      <c r="G948" s="41"/>
      <c r="H948" s="42" t="str">
        <f t="shared" si="43"/>
        <v/>
      </c>
      <c r="I948" s="42" t="str">
        <f t="shared" si="44"/>
        <v/>
      </c>
      <c r="J948" s="43" t="str">
        <f t="shared" si="45"/>
        <v/>
      </c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44"/>
      <c r="AN948" s="44"/>
      <c r="AO948" s="44"/>
      <c r="AP948" s="44"/>
      <c r="AQ948" s="44"/>
      <c r="AR948" s="44"/>
      <c r="AS948" s="45"/>
      <c r="AT948" s="45"/>
      <c r="AU948" s="45"/>
    </row>
    <row r="949" spans="2:47" x14ac:dyDescent="0.25">
      <c r="B949" s="39"/>
      <c r="C949" s="39"/>
      <c r="D949" s="40"/>
      <c r="E949" s="39"/>
      <c r="F949" s="39"/>
      <c r="G949" s="41"/>
      <c r="H949" s="42" t="str">
        <f t="shared" si="43"/>
        <v/>
      </c>
      <c r="I949" s="42" t="str">
        <f t="shared" si="44"/>
        <v/>
      </c>
      <c r="J949" s="43" t="str">
        <f t="shared" si="45"/>
        <v/>
      </c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44"/>
      <c r="AN949" s="44"/>
      <c r="AO949" s="44"/>
      <c r="AP949" s="44"/>
      <c r="AQ949" s="44"/>
      <c r="AR949" s="44"/>
      <c r="AS949" s="45"/>
      <c r="AT949" s="45"/>
      <c r="AU949" s="45"/>
    </row>
    <row r="950" spans="2:47" x14ac:dyDescent="0.25">
      <c r="B950" s="39"/>
      <c r="C950" s="39"/>
      <c r="D950" s="40"/>
      <c r="E950" s="39"/>
      <c r="F950" s="39"/>
      <c r="G950" s="41"/>
      <c r="H950" s="42" t="str">
        <f t="shared" si="43"/>
        <v/>
      </c>
      <c r="I950" s="42" t="str">
        <f t="shared" si="44"/>
        <v/>
      </c>
      <c r="J950" s="43" t="str">
        <f t="shared" si="45"/>
        <v/>
      </c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44"/>
      <c r="AN950" s="44"/>
      <c r="AO950" s="44"/>
      <c r="AP950" s="44"/>
      <c r="AQ950" s="44"/>
      <c r="AR950" s="44"/>
      <c r="AS950" s="45"/>
      <c r="AT950" s="45"/>
      <c r="AU950" s="45"/>
    </row>
    <row r="951" spans="2:47" x14ac:dyDescent="0.25">
      <c r="B951" s="39"/>
      <c r="C951" s="39"/>
      <c r="D951" s="40"/>
      <c r="E951" s="39"/>
      <c r="F951" s="39"/>
      <c r="G951" s="41"/>
      <c r="H951" s="42" t="str">
        <f t="shared" si="43"/>
        <v/>
      </c>
      <c r="I951" s="42" t="str">
        <f t="shared" si="44"/>
        <v/>
      </c>
      <c r="J951" s="43" t="str">
        <f t="shared" si="45"/>
        <v/>
      </c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44"/>
      <c r="AN951" s="44"/>
      <c r="AO951" s="44"/>
      <c r="AP951" s="44"/>
      <c r="AQ951" s="44"/>
      <c r="AR951" s="44"/>
      <c r="AS951" s="45"/>
      <c r="AT951" s="45"/>
      <c r="AU951" s="45"/>
    </row>
    <row r="952" spans="2:47" x14ac:dyDescent="0.25">
      <c r="B952" s="39"/>
      <c r="C952" s="39"/>
      <c r="D952" s="40"/>
      <c r="E952" s="39"/>
      <c r="F952" s="39"/>
      <c r="G952" s="41"/>
      <c r="H952" s="42" t="str">
        <f t="shared" si="43"/>
        <v/>
      </c>
      <c r="I952" s="42" t="str">
        <f t="shared" si="44"/>
        <v/>
      </c>
      <c r="J952" s="43" t="str">
        <f t="shared" si="45"/>
        <v/>
      </c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44"/>
      <c r="AN952" s="44"/>
      <c r="AO952" s="44"/>
      <c r="AP952" s="44"/>
      <c r="AQ952" s="44"/>
      <c r="AR952" s="44"/>
      <c r="AS952" s="45"/>
      <c r="AT952" s="45"/>
      <c r="AU952" s="45"/>
    </row>
    <row r="953" spans="2:47" x14ac:dyDescent="0.25">
      <c r="B953" s="39"/>
      <c r="C953" s="39"/>
      <c r="D953" s="40"/>
      <c r="E953" s="39"/>
      <c r="F953" s="39"/>
      <c r="G953" s="41"/>
      <c r="H953" s="42" t="str">
        <f t="shared" si="43"/>
        <v/>
      </c>
      <c r="I953" s="42" t="str">
        <f t="shared" si="44"/>
        <v/>
      </c>
      <c r="J953" s="43" t="str">
        <f t="shared" si="45"/>
        <v/>
      </c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44"/>
      <c r="AN953" s="44"/>
      <c r="AO953" s="44"/>
      <c r="AP953" s="44"/>
      <c r="AQ953" s="44"/>
      <c r="AR953" s="44"/>
      <c r="AS953" s="45"/>
      <c r="AT953" s="45"/>
      <c r="AU953" s="45"/>
    </row>
    <row r="954" spans="2:47" x14ac:dyDescent="0.25">
      <c r="B954" s="39"/>
      <c r="C954" s="39"/>
      <c r="D954" s="40"/>
      <c r="E954" s="39"/>
      <c r="F954" s="39"/>
      <c r="G954" s="41"/>
      <c r="H954" s="42" t="str">
        <f t="shared" si="43"/>
        <v/>
      </c>
      <c r="I954" s="42" t="str">
        <f t="shared" si="44"/>
        <v/>
      </c>
      <c r="J954" s="43" t="str">
        <f t="shared" si="45"/>
        <v/>
      </c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44"/>
      <c r="AN954" s="44"/>
      <c r="AO954" s="44"/>
      <c r="AP954" s="44"/>
      <c r="AQ954" s="44"/>
      <c r="AR954" s="44"/>
      <c r="AS954" s="45"/>
      <c r="AT954" s="45"/>
      <c r="AU954" s="45"/>
    </row>
    <row r="955" spans="2:47" x14ac:dyDescent="0.25">
      <c r="B955" s="39"/>
      <c r="C955" s="39"/>
      <c r="D955" s="40"/>
      <c r="E955" s="39"/>
      <c r="F955" s="39"/>
      <c r="G955" s="41"/>
      <c r="H955" s="42" t="str">
        <f t="shared" si="43"/>
        <v/>
      </c>
      <c r="I955" s="42" t="str">
        <f t="shared" si="44"/>
        <v/>
      </c>
      <c r="J955" s="43" t="str">
        <f t="shared" si="45"/>
        <v/>
      </c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44"/>
      <c r="AN955" s="44"/>
      <c r="AO955" s="44"/>
      <c r="AP955" s="44"/>
      <c r="AQ955" s="44"/>
      <c r="AR955" s="44"/>
      <c r="AS955" s="45"/>
      <c r="AT955" s="45"/>
      <c r="AU955" s="45"/>
    </row>
    <row r="956" spans="2:47" x14ac:dyDescent="0.25">
      <c r="B956" s="39"/>
      <c r="C956" s="39"/>
      <c r="D956" s="40"/>
      <c r="E956" s="39"/>
      <c r="F956" s="39"/>
      <c r="G956" s="41"/>
      <c r="H956" s="42" t="str">
        <f t="shared" si="43"/>
        <v/>
      </c>
      <c r="I956" s="42" t="str">
        <f t="shared" si="44"/>
        <v/>
      </c>
      <c r="J956" s="43" t="str">
        <f t="shared" si="45"/>
        <v/>
      </c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44"/>
      <c r="AN956" s="44"/>
      <c r="AO956" s="44"/>
      <c r="AP956" s="44"/>
      <c r="AQ956" s="44"/>
      <c r="AR956" s="44"/>
      <c r="AS956" s="45"/>
      <c r="AT956" s="45"/>
      <c r="AU956" s="45"/>
    </row>
    <row r="957" spans="2:47" x14ac:dyDescent="0.25">
      <c r="B957" s="39"/>
      <c r="C957" s="39"/>
      <c r="D957" s="40"/>
      <c r="E957" s="39"/>
      <c r="F957" s="39"/>
      <c r="G957" s="41"/>
      <c r="H957" s="42" t="str">
        <f t="shared" si="43"/>
        <v/>
      </c>
      <c r="I957" s="42" t="str">
        <f t="shared" si="44"/>
        <v/>
      </c>
      <c r="J957" s="43" t="str">
        <f t="shared" si="45"/>
        <v/>
      </c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44"/>
      <c r="AN957" s="44"/>
      <c r="AO957" s="44"/>
      <c r="AP957" s="44"/>
      <c r="AQ957" s="44"/>
      <c r="AR957" s="44"/>
      <c r="AS957" s="45"/>
      <c r="AT957" s="45"/>
      <c r="AU957" s="45"/>
    </row>
    <row r="958" spans="2:47" x14ac:dyDescent="0.25">
      <c r="B958" s="39"/>
      <c r="C958" s="39"/>
      <c r="D958" s="40"/>
      <c r="E958" s="39"/>
      <c r="F958" s="39"/>
      <c r="G958" s="41"/>
      <c r="H958" s="42" t="str">
        <f t="shared" si="43"/>
        <v/>
      </c>
      <c r="I958" s="42" t="str">
        <f t="shared" si="44"/>
        <v/>
      </c>
      <c r="J958" s="43" t="str">
        <f t="shared" si="45"/>
        <v/>
      </c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44"/>
      <c r="AN958" s="44"/>
      <c r="AO958" s="44"/>
      <c r="AP958" s="44"/>
      <c r="AQ958" s="44"/>
      <c r="AR958" s="44"/>
      <c r="AS958" s="45"/>
      <c r="AT958" s="45"/>
      <c r="AU958" s="45"/>
    </row>
    <row r="959" spans="2:47" x14ac:dyDescent="0.25">
      <c r="B959" s="39"/>
      <c r="C959" s="39"/>
      <c r="D959" s="40"/>
      <c r="E959" s="39"/>
      <c r="F959" s="39"/>
      <c r="G959" s="41"/>
      <c r="H959" s="42" t="str">
        <f t="shared" si="43"/>
        <v/>
      </c>
      <c r="I959" s="42" t="str">
        <f t="shared" si="44"/>
        <v/>
      </c>
      <c r="J959" s="43" t="str">
        <f t="shared" si="45"/>
        <v/>
      </c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44"/>
      <c r="AN959" s="44"/>
      <c r="AO959" s="44"/>
      <c r="AP959" s="44"/>
      <c r="AQ959" s="44"/>
      <c r="AR959" s="44"/>
      <c r="AS959" s="45"/>
      <c r="AT959" s="45"/>
      <c r="AU959" s="45"/>
    </row>
    <row r="960" spans="2:47" x14ac:dyDescent="0.25">
      <c r="B960" s="39"/>
      <c r="C960" s="39"/>
      <c r="D960" s="40"/>
      <c r="E960" s="39"/>
      <c r="F960" s="39"/>
      <c r="G960" s="41"/>
      <c r="H960" s="42" t="str">
        <f t="shared" si="43"/>
        <v/>
      </c>
      <c r="I960" s="42" t="str">
        <f t="shared" si="44"/>
        <v/>
      </c>
      <c r="J960" s="43" t="str">
        <f t="shared" si="45"/>
        <v/>
      </c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44"/>
      <c r="AN960" s="44"/>
      <c r="AO960" s="44"/>
      <c r="AP960" s="44"/>
      <c r="AQ960" s="44"/>
      <c r="AR960" s="44"/>
      <c r="AS960" s="45"/>
      <c r="AT960" s="45"/>
      <c r="AU960" s="45"/>
    </row>
    <row r="961" spans="2:47" x14ac:dyDescent="0.25">
      <c r="B961" s="39"/>
      <c r="C961" s="39"/>
      <c r="D961" s="40"/>
      <c r="E961" s="39"/>
      <c r="F961" s="39"/>
      <c r="G961" s="41"/>
      <c r="H961" s="42" t="str">
        <f t="shared" si="43"/>
        <v/>
      </c>
      <c r="I961" s="42" t="str">
        <f t="shared" si="44"/>
        <v/>
      </c>
      <c r="J961" s="43" t="str">
        <f t="shared" si="45"/>
        <v/>
      </c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44"/>
      <c r="AN961" s="44"/>
      <c r="AO961" s="44"/>
      <c r="AP961" s="44"/>
      <c r="AQ961" s="44"/>
      <c r="AR961" s="44"/>
      <c r="AS961" s="45"/>
      <c r="AT961" s="45"/>
      <c r="AU961" s="45"/>
    </row>
    <row r="962" spans="2:47" x14ac:dyDescent="0.25">
      <c r="B962" s="39"/>
      <c r="C962" s="39"/>
      <c r="D962" s="40"/>
      <c r="E962" s="39"/>
      <c r="F962" s="39"/>
      <c r="G962" s="41"/>
      <c r="H962" s="42" t="str">
        <f t="shared" si="43"/>
        <v/>
      </c>
      <c r="I962" s="42" t="str">
        <f t="shared" si="44"/>
        <v/>
      </c>
      <c r="J962" s="43" t="str">
        <f t="shared" si="45"/>
        <v/>
      </c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44"/>
      <c r="AN962" s="44"/>
      <c r="AO962" s="44"/>
      <c r="AP962" s="44"/>
      <c r="AQ962" s="44"/>
      <c r="AR962" s="44"/>
      <c r="AS962" s="45"/>
      <c r="AT962" s="45"/>
      <c r="AU962" s="45"/>
    </row>
    <row r="963" spans="2:47" x14ac:dyDescent="0.25">
      <c r="B963" s="39"/>
      <c r="C963" s="39"/>
      <c r="D963" s="40"/>
      <c r="E963" s="39"/>
      <c r="F963" s="39"/>
      <c r="G963" s="41"/>
      <c r="H963" s="42" t="str">
        <f t="shared" si="43"/>
        <v/>
      </c>
      <c r="I963" s="42" t="str">
        <f t="shared" si="44"/>
        <v/>
      </c>
      <c r="J963" s="43" t="str">
        <f t="shared" si="45"/>
        <v/>
      </c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44"/>
      <c r="AN963" s="44"/>
      <c r="AO963" s="44"/>
      <c r="AP963" s="44"/>
      <c r="AQ963" s="44"/>
      <c r="AR963" s="44"/>
      <c r="AS963" s="45"/>
      <c r="AT963" s="45"/>
      <c r="AU963" s="45"/>
    </row>
    <row r="964" spans="2:47" x14ac:dyDescent="0.25">
      <c r="B964" s="39"/>
      <c r="C964" s="39"/>
      <c r="D964" s="40"/>
      <c r="E964" s="39"/>
      <c r="F964" s="39"/>
      <c r="G964" s="41"/>
      <c r="H964" s="42" t="str">
        <f t="shared" si="43"/>
        <v/>
      </c>
      <c r="I964" s="42" t="str">
        <f t="shared" si="44"/>
        <v/>
      </c>
      <c r="J964" s="43" t="str">
        <f t="shared" si="45"/>
        <v/>
      </c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44"/>
      <c r="AN964" s="44"/>
      <c r="AO964" s="44"/>
      <c r="AP964" s="44"/>
      <c r="AQ964" s="44"/>
      <c r="AR964" s="44"/>
      <c r="AS964" s="45"/>
      <c r="AT964" s="45"/>
      <c r="AU964" s="45"/>
    </row>
    <row r="965" spans="2:47" x14ac:dyDescent="0.25">
      <c r="B965" s="39"/>
      <c r="C965" s="39"/>
      <c r="D965" s="40"/>
      <c r="E965" s="39"/>
      <c r="F965" s="39"/>
      <c r="G965" s="41"/>
      <c r="H965" s="42" t="str">
        <f t="shared" si="43"/>
        <v/>
      </c>
      <c r="I965" s="42" t="str">
        <f t="shared" si="44"/>
        <v/>
      </c>
      <c r="J965" s="43" t="str">
        <f t="shared" si="45"/>
        <v/>
      </c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44"/>
      <c r="AN965" s="44"/>
      <c r="AO965" s="44"/>
      <c r="AP965" s="44"/>
      <c r="AQ965" s="44"/>
      <c r="AR965" s="44"/>
      <c r="AS965" s="45"/>
      <c r="AT965" s="45"/>
      <c r="AU965" s="45"/>
    </row>
    <row r="966" spans="2:47" x14ac:dyDescent="0.25">
      <c r="B966" s="39"/>
      <c r="C966" s="39"/>
      <c r="D966" s="40"/>
      <c r="E966" s="39"/>
      <c r="F966" s="39"/>
      <c r="G966" s="41"/>
      <c r="H966" s="42" t="str">
        <f t="shared" ref="H966:H1000" si="46">IF($B966="","",SUM($K966:$AG966)+SUM($AS966:$BB966))</f>
        <v/>
      </c>
      <c r="I966" s="42" t="str">
        <f t="shared" ref="I966:I1000" si="47">IF($B966="","",SUM($AH966:$AL966))</f>
        <v/>
      </c>
      <c r="J966" s="43" t="str">
        <f t="shared" ref="J966:J1000" si="48">IF($B966="","",SUMPRODUCT($K966:$BB966,$K$2:$BB$2))</f>
        <v/>
      </c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44"/>
      <c r="AN966" s="44"/>
      <c r="AO966" s="44"/>
      <c r="AP966" s="44"/>
      <c r="AQ966" s="44"/>
      <c r="AR966" s="44"/>
      <c r="AS966" s="45"/>
      <c r="AT966" s="45"/>
      <c r="AU966" s="45"/>
    </row>
    <row r="967" spans="2:47" x14ac:dyDescent="0.25">
      <c r="B967" s="39"/>
      <c r="C967" s="39"/>
      <c r="D967" s="40"/>
      <c r="E967" s="39"/>
      <c r="F967" s="39"/>
      <c r="G967" s="41"/>
      <c r="H967" s="42" t="str">
        <f t="shared" si="46"/>
        <v/>
      </c>
      <c r="I967" s="42" t="str">
        <f t="shared" si="47"/>
        <v/>
      </c>
      <c r="J967" s="43" t="str">
        <f t="shared" si="48"/>
        <v/>
      </c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44"/>
      <c r="AN967" s="44"/>
      <c r="AO967" s="44"/>
      <c r="AP967" s="44"/>
      <c r="AQ967" s="44"/>
      <c r="AR967" s="44"/>
      <c r="AS967" s="45"/>
      <c r="AT967" s="45"/>
      <c r="AU967" s="45"/>
    </row>
    <row r="968" spans="2:47" x14ac:dyDescent="0.25">
      <c r="B968" s="39"/>
      <c r="C968" s="39"/>
      <c r="D968" s="40"/>
      <c r="E968" s="39"/>
      <c r="F968" s="39"/>
      <c r="G968" s="41"/>
      <c r="H968" s="42" t="str">
        <f t="shared" si="46"/>
        <v/>
      </c>
      <c r="I968" s="42" t="str">
        <f t="shared" si="47"/>
        <v/>
      </c>
      <c r="J968" s="43" t="str">
        <f t="shared" si="48"/>
        <v/>
      </c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44"/>
      <c r="AN968" s="44"/>
      <c r="AO968" s="44"/>
      <c r="AP968" s="44"/>
      <c r="AQ968" s="44"/>
      <c r="AR968" s="44"/>
      <c r="AS968" s="45"/>
      <c r="AT968" s="45"/>
      <c r="AU968" s="45"/>
    </row>
    <row r="969" spans="2:47" x14ac:dyDescent="0.25">
      <c r="B969" s="39"/>
      <c r="C969" s="39"/>
      <c r="D969" s="40"/>
      <c r="E969" s="39"/>
      <c r="F969" s="39"/>
      <c r="G969" s="41"/>
      <c r="H969" s="42" t="str">
        <f t="shared" si="46"/>
        <v/>
      </c>
      <c r="I969" s="42" t="str">
        <f t="shared" si="47"/>
        <v/>
      </c>
      <c r="J969" s="43" t="str">
        <f t="shared" si="48"/>
        <v/>
      </c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44"/>
      <c r="AN969" s="44"/>
      <c r="AO969" s="44"/>
      <c r="AP969" s="44"/>
      <c r="AQ969" s="44"/>
      <c r="AR969" s="44"/>
      <c r="AS969" s="45"/>
      <c r="AT969" s="45"/>
      <c r="AU969" s="45"/>
    </row>
    <row r="970" spans="2:47" x14ac:dyDescent="0.25">
      <c r="B970" s="39"/>
      <c r="C970" s="39"/>
      <c r="D970" s="40"/>
      <c r="E970" s="39"/>
      <c r="F970" s="39"/>
      <c r="G970" s="41"/>
      <c r="H970" s="42" t="str">
        <f t="shared" si="46"/>
        <v/>
      </c>
      <c r="I970" s="42" t="str">
        <f t="shared" si="47"/>
        <v/>
      </c>
      <c r="J970" s="43" t="str">
        <f t="shared" si="48"/>
        <v/>
      </c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44"/>
      <c r="AN970" s="44"/>
      <c r="AO970" s="44"/>
      <c r="AP970" s="44"/>
      <c r="AQ970" s="44"/>
      <c r="AR970" s="44"/>
      <c r="AS970" s="45"/>
      <c r="AT970" s="45"/>
      <c r="AU970" s="45"/>
    </row>
    <row r="971" spans="2:47" x14ac:dyDescent="0.25">
      <c r="B971" s="39"/>
      <c r="C971" s="39"/>
      <c r="D971" s="40"/>
      <c r="E971" s="39"/>
      <c r="F971" s="39"/>
      <c r="G971" s="41"/>
      <c r="H971" s="42" t="str">
        <f t="shared" si="46"/>
        <v/>
      </c>
      <c r="I971" s="42" t="str">
        <f t="shared" si="47"/>
        <v/>
      </c>
      <c r="J971" s="43" t="str">
        <f t="shared" si="48"/>
        <v/>
      </c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44"/>
      <c r="AN971" s="44"/>
      <c r="AO971" s="44"/>
      <c r="AP971" s="44"/>
      <c r="AQ971" s="44"/>
      <c r="AR971" s="44"/>
      <c r="AS971" s="45"/>
      <c r="AT971" s="45"/>
      <c r="AU971" s="45"/>
    </row>
    <row r="972" spans="2:47" x14ac:dyDescent="0.25">
      <c r="B972" s="39"/>
      <c r="C972" s="39"/>
      <c r="D972" s="40"/>
      <c r="E972" s="39"/>
      <c r="F972" s="39"/>
      <c r="G972" s="41"/>
      <c r="H972" s="42" t="str">
        <f t="shared" si="46"/>
        <v/>
      </c>
      <c r="I972" s="42" t="str">
        <f t="shared" si="47"/>
        <v/>
      </c>
      <c r="J972" s="43" t="str">
        <f t="shared" si="48"/>
        <v/>
      </c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44"/>
      <c r="AN972" s="44"/>
      <c r="AO972" s="44"/>
      <c r="AP972" s="44"/>
      <c r="AQ972" s="44"/>
      <c r="AR972" s="44"/>
      <c r="AS972" s="45"/>
      <c r="AT972" s="45"/>
      <c r="AU972" s="45"/>
    </row>
    <row r="973" spans="2:47" x14ac:dyDescent="0.25">
      <c r="B973" s="39"/>
      <c r="C973" s="39"/>
      <c r="D973" s="40"/>
      <c r="E973" s="39"/>
      <c r="F973" s="39"/>
      <c r="G973" s="41"/>
      <c r="H973" s="42" t="str">
        <f t="shared" si="46"/>
        <v/>
      </c>
      <c r="I973" s="42" t="str">
        <f t="shared" si="47"/>
        <v/>
      </c>
      <c r="J973" s="43" t="str">
        <f t="shared" si="48"/>
        <v/>
      </c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44"/>
      <c r="AN973" s="44"/>
      <c r="AO973" s="44"/>
      <c r="AP973" s="44"/>
      <c r="AQ973" s="44"/>
      <c r="AR973" s="44"/>
      <c r="AS973" s="45"/>
      <c r="AT973" s="45"/>
      <c r="AU973" s="45"/>
    </row>
    <row r="974" spans="2:47" x14ac:dyDescent="0.25">
      <c r="B974" s="39"/>
      <c r="C974" s="39"/>
      <c r="D974" s="40"/>
      <c r="E974" s="39"/>
      <c r="F974" s="39"/>
      <c r="G974" s="41"/>
      <c r="H974" s="42" t="str">
        <f t="shared" si="46"/>
        <v/>
      </c>
      <c r="I974" s="42" t="str">
        <f t="shared" si="47"/>
        <v/>
      </c>
      <c r="J974" s="43" t="str">
        <f t="shared" si="48"/>
        <v/>
      </c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44"/>
      <c r="AN974" s="44"/>
      <c r="AO974" s="44"/>
      <c r="AP974" s="44"/>
      <c r="AQ974" s="44"/>
      <c r="AR974" s="44"/>
      <c r="AS974" s="45"/>
      <c r="AT974" s="45"/>
      <c r="AU974" s="45"/>
    </row>
    <row r="975" spans="2:47" x14ac:dyDescent="0.25">
      <c r="B975" s="39"/>
      <c r="C975" s="39"/>
      <c r="D975" s="40"/>
      <c r="E975" s="39"/>
      <c r="F975" s="39"/>
      <c r="G975" s="41"/>
      <c r="H975" s="42" t="str">
        <f t="shared" si="46"/>
        <v/>
      </c>
      <c r="I975" s="42" t="str">
        <f t="shared" si="47"/>
        <v/>
      </c>
      <c r="J975" s="43" t="str">
        <f t="shared" si="48"/>
        <v/>
      </c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44"/>
      <c r="AN975" s="44"/>
      <c r="AO975" s="44"/>
      <c r="AP975" s="44"/>
      <c r="AQ975" s="44"/>
      <c r="AR975" s="44"/>
      <c r="AS975" s="45"/>
      <c r="AT975" s="45"/>
      <c r="AU975" s="45"/>
    </row>
    <row r="976" spans="2:47" x14ac:dyDescent="0.25">
      <c r="B976" s="39"/>
      <c r="C976" s="39"/>
      <c r="D976" s="40"/>
      <c r="E976" s="39"/>
      <c r="F976" s="39"/>
      <c r="G976" s="41"/>
      <c r="H976" s="42" t="str">
        <f t="shared" si="46"/>
        <v/>
      </c>
      <c r="I976" s="42" t="str">
        <f t="shared" si="47"/>
        <v/>
      </c>
      <c r="J976" s="43" t="str">
        <f t="shared" si="48"/>
        <v/>
      </c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44"/>
      <c r="AN976" s="44"/>
      <c r="AO976" s="44"/>
      <c r="AP976" s="44"/>
      <c r="AQ976" s="44"/>
      <c r="AR976" s="44"/>
      <c r="AS976" s="45"/>
      <c r="AT976" s="45"/>
      <c r="AU976" s="45"/>
    </row>
    <row r="977" spans="2:47" x14ac:dyDescent="0.25">
      <c r="B977" s="39"/>
      <c r="C977" s="39"/>
      <c r="D977" s="40"/>
      <c r="E977" s="39"/>
      <c r="F977" s="39"/>
      <c r="G977" s="41"/>
      <c r="H977" s="42" t="str">
        <f t="shared" si="46"/>
        <v/>
      </c>
      <c r="I977" s="42" t="str">
        <f t="shared" si="47"/>
        <v/>
      </c>
      <c r="J977" s="43" t="str">
        <f t="shared" si="48"/>
        <v/>
      </c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44"/>
      <c r="AN977" s="44"/>
      <c r="AO977" s="44"/>
      <c r="AP977" s="44"/>
      <c r="AQ977" s="44"/>
      <c r="AR977" s="44"/>
      <c r="AS977" s="45"/>
      <c r="AT977" s="45"/>
      <c r="AU977" s="45"/>
    </row>
    <row r="978" spans="2:47" x14ac:dyDescent="0.25">
      <c r="B978" s="39"/>
      <c r="C978" s="39"/>
      <c r="D978" s="40"/>
      <c r="E978" s="39"/>
      <c r="F978" s="39"/>
      <c r="G978" s="41"/>
      <c r="H978" s="42" t="str">
        <f t="shared" si="46"/>
        <v/>
      </c>
      <c r="I978" s="42" t="str">
        <f t="shared" si="47"/>
        <v/>
      </c>
      <c r="J978" s="43" t="str">
        <f t="shared" si="48"/>
        <v/>
      </c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44"/>
      <c r="AN978" s="44"/>
      <c r="AO978" s="44"/>
      <c r="AP978" s="44"/>
      <c r="AQ978" s="44"/>
      <c r="AR978" s="44"/>
      <c r="AS978" s="45"/>
      <c r="AT978" s="45"/>
      <c r="AU978" s="45"/>
    </row>
    <row r="979" spans="2:47" x14ac:dyDescent="0.25">
      <c r="B979" s="39"/>
      <c r="C979" s="39"/>
      <c r="D979" s="40"/>
      <c r="E979" s="39"/>
      <c r="F979" s="39"/>
      <c r="G979" s="41"/>
      <c r="H979" s="42" t="str">
        <f t="shared" si="46"/>
        <v/>
      </c>
      <c r="I979" s="42" t="str">
        <f t="shared" si="47"/>
        <v/>
      </c>
      <c r="J979" s="43" t="str">
        <f t="shared" si="48"/>
        <v/>
      </c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44"/>
      <c r="AN979" s="44"/>
      <c r="AO979" s="44"/>
      <c r="AP979" s="44"/>
      <c r="AQ979" s="44"/>
      <c r="AR979" s="44"/>
      <c r="AS979" s="45"/>
      <c r="AT979" s="45"/>
      <c r="AU979" s="45"/>
    </row>
    <row r="980" spans="2:47" x14ac:dyDescent="0.25">
      <c r="B980" s="39"/>
      <c r="C980" s="39"/>
      <c r="D980" s="40"/>
      <c r="E980" s="39"/>
      <c r="F980" s="39"/>
      <c r="G980" s="41"/>
      <c r="H980" s="42" t="str">
        <f t="shared" si="46"/>
        <v/>
      </c>
      <c r="I980" s="42" t="str">
        <f t="shared" si="47"/>
        <v/>
      </c>
      <c r="J980" s="43" t="str">
        <f t="shared" si="48"/>
        <v/>
      </c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44"/>
      <c r="AN980" s="44"/>
      <c r="AO980" s="44"/>
      <c r="AP980" s="44"/>
      <c r="AQ980" s="44"/>
      <c r="AR980" s="44"/>
      <c r="AS980" s="45"/>
      <c r="AT980" s="45"/>
      <c r="AU980" s="45"/>
    </row>
    <row r="981" spans="2:47" x14ac:dyDescent="0.25">
      <c r="B981" s="39"/>
      <c r="C981" s="39"/>
      <c r="D981" s="40"/>
      <c r="E981" s="39"/>
      <c r="F981" s="39"/>
      <c r="G981" s="41"/>
      <c r="H981" s="42" t="str">
        <f t="shared" si="46"/>
        <v/>
      </c>
      <c r="I981" s="42" t="str">
        <f t="shared" si="47"/>
        <v/>
      </c>
      <c r="J981" s="43" t="str">
        <f t="shared" si="48"/>
        <v/>
      </c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44"/>
      <c r="AN981" s="44"/>
      <c r="AO981" s="44"/>
      <c r="AP981" s="44"/>
      <c r="AQ981" s="44"/>
      <c r="AR981" s="44"/>
      <c r="AS981" s="45"/>
      <c r="AT981" s="45"/>
      <c r="AU981" s="45"/>
    </row>
    <row r="982" spans="2:47" x14ac:dyDescent="0.25">
      <c r="B982" s="39"/>
      <c r="C982" s="39"/>
      <c r="D982" s="40"/>
      <c r="E982" s="39"/>
      <c r="F982" s="39"/>
      <c r="G982" s="41"/>
      <c r="H982" s="42" t="str">
        <f t="shared" si="46"/>
        <v/>
      </c>
      <c r="I982" s="42" t="str">
        <f t="shared" si="47"/>
        <v/>
      </c>
      <c r="J982" s="43" t="str">
        <f t="shared" si="48"/>
        <v/>
      </c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44"/>
      <c r="AN982" s="44"/>
      <c r="AO982" s="44"/>
      <c r="AP982" s="44"/>
      <c r="AQ982" s="44"/>
      <c r="AR982" s="44"/>
      <c r="AS982" s="45"/>
      <c r="AT982" s="45"/>
      <c r="AU982" s="45"/>
    </row>
    <row r="983" spans="2:47" x14ac:dyDescent="0.25">
      <c r="B983" s="39"/>
      <c r="C983" s="39"/>
      <c r="D983" s="40"/>
      <c r="E983" s="39"/>
      <c r="F983" s="39"/>
      <c r="G983" s="41"/>
      <c r="H983" s="42" t="str">
        <f t="shared" si="46"/>
        <v/>
      </c>
      <c r="I983" s="42" t="str">
        <f t="shared" si="47"/>
        <v/>
      </c>
      <c r="J983" s="43" t="str">
        <f t="shared" si="48"/>
        <v/>
      </c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44"/>
      <c r="AN983" s="44"/>
      <c r="AO983" s="44"/>
      <c r="AP983" s="44"/>
      <c r="AQ983" s="44"/>
      <c r="AR983" s="44"/>
      <c r="AS983" s="45"/>
      <c r="AT983" s="45"/>
      <c r="AU983" s="45"/>
    </row>
    <row r="984" spans="2:47" x14ac:dyDescent="0.25">
      <c r="B984" s="39"/>
      <c r="C984" s="39"/>
      <c r="D984" s="40"/>
      <c r="E984" s="39"/>
      <c r="F984" s="39"/>
      <c r="G984" s="41"/>
      <c r="H984" s="42" t="str">
        <f t="shared" si="46"/>
        <v/>
      </c>
      <c r="I984" s="42" t="str">
        <f t="shared" si="47"/>
        <v/>
      </c>
      <c r="J984" s="43" t="str">
        <f t="shared" si="48"/>
        <v/>
      </c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44"/>
      <c r="AN984" s="44"/>
      <c r="AO984" s="44"/>
      <c r="AP984" s="44"/>
      <c r="AQ984" s="44"/>
      <c r="AR984" s="44"/>
      <c r="AS984" s="45"/>
      <c r="AT984" s="45"/>
      <c r="AU984" s="45"/>
    </row>
    <row r="985" spans="2:47" x14ac:dyDescent="0.25">
      <c r="B985" s="39"/>
      <c r="C985" s="39"/>
      <c r="D985" s="40"/>
      <c r="E985" s="39"/>
      <c r="F985" s="39"/>
      <c r="G985" s="41"/>
      <c r="H985" s="42" t="str">
        <f t="shared" si="46"/>
        <v/>
      </c>
      <c r="I985" s="42" t="str">
        <f t="shared" si="47"/>
        <v/>
      </c>
      <c r="J985" s="43" t="str">
        <f t="shared" si="48"/>
        <v/>
      </c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44"/>
      <c r="AN985" s="44"/>
      <c r="AO985" s="44"/>
      <c r="AP985" s="44"/>
      <c r="AQ985" s="44"/>
      <c r="AR985" s="44"/>
      <c r="AS985" s="45"/>
      <c r="AT985" s="45"/>
      <c r="AU985" s="45"/>
    </row>
    <row r="986" spans="2:47" x14ac:dyDescent="0.25">
      <c r="B986" s="39"/>
      <c r="C986" s="39"/>
      <c r="D986" s="40"/>
      <c r="E986" s="39"/>
      <c r="F986" s="39"/>
      <c r="G986" s="41"/>
      <c r="H986" s="42" t="str">
        <f t="shared" si="46"/>
        <v/>
      </c>
      <c r="I986" s="42" t="str">
        <f t="shared" si="47"/>
        <v/>
      </c>
      <c r="J986" s="43" t="str">
        <f t="shared" si="48"/>
        <v/>
      </c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44"/>
      <c r="AN986" s="44"/>
      <c r="AO986" s="44"/>
      <c r="AP986" s="44"/>
      <c r="AQ986" s="44"/>
      <c r="AR986" s="44"/>
      <c r="AS986" s="45"/>
      <c r="AT986" s="45"/>
      <c r="AU986" s="45"/>
    </row>
    <row r="987" spans="2:47" x14ac:dyDescent="0.25">
      <c r="B987" s="39"/>
      <c r="C987" s="39"/>
      <c r="D987" s="40"/>
      <c r="E987" s="39"/>
      <c r="F987" s="39"/>
      <c r="G987" s="41"/>
      <c r="H987" s="42" t="str">
        <f t="shared" si="46"/>
        <v/>
      </c>
      <c r="I987" s="42" t="str">
        <f t="shared" si="47"/>
        <v/>
      </c>
      <c r="J987" s="43" t="str">
        <f t="shared" si="48"/>
        <v/>
      </c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44"/>
      <c r="AN987" s="44"/>
      <c r="AO987" s="44"/>
      <c r="AP987" s="44"/>
      <c r="AQ987" s="44"/>
      <c r="AR987" s="44"/>
      <c r="AS987" s="45"/>
      <c r="AT987" s="45"/>
      <c r="AU987" s="45"/>
    </row>
    <row r="988" spans="2:47" x14ac:dyDescent="0.25">
      <c r="B988" s="39"/>
      <c r="C988" s="39"/>
      <c r="D988" s="40"/>
      <c r="E988" s="39"/>
      <c r="F988" s="39"/>
      <c r="G988" s="41"/>
      <c r="H988" s="42" t="str">
        <f t="shared" si="46"/>
        <v/>
      </c>
      <c r="I988" s="42" t="str">
        <f t="shared" si="47"/>
        <v/>
      </c>
      <c r="J988" s="43" t="str">
        <f t="shared" si="48"/>
        <v/>
      </c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44"/>
      <c r="AN988" s="44"/>
      <c r="AO988" s="44"/>
      <c r="AP988" s="44"/>
      <c r="AQ988" s="44"/>
      <c r="AR988" s="44"/>
      <c r="AS988" s="45"/>
      <c r="AT988" s="45"/>
      <c r="AU988" s="45"/>
    </row>
    <row r="989" spans="2:47" x14ac:dyDescent="0.25">
      <c r="B989" s="39"/>
      <c r="C989" s="39"/>
      <c r="D989" s="40"/>
      <c r="E989" s="39"/>
      <c r="F989" s="39"/>
      <c r="G989" s="41"/>
      <c r="H989" s="42" t="str">
        <f t="shared" si="46"/>
        <v/>
      </c>
      <c r="I989" s="42" t="str">
        <f t="shared" si="47"/>
        <v/>
      </c>
      <c r="J989" s="43" t="str">
        <f t="shared" si="48"/>
        <v/>
      </c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44"/>
      <c r="AN989" s="44"/>
      <c r="AO989" s="44"/>
      <c r="AP989" s="44"/>
      <c r="AQ989" s="44"/>
      <c r="AR989" s="44"/>
      <c r="AS989" s="45"/>
      <c r="AT989" s="45"/>
      <c r="AU989" s="45"/>
    </row>
    <row r="990" spans="2:47" x14ac:dyDescent="0.25">
      <c r="B990" s="39"/>
      <c r="C990" s="39"/>
      <c r="D990" s="40"/>
      <c r="E990" s="39"/>
      <c r="F990" s="39"/>
      <c r="G990" s="41"/>
      <c r="H990" s="42" t="str">
        <f t="shared" si="46"/>
        <v/>
      </c>
      <c r="I990" s="42" t="str">
        <f t="shared" si="47"/>
        <v/>
      </c>
      <c r="J990" s="43" t="str">
        <f t="shared" si="48"/>
        <v/>
      </c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44"/>
      <c r="AN990" s="44"/>
      <c r="AO990" s="44"/>
      <c r="AP990" s="44"/>
      <c r="AQ990" s="44"/>
      <c r="AR990" s="44"/>
      <c r="AS990" s="45"/>
      <c r="AT990" s="45"/>
      <c r="AU990" s="45"/>
    </row>
    <row r="991" spans="2:47" x14ac:dyDescent="0.25">
      <c r="B991" s="39"/>
      <c r="C991" s="39"/>
      <c r="D991" s="40"/>
      <c r="E991" s="39"/>
      <c r="F991" s="39"/>
      <c r="G991" s="41"/>
      <c r="H991" s="42" t="str">
        <f t="shared" si="46"/>
        <v/>
      </c>
      <c r="I991" s="42" t="str">
        <f t="shared" si="47"/>
        <v/>
      </c>
      <c r="J991" s="43" t="str">
        <f t="shared" si="48"/>
        <v/>
      </c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44"/>
      <c r="AN991" s="44"/>
      <c r="AO991" s="44"/>
      <c r="AP991" s="44"/>
      <c r="AQ991" s="44"/>
      <c r="AR991" s="44"/>
      <c r="AS991" s="45"/>
      <c r="AT991" s="45"/>
      <c r="AU991" s="45"/>
    </row>
    <row r="992" spans="2:47" x14ac:dyDescent="0.25">
      <c r="B992" s="39"/>
      <c r="C992" s="39"/>
      <c r="D992" s="40"/>
      <c r="E992" s="39"/>
      <c r="F992" s="39"/>
      <c r="G992" s="41"/>
      <c r="H992" s="42" t="str">
        <f t="shared" si="46"/>
        <v/>
      </c>
      <c r="I992" s="42" t="str">
        <f t="shared" si="47"/>
        <v/>
      </c>
      <c r="J992" s="43" t="str">
        <f t="shared" si="48"/>
        <v/>
      </c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44"/>
      <c r="AN992" s="44"/>
      <c r="AO992" s="44"/>
      <c r="AP992" s="44"/>
      <c r="AQ992" s="44"/>
      <c r="AR992" s="44"/>
      <c r="AS992" s="45"/>
      <c r="AT992" s="45"/>
      <c r="AU992" s="45"/>
    </row>
    <row r="993" spans="2:47" x14ac:dyDescent="0.25">
      <c r="B993" s="39"/>
      <c r="C993" s="39"/>
      <c r="D993" s="40"/>
      <c r="E993" s="39"/>
      <c r="F993" s="39"/>
      <c r="G993" s="41"/>
      <c r="H993" s="42" t="str">
        <f t="shared" si="46"/>
        <v/>
      </c>
      <c r="I993" s="42" t="str">
        <f t="shared" si="47"/>
        <v/>
      </c>
      <c r="J993" s="43" t="str">
        <f t="shared" si="48"/>
        <v/>
      </c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44"/>
      <c r="AN993" s="44"/>
      <c r="AO993" s="44"/>
      <c r="AP993" s="44"/>
      <c r="AQ993" s="44"/>
      <c r="AR993" s="44"/>
      <c r="AS993" s="45"/>
      <c r="AT993" s="45"/>
      <c r="AU993" s="45"/>
    </row>
    <row r="994" spans="2:47" x14ac:dyDescent="0.25">
      <c r="B994" s="39"/>
      <c r="C994" s="39"/>
      <c r="D994" s="40"/>
      <c r="E994" s="39"/>
      <c r="F994" s="39"/>
      <c r="G994" s="41"/>
      <c r="H994" s="42" t="str">
        <f t="shared" si="46"/>
        <v/>
      </c>
      <c r="I994" s="42" t="str">
        <f t="shared" si="47"/>
        <v/>
      </c>
      <c r="J994" s="43" t="str">
        <f t="shared" si="48"/>
        <v/>
      </c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44"/>
      <c r="AN994" s="44"/>
      <c r="AO994" s="44"/>
      <c r="AP994" s="44"/>
      <c r="AQ994" s="44"/>
      <c r="AR994" s="44"/>
      <c r="AS994" s="45"/>
      <c r="AT994" s="45"/>
      <c r="AU994" s="45"/>
    </row>
    <row r="995" spans="2:47" x14ac:dyDescent="0.25">
      <c r="B995" s="39"/>
      <c r="C995" s="39"/>
      <c r="D995" s="40"/>
      <c r="E995" s="39"/>
      <c r="F995" s="39"/>
      <c r="G995" s="41"/>
      <c r="H995" s="42" t="str">
        <f t="shared" si="46"/>
        <v/>
      </c>
      <c r="I995" s="42" t="str">
        <f t="shared" si="47"/>
        <v/>
      </c>
      <c r="J995" s="43" t="str">
        <f t="shared" si="48"/>
        <v/>
      </c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44"/>
      <c r="AN995" s="44"/>
      <c r="AO995" s="44"/>
      <c r="AP995" s="44"/>
      <c r="AQ995" s="44"/>
      <c r="AR995" s="44"/>
      <c r="AS995" s="45"/>
      <c r="AT995" s="45"/>
      <c r="AU995" s="45"/>
    </row>
    <row r="996" spans="2:47" x14ac:dyDescent="0.25">
      <c r="B996" s="39"/>
      <c r="C996" s="39"/>
      <c r="D996" s="40"/>
      <c r="E996" s="39"/>
      <c r="F996" s="39"/>
      <c r="G996" s="41"/>
      <c r="H996" s="42" t="str">
        <f t="shared" si="46"/>
        <v/>
      </c>
      <c r="I996" s="42" t="str">
        <f t="shared" si="47"/>
        <v/>
      </c>
      <c r="J996" s="43" t="str">
        <f t="shared" si="48"/>
        <v/>
      </c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44"/>
      <c r="AN996" s="44"/>
      <c r="AO996" s="44"/>
      <c r="AP996" s="44"/>
      <c r="AQ996" s="44"/>
      <c r="AR996" s="44"/>
      <c r="AS996" s="45"/>
      <c r="AT996" s="45"/>
      <c r="AU996" s="45"/>
    </row>
    <row r="997" spans="2:47" x14ac:dyDescent="0.25">
      <c r="B997" s="39"/>
      <c r="C997" s="39"/>
      <c r="D997" s="40"/>
      <c r="E997" s="39"/>
      <c r="F997" s="39"/>
      <c r="G997" s="41"/>
      <c r="H997" s="42" t="str">
        <f t="shared" si="46"/>
        <v/>
      </c>
      <c r="I997" s="42" t="str">
        <f t="shared" si="47"/>
        <v/>
      </c>
      <c r="J997" s="43" t="str">
        <f t="shared" si="48"/>
        <v/>
      </c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44"/>
      <c r="AN997" s="44"/>
      <c r="AO997" s="44"/>
      <c r="AP997" s="44"/>
      <c r="AQ997" s="44"/>
      <c r="AR997" s="44"/>
      <c r="AS997" s="45"/>
      <c r="AT997" s="45"/>
      <c r="AU997" s="45"/>
    </row>
    <row r="998" spans="2:47" x14ac:dyDescent="0.25">
      <c r="B998" s="39"/>
      <c r="C998" s="39"/>
      <c r="D998" s="40"/>
      <c r="E998" s="39"/>
      <c r="F998" s="39"/>
      <c r="G998" s="41"/>
      <c r="H998" s="42" t="str">
        <f t="shared" si="46"/>
        <v/>
      </c>
      <c r="I998" s="42" t="str">
        <f t="shared" si="47"/>
        <v/>
      </c>
      <c r="J998" s="43" t="str">
        <f t="shared" si="48"/>
        <v/>
      </c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44"/>
      <c r="AN998" s="44"/>
      <c r="AO998" s="44"/>
      <c r="AP998" s="44"/>
      <c r="AQ998" s="44"/>
      <c r="AR998" s="44"/>
      <c r="AS998" s="45"/>
      <c r="AT998" s="45"/>
      <c r="AU998" s="45"/>
    </row>
    <row r="999" spans="2:47" x14ac:dyDescent="0.25">
      <c r="B999" s="39"/>
      <c r="C999" s="39"/>
      <c r="D999" s="40"/>
      <c r="E999" s="39"/>
      <c r="F999" s="39"/>
      <c r="G999" s="41"/>
      <c r="H999" s="42" t="str">
        <f t="shared" si="46"/>
        <v/>
      </c>
      <c r="I999" s="42" t="str">
        <f t="shared" si="47"/>
        <v/>
      </c>
      <c r="J999" s="43" t="str">
        <f t="shared" si="48"/>
        <v/>
      </c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44"/>
      <c r="AN999" s="44"/>
      <c r="AO999" s="44"/>
      <c r="AP999" s="44"/>
      <c r="AQ999" s="44"/>
      <c r="AR999" s="44"/>
      <c r="AS999" s="45"/>
      <c r="AT999" s="45"/>
      <c r="AU999" s="45"/>
    </row>
    <row r="1000" spans="2:47" x14ac:dyDescent="0.25">
      <c r="B1000" s="39"/>
      <c r="C1000" s="39"/>
      <c r="D1000" s="40"/>
      <c r="E1000" s="39"/>
      <c r="F1000" s="39"/>
      <c r="G1000" s="41"/>
      <c r="H1000" s="42" t="str">
        <f t="shared" si="46"/>
        <v/>
      </c>
      <c r="I1000" s="42" t="str">
        <f t="shared" si="47"/>
        <v/>
      </c>
      <c r="J1000" s="43" t="str">
        <f t="shared" si="48"/>
        <v/>
      </c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44"/>
      <c r="AN1000" s="44"/>
      <c r="AO1000" s="44"/>
      <c r="AP1000" s="44"/>
      <c r="AQ1000" s="44"/>
      <c r="AR1000" s="44"/>
      <c r="AS1000" s="45"/>
      <c r="AT1000" s="45"/>
      <c r="AU1000" s="45"/>
    </row>
  </sheetData>
  <autoFilter ref="A5:BG455" xr:uid="{00000000-0009-0000-0000-000000000000}"/>
  <mergeCells count="10">
    <mergeCell ref="Z4:AE4"/>
    <mergeCell ref="AF4:AG4"/>
    <mergeCell ref="AH4:AL4"/>
    <mergeCell ref="AM4:AR4"/>
    <mergeCell ref="AS4:BB4"/>
    <mergeCell ref="B4:G4"/>
    <mergeCell ref="H4:I4"/>
    <mergeCell ref="K4:L4"/>
    <mergeCell ref="M4:S4"/>
    <mergeCell ref="T4:Y4"/>
  </mergeCells>
  <conditionalFormatting sqref="A6:A2000">
    <cfRule type="cellIs" dxfId="192" priority="2" operator="equal">
      <formula>"PENDENTE"</formula>
    </cfRule>
  </conditionalFormatting>
  <conditionalFormatting sqref="A6:BG2000">
    <cfRule type="expression" dxfId="191" priority="1">
      <formula>$A6="FATURADA"</formula>
    </cfRule>
    <cfRule type="expression" dxfId="190" priority="4">
      <formula>$BC6="AJUSTE"</formula>
    </cfRule>
  </conditionalFormatting>
  <conditionalFormatting sqref="H212:W212 Z212:AL212 H213:AL465 H6:AL211">
    <cfRule type="cellIs" dxfId="189" priority="114" operator="greaterThan">
      <formula>0</formula>
    </cfRule>
  </conditionalFormatting>
  <conditionalFormatting sqref="K256 K422:Q465 AA422:AE465">
    <cfRule type="cellIs" dxfId="188" priority="60" operator="greaterThan">
      <formula>0</formula>
    </cfRule>
    <cfRule type="cellIs" dxfId="187" priority="61" operator="greaterThan">
      <formula>27.5</formula>
    </cfRule>
  </conditionalFormatting>
  <conditionalFormatting sqref="K274">
    <cfRule type="cellIs" dxfId="186" priority="50" operator="greaterThan">
      <formula>0</formula>
    </cfRule>
    <cfRule type="cellIs" dxfId="185" priority="51" operator="greaterThan">
      <formula>27.5</formula>
    </cfRule>
  </conditionalFormatting>
  <conditionalFormatting sqref="K8:Q9 S8:W9 AA8:AE9 AG8:AK9">
    <cfRule type="cellIs" dxfId="184" priority="112" operator="greaterThan">
      <formula>0</formula>
    </cfRule>
    <cfRule type="cellIs" dxfId="183" priority="113" operator="greaterThan">
      <formula>27.5</formula>
    </cfRule>
  </conditionalFormatting>
  <conditionalFormatting sqref="K14:Q16 S14:W16 AA14:AE16 AG14:AK16 K250:Q254 S250:W254 AA250:AE254 AG250:AK254 K318:K319 K406:Q414 S406:Y414 AA406:AE414 AG406:AL414">
    <cfRule type="cellIs" dxfId="182" priority="27" operator="greaterThan">
      <formula>0</formula>
    </cfRule>
    <cfRule type="cellIs" dxfId="181" priority="28" operator="greaterThan">
      <formula>27.5</formula>
    </cfRule>
  </conditionalFormatting>
  <conditionalFormatting sqref="K23:Q23 S23:W23 AA23:AE23 AG23:AK23">
    <cfRule type="cellIs" dxfId="180" priority="110" operator="greaterThan">
      <formula>0</formula>
    </cfRule>
    <cfRule type="cellIs" dxfId="179" priority="111" operator="greaterThan">
      <formula>27.5</formula>
    </cfRule>
  </conditionalFormatting>
  <conditionalFormatting sqref="K25:Q33 S25:W33 AA25:AE33">
    <cfRule type="cellIs" dxfId="178" priority="108" operator="greaterThan">
      <formula>0</formula>
    </cfRule>
    <cfRule type="cellIs" dxfId="177" priority="109" operator="greaterThan">
      <formula>27.5</formula>
    </cfRule>
  </conditionalFormatting>
  <conditionalFormatting sqref="K42:Q44 S42:W44 AA42:AE44">
    <cfRule type="cellIs" dxfId="176" priority="104" operator="greaterThan">
      <formula>0</formula>
    </cfRule>
    <cfRule type="cellIs" dxfId="175" priority="105" operator="greaterThan">
      <formula>27.5</formula>
    </cfRule>
  </conditionalFormatting>
  <conditionalFormatting sqref="K55:Q59 S55:W59 AG55:AK59">
    <cfRule type="cellIs" dxfId="174" priority="100" operator="greaterThan">
      <formula>0</formula>
    </cfRule>
    <cfRule type="cellIs" dxfId="173" priority="101" operator="greaterThan">
      <formula>27.5</formula>
    </cfRule>
  </conditionalFormatting>
  <conditionalFormatting sqref="K64:Q69 S64:W69 AA64:AE69 AG64:AK69">
    <cfRule type="cellIs" dxfId="172" priority="17" operator="greaterThan">
      <formula>0</formula>
    </cfRule>
    <cfRule type="cellIs" dxfId="171" priority="18" operator="greaterThan">
      <formula>27.5</formula>
    </cfRule>
  </conditionalFormatting>
  <conditionalFormatting sqref="K75:Q81 S75:W81 AA75:AE81 AG75:AK81">
    <cfRule type="cellIs" dxfId="170" priority="15" operator="greaterThan">
      <formula>0</formula>
    </cfRule>
    <cfRule type="cellIs" dxfId="169" priority="16" operator="greaterThan">
      <formula>27.5</formula>
    </cfRule>
  </conditionalFormatting>
  <conditionalFormatting sqref="K88:Q91 S88:W91 AA88:AE91 AG88:AK91">
    <cfRule type="cellIs" dxfId="168" priority="13" operator="greaterThan">
      <formula>0</formula>
    </cfRule>
    <cfRule type="cellIs" dxfId="167" priority="14" operator="greaterThan">
      <formula>27.5</formula>
    </cfRule>
  </conditionalFormatting>
  <conditionalFormatting sqref="K98:Q108 S98:W108 AA98:AE108">
    <cfRule type="cellIs" dxfId="166" priority="94" operator="greaterThan">
      <formula>0</formula>
    </cfRule>
    <cfRule type="cellIs" dxfId="165" priority="95" operator="greaterThan">
      <formula>27.5</formula>
    </cfRule>
  </conditionalFormatting>
  <conditionalFormatting sqref="K124:Q130 S124:W130 AA124:AE130 AG124:AK130">
    <cfRule type="cellIs" dxfId="164" priority="90" operator="greaterThan">
      <formula>0</formula>
    </cfRule>
    <cfRule type="cellIs" dxfId="163" priority="91" operator="greaterThan">
      <formula>27.5</formula>
    </cfRule>
  </conditionalFormatting>
  <conditionalFormatting sqref="K132:Q134 AA132:AE134 S133:W134 AG133:AK134">
    <cfRule type="cellIs" dxfId="162" priority="86" operator="greaterThan">
      <formula>0</formula>
    </cfRule>
    <cfRule type="cellIs" dxfId="161" priority="87" operator="greaterThan">
      <formula>27.5</formula>
    </cfRule>
  </conditionalFormatting>
  <conditionalFormatting sqref="K139:Q140 AA139:AE140 S140:W140">
    <cfRule type="cellIs" dxfId="160" priority="82" operator="greaterThan">
      <formula>0</formula>
    </cfRule>
    <cfRule type="cellIs" dxfId="159" priority="83" operator="greaterThan">
      <formula>27.5</formula>
    </cfRule>
  </conditionalFormatting>
  <conditionalFormatting sqref="K151:Q151 S151:W151 AA151:AE151 AG151:AK151">
    <cfRule type="cellIs" dxfId="158" priority="78" operator="greaterThan">
      <formula>0</formula>
    </cfRule>
    <cfRule type="cellIs" dxfId="157" priority="79" operator="greaterThan">
      <formula>27.5</formula>
    </cfRule>
  </conditionalFormatting>
  <conditionalFormatting sqref="K155:Q157 S155:W157 AA155:AE157">
    <cfRule type="cellIs" dxfId="156" priority="76" operator="greaterThan">
      <formula>0</formula>
    </cfRule>
    <cfRule type="cellIs" dxfId="155" priority="77" operator="greaterThan">
      <formula>27.5</formula>
    </cfRule>
  </conditionalFormatting>
  <conditionalFormatting sqref="K169:Q170 S169:W170 AA169:AE170">
    <cfRule type="cellIs" dxfId="154" priority="72" operator="greaterThan">
      <formula>0</formula>
    </cfRule>
    <cfRule type="cellIs" dxfId="153" priority="73" operator="greaterThan">
      <formula>27.5</formula>
    </cfRule>
  </conditionalFormatting>
  <conditionalFormatting sqref="K174:Q186 S174:W186 AA174:AE186">
    <cfRule type="cellIs" dxfId="152" priority="7" operator="greaterThan">
      <formula>0</formula>
    </cfRule>
    <cfRule type="cellIs" dxfId="151" priority="8" operator="greaterThan">
      <formula>27.5</formula>
    </cfRule>
  </conditionalFormatting>
  <conditionalFormatting sqref="K189:Q189 S189:W189 AA189:AE189 AG189:AK189">
    <cfRule type="cellIs" dxfId="150" priority="68" operator="greaterThan">
      <formula>0</formula>
    </cfRule>
    <cfRule type="cellIs" dxfId="149" priority="69" operator="greaterThan">
      <formula>27.5</formula>
    </cfRule>
  </conditionalFormatting>
  <conditionalFormatting sqref="K197:Q204 S197:W204 AA197:AE204">
    <cfRule type="cellIs" dxfId="148" priority="66" operator="greaterThan">
      <formula>0</formula>
    </cfRule>
    <cfRule type="cellIs" dxfId="147" priority="67" operator="greaterThan">
      <formula>27.5</formula>
    </cfRule>
  </conditionalFormatting>
  <conditionalFormatting sqref="K239:Q242 S239:W242 AA239:AE242 AG239:AK242">
    <cfRule type="cellIs" dxfId="146" priority="62" operator="greaterThan">
      <formula>0</formula>
    </cfRule>
    <cfRule type="cellIs" dxfId="145" priority="63" operator="greaterThan">
      <formula>27.5</formula>
    </cfRule>
  </conditionalFormatting>
  <conditionalFormatting sqref="K268:Q272 S268:W272 AA268:AE272 AG268:AK272">
    <cfRule type="cellIs" dxfId="144" priority="52" operator="greaterThan">
      <formula>0</formula>
    </cfRule>
    <cfRule type="cellIs" dxfId="143" priority="53" operator="greaterThan">
      <formula>27.5</formula>
    </cfRule>
  </conditionalFormatting>
  <conditionalFormatting sqref="K285:Q286 S285:W286 AA285:AE286 AG285:AK286">
    <cfRule type="cellIs" dxfId="142" priority="42" operator="greaterThan">
      <formula>0</formula>
    </cfRule>
    <cfRule type="cellIs" dxfId="141" priority="43" operator="greaterThan">
      <formula>27.5</formula>
    </cfRule>
  </conditionalFormatting>
  <conditionalFormatting sqref="K268:AL290">
    <cfRule type="cellIs" dxfId="140" priority="41" operator="greaterThan">
      <formula>0</formula>
    </cfRule>
  </conditionalFormatting>
  <conditionalFormatting sqref="M256">
    <cfRule type="cellIs" dxfId="139" priority="58" operator="greaterThan">
      <formula>0</formula>
    </cfRule>
    <cfRule type="cellIs" dxfId="138" priority="59" operator="greaterThan">
      <formula>27.5</formula>
    </cfRule>
  </conditionalFormatting>
  <conditionalFormatting sqref="M318">
    <cfRule type="cellIs" dxfId="137" priority="34" operator="greaterThan">
      <formula>0</formula>
    </cfRule>
  </conditionalFormatting>
  <conditionalFormatting sqref="M318:N318 S423:W465 AG423:AK465">
    <cfRule type="cellIs" dxfId="136" priority="33" operator="greaterThan">
      <formula>27.5</formula>
    </cfRule>
  </conditionalFormatting>
  <conditionalFormatting sqref="N318:N319">
    <cfRule type="cellIs" dxfId="135" priority="26" operator="greaterThan">
      <formula>0</formula>
    </cfRule>
  </conditionalFormatting>
  <conditionalFormatting sqref="P318">
    <cfRule type="cellIs" dxfId="134" priority="31" operator="greaterThan">
      <formula>0</formula>
    </cfRule>
    <cfRule type="cellIs" dxfId="133" priority="32" operator="greaterThan">
      <formula>27.5</formula>
    </cfRule>
  </conditionalFormatting>
  <conditionalFormatting sqref="S132:Y132 AG132:AL132">
    <cfRule type="cellIs" dxfId="132" priority="88" operator="greaterThan">
      <formula>0</formula>
    </cfRule>
    <cfRule type="cellIs" dxfId="131" priority="89" operator="greaterThan">
      <formula>27.5</formula>
    </cfRule>
  </conditionalFormatting>
  <conditionalFormatting sqref="S139:Y139 AG139:AL139">
    <cfRule type="cellIs" dxfId="130" priority="84" operator="greaterThan">
      <formula>0</formula>
    </cfRule>
    <cfRule type="cellIs" dxfId="129" priority="85" operator="greaterThan">
      <formula>27.5</formula>
    </cfRule>
  </conditionalFormatting>
  <conditionalFormatting sqref="S422:Y422 AG422:AL422">
    <cfRule type="cellIs" dxfId="128" priority="19" operator="greaterThan">
      <formula>0</formula>
    </cfRule>
    <cfRule type="cellIs" dxfId="127" priority="20" operator="greaterThan">
      <formula>27.5</formula>
    </cfRule>
  </conditionalFormatting>
  <conditionalFormatting sqref="T274">
    <cfRule type="cellIs" dxfId="126" priority="46" operator="greaterThan">
      <formula>0</formula>
    </cfRule>
    <cfRule type="cellIs" dxfId="125" priority="47" operator="greaterThan">
      <formula>27.5</formula>
    </cfRule>
  </conditionalFormatting>
  <conditionalFormatting sqref="U123">
    <cfRule type="cellIs" dxfId="124" priority="11" operator="greaterThan">
      <formula>0</formula>
    </cfRule>
    <cfRule type="cellIs" dxfId="123" priority="12" operator="greaterThan">
      <formula>27.5</formula>
    </cfRule>
  </conditionalFormatting>
  <conditionalFormatting sqref="U319">
    <cfRule type="cellIs" dxfId="122" priority="24" operator="greaterThan">
      <formula>0</formula>
    </cfRule>
    <cfRule type="cellIs" dxfId="121" priority="25" operator="greaterThan">
      <formula>27.5</formula>
    </cfRule>
  </conditionalFormatting>
  <conditionalFormatting sqref="X305:Y305">
    <cfRule type="cellIs" dxfId="120" priority="37" operator="greaterThan">
      <formula>0</formula>
    </cfRule>
    <cfRule type="cellIs" dxfId="119" priority="38" operator="greaterThan">
      <formula>27.5</formula>
    </cfRule>
  </conditionalFormatting>
  <conditionalFormatting sqref="Z77">
    <cfRule type="cellIs" dxfId="118" priority="96" operator="greaterThan">
      <formula>0</formula>
    </cfRule>
    <cfRule type="cellIs" dxfId="117" priority="97" operator="greaterThan">
      <formula>27.5</formula>
    </cfRule>
  </conditionalFormatting>
  <conditionalFormatting sqref="AA256">
    <cfRule type="cellIs" dxfId="116" priority="56" operator="greaterThan">
      <formula>0</formula>
    </cfRule>
    <cfRule type="cellIs" dxfId="115" priority="57" operator="greaterThan">
      <formula>27.5</formula>
    </cfRule>
  </conditionalFormatting>
  <conditionalFormatting sqref="AA274">
    <cfRule type="cellIs" dxfId="114" priority="48" operator="greaterThan">
      <formula>0</formula>
    </cfRule>
    <cfRule type="cellIs" dxfId="113" priority="49" operator="greaterThan">
      <formula>27.5</formula>
    </cfRule>
  </conditionalFormatting>
  <conditionalFormatting sqref="AA318:AA319">
    <cfRule type="cellIs" dxfId="112" priority="22" operator="greaterThan">
      <formula>0</formula>
    </cfRule>
    <cfRule type="cellIs" dxfId="111" priority="23" operator="greaterThan">
      <formula>27.5</formula>
    </cfRule>
  </conditionalFormatting>
  <conditionalFormatting sqref="AA55:AE59">
    <cfRule type="cellIs" dxfId="110" priority="98" operator="greaterThan">
      <formula>0</formula>
    </cfRule>
    <cfRule type="cellIs" dxfId="109" priority="99" operator="greaterThan">
      <formula>27.5</formula>
    </cfRule>
  </conditionalFormatting>
  <conditionalFormatting sqref="AG25:AK33">
    <cfRule type="cellIs" dxfId="108" priority="106" operator="greaterThan">
      <formula>0</formula>
    </cfRule>
    <cfRule type="cellIs" dxfId="107" priority="107" operator="greaterThan">
      <formula>27.5</formula>
    </cfRule>
  </conditionalFormatting>
  <conditionalFormatting sqref="AG42:AK44">
    <cfRule type="cellIs" dxfId="106" priority="102" operator="greaterThan">
      <formula>0</formula>
    </cfRule>
    <cfRule type="cellIs" dxfId="105" priority="103" operator="greaterThan">
      <formula>27.5</formula>
    </cfRule>
  </conditionalFormatting>
  <conditionalFormatting sqref="AG98:AK108">
    <cfRule type="cellIs" dxfId="104" priority="92" operator="greaterThan">
      <formula>0</formula>
    </cfRule>
    <cfRule type="cellIs" dxfId="103" priority="93" operator="greaterThan">
      <formula>27.5</formula>
    </cfRule>
  </conditionalFormatting>
  <conditionalFormatting sqref="AG140:AK140">
    <cfRule type="cellIs" dxfId="102" priority="80" operator="greaterThan">
      <formula>0</formula>
    </cfRule>
    <cfRule type="cellIs" dxfId="101" priority="81" operator="greaterThan">
      <formula>27.5</formula>
    </cfRule>
  </conditionalFormatting>
  <conditionalFormatting sqref="AG155:AK157">
    <cfRule type="cellIs" dxfId="100" priority="74" operator="greaterThan">
      <formula>0</formula>
    </cfRule>
    <cfRule type="cellIs" dxfId="99" priority="75" operator="greaterThan">
      <formula>27.5</formula>
    </cfRule>
  </conditionalFormatting>
  <conditionalFormatting sqref="AG169:AK170">
    <cfRule type="cellIs" dxfId="98" priority="70" operator="greaterThan">
      <formula>0</formula>
    </cfRule>
    <cfRule type="cellIs" dxfId="97" priority="71" operator="greaterThan">
      <formula>27.5</formula>
    </cfRule>
  </conditionalFormatting>
  <conditionalFormatting sqref="AG174:AK186">
    <cfRule type="cellIs" dxfId="96" priority="5" operator="greaterThan">
      <formula>0</formula>
    </cfRule>
    <cfRule type="cellIs" dxfId="95" priority="6" operator="greaterThan">
      <formula>27.5</formula>
    </cfRule>
  </conditionalFormatting>
  <conditionalFormatting sqref="AG197:AK204">
    <cfRule type="cellIs" dxfId="94" priority="64" operator="greaterThan">
      <formula>0</formula>
    </cfRule>
    <cfRule type="cellIs" dxfId="93" priority="65" operator="greaterThan">
      <formula>27.5</formula>
    </cfRule>
  </conditionalFormatting>
  <conditionalFormatting sqref="AG294:AK315">
    <cfRule type="cellIs" dxfId="92" priority="35" operator="greaterThan">
      <formula>0</formula>
    </cfRule>
    <cfRule type="cellIs" dxfId="91" priority="36" operator="greaterThan">
      <formula>27.5</formula>
    </cfRule>
  </conditionalFormatting>
  <conditionalFormatting sqref="AG291:AL293 S291:Y295 K291:Q315 AA291:AE315 S296:W315 K348:Q348 S348:W348 Z348:AE348 AG348:AK348">
    <cfRule type="cellIs" dxfId="90" priority="39" operator="greaterThan">
      <formula>0</formula>
    </cfRule>
    <cfRule type="cellIs" dxfId="89" priority="40" operator="greaterThan">
      <formula>27.5</formula>
    </cfRule>
  </conditionalFormatting>
  <conditionalFormatting sqref="AH123">
    <cfRule type="cellIs" dxfId="88" priority="9" operator="greaterThan">
      <formula>0</formula>
    </cfRule>
    <cfRule type="cellIs" dxfId="87" priority="10" operator="greaterThan">
      <formula>27.5</formula>
    </cfRule>
  </conditionalFormatting>
  <conditionalFormatting sqref="AH274">
    <cfRule type="cellIs" dxfId="86" priority="44" operator="greaterThan">
      <formula>0</formula>
    </cfRule>
    <cfRule type="cellIs" dxfId="85" priority="45" operator="greaterThan">
      <formula>27.5</formula>
    </cfRule>
  </conditionalFormatting>
  <conditionalFormatting sqref="AH319">
    <cfRule type="cellIs" dxfId="84" priority="21" operator="greaterThan">
      <formula>0</formula>
    </cfRule>
  </conditionalFormatting>
  <conditionalFormatting sqref="AJ256">
    <cfRule type="cellIs" dxfId="83" priority="54" operator="greaterThan">
      <formula>0</formula>
    </cfRule>
    <cfRule type="cellIs" dxfId="82" priority="55" operator="greaterThan">
      <formula>27.5</formula>
    </cfRule>
  </conditionalFormatting>
  <conditionalFormatting sqref="AJ318">
    <cfRule type="cellIs" dxfId="81" priority="29" operator="greaterThan">
      <formula>0</formula>
    </cfRule>
    <cfRule type="cellIs" dxfId="80" priority="30" operator="greaterThan">
      <formula>27.5</formula>
    </cfRule>
  </conditionalFormatting>
  <dataValidations count="1">
    <dataValidation type="list" operator="equal" allowBlank="1" showErrorMessage="1" error="Escolha FATURADA ou PENDENTE." sqref="A6:A2000" xr:uid="{00000000-0002-0000-0000-000001000000}">
      <formula1>"FATURADA,PENDENTE"</formula1>
      <formula2>0</formula2>
    </dataValidation>
  </dataValidations>
  <pageMargins left="0.51180555555555596" right="0.51180555555555596" top="0.78749999999999998" bottom="0.78749999999999998" header="0.511811023622047" footer="0.511811023622047"/>
  <pageSetup paperSize="9" scale="18" fitToHeight="0" orientation="landscape" horizontalDpi="300" verticalDpi="300" r:id="rId1"/>
  <rowBreaks count="1" manualBreakCount="1">
    <brk id="318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ovoAju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2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verterUltimoAjuste">
                <anchor moveWithCells="1">
                  <from>
                    <xdr:col>4</xdr:col>
                    <xdr:colOff>1590675</xdr:colOff>
                    <xdr:row>3</xdr:row>
                    <xdr:rowOff>28575</xdr:rowOff>
                  </from>
                  <to>
                    <xdr:col>7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EA4E99-F247-417B-B663-8B901BA41E80}">
          <x14:formula1>
            <xm:f>PRODUTOS!$C$2:$C$200</xm:f>
          </x14:formula1>
          <xm:sqref>K3:BB3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9"/>
  <sheetViews>
    <sheetView view="pageBreakPreview" zoomScaleNormal="100" workbookViewId="0">
      <selection activeCell="J13" sqref="J13"/>
    </sheetView>
  </sheetViews>
  <sheetFormatPr defaultColWidth="8.7109375" defaultRowHeight="15" x14ac:dyDescent="0.25"/>
  <cols>
    <col min="1" max="1" width="15.42578125" customWidth="1"/>
    <col min="2" max="2" width="3.7109375" customWidth="1"/>
    <col min="3" max="3" width="49" customWidth="1"/>
    <col min="4" max="4" width="15.42578125" customWidth="1"/>
    <col min="5" max="5" width="17.5703125" customWidth="1"/>
    <col min="6" max="6" width="4.7109375" customWidth="1"/>
  </cols>
  <sheetData>
    <row r="1" spans="1:5" x14ac:dyDescent="0.25">
      <c r="A1" t="s">
        <v>719</v>
      </c>
      <c r="B1" t="s">
        <v>720</v>
      </c>
      <c r="C1" t="s">
        <v>721</v>
      </c>
      <c r="D1" t="s">
        <v>722</v>
      </c>
      <c r="E1" t="s">
        <v>723</v>
      </c>
    </row>
    <row r="2" spans="1:5" x14ac:dyDescent="0.25">
      <c r="A2" t="s">
        <v>724</v>
      </c>
      <c r="B2">
        <v>1</v>
      </c>
      <c r="C2" t="s">
        <v>0</v>
      </c>
      <c r="D2" t="s">
        <v>725</v>
      </c>
      <c r="E2" s="46">
        <v>50</v>
      </c>
    </row>
    <row r="3" spans="1:5" x14ac:dyDescent="0.25">
      <c r="A3" t="s">
        <v>724</v>
      </c>
      <c r="B3">
        <v>1</v>
      </c>
      <c r="C3" t="s">
        <v>1</v>
      </c>
      <c r="D3" t="s">
        <v>726</v>
      </c>
      <c r="E3" s="46">
        <v>50</v>
      </c>
    </row>
    <row r="4" spans="1:5" x14ac:dyDescent="0.25">
      <c r="A4" t="s">
        <v>724</v>
      </c>
      <c r="B4">
        <v>1</v>
      </c>
      <c r="C4" t="s">
        <v>2</v>
      </c>
      <c r="D4" t="s">
        <v>727</v>
      </c>
      <c r="E4" s="46">
        <v>60</v>
      </c>
    </row>
    <row r="5" spans="1:5" x14ac:dyDescent="0.25">
      <c r="A5" t="s">
        <v>724</v>
      </c>
      <c r="B5">
        <v>1</v>
      </c>
      <c r="C5" t="s">
        <v>3</v>
      </c>
      <c r="D5" t="s">
        <v>728</v>
      </c>
      <c r="E5" s="46">
        <v>70</v>
      </c>
    </row>
    <row r="6" spans="1:5" x14ac:dyDescent="0.25">
      <c r="A6" t="s">
        <v>724</v>
      </c>
      <c r="B6">
        <v>1</v>
      </c>
      <c r="C6" t="s">
        <v>4</v>
      </c>
      <c r="D6" t="s">
        <v>729</v>
      </c>
      <c r="E6" s="46">
        <v>80</v>
      </c>
    </row>
    <row r="7" spans="1:5" x14ac:dyDescent="0.25">
      <c r="A7" t="s">
        <v>724</v>
      </c>
      <c r="B7">
        <v>1</v>
      </c>
      <c r="C7" t="s">
        <v>5</v>
      </c>
      <c r="D7" t="s">
        <v>730</v>
      </c>
      <c r="E7" s="46">
        <v>120</v>
      </c>
    </row>
    <row r="8" spans="1:5" x14ac:dyDescent="0.25">
      <c r="A8" t="s">
        <v>724</v>
      </c>
      <c r="B8">
        <v>1</v>
      </c>
      <c r="C8" t="s">
        <v>6</v>
      </c>
      <c r="D8" t="s">
        <v>731</v>
      </c>
      <c r="E8" s="46">
        <v>345</v>
      </c>
    </row>
    <row r="9" spans="1:5" x14ac:dyDescent="0.25">
      <c r="A9" t="s">
        <v>724</v>
      </c>
      <c r="B9">
        <v>1</v>
      </c>
      <c r="C9" t="s">
        <v>7</v>
      </c>
      <c r="D9" t="s">
        <v>726</v>
      </c>
      <c r="E9" s="46">
        <v>65</v>
      </c>
    </row>
    <row r="10" spans="1:5" x14ac:dyDescent="0.25">
      <c r="A10" t="s">
        <v>724</v>
      </c>
      <c r="B10">
        <v>1</v>
      </c>
      <c r="C10" t="s">
        <v>8</v>
      </c>
      <c r="D10" t="s">
        <v>727</v>
      </c>
      <c r="E10" s="46">
        <v>83</v>
      </c>
    </row>
    <row r="11" spans="1:5" x14ac:dyDescent="0.25">
      <c r="A11" t="s">
        <v>724</v>
      </c>
      <c r="B11">
        <v>1</v>
      </c>
      <c r="C11" t="s">
        <v>9</v>
      </c>
      <c r="D11" t="s">
        <v>728</v>
      </c>
      <c r="E11" s="46">
        <v>125</v>
      </c>
    </row>
    <row r="12" spans="1:5" x14ac:dyDescent="0.25">
      <c r="A12" t="s">
        <v>724</v>
      </c>
      <c r="B12">
        <v>1</v>
      </c>
      <c r="C12" t="s">
        <v>10</v>
      </c>
      <c r="D12" t="s">
        <v>729</v>
      </c>
      <c r="E12" s="46">
        <v>160</v>
      </c>
    </row>
    <row r="13" spans="1:5" x14ac:dyDescent="0.25">
      <c r="A13" t="s">
        <v>724</v>
      </c>
      <c r="B13">
        <v>1</v>
      </c>
      <c r="C13" t="s">
        <v>11</v>
      </c>
      <c r="D13" t="s">
        <v>726</v>
      </c>
      <c r="E13" s="46">
        <v>140</v>
      </c>
    </row>
    <row r="14" spans="1:5" x14ac:dyDescent="0.25">
      <c r="A14" t="s">
        <v>724</v>
      </c>
      <c r="B14">
        <v>1</v>
      </c>
      <c r="C14" t="s">
        <v>12</v>
      </c>
      <c r="D14" t="s">
        <v>727</v>
      </c>
      <c r="E14" s="46">
        <v>160</v>
      </c>
    </row>
    <row r="15" spans="1:5" x14ac:dyDescent="0.25">
      <c r="A15" t="s">
        <v>724</v>
      </c>
      <c r="B15">
        <v>1</v>
      </c>
      <c r="C15" t="s">
        <v>13</v>
      </c>
      <c r="D15" t="s">
        <v>732</v>
      </c>
      <c r="E15" s="46">
        <v>260</v>
      </c>
    </row>
    <row r="16" spans="1:5" x14ac:dyDescent="0.25">
      <c r="A16" t="s">
        <v>724</v>
      </c>
      <c r="B16">
        <v>1</v>
      </c>
      <c r="C16" t="s">
        <v>14</v>
      </c>
      <c r="D16" t="s">
        <v>733</v>
      </c>
      <c r="E16" s="46">
        <v>600</v>
      </c>
    </row>
    <row r="17" spans="1:5" x14ac:dyDescent="0.25">
      <c r="A17" t="s">
        <v>724</v>
      </c>
      <c r="B17">
        <v>1</v>
      </c>
      <c r="C17" t="s">
        <v>15</v>
      </c>
      <c r="D17" t="s">
        <v>734</v>
      </c>
      <c r="E17" s="46">
        <v>135</v>
      </c>
    </row>
    <row r="18" spans="1:5" x14ac:dyDescent="0.25">
      <c r="A18" t="s">
        <v>724</v>
      </c>
      <c r="B18">
        <v>1</v>
      </c>
      <c r="C18" t="s">
        <v>16</v>
      </c>
      <c r="D18" t="s">
        <v>735</v>
      </c>
      <c r="E18" s="46">
        <v>500</v>
      </c>
    </row>
    <row r="19" spans="1:5" x14ac:dyDescent="0.25">
      <c r="A19" t="s">
        <v>724</v>
      </c>
      <c r="B19">
        <v>1</v>
      </c>
      <c r="C19" t="s">
        <v>736</v>
      </c>
      <c r="D19" t="s">
        <v>737</v>
      </c>
      <c r="E19" s="46">
        <v>20</v>
      </c>
    </row>
    <row r="20" spans="1:5" x14ac:dyDescent="0.25">
      <c r="A20" t="s">
        <v>724</v>
      </c>
      <c r="B20">
        <v>1</v>
      </c>
      <c r="C20" t="s">
        <v>738</v>
      </c>
      <c r="D20" t="s">
        <v>737</v>
      </c>
      <c r="E20" s="46">
        <v>50</v>
      </c>
    </row>
    <row r="21" spans="1:5" x14ac:dyDescent="0.25">
      <c r="A21" t="s">
        <v>739</v>
      </c>
      <c r="B21">
        <v>1</v>
      </c>
      <c r="C21" t="s">
        <v>740</v>
      </c>
      <c r="D21" t="s">
        <v>737</v>
      </c>
      <c r="E21" s="46">
        <v>50</v>
      </c>
    </row>
    <row r="22" spans="1:5" x14ac:dyDescent="0.25">
      <c r="A22" t="s">
        <v>739</v>
      </c>
      <c r="B22">
        <v>1</v>
      </c>
      <c r="C22" t="s">
        <v>741</v>
      </c>
      <c r="D22" t="s">
        <v>737</v>
      </c>
      <c r="E22" s="46">
        <v>60</v>
      </c>
    </row>
    <row r="23" spans="1:5" x14ac:dyDescent="0.25">
      <c r="A23" t="s">
        <v>742</v>
      </c>
      <c r="B23">
        <v>1</v>
      </c>
      <c r="C23" t="s">
        <v>743</v>
      </c>
      <c r="D23" t="s">
        <v>737</v>
      </c>
      <c r="E23" s="46">
        <v>10</v>
      </c>
    </row>
    <row r="24" spans="1:5" x14ac:dyDescent="0.25">
      <c r="A24" t="s">
        <v>742</v>
      </c>
      <c r="B24">
        <v>1</v>
      </c>
      <c r="C24" t="s">
        <v>744</v>
      </c>
      <c r="D24" t="s">
        <v>737</v>
      </c>
      <c r="E24" s="46">
        <v>45</v>
      </c>
    </row>
    <row r="25" spans="1:5" x14ac:dyDescent="0.25">
      <c r="A25" t="s">
        <v>742</v>
      </c>
      <c r="B25">
        <v>1</v>
      </c>
      <c r="C25" t="s">
        <v>745</v>
      </c>
      <c r="D25" t="s">
        <v>737</v>
      </c>
      <c r="E25" s="46">
        <v>95</v>
      </c>
    </row>
    <row r="26" spans="1:5" x14ac:dyDescent="0.25">
      <c r="A26" t="s">
        <v>742</v>
      </c>
      <c r="B26">
        <v>1</v>
      </c>
      <c r="C26" t="s">
        <v>746</v>
      </c>
      <c r="D26" t="s">
        <v>737</v>
      </c>
      <c r="E26" s="46">
        <v>25</v>
      </c>
    </row>
    <row r="27" spans="1:5" x14ac:dyDescent="0.25">
      <c r="A27" t="s">
        <v>742</v>
      </c>
      <c r="B27">
        <v>1</v>
      </c>
      <c r="C27" t="s">
        <v>747</v>
      </c>
      <c r="D27" t="s">
        <v>737</v>
      </c>
      <c r="E27" s="46">
        <v>85</v>
      </c>
    </row>
    <row r="28" spans="1:5" x14ac:dyDescent="0.25">
      <c r="A28" t="s">
        <v>742</v>
      </c>
      <c r="B28">
        <v>1</v>
      </c>
      <c r="C28" t="s">
        <v>748</v>
      </c>
      <c r="D28" t="s">
        <v>737</v>
      </c>
      <c r="E28" s="46">
        <v>20</v>
      </c>
    </row>
    <row r="29" spans="1:5" x14ac:dyDescent="0.25">
      <c r="A29" t="s">
        <v>742</v>
      </c>
      <c r="B29">
        <v>1</v>
      </c>
      <c r="C29" t="s">
        <v>749</v>
      </c>
      <c r="D29" t="s">
        <v>737</v>
      </c>
      <c r="E29" s="46">
        <v>8</v>
      </c>
    </row>
    <row r="30" spans="1:5" x14ac:dyDescent="0.25">
      <c r="A30" t="s">
        <v>742</v>
      </c>
      <c r="B30">
        <v>1</v>
      </c>
      <c r="C30" t="s">
        <v>750</v>
      </c>
      <c r="D30" t="s">
        <v>737</v>
      </c>
      <c r="E30" s="46">
        <v>5</v>
      </c>
    </row>
    <row r="31" spans="1:5" x14ac:dyDescent="0.25">
      <c r="A31" t="s">
        <v>742</v>
      </c>
      <c r="B31">
        <v>1</v>
      </c>
      <c r="C31" t="s">
        <v>751</v>
      </c>
      <c r="D31" t="s">
        <v>737</v>
      </c>
      <c r="E31" s="46">
        <v>25</v>
      </c>
    </row>
    <row r="32" spans="1:5" x14ac:dyDescent="0.25">
      <c r="A32" t="s">
        <v>742</v>
      </c>
      <c r="B32">
        <v>1</v>
      </c>
      <c r="C32" t="s">
        <v>752</v>
      </c>
      <c r="D32" t="s">
        <v>737</v>
      </c>
      <c r="E32" s="46">
        <v>60</v>
      </c>
    </row>
    <row r="33" spans="1:5" x14ac:dyDescent="0.25">
      <c r="A33" t="s">
        <v>742</v>
      </c>
      <c r="B33">
        <v>1</v>
      </c>
      <c r="C33" t="s">
        <v>753</v>
      </c>
      <c r="D33" t="s">
        <v>737</v>
      </c>
      <c r="E33" s="46">
        <v>150</v>
      </c>
    </row>
    <row r="34" spans="1:5" x14ac:dyDescent="0.25">
      <c r="A34" t="s">
        <v>742</v>
      </c>
      <c r="B34">
        <v>1</v>
      </c>
      <c r="C34" t="s">
        <v>17</v>
      </c>
      <c r="D34" t="s">
        <v>737</v>
      </c>
      <c r="E34" s="46">
        <v>525</v>
      </c>
    </row>
    <row r="35" spans="1:5" x14ac:dyDescent="0.25">
      <c r="A35" t="s">
        <v>742</v>
      </c>
      <c r="B35">
        <v>1</v>
      </c>
      <c r="C35" t="s">
        <v>18</v>
      </c>
      <c r="D35" t="s">
        <v>737</v>
      </c>
      <c r="E35" s="46">
        <v>795</v>
      </c>
    </row>
    <row r="36" spans="1:5" x14ac:dyDescent="0.25">
      <c r="A36" t="s">
        <v>742</v>
      </c>
      <c r="B36">
        <v>1</v>
      </c>
      <c r="C36" t="s">
        <v>19</v>
      </c>
      <c r="D36" t="s">
        <v>737</v>
      </c>
      <c r="E36" s="46">
        <v>825</v>
      </c>
    </row>
    <row r="37" spans="1:5" x14ac:dyDescent="0.25">
      <c r="A37" t="s">
        <v>742</v>
      </c>
      <c r="B37">
        <v>1</v>
      </c>
      <c r="C37" t="s">
        <v>20</v>
      </c>
      <c r="D37" t="s">
        <v>737</v>
      </c>
      <c r="E37" s="46">
        <v>1250</v>
      </c>
    </row>
    <row r="38" spans="1:5" x14ac:dyDescent="0.25">
      <c r="A38" t="s">
        <v>742</v>
      </c>
      <c r="B38">
        <v>1</v>
      </c>
      <c r="C38" t="s">
        <v>754</v>
      </c>
      <c r="D38" t="s">
        <v>725</v>
      </c>
      <c r="E38" s="46">
        <v>285</v>
      </c>
    </row>
    <row r="39" spans="1:5" x14ac:dyDescent="0.25">
      <c r="E39" s="100"/>
    </row>
  </sheetData>
  <pageMargins left="0.7" right="0.7" top="0.75" bottom="0.75" header="0.511811023622047" footer="0.511811023622047"/>
  <pageSetup paperSize="9" scale="63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NovoProduto">
                <anchor moveWithCells="1" sizeWithCells="1">
                  <from>
                    <xdr:col>5</xdr:col>
                    <xdr:colOff>133350</xdr:colOff>
                    <xdr:row>0</xdr:row>
                    <xdr:rowOff>95250</xdr:rowOff>
                  </from>
                  <to>
                    <xdr:col>9</xdr:col>
                    <xdr:colOff>533400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>
    <tabColor rgb="FFC55A11"/>
    <pageSetUpPr fitToPage="1"/>
  </sheetPr>
  <dimension ref="A1:AK518"/>
  <sheetViews>
    <sheetView view="pageBreakPreview" zoomScale="70" zoomScaleNormal="100" zoomScalePageLayoutView="70" workbookViewId="0">
      <selection activeCell="AG15" sqref="AG15"/>
    </sheetView>
  </sheetViews>
  <sheetFormatPr defaultColWidth="8.7109375" defaultRowHeight="15" x14ac:dyDescent="0.25"/>
  <cols>
    <col min="1" max="1" width="15.5703125" customWidth="1"/>
    <col min="2" max="2" width="17.5703125" customWidth="1"/>
    <col min="3" max="3" width="15.42578125" customWidth="1"/>
    <col min="4" max="4" width="73" customWidth="1"/>
    <col min="5" max="5" width="47.42578125" customWidth="1"/>
    <col min="6" max="6" width="29.5703125" customWidth="1"/>
    <col min="7" max="7" width="4.85546875" customWidth="1"/>
    <col min="8" max="8" width="17.140625" customWidth="1"/>
    <col min="9" max="9" width="14.42578125" customWidth="1"/>
    <col min="10" max="10" width="16.42578125" customWidth="1"/>
    <col min="11" max="11" width="17.5703125" customWidth="1"/>
    <col min="36" max="36" width="21.5703125" customWidth="1"/>
    <col min="37" max="37" width="21.5703125" hidden="1" customWidth="1"/>
  </cols>
  <sheetData>
    <row r="1" spans="1:37" ht="52.5" customHeight="1" x14ac:dyDescent="0.25">
      <c r="A1" s="47">
        <f ca="1">TODAY()</f>
        <v>46308</v>
      </c>
      <c r="B1" s="47">
        <f ca="1">TODAY()</f>
        <v>46308</v>
      </c>
      <c r="C1" s="48"/>
      <c r="D1" s="49">
        <f>SUBTOTAL(3,D3:D521)</f>
        <v>260</v>
      </c>
      <c r="E1" s="50" t="s">
        <v>755</v>
      </c>
      <c r="F1" s="51"/>
      <c r="G1" s="48"/>
      <c r="H1" s="52" t="s">
        <v>756</v>
      </c>
      <c r="I1" s="53"/>
      <c r="J1" s="5" t="s">
        <v>757</v>
      </c>
      <c r="K1" s="5"/>
      <c r="L1" s="4" t="s">
        <v>758</v>
      </c>
      <c r="M1" s="4"/>
      <c r="N1" s="3" t="s">
        <v>759</v>
      </c>
      <c r="O1" s="3"/>
      <c r="P1" s="3"/>
      <c r="Q1" s="3"/>
      <c r="R1" s="3"/>
      <c r="S1" s="3"/>
      <c r="T1" s="3"/>
      <c r="U1" s="2" t="s">
        <v>760</v>
      </c>
      <c r="V1" s="2"/>
      <c r="W1" s="2"/>
      <c r="X1" s="2"/>
      <c r="Y1" s="2"/>
      <c r="Z1" s="1" t="s">
        <v>761</v>
      </c>
      <c r="AA1" s="1"/>
      <c r="AB1" s="1"/>
      <c r="AC1" s="1"/>
      <c r="AD1" s="98" t="s">
        <v>762</v>
      </c>
      <c r="AE1" s="98"/>
      <c r="AF1" s="99" t="s">
        <v>739</v>
      </c>
      <c r="AG1" s="99"/>
      <c r="AH1" s="99"/>
      <c r="AI1" s="99"/>
      <c r="AJ1" s="99"/>
      <c r="AK1" s="99"/>
    </row>
    <row r="2" spans="1:37" ht="15.75" customHeight="1" x14ac:dyDescent="0.25">
      <c r="A2" s="54" t="s">
        <v>763</v>
      </c>
      <c r="B2" s="54" t="s">
        <v>62</v>
      </c>
      <c r="C2" s="54" t="s">
        <v>764</v>
      </c>
      <c r="D2" s="54" t="s">
        <v>30</v>
      </c>
      <c r="E2" s="54" t="s">
        <v>32</v>
      </c>
      <c r="F2" s="54" t="s">
        <v>765</v>
      </c>
      <c r="G2" s="54" t="s">
        <v>33</v>
      </c>
      <c r="H2" s="54" t="s">
        <v>34</v>
      </c>
      <c r="I2" s="54" t="s">
        <v>766</v>
      </c>
      <c r="J2" s="55" t="s">
        <v>63</v>
      </c>
      <c r="K2" s="55" t="s">
        <v>64</v>
      </c>
      <c r="L2" s="56" t="s">
        <v>35</v>
      </c>
      <c r="M2" s="56" t="s">
        <v>36</v>
      </c>
      <c r="N2" s="56" t="s">
        <v>37</v>
      </c>
      <c r="O2" s="56" t="s">
        <v>38</v>
      </c>
      <c r="P2" s="56" t="s">
        <v>39</v>
      </c>
      <c r="Q2" s="56" t="s">
        <v>40</v>
      </c>
      <c r="R2" s="56" t="s">
        <v>41</v>
      </c>
      <c r="S2" s="56" t="s">
        <v>767</v>
      </c>
      <c r="T2" s="56" t="s">
        <v>43</v>
      </c>
      <c r="U2" s="56" t="s">
        <v>37</v>
      </c>
      <c r="V2" s="56" t="s">
        <v>38</v>
      </c>
      <c r="W2" s="56" t="s">
        <v>39</v>
      </c>
      <c r="X2" s="56" t="s">
        <v>44</v>
      </c>
      <c r="Y2" s="56" t="s">
        <v>768</v>
      </c>
      <c r="Z2" s="56" t="s">
        <v>37</v>
      </c>
      <c r="AA2" s="56" t="s">
        <v>38</v>
      </c>
      <c r="AB2" s="56" t="s">
        <v>47</v>
      </c>
      <c r="AC2" s="56" t="s">
        <v>48</v>
      </c>
      <c r="AD2" s="56" t="s">
        <v>49</v>
      </c>
      <c r="AE2" s="56" t="s">
        <v>50</v>
      </c>
      <c r="AF2" s="57" t="s">
        <v>51</v>
      </c>
      <c r="AG2" s="57" t="s">
        <v>52</v>
      </c>
      <c r="AH2" s="57" t="s">
        <v>53</v>
      </c>
      <c r="AI2" s="57" t="s">
        <v>54</v>
      </c>
      <c r="AJ2" s="57" t="s">
        <v>55</v>
      </c>
      <c r="AK2" s="57" t="s">
        <v>769</v>
      </c>
    </row>
    <row r="3" spans="1:37" x14ac:dyDescent="0.25">
      <c r="A3" s="58" t="s">
        <v>770</v>
      </c>
      <c r="B3" s="59" t="s">
        <v>771</v>
      </c>
      <c r="C3" s="60" t="s">
        <v>772</v>
      </c>
      <c r="D3" s="61" t="s">
        <v>773</v>
      </c>
      <c r="E3" s="62" t="s">
        <v>774</v>
      </c>
      <c r="F3" s="61" t="s">
        <v>775</v>
      </c>
      <c r="G3" s="60" t="s">
        <v>213</v>
      </c>
      <c r="H3" s="63">
        <v>45323</v>
      </c>
      <c r="I3" s="63">
        <f>H3-180</f>
        <v>45143</v>
      </c>
      <c r="J3" s="60">
        <f t="shared" ref="J3:J34" si="0">SUM(L3:AE3)</f>
        <v>4</v>
      </c>
      <c r="K3" s="60">
        <f t="shared" ref="K3:K66" si="1">SUM(AF3:AJ3)</f>
        <v>0</v>
      </c>
      <c r="L3" s="60">
        <v>2</v>
      </c>
      <c r="M3" s="60"/>
      <c r="N3" s="60"/>
      <c r="O3" s="60">
        <v>2</v>
      </c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4">
        <f t="shared" ref="AK3:AK66" si="2">IF(L3&gt;0,L3*90.44,0)+IF(M3&gt;0,M3*348.12,0)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576.52</v>
      </c>
    </row>
    <row r="4" spans="1:37" hidden="1" x14ac:dyDescent="0.25">
      <c r="A4" s="58" t="s">
        <v>770</v>
      </c>
      <c r="B4" s="59" t="str">
        <f t="shared" ref="B4:B35" ca="1" si="3">IF(H4&lt;$B$1,"VENCIDO","NA VALIDADE")</f>
        <v>VENCIDO</v>
      </c>
      <c r="C4" s="60" t="s">
        <v>772</v>
      </c>
      <c r="D4" s="61" t="s">
        <v>776</v>
      </c>
      <c r="E4" s="62" t="s">
        <v>777</v>
      </c>
      <c r="F4" s="61" t="s">
        <v>778</v>
      </c>
      <c r="G4" s="60" t="s">
        <v>213</v>
      </c>
      <c r="H4" s="63">
        <v>45566</v>
      </c>
      <c r="I4" s="63">
        <f>H4-180</f>
        <v>45386</v>
      </c>
      <c r="J4" s="60">
        <f t="shared" si="0"/>
        <v>1</v>
      </c>
      <c r="K4" s="60">
        <f t="shared" si="1"/>
        <v>0</v>
      </c>
      <c r="L4" s="60"/>
      <c r="M4" s="60"/>
      <c r="N4" s="60"/>
      <c r="O4" s="60"/>
      <c r="P4" s="60"/>
      <c r="Q4" s="60"/>
      <c r="R4" s="60"/>
      <c r="S4" s="60"/>
      <c r="T4" s="60"/>
      <c r="U4" s="60"/>
      <c r="V4" s="60">
        <v>1</v>
      </c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4">
        <f t="shared" si="2"/>
        <v>197.84</v>
      </c>
    </row>
    <row r="5" spans="1:37" hidden="1" x14ac:dyDescent="0.25">
      <c r="A5" s="58"/>
      <c r="B5" s="59" t="str">
        <f t="shared" ca="1" si="3"/>
        <v>VENCIDO</v>
      </c>
      <c r="C5" s="60" t="s">
        <v>772</v>
      </c>
      <c r="D5" s="61" t="s">
        <v>779</v>
      </c>
      <c r="E5" s="62" t="s">
        <v>780</v>
      </c>
      <c r="F5" s="61" t="s">
        <v>778</v>
      </c>
      <c r="G5" s="60" t="s">
        <v>213</v>
      </c>
      <c r="H5" s="63">
        <v>45536</v>
      </c>
      <c r="I5" s="63">
        <f>H5-180</f>
        <v>45356</v>
      </c>
      <c r="J5" s="60">
        <f t="shared" si="0"/>
        <v>3</v>
      </c>
      <c r="K5" s="60">
        <f t="shared" si="1"/>
        <v>0</v>
      </c>
      <c r="L5" s="60">
        <v>1</v>
      </c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>
        <v>2</v>
      </c>
      <c r="AB5" s="60"/>
      <c r="AC5" s="60"/>
      <c r="AD5" s="60"/>
      <c r="AE5" s="60"/>
      <c r="AF5" s="60"/>
      <c r="AG5" s="60"/>
      <c r="AH5" s="60"/>
      <c r="AI5" s="60"/>
      <c r="AJ5" s="60"/>
      <c r="AK5" s="64">
        <f t="shared" si="2"/>
        <v>486.12</v>
      </c>
    </row>
    <row r="6" spans="1:37" hidden="1" x14ac:dyDescent="0.25">
      <c r="A6" s="58" t="s">
        <v>770</v>
      </c>
      <c r="B6" s="59" t="str">
        <f t="shared" ca="1" si="3"/>
        <v>VENCIDO</v>
      </c>
      <c r="C6" s="60" t="s">
        <v>772</v>
      </c>
      <c r="D6" s="61" t="s">
        <v>781</v>
      </c>
      <c r="E6" s="62" t="s">
        <v>782</v>
      </c>
      <c r="F6" s="61" t="s">
        <v>778</v>
      </c>
      <c r="G6" s="60" t="s">
        <v>213</v>
      </c>
      <c r="H6" s="63">
        <v>45383</v>
      </c>
      <c r="I6" s="63">
        <v>45383</v>
      </c>
      <c r="J6" s="60">
        <f t="shared" si="0"/>
        <v>2</v>
      </c>
      <c r="K6" s="60">
        <f t="shared" si="1"/>
        <v>0</v>
      </c>
      <c r="L6" s="60"/>
      <c r="M6" s="60"/>
      <c r="N6" s="60"/>
      <c r="O6" s="60"/>
      <c r="P6" s="60"/>
      <c r="Q6" s="60">
        <v>1</v>
      </c>
      <c r="R6" s="60"/>
      <c r="S6" s="60"/>
      <c r="T6" s="60"/>
      <c r="U6" s="60"/>
      <c r="V6" s="60"/>
      <c r="W6" s="60"/>
      <c r="X6" s="60"/>
      <c r="Y6" s="60"/>
      <c r="Z6" s="60"/>
      <c r="AA6" s="60">
        <v>1</v>
      </c>
      <c r="AB6" s="60"/>
      <c r="AC6" s="60"/>
      <c r="AD6" s="60"/>
      <c r="AE6" s="60"/>
      <c r="AF6" s="60"/>
      <c r="AG6" s="60"/>
      <c r="AH6" s="60"/>
      <c r="AI6" s="60"/>
      <c r="AJ6" s="60"/>
      <c r="AK6" s="64">
        <f t="shared" si="2"/>
        <v>513.19000000000005</v>
      </c>
    </row>
    <row r="7" spans="1:37" x14ac:dyDescent="0.25">
      <c r="A7" s="58" t="s">
        <v>783</v>
      </c>
      <c r="B7" s="59" t="str">
        <f t="shared" ca="1" si="3"/>
        <v>VENCIDO</v>
      </c>
      <c r="C7" s="60" t="s">
        <v>772</v>
      </c>
      <c r="D7" s="61" t="s">
        <v>784</v>
      </c>
      <c r="E7" s="62" t="s">
        <v>785</v>
      </c>
      <c r="F7" s="61" t="s">
        <v>775</v>
      </c>
      <c r="G7" s="60" t="s">
        <v>213</v>
      </c>
      <c r="H7" s="63">
        <v>45413</v>
      </c>
      <c r="I7" s="63">
        <v>45413</v>
      </c>
      <c r="J7" s="60">
        <f t="shared" si="0"/>
        <v>5</v>
      </c>
      <c r="K7" s="60">
        <f t="shared" si="1"/>
        <v>0</v>
      </c>
      <c r="L7" s="60">
        <v>2</v>
      </c>
      <c r="M7" s="60"/>
      <c r="N7" s="60"/>
      <c r="O7" s="60"/>
      <c r="P7" s="60"/>
      <c r="Q7" s="60"/>
      <c r="R7" s="60"/>
      <c r="S7" s="60"/>
      <c r="T7" s="60"/>
      <c r="U7" s="60"/>
      <c r="V7" s="60">
        <v>1</v>
      </c>
      <c r="W7" s="60"/>
      <c r="X7" s="60"/>
      <c r="Y7" s="60"/>
      <c r="Z7" s="60"/>
      <c r="AA7" s="60">
        <v>2</v>
      </c>
      <c r="AB7" s="60"/>
      <c r="AC7" s="60"/>
      <c r="AD7" s="60"/>
      <c r="AE7" s="60"/>
      <c r="AF7" s="60"/>
      <c r="AG7" s="60"/>
      <c r="AH7" s="60"/>
      <c r="AI7" s="60"/>
      <c r="AJ7" s="60"/>
      <c r="AK7" s="64">
        <f t="shared" si="2"/>
        <v>774.40000000000009</v>
      </c>
    </row>
    <row r="8" spans="1:37" x14ac:dyDescent="0.25">
      <c r="A8" s="58" t="s">
        <v>786</v>
      </c>
      <c r="B8" s="59" t="str">
        <f t="shared" ca="1" si="3"/>
        <v>VENCIDO</v>
      </c>
      <c r="C8" s="60" t="s">
        <v>772</v>
      </c>
      <c r="D8" s="61" t="s">
        <v>787</v>
      </c>
      <c r="E8" s="62" t="s">
        <v>788</v>
      </c>
      <c r="F8" s="61" t="s">
        <v>775</v>
      </c>
      <c r="G8" s="60" t="s">
        <v>213</v>
      </c>
      <c r="H8" s="63">
        <v>45413</v>
      </c>
      <c r="I8" s="63">
        <v>45413</v>
      </c>
      <c r="J8" s="60">
        <f t="shared" si="0"/>
        <v>4</v>
      </c>
      <c r="K8" s="60">
        <f t="shared" si="1"/>
        <v>0</v>
      </c>
      <c r="L8" s="60">
        <v>2</v>
      </c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>
        <v>2</v>
      </c>
      <c r="AB8" s="60"/>
      <c r="AC8" s="60"/>
      <c r="AD8" s="60"/>
      <c r="AE8" s="60"/>
      <c r="AF8" s="60"/>
      <c r="AG8" s="60"/>
      <c r="AH8" s="60"/>
      <c r="AI8" s="60"/>
      <c r="AJ8" s="60"/>
      <c r="AK8" s="64">
        <f t="shared" si="2"/>
        <v>576.55999999999995</v>
      </c>
    </row>
    <row r="9" spans="1:37" x14ac:dyDescent="0.25">
      <c r="A9" s="58" t="s">
        <v>770</v>
      </c>
      <c r="B9" s="59" t="str">
        <f t="shared" ca="1" si="3"/>
        <v>VENCIDO</v>
      </c>
      <c r="C9" s="60" t="s">
        <v>772</v>
      </c>
      <c r="D9" s="61" t="s">
        <v>789</v>
      </c>
      <c r="E9" s="62" t="s">
        <v>223</v>
      </c>
      <c r="F9" s="61" t="s">
        <v>775</v>
      </c>
      <c r="G9" s="60" t="s">
        <v>213</v>
      </c>
      <c r="H9" s="63">
        <v>45474</v>
      </c>
      <c r="I9" s="63">
        <f t="shared" ref="I9:I16" si="4">H9-180</f>
        <v>45294</v>
      </c>
      <c r="J9" s="60">
        <f t="shared" si="0"/>
        <v>6</v>
      </c>
      <c r="K9" s="60">
        <f t="shared" si="1"/>
        <v>0</v>
      </c>
      <c r="L9" s="60">
        <v>2</v>
      </c>
      <c r="M9" s="60"/>
      <c r="N9" s="60"/>
      <c r="O9" s="60">
        <v>4</v>
      </c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4">
        <f t="shared" si="2"/>
        <v>972.16</v>
      </c>
    </row>
    <row r="10" spans="1:37" hidden="1" x14ac:dyDescent="0.25">
      <c r="A10" s="58" t="s">
        <v>770</v>
      </c>
      <c r="B10" s="59" t="str">
        <f t="shared" ca="1" si="3"/>
        <v>VENCIDO</v>
      </c>
      <c r="C10" s="60" t="s">
        <v>790</v>
      </c>
      <c r="D10" s="61" t="s">
        <v>791</v>
      </c>
      <c r="E10" s="62" t="s">
        <v>792</v>
      </c>
      <c r="F10" s="61" t="s">
        <v>793</v>
      </c>
      <c r="G10" s="60" t="s">
        <v>213</v>
      </c>
      <c r="H10" s="63">
        <v>45597</v>
      </c>
      <c r="I10" s="63">
        <f t="shared" si="4"/>
        <v>45417</v>
      </c>
      <c r="J10" s="60">
        <f t="shared" si="0"/>
        <v>1</v>
      </c>
      <c r="K10" s="60">
        <f t="shared" si="1"/>
        <v>0</v>
      </c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>
        <v>1</v>
      </c>
      <c r="AB10" s="60"/>
      <c r="AC10" s="60"/>
      <c r="AD10" s="60"/>
      <c r="AE10" s="60"/>
      <c r="AF10" s="60"/>
      <c r="AG10" s="60"/>
      <c r="AH10" s="60"/>
      <c r="AI10" s="60"/>
      <c r="AJ10" s="60"/>
      <c r="AK10" s="64">
        <f t="shared" si="2"/>
        <v>197.84</v>
      </c>
    </row>
    <row r="11" spans="1:37" hidden="1" x14ac:dyDescent="0.25">
      <c r="A11" s="58" t="s">
        <v>770</v>
      </c>
      <c r="B11" s="59" t="str">
        <f t="shared" ca="1" si="3"/>
        <v>VENCIDO</v>
      </c>
      <c r="C11" s="60" t="s">
        <v>790</v>
      </c>
      <c r="D11" s="61" t="s">
        <v>794</v>
      </c>
      <c r="E11" s="62" t="s">
        <v>795</v>
      </c>
      <c r="F11" s="61" t="s">
        <v>793</v>
      </c>
      <c r="G11" s="60" t="s">
        <v>213</v>
      </c>
      <c r="H11" s="63">
        <v>45413</v>
      </c>
      <c r="I11" s="63">
        <f t="shared" si="4"/>
        <v>45233</v>
      </c>
      <c r="J11" s="60">
        <f t="shared" si="0"/>
        <v>1</v>
      </c>
      <c r="K11" s="60">
        <f t="shared" si="1"/>
        <v>0</v>
      </c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>
        <v>1</v>
      </c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4">
        <f t="shared" si="2"/>
        <v>197.84</v>
      </c>
    </row>
    <row r="12" spans="1:37" hidden="1" x14ac:dyDescent="0.25">
      <c r="A12" s="58" t="s">
        <v>770</v>
      </c>
      <c r="B12" s="59" t="str">
        <f t="shared" ca="1" si="3"/>
        <v>VENCIDO</v>
      </c>
      <c r="C12" s="60" t="s">
        <v>772</v>
      </c>
      <c r="D12" s="61" t="s">
        <v>796</v>
      </c>
      <c r="E12" s="62" t="s">
        <v>797</v>
      </c>
      <c r="F12" s="61" t="s">
        <v>778</v>
      </c>
      <c r="G12" s="60" t="s">
        <v>213</v>
      </c>
      <c r="H12" s="63">
        <v>45536</v>
      </c>
      <c r="I12" s="63">
        <f t="shared" si="4"/>
        <v>45356</v>
      </c>
      <c r="J12" s="60">
        <f t="shared" si="0"/>
        <v>3</v>
      </c>
      <c r="K12" s="60">
        <f t="shared" si="1"/>
        <v>0</v>
      </c>
      <c r="L12" s="60">
        <v>1</v>
      </c>
      <c r="M12" s="60"/>
      <c r="N12" s="60"/>
      <c r="O12" s="60"/>
      <c r="P12" s="60"/>
      <c r="Q12" s="60">
        <v>1</v>
      </c>
      <c r="R12" s="60"/>
      <c r="S12" s="60"/>
      <c r="T12" s="60"/>
      <c r="U12" s="60"/>
      <c r="V12" s="60">
        <v>1</v>
      </c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4">
        <f t="shared" si="2"/>
        <v>603.63</v>
      </c>
    </row>
    <row r="13" spans="1:37" hidden="1" x14ac:dyDescent="0.25">
      <c r="A13" s="58"/>
      <c r="B13" s="59" t="str">
        <f t="shared" ca="1" si="3"/>
        <v>VENCIDO</v>
      </c>
      <c r="C13" s="60" t="s">
        <v>772</v>
      </c>
      <c r="D13" s="61" t="s">
        <v>798</v>
      </c>
      <c r="E13" s="62" t="s">
        <v>799</v>
      </c>
      <c r="F13" s="61" t="s">
        <v>778</v>
      </c>
      <c r="G13" s="60" t="s">
        <v>213</v>
      </c>
      <c r="H13" s="63">
        <v>45292</v>
      </c>
      <c r="I13" s="63">
        <f t="shared" si="4"/>
        <v>45112</v>
      </c>
      <c r="J13" s="60">
        <f t="shared" si="0"/>
        <v>3</v>
      </c>
      <c r="K13" s="60">
        <f t="shared" si="1"/>
        <v>0</v>
      </c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>
        <v>3</v>
      </c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4">
        <f t="shared" si="2"/>
        <v>593.52</v>
      </c>
    </row>
    <row r="14" spans="1:37" hidden="1" x14ac:dyDescent="0.25">
      <c r="A14" s="58"/>
      <c r="B14" s="59" t="str">
        <f t="shared" ca="1" si="3"/>
        <v>VENCIDO</v>
      </c>
      <c r="C14" s="60" t="s">
        <v>772</v>
      </c>
      <c r="D14" s="61" t="s">
        <v>800</v>
      </c>
      <c r="E14" s="62" t="s">
        <v>793</v>
      </c>
      <c r="F14" s="61" t="s">
        <v>793</v>
      </c>
      <c r="G14" s="60" t="s">
        <v>213</v>
      </c>
      <c r="H14" s="63">
        <v>45566</v>
      </c>
      <c r="I14" s="63">
        <f t="shared" si="4"/>
        <v>45386</v>
      </c>
      <c r="J14" s="60">
        <f t="shared" si="0"/>
        <v>4</v>
      </c>
      <c r="K14" s="60">
        <f t="shared" si="1"/>
        <v>0</v>
      </c>
      <c r="L14" s="60"/>
      <c r="M14" s="60"/>
      <c r="N14" s="60"/>
      <c r="O14" s="60">
        <v>4</v>
      </c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4">
        <f t="shared" si="2"/>
        <v>791.28</v>
      </c>
    </row>
    <row r="15" spans="1:37" x14ac:dyDescent="0.25">
      <c r="A15" s="58" t="s">
        <v>770</v>
      </c>
      <c r="B15" s="59" t="str">
        <f t="shared" ca="1" si="3"/>
        <v>VENCIDO</v>
      </c>
      <c r="C15" s="65" t="s">
        <v>772</v>
      </c>
      <c r="D15" s="61" t="s">
        <v>801</v>
      </c>
      <c r="E15" s="62" t="s">
        <v>802</v>
      </c>
      <c r="F15" s="61" t="s">
        <v>775</v>
      </c>
      <c r="G15" s="60" t="s">
        <v>213</v>
      </c>
      <c r="H15" s="63">
        <v>45323</v>
      </c>
      <c r="I15" s="63">
        <f t="shared" si="4"/>
        <v>45143</v>
      </c>
      <c r="J15" s="60">
        <f t="shared" si="0"/>
        <v>2</v>
      </c>
      <c r="K15" s="60">
        <f t="shared" si="1"/>
        <v>0</v>
      </c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>
        <v>2</v>
      </c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4">
        <f t="shared" si="2"/>
        <v>395.68</v>
      </c>
    </row>
    <row r="16" spans="1:37" hidden="1" x14ac:dyDescent="0.25">
      <c r="A16" s="58"/>
      <c r="B16" s="59" t="str">
        <f t="shared" ca="1" si="3"/>
        <v>VENCIDO</v>
      </c>
      <c r="C16" s="60" t="s">
        <v>772</v>
      </c>
      <c r="D16" s="61" t="s">
        <v>803</v>
      </c>
      <c r="E16" s="62" t="s">
        <v>196</v>
      </c>
      <c r="F16" s="61" t="s">
        <v>793</v>
      </c>
      <c r="G16" s="60" t="s">
        <v>213</v>
      </c>
      <c r="H16" s="63">
        <v>45413</v>
      </c>
      <c r="I16" s="63">
        <f t="shared" si="4"/>
        <v>45233</v>
      </c>
      <c r="J16" s="60">
        <f t="shared" si="0"/>
        <v>3</v>
      </c>
      <c r="K16" s="60">
        <f t="shared" si="1"/>
        <v>0</v>
      </c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>
        <v>3</v>
      </c>
      <c r="AB16" s="60"/>
      <c r="AC16" s="60"/>
      <c r="AD16" s="60"/>
      <c r="AE16" s="60"/>
      <c r="AF16" s="60"/>
      <c r="AG16" s="60"/>
      <c r="AH16" s="60"/>
      <c r="AI16" s="60"/>
      <c r="AJ16" s="60"/>
      <c r="AK16" s="64">
        <f t="shared" si="2"/>
        <v>593.52</v>
      </c>
    </row>
    <row r="17" spans="1:37" x14ac:dyDescent="0.25">
      <c r="A17" s="58" t="s">
        <v>783</v>
      </c>
      <c r="B17" s="59" t="str">
        <f t="shared" ca="1" si="3"/>
        <v>VENCIDO</v>
      </c>
      <c r="C17" s="60" t="s">
        <v>772</v>
      </c>
      <c r="D17" s="61" t="s">
        <v>804</v>
      </c>
      <c r="E17" s="62" t="s">
        <v>223</v>
      </c>
      <c r="F17" s="61" t="s">
        <v>775</v>
      </c>
      <c r="G17" s="60" t="s">
        <v>213</v>
      </c>
      <c r="H17" s="63">
        <v>45413</v>
      </c>
      <c r="I17" s="63">
        <v>45413</v>
      </c>
      <c r="J17" s="60">
        <f t="shared" si="0"/>
        <v>7</v>
      </c>
      <c r="K17" s="60">
        <f t="shared" si="1"/>
        <v>0</v>
      </c>
      <c r="L17" s="60">
        <v>2</v>
      </c>
      <c r="M17" s="60"/>
      <c r="N17" s="60"/>
      <c r="O17" s="60">
        <v>3</v>
      </c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>
        <v>2</v>
      </c>
      <c r="AB17" s="60"/>
      <c r="AC17" s="60"/>
      <c r="AD17" s="60"/>
      <c r="AE17" s="60"/>
      <c r="AF17" s="60"/>
      <c r="AG17" s="60"/>
      <c r="AH17" s="60"/>
      <c r="AI17" s="60"/>
      <c r="AJ17" s="60"/>
      <c r="AK17" s="64">
        <f t="shared" si="2"/>
        <v>1170.02</v>
      </c>
    </row>
    <row r="18" spans="1:37" hidden="1" x14ac:dyDescent="0.25">
      <c r="A18" s="58" t="s">
        <v>770</v>
      </c>
      <c r="B18" s="59" t="str">
        <f t="shared" ca="1" si="3"/>
        <v>VENCIDO</v>
      </c>
      <c r="C18" s="60" t="s">
        <v>772</v>
      </c>
      <c r="D18" s="61" t="s">
        <v>805</v>
      </c>
      <c r="E18" s="62" t="s">
        <v>806</v>
      </c>
      <c r="F18" s="61" t="s">
        <v>778</v>
      </c>
      <c r="G18" s="60" t="s">
        <v>213</v>
      </c>
      <c r="H18" s="63">
        <v>45383</v>
      </c>
      <c r="I18" s="63">
        <f>H18-180</f>
        <v>45203</v>
      </c>
      <c r="J18" s="60">
        <f t="shared" si="0"/>
        <v>2</v>
      </c>
      <c r="K18" s="60">
        <f t="shared" si="1"/>
        <v>0</v>
      </c>
      <c r="L18" s="60"/>
      <c r="M18" s="60"/>
      <c r="N18" s="60"/>
      <c r="O18" s="60">
        <v>2</v>
      </c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4">
        <f t="shared" si="2"/>
        <v>395.64</v>
      </c>
    </row>
    <row r="19" spans="1:37" x14ac:dyDescent="0.25">
      <c r="A19" s="58" t="s">
        <v>786</v>
      </c>
      <c r="B19" s="59" t="str">
        <f t="shared" ca="1" si="3"/>
        <v>VENCIDO</v>
      </c>
      <c r="C19" s="60" t="s">
        <v>772</v>
      </c>
      <c r="D19" s="61" t="s">
        <v>807</v>
      </c>
      <c r="E19" s="62" t="s">
        <v>808</v>
      </c>
      <c r="F19" s="61" t="s">
        <v>775</v>
      </c>
      <c r="G19" s="60" t="s">
        <v>213</v>
      </c>
      <c r="H19" s="63">
        <v>45444</v>
      </c>
      <c r="I19" s="63">
        <f>H19-180</f>
        <v>45264</v>
      </c>
      <c r="J19" s="60">
        <f t="shared" si="0"/>
        <v>1</v>
      </c>
      <c r="K19" s="60">
        <f t="shared" si="1"/>
        <v>0</v>
      </c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>
        <v>1</v>
      </c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4">
        <f t="shared" si="2"/>
        <v>197.84</v>
      </c>
    </row>
    <row r="20" spans="1:37" x14ac:dyDescent="0.25">
      <c r="A20" s="58"/>
      <c r="B20" s="59" t="str">
        <f t="shared" ca="1" si="3"/>
        <v>VENCIDO</v>
      </c>
      <c r="C20" s="60" t="s">
        <v>772</v>
      </c>
      <c r="D20" s="61" t="s">
        <v>809</v>
      </c>
      <c r="E20" s="62" t="s">
        <v>223</v>
      </c>
      <c r="F20" s="61" t="s">
        <v>775</v>
      </c>
      <c r="G20" s="60" t="s">
        <v>213</v>
      </c>
      <c r="H20" s="63">
        <v>45323</v>
      </c>
      <c r="I20" s="63">
        <v>45323</v>
      </c>
      <c r="J20" s="60">
        <f t="shared" si="0"/>
        <v>5</v>
      </c>
      <c r="K20" s="60">
        <f t="shared" si="1"/>
        <v>0</v>
      </c>
      <c r="L20" s="60">
        <v>3</v>
      </c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>
        <v>2</v>
      </c>
      <c r="AB20" s="60"/>
      <c r="AC20" s="60"/>
      <c r="AD20" s="60"/>
      <c r="AE20" s="60"/>
      <c r="AF20" s="60"/>
      <c r="AG20" s="60"/>
      <c r="AH20" s="60"/>
      <c r="AI20" s="60"/>
      <c r="AJ20" s="60"/>
      <c r="AK20" s="64">
        <f t="shared" si="2"/>
        <v>667</v>
      </c>
    </row>
    <row r="21" spans="1:37" x14ac:dyDescent="0.25">
      <c r="A21" s="58" t="s">
        <v>783</v>
      </c>
      <c r="B21" s="59" t="str">
        <f t="shared" ca="1" si="3"/>
        <v>VENCIDO</v>
      </c>
      <c r="C21" s="60" t="s">
        <v>772</v>
      </c>
      <c r="D21" s="61" t="s">
        <v>810</v>
      </c>
      <c r="E21" s="62" t="s">
        <v>223</v>
      </c>
      <c r="F21" s="61" t="s">
        <v>775</v>
      </c>
      <c r="G21" s="60" t="s">
        <v>213</v>
      </c>
      <c r="H21" s="63">
        <v>45505</v>
      </c>
      <c r="I21" s="63">
        <f>H21-180</f>
        <v>45325</v>
      </c>
      <c r="J21" s="60">
        <f t="shared" si="0"/>
        <v>15</v>
      </c>
      <c r="K21" s="60">
        <f t="shared" si="1"/>
        <v>6</v>
      </c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>
        <v>14</v>
      </c>
      <c r="W21" s="60"/>
      <c r="X21" s="60"/>
      <c r="Y21" s="60"/>
      <c r="Z21" s="60"/>
      <c r="AA21" s="60">
        <v>1</v>
      </c>
      <c r="AB21" s="60"/>
      <c r="AC21" s="60"/>
      <c r="AD21" s="60"/>
      <c r="AE21" s="60"/>
      <c r="AF21" s="60">
        <v>6</v>
      </c>
      <c r="AG21" s="60"/>
      <c r="AH21" s="60"/>
      <c r="AI21" s="60"/>
      <c r="AJ21" s="60"/>
      <c r="AK21" s="64">
        <f t="shared" si="2"/>
        <v>2967.6000000000004</v>
      </c>
    </row>
    <row r="22" spans="1:37" x14ac:dyDescent="0.25">
      <c r="A22" s="58" t="s">
        <v>811</v>
      </c>
      <c r="B22" s="59" t="str">
        <f t="shared" ca="1" si="3"/>
        <v>VENCIDO</v>
      </c>
      <c r="C22" s="60" t="s">
        <v>772</v>
      </c>
      <c r="D22" s="61" t="s">
        <v>812</v>
      </c>
      <c r="E22" s="62" t="s">
        <v>813</v>
      </c>
      <c r="F22" s="61" t="s">
        <v>775</v>
      </c>
      <c r="G22" s="60" t="s">
        <v>213</v>
      </c>
      <c r="H22" s="63">
        <v>45444</v>
      </c>
      <c r="I22" s="63">
        <v>45444</v>
      </c>
      <c r="J22" s="60">
        <f t="shared" si="0"/>
        <v>2</v>
      </c>
      <c r="K22" s="60">
        <f t="shared" si="1"/>
        <v>0</v>
      </c>
      <c r="L22" s="60"/>
      <c r="M22" s="60"/>
      <c r="N22" s="60"/>
      <c r="O22" s="60"/>
      <c r="P22" s="60"/>
      <c r="Q22" s="60">
        <v>1</v>
      </c>
      <c r="R22" s="60"/>
      <c r="S22" s="60"/>
      <c r="T22" s="60"/>
      <c r="U22" s="60"/>
      <c r="V22" s="60"/>
      <c r="W22" s="60"/>
      <c r="X22" s="60"/>
      <c r="Y22" s="60"/>
      <c r="Z22" s="60"/>
      <c r="AA22" s="60">
        <v>1</v>
      </c>
      <c r="AB22" s="60"/>
      <c r="AC22" s="60"/>
      <c r="AD22" s="60"/>
      <c r="AE22" s="60"/>
      <c r="AF22" s="60"/>
      <c r="AG22" s="60"/>
      <c r="AH22" s="60"/>
      <c r="AI22" s="60"/>
      <c r="AJ22" s="60"/>
      <c r="AK22" s="64">
        <f t="shared" si="2"/>
        <v>513.19000000000005</v>
      </c>
    </row>
    <row r="23" spans="1:37" x14ac:dyDescent="0.25">
      <c r="A23" s="58" t="s">
        <v>770</v>
      </c>
      <c r="B23" s="59" t="str">
        <f t="shared" ca="1" si="3"/>
        <v>VENCIDO</v>
      </c>
      <c r="C23" s="60" t="s">
        <v>772</v>
      </c>
      <c r="D23" s="61" t="s">
        <v>814</v>
      </c>
      <c r="E23" s="62" t="s">
        <v>815</v>
      </c>
      <c r="F23" s="61" t="s">
        <v>775</v>
      </c>
      <c r="G23" s="60" t="s">
        <v>213</v>
      </c>
      <c r="H23" s="63">
        <v>45474</v>
      </c>
      <c r="I23" s="63">
        <f t="shared" ref="I23:I29" si="5">H23-180</f>
        <v>45294</v>
      </c>
      <c r="J23" s="60">
        <f t="shared" si="0"/>
        <v>4</v>
      </c>
      <c r="K23" s="60">
        <f t="shared" si="1"/>
        <v>0</v>
      </c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>
        <v>4</v>
      </c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4">
        <f t="shared" si="2"/>
        <v>791.36</v>
      </c>
    </row>
    <row r="24" spans="1:37" x14ac:dyDescent="0.25">
      <c r="A24" s="58" t="s">
        <v>770</v>
      </c>
      <c r="B24" s="59" t="str">
        <f t="shared" ca="1" si="3"/>
        <v>VENCIDO</v>
      </c>
      <c r="C24" s="60" t="s">
        <v>772</v>
      </c>
      <c r="D24" s="61" t="s">
        <v>816</v>
      </c>
      <c r="E24" s="62" t="s">
        <v>817</v>
      </c>
      <c r="F24" s="61" t="s">
        <v>775</v>
      </c>
      <c r="G24" s="60" t="s">
        <v>213</v>
      </c>
      <c r="H24" s="63">
        <v>45292</v>
      </c>
      <c r="I24" s="63">
        <f t="shared" si="5"/>
        <v>45112</v>
      </c>
      <c r="J24" s="60">
        <f t="shared" si="0"/>
        <v>2</v>
      </c>
      <c r="K24" s="60">
        <f t="shared" si="1"/>
        <v>0</v>
      </c>
      <c r="L24" s="60"/>
      <c r="M24" s="60"/>
      <c r="N24" s="60"/>
      <c r="O24" s="60">
        <v>2</v>
      </c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4">
        <f t="shared" si="2"/>
        <v>395.64</v>
      </c>
    </row>
    <row r="25" spans="1:37" x14ac:dyDescent="0.25">
      <c r="A25" s="58" t="s">
        <v>770</v>
      </c>
      <c r="B25" s="59" t="str">
        <f t="shared" ca="1" si="3"/>
        <v>VENCIDO</v>
      </c>
      <c r="C25" s="60" t="s">
        <v>772</v>
      </c>
      <c r="D25" s="61" t="s">
        <v>818</v>
      </c>
      <c r="E25" s="62" t="s">
        <v>212</v>
      </c>
      <c r="F25" s="61" t="s">
        <v>775</v>
      </c>
      <c r="G25" s="60" t="s">
        <v>213</v>
      </c>
      <c r="H25" s="63">
        <v>45292</v>
      </c>
      <c r="I25" s="63">
        <f t="shared" si="5"/>
        <v>45112</v>
      </c>
      <c r="J25" s="60">
        <f t="shared" si="0"/>
        <v>4</v>
      </c>
      <c r="K25" s="60">
        <f t="shared" si="1"/>
        <v>0</v>
      </c>
      <c r="L25" s="60"/>
      <c r="M25" s="60"/>
      <c r="N25" s="60"/>
      <c r="O25" s="60">
        <v>4</v>
      </c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4">
        <f t="shared" si="2"/>
        <v>791.28</v>
      </c>
    </row>
    <row r="26" spans="1:37" x14ac:dyDescent="0.25">
      <c r="A26" s="58" t="s">
        <v>770</v>
      </c>
      <c r="B26" s="59" t="str">
        <f t="shared" ca="1" si="3"/>
        <v>VENCIDO</v>
      </c>
      <c r="C26" s="60" t="s">
        <v>772</v>
      </c>
      <c r="D26" s="61" t="s">
        <v>819</v>
      </c>
      <c r="E26" s="62" t="s">
        <v>820</v>
      </c>
      <c r="F26" s="61" t="s">
        <v>775</v>
      </c>
      <c r="G26" s="60" t="s">
        <v>213</v>
      </c>
      <c r="H26" s="63">
        <v>45444</v>
      </c>
      <c r="I26" s="63">
        <f t="shared" si="5"/>
        <v>45264</v>
      </c>
      <c r="J26" s="60">
        <f t="shared" si="0"/>
        <v>1</v>
      </c>
      <c r="K26" s="60">
        <f t="shared" si="1"/>
        <v>0</v>
      </c>
      <c r="L26" s="60"/>
      <c r="M26" s="60"/>
      <c r="N26" s="60"/>
      <c r="O26" s="60">
        <v>1</v>
      </c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4">
        <f t="shared" si="2"/>
        <v>197.82</v>
      </c>
    </row>
    <row r="27" spans="1:37" x14ac:dyDescent="0.25">
      <c r="A27" s="58"/>
      <c r="B27" s="59" t="str">
        <f t="shared" ca="1" si="3"/>
        <v>VENCIDO</v>
      </c>
      <c r="C27" s="60" t="s">
        <v>772</v>
      </c>
      <c r="D27" s="61" t="s">
        <v>821</v>
      </c>
      <c r="E27" s="62" t="s">
        <v>223</v>
      </c>
      <c r="F27" s="61" t="s">
        <v>775</v>
      </c>
      <c r="G27" s="60" t="s">
        <v>213</v>
      </c>
      <c r="H27" s="63">
        <v>45352</v>
      </c>
      <c r="I27" s="63">
        <f t="shared" si="5"/>
        <v>45172</v>
      </c>
      <c r="J27" s="60">
        <f t="shared" si="0"/>
        <v>2</v>
      </c>
      <c r="K27" s="60">
        <f t="shared" si="1"/>
        <v>0</v>
      </c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>
        <v>2</v>
      </c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4">
        <f t="shared" si="2"/>
        <v>395.68</v>
      </c>
    </row>
    <row r="28" spans="1:37" x14ac:dyDescent="0.25">
      <c r="A28" s="58" t="s">
        <v>770</v>
      </c>
      <c r="B28" s="59" t="str">
        <f t="shared" ca="1" si="3"/>
        <v>VENCIDO</v>
      </c>
      <c r="C28" s="60" t="s">
        <v>772</v>
      </c>
      <c r="D28" s="61" t="s">
        <v>822</v>
      </c>
      <c r="E28" s="62" t="s">
        <v>823</v>
      </c>
      <c r="F28" s="61" t="s">
        <v>775</v>
      </c>
      <c r="G28" s="60" t="s">
        <v>213</v>
      </c>
      <c r="H28" s="63">
        <v>45413</v>
      </c>
      <c r="I28" s="63">
        <f t="shared" si="5"/>
        <v>45233</v>
      </c>
      <c r="J28" s="60">
        <f t="shared" si="0"/>
        <v>2</v>
      </c>
      <c r="K28" s="60">
        <f t="shared" si="1"/>
        <v>0</v>
      </c>
      <c r="L28" s="60">
        <v>1</v>
      </c>
      <c r="M28" s="60"/>
      <c r="N28" s="60"/>
      <c r="O28" s="60"/>
      <c r="P28" s="60">
        <v>1</v>
      </c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4">
        <f t="shared" si="2"/>
        <v>334.53</v>
      </c>
    </row>
    <row r="29" spans="1:37" hidden="1" x14ac:dyDescent="0.25">
      <c r="A29" s="58"/>
      <c r="B29" s="59" t="str">
        <f t="shared" ca="1" si="3"/>
        <v>VENCIDO</v>
      </c>
      <c r="C29" s="60" t="s">
        <v>824</v>
      </c>
      <c r="D29" s="61" t="s">
        <v>825</v>
      </c>
      <c r="E29" s="62" t="s">
        <v>826</v>
      </c>
      <c r="F29" s="61" t="s">
        <v>793</v>
      </c>
      <c r="G29" s="60" t="s">
        <v>213</v>
      </c>
      <c r="H29" s="63">
        <v>45352</v>
      </c>
      <c r="I29" s="63">
        <f t="shared" si="5"/>
        <v>45172</v>
      </c>
      <c r="J29" s="60">
        <f t="shared" si="0"/>
        <v>1</v>
      </c>
      <c r="K29" s="60">
        <f t="shared" si="1"/>
        <v>0</v>
      </c>
      <c r="L29" s="60"/>
      <c r="M29" s="60"/>
      <c r="N29" s="60"/>
      <c r="O29" s="60">
        <v>1</v>
      </c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4">
        <f t="shared" si="2"/>
        <v>197.82</v>
      </c>
    </row>
    <row r="30" spans="1:37" hidden="1" x14ac:dyDescent="0.25">
      <c r="A30" s="58"/>
      <c r="B30" s="59" t="str">
        <f t="shared" ca="1" si="3"/>
        <v>VENCIDO</v>
      </c>
      <c r="C30" s="60" t="s">
        <v>772</v>
      </c>
      <c r="D30" s="61" t="s">
        <v>827</v>
      </c>
      <c r="E30" s="62" t="s">
        <v>778</v>
      </c>
      <c r="F30" s="61" t="s">
        <v>778</v>
      </c>
      <c r="G30" s="60" t="s">
        <v>213</v>
      </c>
      <c r="H30" s="63">
        <v>45383</v>
      </c>
      <c r="I30" s="63">
        <v>45383</v>
      </c>
      <c r="J30" s="60">
        <f t="shared" si="0"/>
        <v>8</v>
      </c>
      <c r="K30" s="60">
        <f t="shared" si="1"/>
        <v>0</v>
      </c>
      <c r="L30" s="60">
        <v>3</v>
      </c>
      <c r="M30" s="60"/>
      <c r="N30" s="60"/>
      <c r="O30" s="60"/>
      <c r="P30" s="60"/>
      <c r="Q30" s="60">
        <v>3</v>
      </c>
      <c r="R30" s="60"/>
      <c r="S30" s="60"/>
      <c r="T30" s="60"/>
      <c r="U30" s="60"/>
      <c r="V30" s="60"/>
      <c r="W30" s="60"/>
      <c r="X30" s="60"/>
      <c r="Y30" s="60"/>
      <c r="Z30" s="60"/>
      <c r="AA30" s="60">
        <v>2</v>
      </c>
      <c r="AB30" s="60"/>
      <c r="AC30" s="60"/>
      <c r="AD30" s="60"/>
      <c r="AE30" s="60"/>
      <c r="AF30" s="60"/>
      <c r="AG30" s="60"/>
      <c r="AH30" s="60"/>
      <c r="AI30" s="60"/>
      <c r="AJ30" s="60"/>
      <c r="AK30" s="64">
        <f t="shared" si="2"/>
        <v>1613.0500000000002</v>
      </c>
    </row>
    <row r="31" spans="1:37" hidden="1" x14ac:dyDescent="0.25">
      <c r="A31" s="58" t="s">
        <v>770</v>
      </c>
      <c r="B31" s="59" t="str">
        <f t="shared" ca="1" si="3"/>
        <v>VENCIDO</v>
      </c>
      <c r="C31" s="60" t="s">
        <v>772</v>
      </c>
      <c r="D31" s="61" t="s">
        <v>828</v>
      </c>
      <c r="E31" s="62" t="s">
        <v>778</v>
      </c>
      <c r="F31" s="61" t="s">
        <v>778</v>
      </c>
      <c r="G31" s="60" t="s">
        <v>213</v>
      </c>
      <c r="H31" s="63">
        <v>45383</v>
      </c>
      <c r="I31" s="63">
        <v>45383</v>
      </c>
      <c r="J31" s="60">
        <f t="shared" si="0"/>
        <v>2</v>
      </c>
      <c r="K31" s="60">
        <f t="shared" si="1"/>
        <v>0</v>
      </c>
      <c r="L31" s="60"/>
      <c r="M31" s="60"/>
      <c r="N31" s="60"/>
      <c r="O31" s="60"/>
      <c r="P31" s="60"/>
      <c r="Q31" s="60">
        <v>1</v>
      </c>
      <c r="R31" s="60"/>
      <c r="S31" s="60"/>
      <c r="T31" s="60"/>
      <c r="U31" s="60"/>
      <c r="V31" s="60"/>
      <c r="W31" s="60"/>
      <c r="X31" s="60"/>
      <c r="Y31" s="60"/>
      <c r="Z31" s="60"/>
      <c r="AA31" s="60">
        <v>1</v>
      </c>
      <c r="AB31" s="60"/>
      <c r="AC31" s="60"/>
      <c r="AD31" s="60"/>
      <c r="AE31" s="60"/>
      <c r="AF31" s="60"/>
      <c r="AG31" s="60"/>
      <c r="AH31" s="60"/>
      <c r="AI31" s="60"/>
      <c r="AJ31" s="60"/>
      <c r="AK31" s="64">
        <f t="shared" si="2"/>
        <v>513.19000000000005</v>
      </c>
    </row>
    <row r="32" spans="1:37" hidden="1" x14ac:dyDescent="0.25">
      <c r="A32" s="58" t="s">
        <v>770</v>
      </c>
      <c r="B32" s="59" t="str">
        <f t="shared" ca="1" si="3"/>
        <v>VENCIDO</v>
      </c>
      <c r="C32" s="60" t="s">
        <v>790</v>
      </c>
      <c r="D32" s="61" t="s">
        <v>829</v>
      </c>
      <c r="E32" s="62" t="s">
        <v>830</v>
      </c>
      <c r="F32" s="61" t="s">
        <v>778</v>
      </c>
      <c r="G32" s="60" t="s">
        <v>213</v>
      </c>
      <c r="H32" s="63">
        <v>45566</v>
      </c>
      <c r="I32" s="63">
        <f>H32-180</f>
        <v>45386</v>
      </c>
      <c r="J32" s="60">
        <f t="shared" si="0"/>
        <v>1</v>
      </c>
      <c r="K32" s="60">
        <f t="shared" si="1"/>
        <v>0</v>
      </c>
      <c r="L32" s="60"/>
      <c r="M32" s="60"/>
      <c r="N32" s="60"/>
      <c r="O32" s="60">
        <v>1</v>
      </c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4">
        <f t="shared" si="2"/>
        <v>197.82</v>
      </c>
    </row>
    <row r="33" spans="1:37" hidden="1" x14ac:dyDescent="0.25">
      <c r="A33" s="58" t="s">
        <v>783</v>
      </c>
      <c r="B33" s="59" t="str">
        <f t="shared" ca="1" si="3"/>
        <v>VENCIDO</v>
      </c>
      <c r="C33" s="60" t="s">
        <v>790</v>
      </c>
      <c r="D33" s="61" t="s">
        <v>831</v>
      </c>
      <c r="E33" s="62" t="s">
        <v>832</v>
      </c>
      <c r="F33" s="61" t="s">
        <v>778</v>
      </c>
      <c r="G33" s="60" t="s">
        <v>213</v>
      </c>
      <c r="H33" s="63">
        <v>45352</v>
      </c>
      <c r="I33" s="63">
        <f>H33-180</f>
        <v>45172</v>
      </c>
      <c r="J33" s="60">
        <f t="shared" si="0"/>
        <v>2</v>
      </c>
      <c r="K33" s="60">
        <f t="shared" si="1"/>
        <v>0</v>
      </c>
      <c r="L33" s="60"/>
      <c r="M33" s="60"/>
      <c r="N33" s="60"/>
      <c r="O33" s="60"/>
      <c r="P33" s="60"/>
      <c r="Q33" s="60">
        <v>2</v>
      </c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4">
        <f t="shared" si="2"/>
        <v>630.70000000000005</v>
      </c>
    </row>
    <row r="34" spans="1:37" x14ac:dyDescent="0.25">
      <c r="A34" s="58" t="s">
        <v>811</v>
      </c>
      <c r="B34" s="59" t="str">
        <f t="shared" ca="1" si="3"/>
        <v>VENCIDO</v>
      </c>
      <c r="C34" s="60" t="s">
        <v>790</v>
      </c>
      <c r="D34" s="61" t="s">
        <v>833</v>
      </c>
      <c r="E34" s="62" t="s">
        <v>774</v>
      </c>
      <c r="F34" s="61" t="s">
        <v>775</v>
      </c>
      <c r="G34" s="60" t="s">
        <v>213</v>
      </c>
      <c r="H34" s="63">
        <v>45323</v>
      </c>
      <c r="I34" s="63">
        <f>H34-180</f>
        <v>45143</v>
      </c>
      <c r="J34" s="60">
        <f t="shared" si="0"/>
        <v>4</v>
      </c>
      <c r="K34" s="60">
        <f t="shared" si="1"/>
        <v>0</v>
      </c>
      <c r="L34" s="60">
        <v>2</v>
      </c>
      <c r="M34" s="60"/>
      <c r="N34" s="60"/>
      <c r="O34" s="60">
        <v>2</v>
      </c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4">
        <f t="shared" si="2"/>
        <v>576.52</v>
      </c>
    </row>
    <row r="35" spans="1:37" hidden="1" x14ac:dyDescent="0.25">
      <c r="A35" s="58" t="s">
        <v>786</v>
      </c>
      <c r="B35" s="59" t="str">
        <f t="shared" ca="1" si="3"/>
        <v>VENCIDO</v>
      </c>
      <c r="C35" s="60" t="s">
        <v>790</v>
      </c>
      <c r="D35" s="61" t="s">
        <v>834</v>
      </c>
      <c r="E35" s="62" t="s">
        <v>835</v>
      </c>
      <c r="F35" s="61" t="s">
        <v>778</v>
      </c>
      <c r="G35" s="60" t="s">
        <v>213</v>
      </c>
      <c r="H35" s="63">
        <v>45444</v>
      </c>
      <c r="I35" s="63">
        <f>H35-180</f>
        <v>45264</v>
      </c>
      <c r="J35" s="60">
        <f t="shared" ref="J35:J62" si="6">SUM(L35:AE35)</f>
        <v>2</v>
      </c>
      <c r="K35" s="60">
        <f t="shared" si="1"/>
        <v>0</v>
      </c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>
        <v>2</v>
      </c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4">
        <f t="shared" si="2"/>
        <v>395.68</v>
      </c>
    </row>
    <row r="36" spans="1:37" x14ac:dyDescent="0.25">
      <c r="A36" s="58" t="s">
        <v>770</v>
      </c>
      <c r="B36" s="59" t="str">
        <f t="shared" ref="B36:B67" ca="1" si="7">IF(H36&lt;$B$1,"VENCIDO","NA VALIDADE")</f>
        <v>VENCIDO</v>
      </c>
      <c r="C36" s="60" t="s">
        <v>790</v>
      </c>
      <c r="D36" s="61" t="s">
        <v>836</v>
      </c>
      <c r="E36" s="62" t="s">
        <v>837</v>
      </c>
      <c r="F36" s="61" t="s">
        <v>775</v>
      </c>
      <c r="G36" s="60" t="s">
        <v>213</v>
      </c>
      <c r="H36" s="63">
        <v>45352</v>
      </c>
      <c r="I36" s="63">
        <f>H36-180</f>
        <v>45172</v>
      </c>
      <c r="J36" s="60">
        <f t="shared" si="6"/>
        <v>3</v>
      </c>
      <c r="K36" s="60">
        <f t="shared" si="1"/>
        <v>0</v>
      </c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>
        <v>3</v>
      </c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4">
        <f t="shared" si="2"/>
        <v>593.52</v>
      </c>
    </row>
    <row r="37" spans="1:37" x14ac:dyDescent="0.25">
      <c r="A37" s="58"/>
      <c r="B37" s="59" t="str">
        <f t="shared" ca="1" si="7"/>
        <v>VENCIDO</v>
      </c>
      <c r="C37" s="60" t="s">
        <v>772</v>
      </c>
      <c r="D37" s="61" t="s">
        <v>838</v>
      </c>
      <c r="E37" s="62" t="s">
        <v>223</v>
      </c>
      <c r="F37" s="61" t="s">
        <v>775</v>
      </c>
      <c r="G37" s="60" t="s">
        <v>213</v>
      </c>
      <c r="H37" s="63">
        <v>45323</v>
      </c>
      <c r="I37" s="63">
        <v>45323</v>
      </c>
      <c r="J37" s="60">
        <f t="shared" si="6"/>
        <v>2</v>
      </c>
      <c r="K37" s="60">
        <f t="shared" si="1"/>
        <v>0</v>
      </c>
      <c r="L37" s="60">
        <v>1</v>
      </c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>
        <v>1</v>
      </c>
      <c r="AB37" s="60"/>
      <c r="AC37" s="60"/>
      <c r="AD37" s="60"/>
      <c r="AE37" s="60"/>
      <c r="AF37" s="60"/>
      <c r="AG37" s="60"/>
      <c r="AH37" s="60"/>
      <c r="AI37" s="60"/>
      <c r="AJ37" s="60"/>
      <c r="AK37" s="64">
        <f t="shared" si="2"/>
        <v>288.27999999999997</v>
      </c>
    </row>
    <row r="38" spans="1:37" hidden="1" x14ac:dyDescent="0.25">
      <c r="A38" s="58" t="s">
        <v>770</v>
      </c>
      <c r="B38" s="59" t="str">
        <f t="shared" ca="1" si="7"/>
        <v>VENCIDO</v>
      </c>
      <c r="C38" s="60" t="s">
        <v>790</v>
      </c>
      <c r="D38" s="61" t="s">
        <v>839</v>
      </c>
      <c r="E38" s="62" t="s">
        <v>840</v>
      </c>
      <c r="F38" s="61" t="s">
        <v>793</v>
      </c>
      <c r="G38" s="60" t="s">
        <v>213</v>
      </c>
      <c r="H38" s="63">
        <v>45474</v>
      </c>
      <c r="I38" s="63">
        <f t="shared" ref="I38:I59" si="8">H38-180</f>
        <v>45294</v>
      </c>
      <c r="J38" s="60">
        <f t="shared" si="6"/>
        <v>2</v>
      </c>
      <c r="K38" s="60">
        <f t="shared" si="1"/>
        <v>0</v>
      </c>
      <c r="L38" s="60"/>
      <c r="M38" s="60"/>
      <c r="N38" s="60"/>
      <c r="O38" s="60">
        <v>1</v>
      </c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>
        <v>1</v>
      </c>
      <c r="AB38" s="60"/>
      <c r="AC38" s="60"/>
      <c r="AD38" s="60"/>
      <c r="AE38" s="60"/>
      <c r="AF38" s="60"/>
      <c r="AG38" s="60"/>
      <c r="AH38" s="60"/>
      <c r="AI38" s="60"/>
      <c r="AJ38" s="60"/>
      <c r="AK38" s="64">
        <f t="shared" si="2"/>
        <v>395.65999999999997</v>
      </c>
    </row>
    <row r="39" spans="1:37" x14ac:dyDescent="0.25">
      <c r="A39" s="58"/>
      <c r="B39" s="59" t="str">
        <f t="shared" ca="1" si="7"/>
        <v>VENCIDO</v>
      </c>
      <c r="C39" s="60" t="s">
        <v>790</v>
      </c>
      <c r="D39" s="61" t="s">
        <v>841</v>
      </c>
      <c r="E39" s="62" t="s">
        <v>842</v>
      </c>
      <c r="F39" s="61" t="s">
        <v>775</v>
      </c>
      <c r="G39" s="60" t="s">
        <v>213</v>
      </c>
      <c r="H39" s="63">
        <v>45444</v>
      </c>
      <c r="I39" s="63">
        <f t="shared" si="8"/>
        <v>45264</v>
      </c>
      <c r="J39" s="60">
        <f t="shared" si="6"/>
        <v>1</v>
      </c>
      <c r="K39" s="60">
        <f t="shared" si="1"/>
        <v>0</v>
      </c>
      <c r="L39" s="60"/>
      <c r="M39" s="60"/>
      <c r="N39" s="60"/>
      <c r="O39" s="60"/>
      <c r="P39" s="60"/>
      <c r="Q39" s="60">
        <v>1</v>
      </c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4">
        <f t="shared" si="2"/>
        <v>315.35000000000002</v>
      </c>
    </row>
    <row r="40" spans="1:37" hidden="1" x14ac:dyDescent="0.25">
      <c r="A40" s="58" t="s">
        <v>770</v>
      </c>
      <c r="B40" s="59" t="str">
        <f t="shared" ca="1" si="7"/>
        <v>VENCIDO</v>
      </c>
      <c r="C40" s="60" t="s">
        <v>790</v>
      </c>
      <c r="D40" s="61" t="s">
        <v>843</v>
      </c>
      <c r="E40" s="62" t="s">
        <v>844</v>
      </c>
      <c r="F40" s="61" t="s">
        <v>778</v>
      </c>
      <c r="G40" s="60" t="s">
        <v>213</v>
      </c>
      <c r="H40" s="63">
        <v>45292</v>
      </c>
      <c r="I40" s="63">
        <f t="shared" si="8"/>
        <v>45112</v>
      </c>
      <c r="J40" s="60">
        <f t="shared" si="6"/>
        <v>1</v>
      </c>
      <c r="K40" s="60">
        <f t="shared" si="1"/>
        <v>0</v>
      </c>
      <c r="L40" s="60"/>
      <c r="M40" s="60"/>
      <c r="N40" s="60"/>
      <c r="O40" s="60"/>
      <c r="P40" s="60"/>
      <c r="Q40" s="60">
        <v>1</v>
      </c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4">
        <f t="shared" si="2"/>
        <v>315.35000000000002</v>
      </c>
    </row>
    <row r="41" spans="1:37" hidden="1" x14ac:dyDescent="0.25">
      <c r="A41" s="58" t="s">
        <v>770</v>
      </c>
      <c r="B41" s="59" t="str">
        <f t="shared" ca="1" si="7"/>
        <v>VENCIDO</v>
      </c>
      <c r="C41" s="60" t="s">
        <v>790</v>
      </c>
      <c r="D41" s="61" t="s">
        <v>845</v>
      </c>
      <c r="E41" s="62" t="s">
        <v>846</v>
      </c>
      <c r="F41" s="61" t="s">
        <v>778</v>
      </c>
      <c r="G41" s="60" t="s">
        <v>213</v>
      </c>
      <c r="H41" s="63">
        <v>45444</v>
      </c>
      <c r="I41" s="63">
        <f t="shared" si="8"/>
        <v>45264</v>
      </c>
      <c r="J41" s="60">
        <f t="shared" si="6"/>
        <v>1</v>
      </c>
      <c r="K41" s="60">
        <f t="shared" si="1"/>
        <v>0</v>
      </c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>
        <v>1</v>
      </c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4">
        <f t="shared" si="2"/>
        <v>197.84</v>
      </c>
    </row>
    <row r="42" spans="1:37" x14ac:dyDescent="0.25">
      <c r="A42" s="58" t="s">
        <v>770</v>
      </c>
      <c r="B42" s="59" t="str">
        <f t="shared" ca="1" si="7"/>
        <v>VENCIDO</v>
      </c>
      <c r="C42" s="60" t="s">
        <v>790</v>
      </c>
      <c r="D42" s="61" t="s">
        <v>847</v>
      </c>
      <c r="E42" s="62" t="s">
        <v>848</v>
      </c>
      <c r="F42" s="61" t="s">
        <v>775</v>
      </c>
      <c r="G42" s="60" t="s">
        <v>213</v>
      </c>
      <c r="H42" s="63">
        <v>45536</v>
      </c>
      <c r="I42" s="63">
        <f t="shared" si="8"/>
        <v>45356</v>
      </c>
      <c r="J42" s="60">
        <f t="shared" si="6"/>
        <v>1</v>
      </c>
      <c r="K42" s="60">
        <f t="shared" si="1"/>
        <v>0</v>
      </c>
      <c r="L42" s="60"/>
      <c r="M42" s="60"/>
      <c r="N42" s="60"/>
      <c r="O42" s="60"/>
      <c r="P42" s="60"/>
      <c r="Q42" s="60">
        <v>1</v>
      </c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4">
        <f t="shared" si="2"/>
        <v>315.35000000000002</v>
      </c>
    </row>
    <row r="43" spans="1:37" hidden="1" x14ac:dyDescent="0.25">
      <c r="A43" s="58" t="s">
        <v>849</v>
      </c>
      <c r="B43" s="59" t="str">
        <f t="shared" ca="1" si="7"/>
        <v>VENCIDO</v>
      </c>
      <c r="C43" s="60" t="s">
        <v>824</v>
      </c>
      <c r="D43" s="61" t="s">
        <v>850</v>
      </c>
      <c r="E43" s="62" t="s">
        <v>851</v>
      </c>
      <c r="F43" s="61" t="s">
        <v>793</v>
      </c>
      <c r="G43" s="60" t="s">
        <v>213</v>
      </c>
      <c r="H43" s="63">
        <v>45323</v>
      </c>
      <c r="I43" s="63">
        <f t="shared" si="8"/>
        <v>45143</v>
      </c>
      <c r="J43" s="60">
        <f t="shared" si="6"/>
        <v>1</v>
      </c>
      <c r="K43" s="60">
        <f t="shared" si="1"/>
        <v>0</v>
      </c>
      <c r="L43" s="60"/>
      <c r="M43" s="60"/>
      <c r="N43" s="60"/>
      <c r="O43" s="60"/>
      <c r="P43" s="60"/>
      <c r="Q43" s="60">
        <v>1</v>
      </c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4">
        <f t="shared" si="2"/>
        <v>315.35000000000002</v>
      </c>
    </row>
    <row r="44" spans="1:37" hidden="1" x14ac:dyDescent="0.25">
      <c r="A44" s="58"/>
      <c r="B44" s="59" t="str">
        <f t="shared" ca="1" si="7"/>
        <v>VENCIDO</v>
      </c>
      <c r="C44" s="60" t="s">
        <v>790</v>
      </c>
      <c r="D44" s="61" t="s">
        <v>852</v>
      </c>
      <c r="E44" s="62" t="s">
        <v>853</v>
      </c>
      <c r="F44" s="61" t="s">
        <v>793</v>
      </c>
      <c r="G44" s="60" t="s">
        <v>213</v>
      </c>
      <c r="H44" s="63">
        <v>45505</v>
      </c>
      <c r="I44" s="63">
        <f t="shared" si="8"/>
        <v>45325</v>
      </c>
      <c r="J44" s="60">
        <f t="shared" si="6"/>
        <v>2</v>
      </c>
      <c r="K44" s="60">
        <f t="shared" si="1"/>
        <v>0</v>
      </c>
      <c r="L44" s="60"/>
      <c r="M44" s="60"/>
      <c r="N44" s="60"/>
      <c r="O44" s="60"/>
      <c r="P44" s="60"/>
      <c r="Q44" s="60">
        <v>1</v>
      </c>
      <c r="R44" s="60"/>
      <c r="S44" s="60"/>
      <c r="T44" s="60"/>
      <c r="U44" s="60"/>
      <c r="V44" s="60"/>
      <c r="W44" s="60"/>
      <c r="X44" s="60">
        <v>1</v>
      </c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4">
        <f t="shared" si="2"/>
        <v>1017.0400000000001</v>
      </c>
    </row>
    <row r="45" spans="1:37" hidden="1" x14ac:dyDescent="0.25">
      <c r="A45" s="58" t="s">
        <v>770</v>
      </c>
      <c r="B45" s="59" t="str">
        <f t="shared" ca="1" si="7"/>
        <v>VENCIDO</v>
      </c>
      <c r="C45" s="60" t="s">
        <v>790</v>
      </c>
      <c r="D45" s="61" t="s">
        <v>854</v>
      </c>
      <c r="E45" s="62" t="s">
        <v>855</v>
      </c>
      <c r="F45" s="61" t="s">
        <v>778</v>
      </c>
      <c r="G45" s="60" t="s">
        <v>213</v>
      </c>
      <c r="H45" s="63">
        <v>45352</v>
      </c>
      <c r="I45" s="63">
        <f t="shared" si="8"/>
        <v>45172</v>
      </c>
      <c r="J45" s="60">
        <f t="shared" si="6"/>
        <v>1</v>
      </c>
      <c r="K45" s="60">
        <f t="shared" si="1"/>
        <v>0</v>
      </c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>
        <v>1</v>
      </c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4">
        <f t="shared" si="2"/>
        <v>197.84</v>
      </c>
    </row>
    <row r="46" spans="1:37" hidden="1" x14ac:dyDescent="0.25">
      <c r="A46" s="58" t="s">
        <v>770</v>
      </c>
      <c r="B46" s="59" t="str">
        <f t="shared" ca="1" si="7"/>
        <v>VENCIDO</v>
      </c>
      <c r="C46" s="60" t="s">
        <v>790</v>
      </c>
      <c r="D46" s="61" t="s">
        <v>856</v>
      </c>
      <c r="E46" s="62" t="s">
        <v>857</v>
      </c>
      <c r="F46" s="61" t="s">
        <v>778</v>
      </c>
      <c r="G46" s="60" t="s">
        <v>213</v>
      </c>
      <c r="H46" s="63">
        <v>45323</v>
      </c>
      <c r="I46" s="63">
        <f t="shared" si="8"/>
        <v>45143</v>
      </c>
      <c r="J46" s="60">
        <f t="shared" si="6"/>
        <v>2</v>
      </c>
      <c r="K46" s="60">
        <f t="shared" si="1"/>
        <v>0</v>
      </c>
      <c r="L46" s="60"/>
      <c r="M46" s="60"/>
      <c r="N46" s="60"/>
      <c r="O46" s="60"/>
      <c r="P46" s="60"/>
      <c r="Q46" s="60">
        <v>2</v>
      </c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4">
        <f t="shared" si="2"/>
        <v>630.70000000000005</v>
      </c>
    </row>
    <row r="47" spans="1:37" hidden="1" x14ac:dyDescent="0.25">
      <c r="A47" s="58" t="s">
        <v>770</v>
      </c>
      <c r="B47" s="59" t="str">
        <f t="shared" ca="1" si="7"/>
        <v>VENCIDO</v>
      </c>
      <c r="C47" s="60" t="s">
        <v>790</v>
      </c>
      <c r="D47" s="61" t="s">
        <v>858</v>
      </c>
      <c r="E47" s="62" t="s">
        <v>859</v>
      </c>
      <c r="F47" s="61" t="s">
        <v>778</v>
      </c>
      <c r="G47" s="60" t="s">
        <v>213</v>
      </c>
      <c r="H47" s="63">
        <v>45474</v>
      </c>
      <c r="I47" s="63">
        <f t="shared" si="8"/>
        <v>45294</v>
      </c>
      <c r="J47" s="60">
        <f t="shared" si="6"/>
        <v>2</v>
      </c>
      <c r="K47" s="60">
        <f t="shared" si="1"/>
        <v>0</v>
      </c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>
        <v>2</v>
      </c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4">
        <f t="shared" si="2"/>
        <v>395.68</v>
      </c>
    </row>
    <row r="48" spans="1:37" hidden="1" x14ac:dyDescent="0.25">
      <c r="A48" s="58" t="s">
        <v>860</v>
      </c>
      <c r="B48" s="59" t="str">
        <f t="shared" ca="1" si="7"/>
        <v>VENCIDO</v>
      </c>
      <c r="C48" s="60" t="s">
        <v>790</v>
      </c>
      <c r="D48" s="61" t="s">
        <v>861</v>
      </c>
      <c r="E48" s="62" t="s">
        <v>862</v>
      </c>
      <c r="F48" s="61" t="s">
        <v>778</v>
      </c>
      <c r="G48" s="60" t="s">
        <v>213</v>
      </c>
      <c r="H48" s="63">
        <v>45352</v>
      </c>
      <c r="I48" s="63">
        <f t="shared" si="8"/>
        <v>45172</v>
      </c>
      <c r="J48" s="60">
        <f t="shared" si="6"/>
        <v>1</v>
      </c>
      <c r="K48" s="60">
        <f t="shared" si="1"/>
        <v>0</v>
      </c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>
        <v>1</v>
      </c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4">
        <f t="shared" si="2"/>
        <v>197.84</v>
      </c>
    </row>
    <row r="49" spans="1:37" hidden="1" x14ac:dyDescent="0.25">
      <c r="A49" s="58"/>
      <c r="B49" s="59" t="str">
        <f t="shared" ca="1" si="7"/>
        <v>VENCIDO</v>
      </c>
      <c r="C49" s="60" t="s">
        <v>790</v>
      </c>
      <c r="D49" s="61" t="s">
        <v>863</v>
      </c>
      <c r="E49" s="62" t="s">
        <v>864</v>
      </c>
      <c r="F49" s="61" t="s">
        <v>778</v>
      </c>
      <c r="G49" s="60" t="s">
        <v>213</v>
      </c>
      <c r="H49" s="63">
        <v>45566</v>
      </c>
      <c r="I49" s="63">
        <f t="shared" si="8"/>
        <v>45386</v>
      </c>
      <c r="J49" s="60">
        <f t="shared" si="6"/>
        <v>1</v>
      </c>
      <c r="K49" s="60">
        <f t="shared" si="1"/>
        <v>0</v>
      </c>
      <c r="L49" s="60"/>
      <c r="M49" s="60"/>
      <c r="N49" s="60"/>
      <c r="O49" s="60"/>
      <c r="P49" s="60"/>
      <c r="Q49" s="60">
        <v>1</v>
      </c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4">
        <f t="shared" si="2"/>
        <v>315.35000000000002</v>
      </c>
    </row>
    <row r="50" spans="1:37" hidden="1" x14ac:dyDescent="0.25">
      <c r="A50" s="58" t="s">
        <v>770</v>
      </c>
      <c r="B50" s="59" t="str">
        <f t="shared" ca="1" si="7"/>
        <v>VENCIDO</v>
      </c>
      <c r="C50" s="60" t="s">
        <v>790</v>
      </c>
      <c r="D50" s="61" t="s">
        <v>865</v>
      </c>
      <c r="E50" s="62" t="s">
        <v>866</v>
      </c>
      <c r="F50" s="61" t="s">
        <v>778</v>
      </c>
      <c r="G50" s="60" t="s">
        <v>213</v>
      </c>
      <c r="H50" s="63">
        <v>45292</v>
      </c>
      <c r="I50" s="63">
        <f t="shared" si="8"/>
        <v>45112</v>
      </c>
      <c r="J50" s="60">
        <f t="shared" si="6"/>
        <v>2</v>
      </c>
      <c r="K50" s="60">
        <f t="shared" si="1"/>
        <v>0</v>
      </c>
      <c r="L50" s="60"/>
      <c r="M50" s="60"/>
      <c r="N50" s="60"/>
      <c r="O50" s="60">
        <v>2</v>
      </c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4">
        <f t="shared" si="2"/>
        <v>395.64</v>
      </c>
    </row>
    <row r="51" spans="1:37" hidden="1" x14ac:dyDescent="0.25">
      <c r="A51" s="58" t="s">
        <v>770</v>
      </c>
      <c r="B51" s="59" t="str">
        <f t="shared" ca="1" si="7"/>
        <v>VENCIDO</v>
      </c>
      <c r="C51" s="60" t="s">
        <v>790</v>
      </c>
      <c r="D51" s="61" t="s">
        <v>867</v>
      </c>
      <c r="E51" s="62" t="s">
        <v>868</v>
      </c>
      <c r="F51" s="61" t="s">
        <v>778</v>
      </c>
      <c r="G51" s="60" t="s">
        <v>213</v>
      </c>
      <c r="H51" s="63">
        <v>45352</v>
      </c>
      <c r="I51" s="63">
        <f t="shared" si="8"/>
        <v>45172</v>
      </c>
      <c r="J51" s="60">
        <f t="shared" si="6"/>
        <v>1</v>
      </c>
      <c r="K51" s="60">
        <f t="shared" si="1"/>
        <v>0</v>
      </c>
      <c r="L51" s="60">
        <v>1</v>
      </c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4">
        <f t="shared" si="2"/>
        <v>90.44</v>
      </c>
    </row>
    <row r="52" spans="1:37" hidden="1" x14ac:dyDescent="0.25">
      <c r="A52" s="58" t="s">
        <v>849</v>
      </c>
      <c r="B52" s="59" t="str">
        <f t="shared" ca="1" si="7"/>
        <v>VENCIDO</v>
      </c>
      <c r="C52" s="60" t="s">
        <v>869</v>
      </c>
      <c r="D52" s="66" t="s">
        <v>870</v>
      </c>
      <c r="E52" s="62" t="s">
        <v>871</v>
      </c>
      <c r="F52" s="61" t="s">
        <v>793</v>
      </c>
      <c r="G52" s="60" t="s">
        <v>213</v>
      </c>
      <c r="H52" s="63">
        <v>45627</v>
      </c>
      <c r="I52" s="63">
        <f t="shared" si="8"/>
        <v>45447</v>
      </c>
      <c r="J52" s="60">
        <f t="shared" si="6"/>
        <v>5</v>
      </c>
      <c r="K52" s="60">
        <f t="shared" si="1"/>
        <v>0</v>
      </c>
      <c r="L52" s="60"/>
      <c r="M52" s="60"/>
      <c r="N52" s="60"/>
      <c r="O52" s="60">
        <v>1</v>
      </c>
      <c r="P52" s="60">
        <v>1</v>
      </c>
      <c r="Q52" s="60">
        <v>2</v>
      </c>
      <c r="R52" s="60"/>
      <c r="S52" s="60"/>
      <c r="T52" s="60">
        <v>1</v>
      </c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4">
        <f t="shared" si="2"/>
        <v>1640.0800000000002</v>
      </c>
    </row>
    <row r="53" spans="1:37" x14ac:dyDescent="0.25">
      <c r="A53" s="58" t="s">
        <v>770</v>
      </c>
      <c r="B53" s="59" t="str">
        <f t="shared" ca="1" si="7"/>
        <v>VENCIDO</v>
      </c>
      <c r="C53" s="60" t="s">
        <v>790</v>
      </c>
      <c r="D53" s="61" t="s">
        <v>872</v>
      </c>
      <c r="E53" s="62" t="s">
        <v>873</v>
      </c>
      <c r="F53" s="61" t="s">
        <v>775</v>
      </c>
      <c r="G53" s="60" t="s">
        <v>213</v>
      </c>
      <c r="H53" s="63">
        <v>45505</v>
      </c>
      <c r="I53" s="63">
        <f t="shared" si="8"/>
        <v>45325</v>
      </c>
      <c r="J53" s="60">
        <f t="shared" si="6"/>
        <v>1</v>
      </c>
      <c r="K53" s="60">
        <f t="shared" si="1"/>
        <v>0</v>
      </c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>
        <v>1</v>
      </c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4">
        <f t="shared" si="2"/>
        <v>197.84</v>
      </c>
    </row>
    <row r="54" spans="1:37" x14ac:dyDescent="0.25">
      <c r="A54" s="58" t="s">
        <v>770</v>
      </c>
      <c r="B54" s="59" t="str">
        <f t="shared" ca="1" si="7"/>
        <v>VENCIDO</v>
      </c>
      <c r="C54" s="60" t="s">
        <v>790</v>
      </c>
      <c r="D54" s="61" t="s">
        <v>874</v>
      </c>
      <c r="E54" s="62" t="s">
        <v>875</v>
      </c>
      <c r="F54" s="61" t="s">
        <v>775</v>
      </c>
      <c r="G54" s="60" t="s">
        <v>213</v>
      </c>
      <c r="H54" s="63">
        <v>45505</v>
      </c>
      <c r="I54" s="63">
        <f t="shared" si="8"/>
        <v>45325</v>
      </c>
      <c r="J54" s="60">
        <f t="shared" si="6"/>
        <v>1</v>
      </c>
      <c r="K54" s="60">
        <f t="shared" si="1"/>
        <v>0</v>
      </c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>
        <v>1</v>
      </c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4">
        <f t="shared" si="2"/>
        <v>197.84</v>
      </c>
    </row>
    <row r="55" spans="1:37" hidden="1" x14ac:dyDescent="0.25">
      <c r="A55" s="58" t="s">
        <v>770</v>
      </c>
      <c r="B55" s="59" t="str">
        <f t="shared" ca="1" si="7"/>
        <v>VENCIDO</v>
      </c>
      <c r="C55" s="60" t="s">
        <v>869</v>
      </c>
      <c r="D55" s="61" t="s">
        <v>876</v>
      </c>
      <c r="E55" s="62" t="s">
        <v>877</v>
      </c>
      <c r="F55" s="61" t="s">
        <v>793</v>
      </c>
      <c r="G55" s="60" t="s">
        <v>213</v>
      </c>
      <c r="H55" s="63">
        <v>45444</v>
      </c>
      <c r="I55" s="63">
        <f t="shared" si="8"/>
        <v>45264</v>
      </c>
      <c r="J55" s="60">
        <f t="shared" si="6"/>
        <v>5</v>
      </c>
      <c r="K55" s="60">
        <f t="shared" si="1"/>
        <v>0</v>
      </c>
      <c r="L55" s="60"/>
      <c r="M55" s="60"/>
      <c r="N55" s="60"/>
      <c r="O55" s="60"/>
      <c r="P55" s="60"/>
      <c r="Q55" s="60">
        <v>3</v>
      </c>
      <c r="R55" s="60"/>
      <c r="S55" s="60"/>
      <c r="T55" s="60">
        <v>1</v>
      </c>
      <c r="U55" s="60"/>
      <c r="V55" s="60"/>
      <c r="W55" s="60"/>
      <c r="X55" s="60"/>
      <c r="Y55" s="60"/>
      <c r="Z55" s="60"/>
      <c r="AA55" s="60">
        <v>1</v>
      </c>
      <c r="AB55" s="60"/>
      <c r="AC55" s="60"/>
      <c r="AD55" s="60"/>
      <c r="AE55" s="60"/>
      <c r="AF55" s="60"/>
      <c r="AG55" s="60"/>
      <c r="AH55" s="60"/>
      <c r="AI55" s="60"/>
      <c r="AJ55" s="60"/>
      <c r="AK55" s="64">
        <f t="shared" si="2"/>
        <v>1711.36</v>
      </c>
    </row>
    <row r="56" spans="1:37" hidden="1" x14ac:dyDescent="0.25">
      <c r="A56" s="58"/>
      <c r="B56" s="59" t="str">
        <f t="shared" ca="1" si="7"/>
        <v>VENCIDO</v>
      </c>
      <c r="C56" s="60" t="s">
        <v>790</v>
      </c>
      <c r="D56" s="61" t="s">
        <v>878</v>
      </c>
      <c r="E56" s="62" t="s">
        <v>879</v>
      </c>
      <c r="F56" s="61" t="s">
        <v>778</v>
      </c>
      <c r="G56" s="60" t="s">
        <v>213</v>
      </c>
      <c r="H56" s="63">
        <v>45352</v>
      </c>
      <c r="I56" s="63">
        <f t="shared" si="8"/>
        <v>45172</v>
      </c>
      <c r="J56" s="60">
        <f t="shared" si="6"/>
        <v>1</v>
      </c>
      <c r="K56" s="60">
        <f t="shared" si="1"/>
        <v>0</v>
      </c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>
        <v>1</v>
      </c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4">
        <f t="shared" si="2"/>
        <v>197.84</v>
      </c>
    </row>
    <row r="57" spans="1:37" x14ac:dyDescent="0.25">
      <c r="A57" s="58"/>
      <c r="B57" s="59" t="str">
        <f t="shared" ca="1" si="7"/>
        <v>VENCIDO</v>
      </c>
      <c r="C57" s="60" t="s">
        <v>790</v>
      </c>
      <c r="D57" s="61" t="s">
        <v>880</v>
      </c>
      <c r="E57" s="62" t="s">
        <v>881</v>
      </c>
      <c r="F57" s="61" t="s">
        <v>775</v>
      </c>
      <c r="G57" s="60" t="s">
        <v>213</v>
      </c>
      <c r="H57" s="63">
        <v>45444</v>
      </c>
      <c r="I57" s="63">
        <f t="shared" si="8"/>
        <v>45264</v>
      </c>
      <c r="J57" s="60">
        <f t="shared" si="6"/>
        <v>1</v>
      </c>
      <c r="K57" s="60">
        <f t="shared" si="1"/>
        <v>0</v>
      </c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>
        <v>1</v>
      </c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4">
        <f t="shared" si="2"/>
        <v>197.84</v>
      </c>
    </row>
    <row r="58" spans="1:37" x14ac:dyDescent="0.25">
      <c r="A58" s="58" t="s">
        <v>770</v>
      </c>
      <c r="B58" s="59" t="str">
        <f t="shared" ca="1" si="7"/>
        <v>VENCIDO</v>
      </c>
      <c r="C58" s="60" t="s">
        <v>790</v>
      </c>
      <c r="D58" s="61" t="s">
        <v>882</v>
      </c>
      <c r="E58" s="62" t="s">
        <v>883</v>
      </c>
      <c r="F58" s="61" t="s">
        <v>775</v>
      </c>
      <c r="G58" s="60" t="s">
        <v>213</v>
      </c>
      <c r="H58" s="63">
        <v>45292</v>
      </c>
      <c r="I58" s="63">
        <f t="shared" si="8"/>
        <v>45112</v>
      </c>
      <c r="J58" s="60">
        <f t="shared" si="6"/>
        <v>2</v>
      </c>
      <c r="K58" s="60">
        <f t="shared" si="1"/>
        <v>0</v>
      </c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>
        <v>2</v>
      </c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4">
        <f t="shared" si="2"/>
        <v>395.68</v>
      </c>
    </row>
    <row r="59" spans="1:37" x14ac:dyDescent="0.25">
      <c r="A59" s="58" t="s">
        <v>770</v>
      </c>
      <c r="B59" s="59" t="str">
        <f t="shared" ca="1" si="7"/>
        <v>VENCIDO</v>
      </c>
      <c r="C59" s="60" t="s">
        <v>790</v>
      </c>
      <c r="D59" s="61" t="s">
        <v>884</v>
      </c>
      <c r="E59" s="62" t="s">
        <v>885</v>
      </c>
      <c r="F59" s="61" t="s">
        <v>775</v>
      </c>
      <c r="G59" s="60" t="s">
        <v>213</v>
      </c>
      <c r="H59" s="63">
        <v>45383</v>
      </c>
      <c r="I59" s="63">
        <f t="shared" si="8"/>
        <v>45203</v>
      </c>
      <c r="J59" s="60">
        <f t="shared" si="6"/>
        <v>2</v>
      </c>
      <c r="K59" s="60">
        <f t="shared" si="1"/>
        <v>0</v>
      </c>
      <c r="L59" s="60"/>
      <c r="M59" s="60"/>
      <c r="N59" s="60"/>
      <c r="O59" s="60">
        <v>2</v>
      </c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4">
        <f t="shared" si="2"/>
        <v>395.64</v>
      </c>
    </row>
    <row r="60" spans="1:37" x14ac:dyDescent="0.25">
      <c r="A60" s="58" t="s">
        <v>770</v>
      </c>
      <c r="B60" s="59" t="str">
        <f t="shared" ca="1" si="7"/>
        <v>VENCIDO</v>
      </c>
      <c r="C60" s="60" t="s">
        <v>790</v>
      </c>
      <c r="D60" s="61" t="s">
        <v>886</v>
      </c>
      <c r="E60" s="62" t="s">
        <v>887</v>
      </c>
      <c r="F60" s="61" t="s">
        <v>775</v>
      </c>
      <c r="G60" s="60" t="s">
        <v>213</v>
      </c>
      <c r="H60" s="63">
        <v>45413</v>
      </c>
      <c r="I60" s="63">
        <v>45413</v>
      </c>
      <c r="J60" s="60">
        <f t="shared" si="6"/>
        <v>2</v>
      </c>
      <c r="K60" s="60">
        <f t="shared" si="1"/>
        <v>0</v>
      </c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>
        <v>1</v>
      </c>
      <c r="W60" s="60"/>
      <c r="X60" s="60"/>
      <c r="Y60" s="60"/>
      <c r="Z60" s="60"/>
      <c r="AA60" s="60">
        <v>1</v>
      </c>
      <c r="AB60" s="60"/>
      <c r="AC60" s="60"/>
      <c r="AD60" s="60"/>
      <c r="AE60" s="60"/>
      <c r="AF60" s="60"/>
      <c r="AG60" s="60"/>
      <c r="AH60" s="60"/>
      <c r="AI60" s="60"/>
      <c r="AJ60" s="60"/>
      <c r="AK60" s="64">
        <f t="shared" si="2"/>
        <v>395.68</v>
      </c>
    </row>
    <row r="61" spans="1:37" x14ac:dyDescent="0.25">
      <c r="A61" s="58" t="s">
        <v>770</v>
      </c>
      <c r="B61" s="59" t="str">
        <f t="shared" ca="1" si="7"/>
        <v>VENCIDO</v>
      </c>
      <c r="C61" s="60" t="s">
        <v>790</v>
      </c>
      <c r="D61" s="61" t="s">
        <v>888</v>
      </c>
      <c r="E61" s="62" t="s">
        <v>889</v>
      </c>
      <c r="F61" s="61" t="s">
        <v>775</v>
      </c>
      <c r="G61" s="60" t="s">
        <v>213</v>
      </c>
      <c r="H61" s="63">
        <v>45566</v>
      </c>
      <c r="I61" s="63">
        <f>H61-180</f>
        <v>45386</v>
      </c>
      <c r="J61" s="60">
        <f t="shared" si="6"/>
        <v>1</v>
      </c>
      <c r="K61" s="60">
        <f t="shared" si="1"/>
        <v>0</v>
      </c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>
        <v>1</v>
      </c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4">
        <f t="shared" si="2"/>
        <v>197.84</v>
      </c>
    </row>
    <row r="62" spans="1:37" x14ac:dyDescent="0.25">
      <c r="A62" s="58" t="s">
        <v>783</v>
      </c>
      <c r="B62" s="59" t="str">
        <f t="shared" ca="1" si="7"/>
        <v>VENCIDO</v>
      </c>
      <c r="C62" s="60" t="s">
        <v>790</v>
      </c>
      <c r="D62" s="61" t="s">
        <v>890</v>
      </c>
      <c r="E62" s="62" t="s">
        <v>891</v>
      </c>
      <c r="F62" s="61" t="s">
        <v>775</v>
      </c>
      <c r="G62" s="60" t="s">
        <v>213</v>
      </c>
      <c r="H62" s="63">
        <v>45536</v>
      </c>
      <c r="I62" s="63">
        <f>H62-180</f>
        <v>45356</v>
      </c>
      <c r="J62" s="60">
        <f t="shared" si="6"/>
        <v>1</v>
      </c>
      <c r="K62" s="60">
        <f t="shared" si="1"/>
        <v>0</v>
      </c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>
        <v>1</v>
      </c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4">
        <f t="shared" si="2"/>
        <v>197.84</v>
      </c>
    </row>
    <row r="63" spans="1:37" x14ac:dyDescent="0.25">
      <c r="A63" s="58" t="s">
        <v>770</v>
      </c>
      <c r="B63" s="59" t="str">
        <f t="shared" ca="1" si="7"/>
        <v>VENCIDO</v>
      </c>
      <c r="C63" s="60" t="s">
        <v>790</v>
      </c>
      <c r="D63" s="61" t="s">
        <v>892</v>
      </c>
      <c r="E63" s="62" t="s">
        <v>891</v>
      </c>
      <c r="F63" s="61" t="s">
        <v>775</v>
      </c>
      <c r="G63" s="60" t="s">
        <v>213</v>
      </c>
      <c r="H63" s="63">
        <v>45536</v>
      </c>
      <c r="I63" s="63">
        <f>H63-180</f>
        <v>45356</v>
      </c>
      <c r="J63" s="60">
        <v>2</v>
      </c>
      <c r="K63" s="60">
        <f t="shared" si="1"/>
        <v>0</v>
      </c>
      <c r="L63" s="60"/>
      <c r="M63" s="60"/>
      <c r="N63" s="60"/>
      <c r="O63" s="60"/>
      <c r="P63" s="60"/>
      <c r="Q63" s="60">
        <v>2</v>
      </c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4">
        <f t="shared" si="2"/>
        <v>630.70000000000005</v>
      </c>
    </row>
    <row r="64" spans="1:37" hidden="1" x14ac:dyDescent="0.25">
      <c r="A64" s="58" t="s">
        <v>770</v>
      </c>
      <c r="B64" s="59" t="str">
        <f t="shared" ca="1" si="7"/>
        <v>VENCIDO</v>
      </c>
      <c r="C64" s="60" t="s">
        <v>790</v>
      </c>
      <c r="D64" s="61" t="s">
        <v>893</v>
      </c>
      <c r="E64" s="62" t="s">
        <v>894</v>
      </c>
      <c r="F64" s="61" t="s">
        <v>793</v>
      </c>
      <c r="G64" s="60" t="s">
        <v>213</v>
      </c>
      <c r="H64" s="63">
        <v>45505</v>
      </c>
      <c r="I64" s="63">
        <f>H64-180</f>
        <v>45325</v>
      </c>
      <c r="J64" s="60">
        <f t="shared" ref="J64:J75" si="9">SUM(L64:AE64)</f>
        <v>1</v>
      </c>
      <c r="K64" s="60">
        <f t="shared" si="1"/>
        <v>0</v>
      </c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>
        <v>1</v>
      </c>
      <c r="AB64" s="60"/>
      <c r="AC64" s="60"/>
      <c r="AD64" s="60"/>
      <c r="AE64" s="60"/>
      <c r="AF64" s="60"/>
      <c r="AG64" s="60"/>
      <c r="AH64" s="60"/>
      <c r="AI64" s="60"/>
      <c r="AJ64" s="60"/>
      <c r="AK64" s="64">
        <f t="shared" si="2"/>
        <v>197.84</v>
      </c>
    </row>
    <row r="65" spans="1:37" hidden="1" x14ac:dyDescent="0.25">
      <c r="A65" s="58" t="s">
        <v>770</v>
      </c>
      <c r="B65" s="59" t="str">
        <f t="shared" ca="1" si="7"/>
        <v>VENCIDO</v>
      </c>
      <c r="C65" s="60" t="s">
        <v>790</v>
      </c>
      <c r="D65" s="61" t="s">
        <v>895</v>
      </c>
      <c r="E65" s="62" t="s">
        <v>896</v>
      </c>
      <c r="F65" s="61" t="s">
        <v>778</v>
      </c>
      <c r="G65" s="60" t="s">
        <v>213</v>
      </c>
      <c r="H65" s="63">
        <v>45627</v>
      </c>
      <c r="I65" s="63">
        <f>H65-180</f>
        <v>45447</v>
      </c>
      <c r="J65" s="60">
        <f t="shared" si="9"/>
        <v>1</v>
      </c>
      <c r="K65" s="60">
        <f t="shared" si="1"/>
        <v>0</v>
      </c>
      <c r="L65" s="60"/>
      <c r="M65" s="60"/>
      <c r="N65" s="60"/>
      <c r="O65" s="60"/>
      <c r="P65" s="60"/>
      <c r="Q65" s="60">
        <v>1</v>
      </c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4">
        <f t="shared" si="2"/>
        <v>315.35000000000002</v>
      </c>
    </row>
    <row r="66" spans="1:37" x14ac:dyDescent="0.25">
      <c r="A66" s="58" t="s">
        <v>860</v>
      </c>
      <c r="B66" s="59" t="str">
        <f t="shared" ca="1" si="7"/>
        <v>VENCIDO</v>
      </c>
      <c r="C66" s="60" t="s">
        <v>790</v>
      </c>
      <c r="D66" s="61" t="s">
        <v>897</v>
      </c>
      <c r="E66" s="62" t="s">
        <v>898</v>
      </c>
      <c r="F66" s="61" t="s">
        <v>775</v>
      </c>
      <c r="G66" s="60" t="s">
        <v>213</v>
      </c>
      <c r="H66" s="63">
        <v>45474</v>
      </c>
      <c r="I66" s="63">
        <v>45474</v>
      </c>
      <c r="J66" s="60">
        <f t="shared" si="9"/>
        <v>3</v>
      </c>
      <c r="K66" s="60">
        <f t="shared" si="1"/>
        <v>0</v>
      </c>
      <c r="L66" s="60"/>
      <c r="M66" s="60"/>
      <c r="N66" s="60"/>
      <c r="O66" s="60">
        <v>2</v>
      </c>
      <c r="P66" s="60">
        <v>1</v>
      </c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4">
        <f t="shared" si="2"/>
        <v>639.73</v>
      </c>
    </row>
    <row r="67" spans="1:37" hidden="1" x14ac:dyDescent="0.25">
      <c r="A67" s="58" t="s">
        <v>770</v>
      </c>
      <c r="B67" s="59" t="str">
        <f t="shared" ca="1" si="7"/>
        <v>VENCIDO</v>
      </c>
      <c r="C67" s="60" t="s">
        <v>790</v>
      </c>
      <c r="D67" s="61" t="s">
        <v>899</v>
      </c>
      <c r="E67" s="62" t="s">
        <v>900</v>
      </c>
      <c r="F67" s="61" t="s">
        <v>778</v>
      </c>
      <c r="G67" s="60" t="s">
        <v>213</v>
      </c>
      <c r="H67" s="63">
        <v>45505</v>
      </c>
      <c r="I67" s="63">
        <f>H67-180</f>
        <v>45325</v>
      </c>
      <c r="J67" s="60">
        <f t="shared" si="9"/>
        <v>1</v>
      </c>
      <c r="K67" s="60">
        <f t="shared" ref="K67:K130" si="10">SUM(AF67:AJ67)</f>
        <v>0</v>
      </c>
      <c r="L67" s="60"/>
      <c r="M67" s="60"/>
      <c r="N67" s="60"/>
      <c r="O67" s="60"/>
      <c r="P67" s="60"/>
      <c r="Q67" s="60">
        <v>1</v>
      </c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4">
        <f t="shared" ref="AK67:AK130" si="11">IF(L67&gt;0,L67*90.44,0)+IF(M67&gt;0,M67*348.12,0)+IF(N67&gt;0,N67*151.63,0)+IF(O67&gt;0,O67*197.82,0)+IF(P67&gt;0,P67*244.09,0)+IF(Q67&gt;0,Q67*315.35,0)+IF(R67&gt;0,R67*1067.3,0)+IF(T67&gt;0,T67*567.47,0)+IF(U67&gt;0,U67*151.63,0)+IF(V67&gt;0,V67*197.84,0)+IF(W67&gt;0,W67*470.51,0)+IF(X67&gt;0,X67*701.69,0)+IF(Z67&gt;0,Z67*151.63,0)+IF(AA67&gt;0,AA67*197.84)+IF(AB67&gt;0,AB67*308.4,0)+IF(AC67&gt;0,AC67*496.16,0)</f>
        <v>315.35000000000002</v>
      </c>
    </row>
    <row r="68" spans="1:37" hidden="1" x14ac:dyDescent="0.25">
      <c r="A68" s="58" t="s">
        <v>770</v>
      </c>
      <c r="B68" s="59" t="str">
        <f t="shared" ref="B68:B87" ca="1" si="12">IF(H68&lt;$B$1,"VENCIDO","NA VALIDADE")</f>
        <v>VENCIDO</v>
      </c>
      <c r="C68" s="60" t="s">
        <v>790</v>
      </c>
      <c r="D68" s="61" t="s">
        <v>901</v>
      </c>
      <c r="E68" s="62" t="s">
        <v>902</v>
      </c>
      <c r="F68" s="61" t="s">
        <v>778</v>
      </c>
      <c r="G68" s="60" t="s">
        <v>213</v>
      </c>
      <c r="H68" s="63">
        <v>45536</v>
      </c>
      <c r="I68" s="63">
        <f>H68-180</f>
        <v>45356</v>
      </c>
      <c r="J68" s="60">
        <f t="shared" si="9"/>
        <v>1</v>
      </c>
      <c r="K68" s="60">
        <f t="shared" si="10"/>
        <v>0</v>
      </c>
      <c r="L68" s="60">
        <v>1</v>
      </c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4">
        <f t="shared" si="11"/>
        <v>90.44</v>
      </c>
    </row>
    <row r="69" spans="1:37" hidden="1" x14ac:dyDescent="0.25">
      <c r="A69" s="58"/>
      <c r="B69" s="59" t="str">
        <f t="shared" ca="1" si="12"/>
        <v>VENCIDO</v>
      </c>
      <c r="C69" s="60" t="s">
        <v>790</v>
      </c>
      <c r="D69" s="61" t="s">
        <v>903</v>
      </c>
      <c r="E69" s="62" t="s">
        <v>904</v>
      </c>
      <c r="F69" s="61" t="s">
        <v>778</v>
      </c>
      <c r="G69" s="60" t="s">
        <v>213</v>
      </c>
      <c r="H69" s="63">
        <v>45352</v>
      </c>
      <c r="I69" s="63">
        <f>H69-180</f>
        <v>45172</v>
      </c>
      <c r="J69" s="60">
        <f t="shared" si="9"/>
        <v>1</v>
      </c>
      <c r="K69" s="60">
        <f t="shared" si="10"/>
        <v>0</v>
      </c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>
        <v>1</v>
      </c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4">
        <f t="shared" si="11"/>
        <v>197.84</v>
      </c>
    </row>
    <row r="70" spans="1:37" x14ac:dyDescent="0.25">
      <c r="A70" s="58" t="s">
        <v>770</v>
      </c>
      <c r="B70" s="59" t="str">
        <f t="shared" ca="1" si="12"/>
        <v>VENCIDO</v>
      </c>
      <c r="C70" s="60" t="s">
        <v>790</v>
      </c>
      <c r="D70" s="61" t="s">
        <v>905</v>
      </c>
      <c r="E70" s="62" t="s">
        <v>906</v>
      </c>
      <c r="F70" s="61" t="s">
        <v>775</v>
      </c>
      <c r="G70" s="60" t="s">
        <v>213</v>
      </c>
      <c r="H70" s="63">
        <v>45444</v>
      </c>
      <c r="I70" s="63">
        <f>H70-180</f>
        <v>45264</v>
      </c>
      <c r="J70" s="60">
        <f t="shared" si="9"/>
        <v>1</v>
      </c>
      <c r="K70" s="60">
        <f t="shared" si="10"/>
        <v>0</v>
      </c>
      <c r="L70" s="60"/>
      <c r="M70" s="60"/>
      <c r="N70" s="60"/>
      <c r="O70" s="60">
        <v>1</v>
      </c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4">
        <f t="shared" si="11"/>
        <v>197.82</v>
      </c>
    </row>
    <row r="71" spans="1:37" x14ac:dyDescent="0.25">
      <c r="A71" s="58" t="s">
        <v>770</v>
      </c>
      <c r="B71" s="59" t="str">
        <f t="shared" ca="1" si="12"/>
        <v>VENCIDO</v>
      </c>
      <c r="C71" s="60" t="s">
        <v>790</v>
      </c>
      <c r="D71" s="61" t="s">
        <v>907</v>
      </c>
      <c r="E71" s="62" t="s">
        <v>908</v>
      </c>
      <c r="F71" s="61" t="s">
        <v>775</v>
      </c>
      <c r="G71" s="60" t="s">
        <v>213</v>
      </c>
      <c r="H71" s="63">
        <v>45323</v>
      </c>
      <c r="I71" s="63">
        <v>45323</v>
      </c>
      <c r="J71" s="60">
        <f t="shared" si="9"/>
        <v>4</v>
      </c>
      <c r="K71" s="60">
        <f t="shared" si="10"/>
        <v>0</v>
      </c>
      <c r="L71" s="60"/>
      <c r="M71" s="60"/>
      <c r="N71" s="60"/>
      <c r="O71" s="60">
        <v>2</v>
      </c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>
        <v>2</v>
      </c>
      <c r="AB71" s="60"/>
      <c r="AC71" s="60"/>
      <c r="AD71" s="60"/>
      <c r="AE71" s="60"/>
      <c r="AF71" s="60"/>
      <c r="AG71" s="60"/>
      <c r="AH71" s="60"/>
      <c r="AI71" s="60"/>
      <c r="AJ71" s="60"/>
      <c r="AK71" s="64">
        <f t="shared" si="11"/>
        <v>791.31999999999994</v>
      </c>
    </row>
    <row r="72" spans="1:37" x14ac:dyDescent="0.25">
      <c r="A72" s="58" t="s">
        <v>770</v>
      </c>
      <c r="B72" s="59" t="str">
        <f t="shared" ca="1" si="12"/>
        <v>VENCIDO</v>
      </c>
      <c r="C72" s="60" t="s">
        <v>790</v>
      </c>
      <c r="D72" s="61" t="s">
        <v>909</v>
      </c>
      <c r="E72" s="62" t="s">
        <v>910</v>
      </c>
      <c r="F72" s="61" t="s">
        <v>775</v>
      </c>
      <c r="G72" s="60" t="s">
        <v>213</v>
      </c>
      <c r="H72" s="63">
        <v>45566</v>
      </c>
      <c r="I72" s="63">
        <f t="shared" ref="I72:I87" si="13">H72-180</f>
        <v>45386</v>
      </c>
      <c r="J72" s="60">
        <f t="shared" si="9"/>
        <v>1</v>
      </c>
      <c r="K72" s="60">
        <f t="shared" si="10"/>
        <v>0</v>
      </c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>
        <v>1</v>
      </c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4">
        <f t="shared" si="11"/>
        <v>197.84</v>
      </c>
    </row>
    <row r="73" spans="1:37" x14ac:dyDescent="0.25">
      <c r="A73" s="58" t="s">
        <v>770</v>
      </c>
      <c r="B73" s="59" t="str">
        <f t="shared" ca="1" si="12"/>
        <v>VENCIDO</v>
      </c>
      <c r="C73" s="60" t="s">
        <v>790</v>
      </c>
      <c r="D73" s="61" t="s">
        <v>911</v>
      </c>
      <c r="E73" s="62" t="s">
        <v>912</v>
      </c>
      <c r="F73" s="61" t="s">
        <v>775</v>
      </c>
      <c r="G73" s="60" t="s">
        <v>213</v>
      </c>
      <c r="H73" s="63">
        <v>45536</v>
      </c>
      <c r="I73" s="63">
        <f t="shared" si="13"/>
        <v>45356</v>
      </c>
      <c r="J73" s="60">
        <f t="shared" si="9"/>
        <v>1</v>
      </c>
      <c r="K73" s="60">
        <f t="shared" si="10"/>
        <v>0</v>
      </c>
      <c r="L73" s="60"/>
      <c r="M73" s="60"/>
      <c r="N73" s="60"/>
      <c r="O73" s="60">
        <v>1</v>
      </c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4">
        <f t="shared" si="11"/>
        <v>197.82</v>
      </c>
    </row>
    <row r="74" spans="1:37" hidden="1" x14ac:dyDescent="0.25">
      <c r="A74" s="58" t="s">
        <v>770</v>
      </c>
      <c r="B74" s="59" t="str">
        <f t="shared" ca="1" si="12"/>
        <v>VENCIDO</v>
      </c>
      <c r="C74" s="60" t="s">
        <v>790</v>
      </c>
      <c r="D74" s="61" t="s">
        <v>913</v>
      </c>
      <c r="E74" s="62" t="s">
        <v>914</v>
      </c>
      <c r="F74" s="61" t="s">
        <v>778</v>
      </c>
      <c r="G74" s="60" t="s">
        <v>213</v>
      </c>
      <c r="H74" s="63">
        <v>45352</v>
      </c>
      <c r="I74" s="63">
        <f t="shared" si="13"/>
        <v>45172</v>
      </c>
      <c r="J74" s="60">
        <f t="shared" si="9"/>
        <v>1</v>
      </c>
      <c r="K74" s="60">
        <f t="shared" si="10"/>
        <v>0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>
        <v>1</v>
      </c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4">
        <f t="shared" si="11"/>
        <v>197.84</v>
      </c>
    </row>
    <row r="75" spans="1:37" hidden="1" x14ac:dyDescent="0.25">
      <c r="A75" s="58" t="s">
        <v>783</v>
      </c>
      <c r="B75" s="59" t="str">
        <f t="shared" ca="1" si="12"/>
        <v>VENCIDO</v>
      </c>
      <c r="C75" s="60" t="s">
        <v>790</v>
      </c>
      <c r="D75" s="61" t="s">
        <v>915</v>
      </c>
      <c r="E75" s="62" t="s">
        <v>916</v>
      </c>
      <c r="F75" s="61" t="s">
        <v>793</v>
      </c>
      <c r="G75" s="60" t="s">
        <v>213</v>
      </c>
      <c r="H75" s="63">
        <v>45413</v>
      </c>
      <c r="I75" s="63">
        <f t="shared" si="13"/>
        <v>45233</v>
      </c>
      <c r="J75" s="60">
        <f t="shared" si="9"/>
        <v>1</v>
      </c>
      <c r="K75" s="60">
        <f t="shared" si="10"/>
        <v>0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>
        <v>1</v>
      </c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4">
        <f t="shared" si="11"/>
        <v>197.84</v>
      </c>
    </row>
    <row r="76" spans="1:37" x14ac:dyDescent="0.25">
      <c r="A76" s="58" t="s">
        <v>770</v>
      </c>
      <c r="B76" s="59" t="str">
        <f t="shared" ca="1" si="12"/>
        <v>VENCIDO</v>
      </c>
      <c r="C76" s="60" t="s">
        <v>790</v>
      </c>
      <c r="D76" s="61" t="s">
        <v>917</v>
      </c>
      <c r="E76" s="62" t="s">
        <v>918</v>
      </c>
      <c r="F76" s="61" t="s">
        <v>775</v>
      </c>
      <c r="G76" s="60" t="s">
        <v>213</v>
      </c>
      <c r="H76" s="63">
        <v>45474</v>
      </c>
      <c r="I76" s="63">
        <f t="shared" si="13"/>
        <v>45294</v>
      </c>
      <c r="J76" s="60">
        <v>1</v>
      </c>
      <c r="K76" s="60">
        <f t="shared" si="10"/>
        <v>0</v>
      </c>
      <c r="L76" s="60"/>
      <c r="M76" s="60"/>
      <c r="N76" s="60"/>
      <c r="O76" s="60">
        <v>1</v>
      </c>
      <c r="P76" s="60"/>
      <c r="Q76" s="60"/>
      <c r="R76" s="60"/>
      <c r="S76" s="60"/>
      <c r="T76" s="60"/>
      <c r="U76" s="60"/>
      <c r="V76" s="60">
        <v>1</v>
      </c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4">
        <f t="shared" si="11"/>
        <v>395.65999999999997</v>
      </c>
    </row>
    <row r="77" spans="1:37" hidden="1" x14ac:dyDescent="0.25">
      <c r="A77" s="58" t="s">
        <v>770</v>
      </c>
      <c r="B77" s="59" t="str">
        <f t="shared" ca="1" si="12"/>
        <v>VENCIDO</v>
      </c>
      <c r="C77" s="60" t="s">
        <v>790</v>
      </c>
      <c r="D77" s="61" t="s">
        <v>919</v>
      </c>
      <c r="E77" s="62" t="s">
        <v>920</v>
      </c>
      <c r="F77" s="61" t="s">
        <v>778</v>
      </c>
      <c r="G77" s="60" t="s">
        <v>213</v>
      </c>
      <c r="H77" s="63">
        <v>45505</v>
      </c>
      <c r="I77" s="63">
        <f t="shared" si="13"/>
        <v>45325</v>
      </c>
      <c r="J77" s="60">
        <f t="shared" ref="J77:J108" si="14">SUM(L77:AE77)</f>
        <v>1</v>
      </c>
      <c r="K77" s="60">
        <f t="shared" si="10"/>
        <v>0</v>
      </c>
      <c r="L77" s="60"/>
      <c r="M77" s="60"/>
      <c r="N77" s="60">
        <v>1</v>
      </c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4">
        <f t="shared" si="11"/>
        <v>151.63</v>
      </c>
    </row>
    <row r="78" spans="1:37" hidden="1" x14ac:dyDescent="0.25">
      <c r="A78" s="58"/>
      <c r="B78" s="59" t="str">
        <f t="shared" ca="1" si="12"/>
        <v>VENCIDO</v>
      </c>
      <c r="C78" s="60" t="s">
        <v>790</v>
      </c>
      <c r="D78" s="61" t="s">
        <v>921</v>
      </c>
      <c r="E78" s="62" t="s">
        <v>922</v>
      </c>
      <c r="F78" s="61" t="s">
        <v>778</v>
      </c>
      <c r="G78" s="60" t="s">
        <v>213</v>
      </c>
      <c r="H78" s="63">
        <v>45352</v>
      </c>
      <c r="I78" s="63">
        <f t="shared" si="13"/>
        <v>45172</v>
      </c>
      <c r="J78" s="60">
        <f t="shared" si="14"/>
        <v>1</v>
      </c>
      <c r="K78" s="60">
        <f t="shared" si="10"/>
        <v>0</v>
      </c>
      <c r="L78" s="60"/>
      <c r="M78" s="60"/>
      <c r="N78" s="60"/>
      <c r="O78" s="60"/>
      <c r="P78" s="60"/>
      <c r="Q78" s="60">
        <v>1</v>
      </c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4">
        <f t="shared" si="11"/>
        <v>315.35000000000002</v>
      </c>
    </row>
    <row r="79" spans="1:37" x14ac:dyDescent="0.25">
      <c r="A79" s="58" t="s">
        <v>783</v>
      </c>
      <c r="B79" s="59" t="str">
        <f t="shared" ca="1" si="12"/>
        <v>VENCIDO</v>
      </c>
      <c r="C79" s="60" t="s">
        <v>790</v>
      </c>
      <c r="D79" s="61" t="s">
        <v>923</v>
      </c>
      <c r="E79" s="62" t="s">
        <v>924</v>
      </c>
      <c r="F79" s="61" t="s">
        <v>775</v>
      </c>
      <c r="G79" s="60" t="s">
        <v>213</v>
      </c>
      <c r="H79" s="63">
        <v>45474</v>
      </c>
      <c r="I79" s="63">
        <f t="shared" si="13"/>
        <v>45294</v>
      </c>
      <c r="J79" s="60">
        <f t="shared" si="14"/>
        <v>1</v>
      </c>
      <c r="K79" s="60">
        <f t="shared" si="10"/>
        <v>0</v>
      </c>
      <c r="L79" s="60"/>
      <c r="M79" s="60"/>
      <c r="N79" s="60"/>
      <c r="O79" s="60"/>
      <c r="P79" s="60">
        <v>1</v>
      </c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4">
        <f t="shared" si="11"/>
        <v>244.09</v>
      </c>
    </row>
    <row r="80" spans="1:37" hidden="1" x14ac:dyDescent="0.25">
      <c r="A80" s="58"/>
      <c r="B80" s="59" t="str">
        <f t="shared" ca="1" si="12"/>
        <v>VENCIDO</v>
      </c>
      <c r="C80" s="60" t="s">
        <v>790</v>
      </c>
      <c r="D80" s="61" t="s">
        <v>925</v>
      </c>
      <c r="E80" s="62" t="s">
        <v>926</v>
      </c>
      <c r="F80" s="61" t="s">
        <v>778</v>
      </c>
      <c r="G80" s="60" t="s">
        <v>213</v>
      </c>
      <c r="H80" s="63">
        <v>45444</v>
      </c>
      <c r="I80" s="63">
        <f t="shared" si="13"/>
        <v>45264</v>
      </c>
      <c r="J80" s="60">
        <f t="shared" si="14"/>
        <v>2</v>
      </c>
      <c r="K80" s="60">
        <f t="shared" si="10"/>
        <v>0</v>
      </c>
      <c r="L80" s="60"/>
      <c r="M80" s="60"/>
      <c r="N80" s="60"/>
      <c r="O80" s="60"/>
      <c r="P80" s="60"/>
      <c r="Q80" s="60">
        <v>2</v>
      </c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4">
        <f t="shared" si="11"/>
        <v>630.70000000000005</v>
      </c>
    </row>
    <row r="81" spans="1:37" x14ac:dyDescent="0.25">
      <c r="A81" s="58" t="s">
        <v>770</v>
      </c>
      <c r="B81" s="59" t="str">
        <f t="shared" ca="1" si="12"/>
        <v>VENCIDO</v>
      </c>
      <c r="C81" s="60" t="s">
        <v>790</v>
      </c>
      <c r="D81" s="61" t="s">
        <v>927</v>
      </c>
      <c r="E81" s="62" t="s">
        <v>928</v>
      </c>
      <c r="F81" s="61" t="s">
        <v>775</v>
      </c>
      <c r="G81" s="60" t="s">
        <v>213</v>
      </c>
      <c r="H81" s="63">
        <v>45323</v>
      </c>
      <c r="I81" s="63">
        <f t="shared" si="13"/>
        <v>45143</v>
      </c>
      <c r="J81" s="60">
        <f t="shared" si="14"/>
        <v>2</v>
      </c>
      <c r="K81" s="60">
        <f t="shared" si="10"/>
        <v>0</v>
      </c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>
        <v>2</v>
      </c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4">
        <f t="shared" si="11"/>
        <v>395.68</v>
      </c>
    </row>
    <row r="82" spans="1:37" hidden="1" x14ac:dyDescent="0.25">
      <c r="A82" s="58" t="s">
        <v>770</v>
      </c>
      <c r="B82" s="59" t="str">
        <f t="shared" ca="1" si="12"/>
        <v>VENCIDO</v>
      </c>
      <c r="C82" s="60" t="s">
        <v>790</v>
      </c>
      <c r="D82" s="61" t="s">
        <v>929</v>
      </c>
      <c r="E82" s="62" t="s">
        <v>930</v>
      </c>
      <c r="F82" s="61" t="s">
        <v>778</v>
      </c>
      <c r="G82" s="60" t="s">
        <v>213</v>
      </c>
      <c r="H82" s="63">
        <v>45292</v>
      </c>
      <c r="I82" s="63">
        <f t="shared" si="13"/>
        <v>45112</v>
      </c>
      <c r="J82" s="60">
        <f t="shared" si="14"/>
        <v>2</v>
      </c>
      <c r="K82" s="60">
        <f t="shared" si="10"/>
        <v>0</v>
      </c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>
        <v>2</v>
      </c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4">
        <f t="shared" si="11"/>
        <v>395.68</v>
      </c>
    </row>
    <row r="83" spans="1:37" hidden="1" x14ac:dyDescent="0.25">
      <c r="A83" s="58" t="s">
        <v>783</v>
      </c>
      <c r="B83" s="59" t="str">
        <f t="shared" ca="1" si="12"/>
        <v>VENCIDO</v>
      </c>
      <c r="C83" s="60" t="s">
        <v>869</v>
      </c>
      <c r="D83" s="61" t="s">
        <v>931</v>
      </c>
      <c r="E83" s="62" t="s">
        <v>851</v>
      </c>
      <c r="F83" s="61" t="s">
        <v>793</v>
      </c>
      <c r="G83" s="60" t="s">
        <v>213</v>
      </c>
      <c r="H83" s="63">
        <v>45505</v>
      </c>
      <c r="I83" s="63">
        <f t="shared" si="13"/>
        <v>45325</v>
      </c>
      <c r="J83" s="60">
        <f t="shared" si="14"/>
        <v>2</v>
      </c>
      <c r="K83" s="60">
        <f t="shared" si="10"/>
        <v>0</v>
      </c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>
        <v>2</v>
      </c>
      <c r="AB83" s="60"/>
      <c r="AC83" s="60"/>
      <c r="AD83" s="60"/>
      <c r="AE83" s="60"/>
      <c r="AF83" s="60"/>
      <c r="AG83" s="60"/>
      <c r="AH83" s="60"/>
      <c r="AI83" s="60"/>
      <c r="AJ83" s="60"/>
      <c r="AK83" s="64">
        <f t="shared" si="11"/>
        <v>395.68</v>
      </c>
    </row>
    <row r="84" spans="1:37" x14ac:dyDescent="0.25">
      <c r="A84" s="58" t="s">
        <v>770</v>
      </c>
      <c r="B84" s="59" t="str">
        <f t="shared" ca="1" si="12"/>
        <v>VENCIDO</v>
      </c>
      <c r="C84" s="60" t="s">
        <v>790</v>
      </c>
      <c r="D84" s="61" t="s">
        <v>932</v>
      </c>
      <c r="E84" s="62" t="s">
        <v>933</v>
      </c>
      <c r="F84" s="61" t="s">
        <v>775</v>
      </c>
      <c r="G84" s="60" t="s">
        <v>213</v>
      </c>
      <c r="H84" s="63">
        <v>45566</v>
      </c>
      <c r="I84" s="63">
        <f t="shared" si="13"/>
        <v>45386</v>
      </c>
      <c r="J84" s="60">
        <f t="shared" si="14"/>
        <v>1</v>
      </c>
      <c r="K84" s="60">
        <f t="shared" si="10"/>
        <v>0</v>
      </c>
      <c r="L84" s="60"/>
      <c r="M84" s="60"/>
      <c r="N84" s="60"/>
      <c r="O84" s="60">
        <v>1</v>
      </c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4">
        <f t="shared" si="11"/>
        <v>197.82</v>
      </c>
    </row>
    <row r="85" spans="1:37" hidden="1" x14ac:dyDescent="0.25">
      <c r="A85" s="58" t="s">
        <v>770</v>
      </c>
      <c r="B85" s="59" t="str">
        <f t="shared" ca="1" si="12"/>
        <v>VENCIDO</v>
      </c>
      <c r="C85" s="60" t="s">
        <v>790</v>
      </c>
      <c r="D85" s="61" t="s">
        <v>934</v>
      </c>
      <c r="E85" s="62" t="s">
        <v>935</v>
      </c>
      <c r="F85" s="61" t="s">
        <v>778</v>
      </c>
      <c r="G85" s="60" t="s">
        <v>213</v>
      </c>
      <c r="H85" s="63">
        <v>45352</v>
      </c>
      <c r="I85" s="63">
        <f t="shared" si="13"/>
        <v>45172</v>
      </c>
      <c r="J85" s="60">
        <f t="shared" si="14"/>
        <v>2</v>
      </c>
      <c r="K85" s="60">
        <f t="shared" si="10"/>
        <v>0</v>
      </c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>
        <v>2</v>
      </c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4">
        <f t="shared" si="11"/>
        <v>395.68</v>
      </c>
    </row>
    <row r="86" spans="1:37" x14ac:dyDescent="0.25">
      <c r="A86" s="58" t="s">
        <v>770</v>
      </c>
      <c r="B86" s="59" t="str">
        <f t="shared" ca="1" si="12"/>
        <v>VENCIDO</v>
      </c>
      <c r="C86" s="60" t="s">
        <v>790</v>
      </c>
      <c r="D86" s="61" t="s">
        <v>936</v>
      </c>
      <c r="E86" s="62" t="s">
        <v>937</v>
      </c>
      <c r="F86" s="61" t="s">
        <v>775</v>
      </c>
      <c r="G86" s="60" t="s">
        <v>213</v>
      </c>
      <c r="H86" s="63">
        <v>45505</v>
      </c>
      <c r="I86" s="63">
        <f t="shared" si="13"/>
        <v>45325</v>
      </c>
      <c r="J86" s="60">
        <f t="shared" si="14"/>
        <v>2</v>
      </c>
      <c r="K86" s="60">
        <f t="shared" si="10"/>
        <v>0</v>
      </c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>
        <v>2</v>
      </c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4">
        <f t="shared" si="11"/>
        <v>395.68</v>
      </c>
    </row>
    <row r="87" spans="1:37" x14ac:dyDescent="0.25">
      <c r="A87" s="58" t="s">
        <v>938</v>
      </c>
      <c r="B87" s="59" t="str">
        <f t="shared" ca="1" si="12"/>
        <v>VENCIDO</v>
      </c>
      <c r="C87" s="60" t="s">
        <v>790</v>
      </c>
      <c r="D87" s="61" t="s">
        <v>939</v>
      </c>
      <c r="E87" s="62" t="s">
        <v>940</v>
      </c>
      <c r="F87" s="61" t="s">
        <v>775</v>
      </c>
      <c r="G87" s="60" t="s">
        <v>213</v>
      </c>
      <c r="H87" s="63">
        <v>45383</v>
      </c>
      <c r="I87" s="63">
        <f t="shared" si="13"/>
        <v>45203</v>
      </c>
      <c r="J87" s="60">
        <f t="shared" si="14"/>
        <v>2</v>
      </c>
      <c r="K87" s="60">
        <f t="shared" si="10"/>
        <v>0</v>
      </c>
      <c r="L87" s="60"/>
      <c r="M87" s="60"/>
      <c r="N87" s="60"/>
      <c r="O87" s="60">
        <v>2</v>
      </c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4">
        <f t="shared" si="11"/>
        <v>395.64</v>
      </c>
    </row>
    <row r="88" spans="1:37" hidden="1" x14ac:dyDescent="0.25">
      <c r="A88" s="58" t="s">
        <v>770</v>
      </c>
      <c r="B88" s="59"/>
      <c r="C88" s="60" t="s">
        <v>824</v>
      </c>
      <c r="D88" s="61" t="s">
        <v>941</v>
      </c>
      <c r="E88" s="62" t="s">
        <v>942</v>
      </c>
      <c r="F88" s="61" t="s">
        <v>793</v>
      </c>
      <c r="G88" s="60" t="s">
        <v>213</v>
      </c>
      <c r="H88" s="63"/>
      <c r="I88" s="63"/>
      <c r="J88" s="60">
        <f t="shared" si="14"/>
        <v>0</v>
      </c>
      <c r="K88" s="60">
        <f t="shared" si="10"/>
        <v>0</v>
      </c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4">
        <f t="shared" si="11"/>
        <v>0</v>
      </c>
    </row>
    <row r="89" spans="1:37" hidden="1" x14ac:dyDescent="0.25">
      <c r="A89" s="58" t="s">
        <v>770</v>
      </c>
      <c r="B89" s="59" t="str">
        <f t="shared" ref="B89:B152" ca="1" si="15">IF(H89&lt;$B$1,"VENCIDO","NA VALIDADE")</f>
        <v>VENCIDO</v>
      </c>
      <c r="C89" s="60" t="s">
        <v>790</v>
      </c>
      <c r="D89" s="61" t="s">
        <v>943</v>
      </c>
      <c r="E89" s="62" t="s">
        <v>944</v>
      </c>
      <c r="F89" s="61" t="s">
        <v>793</v>
      </c>
      <c r="G89" s="60" t="s">
        <v>213</v>
      </c>
      <c r="H89" s="63">
        <v>45323</v>
      </c>
      <c r="I89" s="63">
        <f t="shared" ref="I89:I135" si="16">H89-180</f>
        <v>45143</v>
      </c>
      <c r="J89" s="60">
        <f t="shared" si="14"/>
        <v>2</v>
      </c>
      <c r="K89" s="60">
        <f t="shared" si="10"/>
        <v>0</v>
      </c>
      <c r="L89" s="60"/>
      <c r="M89" s="60"/>
      <c r="N89" s="60"/>
      <c r="O89" s="60"/>
      <c r="P89" s="60"/>
      <c r="Q89" s="60">
        <v>2</v>
      </c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4">
        <f t="shared" si="11"/>
        <v>630.70000000000005</v>
      </c>
    </row>
    <row r="90" spans="1:37" hidden="1" x14ac:dyDescent="0.25">
      <c r="A90" s="58" t="s">
        <v>770</v>
      </c>
      <c r="B90" s="59" t="str">
        <f t="shared" ca="1" si="15"/>
        <v>VENCIDO</v>
      </c>
      <c r="C90" s="60" t="s">
        <v>790</v>
      </c>
      <c r="D90" s="61" t="s">
        <v>945</v>
      </c>
      <c r="E90" s="62" t="s">
        <v>946</v>
      </c>
      <c r="F90" s="61" t="s">
        <v>778</v>
      </c>
      <c r="G90" s="60" t="s">
        <v>213</v>
      </c>
      <c r="H90" s="63">
        <v>45474</v>
      </c>
      <c r="I90" s="63">
        <f t="shared" si="16"/>
        <v>45294</v>
      </c>
      <c r="J90" s="60">
        <f t="shared" si="14"/>
        <v>1</v>
      </c>
      <c r="K90" s="60">
        <f t="shared" si="10"/>
        <v>0</v>
      </c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>
        <v>1</v>
      </c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4">
        <f t="shared" si="11"/>
        <v>197.84</v>
      </c>
    </row>
    <row r="91" spans="1:37" x14ac:dyDescent="0.25">
      <c r="A91" s="58" t="s">
        <v>770</v>
      </c>
      <c r="B91" s="59" t="str">
        <f t="shared" ca="1" si="15"/>
        <v>VENCIDO</v>
      </c>
      <c r="C91" s="60" t="s">
        <v>790</v>
      </c>
      <c r="D91" s="61" t="s">
        <v>947</v>
      </c>
      <c r="E91" s="62" t="s">
        <v>948</v>
      </c>
      <c r="F91" s="61" t="s">
        <v>775</v>
      </c>
      <c r="G91" s="60" t="s">
        <v>213</v>
      </c>
      <c r="H91" s="63">
        <v>45597</v>
      </c>
      <c r="I91" s="63">
        <f t="shared" si="16"/>
        <v>45417</v>
      </c>
      <c r="J91" s="60">
        <f t="shared" si="14"/>
        <v>1</v>
      </c>
      <c r="K91" s="60">
        <f t="shared" si="10"/>
        <v>0</v>
      </c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>
        <v>1</v>
      </c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4">
        <f t="shared" si="11"/>
        <v>197.84</v>
      </c>
    </row>
    <row r="92" spans="1:37" hidden="1" x14ac:dyDescent="0.25">
      <c r="A92" s="58" t="s">
        <v>783</v>
      </c>
      <c r="B92" s="59" t="str">
        <f t="shared" ca="1" si="15"/>
        <v>VENCIDO</v>
      </c>
      <c r="C92" s="60" t="s">
        <v>790</v>
      </c>
      <c r="D92" s="61" t="s">
        <v>949</v>
      </c>
      <c r="E92" s="62" t="s">
        <v>851</v>
      </c>
      <c r="F92" s="61" t="s">
        <v>793</v>
      </c>
      <c r="G92" s="60" t="s">
        <v>213</v>
      </c>
      <c r="H92" s="63">
        <v>45323</v>
      </c>
      <c r="I92" s="63">
        <f t="shared" si="16"/>
        <v>45143</v>
      </c>
      <c r="J92" s="60">
        <f t="shared" si="14"/>
        <v>2</v>
      </c>
      <c r="K92" s="60">
        <f t="shared" si="10"/>
        <v>0</v>
      </c>
      <c r="L92" s="60"/>
      <c r="M92" s="60"/>
      <c r="N92" s="60"/>
      <c r="O92" s="60"/>
      <c r="P92" s="60"/>
      <c r="Q92" s="60">
        <v>2</v>
      </c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4">
        <f t="shared" si="11"/>
        <v>630.70000000000005</v>
      </c>
    </row>
    <row r="93" spans="1:37" hidden="1" x14ac:dyDescent="0.25">
      <c r="A93" s="58" t="s">
        <v>783</v>
      </c>
      <c r="B93" s="59" t="str">
        <f t="shared" ca="1" si="15"/>
        <v>VENCIDO</v>
      </c>
      <c r="C93" s="60" t="s">
        <v>790</v>
      </c>
      <c r="D93" s="61" t="s">
        <v>950</v>
      </c>
      <c r="E93" s="62" t="s">
        <v>951</v>
      </c>
      <c r="F93" s="61" t="s">
        <v>778</v>
      </c>
      <c r="G93" s="60" t="s">
        <v>213</v>
      </c>
      <c r="H93" s="63">
        <v>45474</v>
      </c>
      <c r="I93" s="63">
        <f t="shared" si="16"/>
        <v>45294</v>
      </c>
      <c r="J93" s="60">
        <f t="shared" si="14"/>
        <v>1</v>
      </c>
      <c r="K93" s="60">
        <f t="shared" si="10"/>
        <v>0</v>
      </c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>
        <v>1</v>
      </c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4">
        <f t="shared" si="11"/>
        <v>701.69</v>
      </c>
    </row>
    <row r="94" spans="1:37" hidden="1" x14ac:dyDescent="0.25">
      <c r="A94" s="58" t="s">
        <v>770</v>
      </c>
      <c r="B94" s="59" t="str">
        <f t="shared" ca="1" si="15"/>
        <v>VENCIDO</v>
      </c>
      <c r="C94" s="60" t="s">
        <v>790</v>
      </c>
      <c r="D94" s="61" t="s">
        <v>952</v>
      </c>
      <c r="E94" s="62" t="s">
        <v>877</v>
      </c>
      <c r="F94" s="61" t="s">
        <v>793</v>
      </c>
      <c r="G94" s="60" t="s">
        <v>213</v>
      </c>
      <c r="H94" s="63">
        <v>45474</v>
      </c>
      <c r="I94" s="63">
        <f t="shared" si="16"/>
        <v>45294</v>
      </c>
      <c r="J94" s="60">
        <f t="shared" si="14"/>
        <v>1</v>
      </c>
      <c r="K94" s="60">
        <f t="shared" si="10"/>
        <v>0</v>
      </c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>
        <v>1</v>
      </c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4">
        <f t="shared" si="11"/>
        <v>197.84</v>
      </c>
    </row>
    <row r="95" spans="1:37" hidden="1" x14ac:dyDescent="0.25">
      <c r="A95" s="58" t="s">
        <v>770</v>
      </c>
      <c r="B95" s="59" t="str">
        <f t="shared" ca="1" si="15"/>
        <v>VENCIDO</v>
      </c>
      <c r="C95" s="60" t="s">
        <v>790</v>
      </c>
      <c r="D95" s="61" t="s">
        <v>953</v>
      </c>
      <c r="E95" s="62" t="s">
        <v>954</v>
      </c>
      <c r="F95" s="61" t="s">
        <v>778</v>
      </c>
      <c r="G95" s="60" t="s">
        <v>213</v>
      </c>
      <c r="H95" s="63">
        <v>45444</v>
      </c>
      <c r="I95" s="63">
        <f t="shared" si="16"/>
        <v>45264</v>
      </c>
      <c r="J95" s="60">
        <f t="shared" si="14"/>
        <v>1</v>
      </c>
      <c r="K95" s="60">
        <f t="shared" si="10"/>
        <v>0</v>
      </c>
      <c r="L95" s="60"/>
      <c r="M95" s="60"/>
      <c r="N95" s="60"/>
      <c r="O95" s="60"/>
      <c r="P95" s="60"/>
      <c r="Q95" s="60">
        <v>1</v>
      </c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4">
        <f t="shared" si="11"/>
        <v>315.35000000000002</v>
      </c>
    </row>
    <row r="96" spans="1:37" x14ac:dyDescent="0.25">
      <c r="A96" s="58" t="s">
        <v>770</v>
      </c>
      <c r="B96" s="59" t="str">
        <f t="shared" ca="1" si="15"/>
        <v>VENCIDO</v>
      </c>
      <c r="C96" s="60" t="s">
        <v>790</v>
      </c>
      <c r="D96" s="61" t="s">
        <v>955</v>
      </c>
      <c r="E96" s="62" t="s">
        <v>956</v>
      </c>
      <c r="F96" s="61" t="s">
        <v>775</v>
      </c>
      <c r="G96" s="60" t="s">
        <v>213</v>
      </c>
      <c r="H96" s="63">
        <v>45352</v>
      </c>
      <c r="I96" s="63">
        <f t="shared" si="16"/>
        <v>45172</v>
      </c>
      <c r="J96" s="60">
        <f t="shared" si="14"/>
        <v>2</v>
      </c>
      <c r="K96" s="60">
        <f t="shared" si="10"/>
        <v>0</v>
      </c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>
        <v>2</v>
      </c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4">
        <f t="shared" si="11"/>
        <v>395.68</v>
      </c>
    </row>
    <row r="97" spans="1:37" x14ac:dyDescent="0.25">
      <c r="A97" s="58" t="s">
        <v>770</v>
      </c>
      <c r="B97" s="59" t="str">
        <f t="shared" ca="1" si="15"/>
        <v>VENCIDO</v>
      </c>
      <c r="C97" s="60" t="s">
        <v>790</v>
      </c>
      <c r="D97" s="61" t="s">
        <v>957</v>
      </c>
      <c r="E97" s="62" t="s">
        <v>958</v>
      </c>
      <c r="F97" s="61" t="s">
        <v>775</v>
      </c>
      <c r="G97" s="60" t="s">
        <v>213</v>
      </c>
      <c r="H97" s="63">
        <v>45536</v>
      </c>
      <c r="I97" s="63">
        <f t="shared" si="16"/>
        <v>45356</v>
      </c>
      <c r="J97" s="60">
        <f t="shared" si="14"/>
        <v>2</v>
      </c>
      <c r="K97" s="60">
        <f t="shared" si="10"/>
        <v>0</v>
      </c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>
        <v>2</v>
      </c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4">
        <f t="shared" si="11"/>
        <v>395.68</v>
      </c>
    </row>
    <row r="98" spans="1:37" hidden="1" x14ac:dyDescent="0.25">
      <c r="A98" s="58" t="s">
        <v>783</v>
      </c>
      <c r="B98" s="59" t="str">
        <f t="shared" ca="1" si="15"/>
        <v>VENCIDO</v>
      </c>
      <c r="C98" s="60" t="s">
        <v>790</v>
      </c>
      <c r="D98" s="61" t="s">
        <v>959</v>
      </c>
      <c r="E98" s="62" t="s">
        <v>960</v>
      </c>
      <c r="F98" s="61" t="s">
        <v>778</v>
      </c>
      <c r="G98" s="60" t="s">
        <v>213</v>
      </c>
      <c r="H98" s="63">
        <v>45352</v>
      </c>
      <c r="I98" s="63">
        <f t="shared" si="16"/>
        <v>45172</v>
      </c>
      <c r="J98" s="60">
        <f t="shared" si="14"/>
        <v>1</v>
      </c>
      <c r="K98" s="60">
        <f t="shared" si="10"/>
        <v>0</v>
      </c>
      <c r="L98" s="60"/>
      <c r="M98" s="60"/>
      <c r="N98" s="60"/>
      <c r="O98" s="60"/>
      <c r="P98" s="60"/>
      <c r="Q98" s="60">
        <v>1</v>
      </c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4">
        <f t="shared" si="11"/>
        <v>315.35000000000002</v>
      </c>
    </row>
    <row r="99" spans="1:37" hidden="1" x14ac:dyDescent="0.25">
      <c r="A99" s="58"/>
      <c r="B99" s="59" t="str">
        <f t="shared" ca="1" si="15"/>
        <v>VENCIDO</v>
      </c>
      <c r="C99" s="60" t="s">
        <v>790</v>
      </c>
      <c r="D99" s="61" t="s">
        <v>961</v>
      </c>
      <c r="E99" s="62" t="s">
        <v>806</v>
      </c>
      <c r="F99" s="61" t="s">
        <v>778</v>
      </c>
      <c r="G99" s="60" t="s">
        <v>213</v>
      </c>
      <c r="H99" s="63">
        <v>45383</v>
      </c>
      <c r="I99" s="63">
        <f t="shared" si="16"/>
        <v>45203</v>
      </c>
      <c r="J99" s="60">
        <f t="shared" si="14"/>
        <v>2</v>
      </c>
      <c r="K99" s="60">
        <f t="shared" si="10"/>
        <v>0</v>
      </c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>
        <v>2</v>
      </c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4">
        <f t="shared" si="11"/>
        <v>395.68</v>
      </c>
    </row>
    <row r="100" spans="1:37" hidden="1" x14ac:dyDescent="0.25">
      <c r="A100" s="58"/>
      <c r="B100" s="59" t="str">
        <f t="shared" ca="1" si="15"/>
        <v>VENCIDO</v>
      </c>
      <c r="C100" s="60" t="s">
        <v>790</v>
      </c>
      <c r="D100" s="61" t="s">
        <v>962</v>
      </c>
      <c r="E100" s="62" t="s">
        <v>963</v>
      </c>
      <c r="F100" s="61" t="s">
        <v>778</v>
      </c>
      <c r="G100" s="60" t="s">
        <v>213</v>
      </c>
      <c r="H100" s="63">
        <v>45352</v>
      </c>
      <c r="I100" s="63">
        <f t="shared" si="16"/>
        <v>45172</v>
      </c>
      <c r="J100" s="60">
        <f t="shared" si="14"/>
        <v>2</v>
      </c>
      <c r="K100" s="60">
        <f t="shared" si="10"/>
        <v>0</v>
      </c>
      <c r="L100" s="60"/>
      <c r="M100" s="60"/>
      <c r="N100" s="60"/>
      <c r="O100" s="60">
        <v>1</v>
      </c>
      <c r="P100" s="60"/>
      <c r="Q100" s="60">
        <v>1</v>
      </c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4">
        <f t="shared" si="11"/>
        <v>513.17000000000007</v>
      </c>
    </row>
    <row r="101" spans="1:37" hidden="1" x14ac:dyDescent="0.25">
      <c r="A101" s="58" t="s">
        <v>770</v>
      </c>
      <c r="B101" s="59" t="str">
        <f t="shared" ca="1" si="15"/>
        <v>VENCIDO</v>
      </c>
      <c r="C101" s="60" t="s">
        <v>869</v>
      </c>
      <c r="D101" s="66" t="s">
        <v>964</v>
      </c>
      <c r="E101" s="62" t="s">
        <v>965</v>
      </c>
      <c r="F101" s="61" t="s">
        <v>793</v>
      </c>
      <c r="G101" s="60" t="s">
        <v>213</v>
      </c>
      <c r="H101" s="63">
        <v>45627</v>
      </c>
      <c r="I101" s="63">
        <f t="shared" si="16"/>
        <v>45447</v>
      </c>
      <c r="J101" s="60">
        <f t="shared" si="14"/>
        <v>12</v>
      </c>
      <c r="K101" s="60">
        <f t="shared" si="10"/>
        <v>0</v>
      </c>
      <c r="L101" s="60"/>
      <c r="M101" s="60"/>
      <c r="N101" s="60"/>
      <c r="O101" s="60"/>
      <c r="P101" s="60">
        <v>2</v>
      </c>
      <c r="Q101" s="60">
        <v>8</v>
      </c>
      <c r="R101" s="60"/>
      <c r="S101" s="60"/>
      <c r="T101" s="60">
        <v>2</v>
      </c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4">
        <f t="shared" si="11"/>
        <v>4145.92</v>
      </c>
    </row>
    <row r="102" spans="1:37" hidden="1" x14ac:dyDescent="0.25">
      <c r="A102" s="58" t="s">
        <v>770</v>
      </c>
      <c r="B102" s="59" t="str">
        <f t="shared" ca="1" si="15"/>
        <v>VENCIDO</v>
      </c>
      <c r="C102" s="60" t="s">
        <v>790</v>
      </c>
      <c r="D102" s="61" t="s">
        <v>966</v>
      </c>
      <c r="E102" s="62" t="s">
        <v>942</v>
      </c>
      <c r="F102" s="61" t="s">
        <v>793</v>
      </c>
      <c r="G102" s="60" t="s">
        <v>213</v>
      </c>
      <c r="H102" s="63">
        <v>45444</v>
      </c>
      <c r="I102" s="63">
        <f t="shared" si="16"/>
        <v>45264</v>
      </c>
      <c r="J102" s="60">
        <f t="shared" si="14"/>
        <v>1</v>
      </c>
      <c r="K102" s="60">
        <f t="shared" si="10"/>
        <v>0</v>
      </c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>
        <v>1</v>
      </c>
      <c r="AB102" s="60"/>
      <c r="AC102" s="60"/>
      <c r="AD102" s="60"/>
      <c r="AE102" s="60"/>
      <c r="AF102" s="60"/>
      <c r="AG102" s="60"/>
      <c r="AH102" s="60"/>
      <c r="AI102" s="60"/>
      <c r="AJ102" s="60"/>
      <c r="AK102" s="64">
        <f t="shared" si="11"/>
        <v>197.84</v>
      </c>
    </row>
    <row r="103" spans="1:37" x14ac:dyDescent="0.25">
      <c r="A103" s="58" t="s">
        <v>770</v>
      </c>
      <c r="B103" s="59" t="str">
        <f t="shared" ca="1" si="15"/>
        <v>VENCIDO</v>
      </c>
      <c r="C103" s="60" t="s">
        <v>790</v>
      </c>
      <c r="D103" s="61" t="s">
        <v>967</v>
      </c>
      <c r="E103" s="62" t="s">
        <v>968</v>
      </c>
      <c r="F103" s="61" t="s">
        <v>775</v>
      </c>
      <c r="G103" s="60" t="s">
        <v>213</v>
      </c>
      <c r="H103" s="63">
        <v>45505</v>
      </c>
      <c r="I103" s="63">
        <f t="shared" si="16"/>
        <v>45325</v>
      </c>
      <c r="J103" s="60">
        <f t="shared" si="14"/>
        <v>1</v>
      </c>
      <c r="K103" s="60">
        <f t="shared" si="10"/>
        <v>0</v>
      </c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>
        <v>1</v>
      </c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4">
        <f t="shared" si="11"/>
        <v>197.84</v>
      </c>
    </row>
    <row r="104" spans="1:37" hidden="1" x14ac:dyDescent="0.25">
      <c r="A104" s="58" t="s">
        <v>860</v>
      </c>
      <c r="B104" s="59" t="str">
        <f t="shared" ca="1" si="15"/>
        <v>VENCIDO</v>
      </c>
      <c r="C104" s="60" t="s">
        <v>790</v>
      </c>
      <c r="D104" s="61" t="s">
        <v>969</v>
      </c>
      <c r="E104" s="62" t="s">
        <v>970</v>
      </c>
      <c r="F104" s="61" t="s">
        <v>793</v>
      </c>
      <c r="G104" s="60" t="s">
        <v>213</v>
      </c>
      <c r="H104" s="63">
        <v>45597</v>
      </c>
      <c r="I104" s="63">
        <f t="shared" si="16"/>
        <v>45417</v>
      </c>
      <c r="J104" s="60">
        <f t="shared" si="14"/>
        <v>1</v>
      </c>
      <c r="K104" s="60">
        <f t="shared" si="10"/>
        <v>0</v>
      </c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>
        <v>1</v>
      </c>
      <c r="AB104" s="60"/>
      <c r="AC104" s="60"/>
      <c r="AD104" s="60"/>
      <c r="AE104" s="60"/>
      <c r="AF104" s="60"/>
      <c r="AG104" s="60"/>
      <c r="AH104" s="60"/>
      <c r="AI104" s="60"/>
      <c r="AJ104" s="60"/>
      <c r="AK104" s="64">
        <f t="shared" si="11"/>
        <v>197.84</v>
      </c>
    </row>
    <row r="105" spans="1:37" x14ac:dyDescent="0.25">
      <c r="A105" s="58" t="s">
        <v>770</v>
      </c>
      <c r="B105" s="59" t="str">
        <f t="shared" ca="1" si="15"/>
        <v>VENCIDO</v>
      </c>
      <c r="C105" s="60" t="s">
        <v>790</v>
      </c>
      <c r="D105" s="61" t="s">
        <v>971</v>
      </c>
      <c r="E105" s="62" t="s">
        <v>972</v>
      </c>
      <c r="F105" s="61" t="s">
        <v>775</v>
      </c>
      <c r="G105" s="60" t="s">
        <v>213</v>
      </c>
      <c r="H105" s="63">
        <v>45536</v>
      </c>
      <c r="I105" s="63">
        <f t="shared" si="16"/>
        <v>45356</v>
      </c>
      <c r="J105" s="60">
        <f t="shared" si="14"/>
        <v>1</v>
      </c>
      <c r="K105" s="60">
        <f t="shared" si="10"/>
        <v>0</v>
      </c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>
        <v>1</v>
      </c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4">
        <f t="shared" si="11"/>
        <v>197.84</v>
      </c>
    </row>
    <row r="106" spans="1:37" hidden="1" x14ac:dyDescent="0.25">
      <c r="A106" s="58" t="s">
        <v>770</v>
      </c>
      <c r="B106" s="59" t="str">
        <f t="shared" ca="1" si="15"/>
        <v>VENCIDO</v>
      </c>
      <c r="C106" s="60" t="s">
        <v>790</v>
      </c>
      <c r="D106" s="61" t="s">
        <v>973</v>
      </c>
      <c r="E106" s="62" t="s">
        <v>974</v>
      </c>
      <c r="F106" s="61" t="s">
        <v>793</v>
      </c>
      <c r="G106" s="60" t="s">
        <v>213</v>
      </c>
      <c r="H106" s="63">
        <v>45474</v>
      </c>
      <c r="I106" s="63">
        <f t="shared" si="16"/>
        <v>45294</v>
      </c>
      <c r="J106" s="60">
        <f t="shared" si="14"/>
        <v>1</v>
      </c>
      <c r="K106" s="60">
        <f t="shared" si="10"/>
        <v>0</v>
      </c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>
        <v>1</v>
      </c>
      <c r="AB106" s="60"/>
      <c r="AC106" s="60"/>
      <c r="AD106" s="60"/>
      <c r="AE106" s="60"/>
      <c r="AF106" s="60"/>
      <c r="AG106" s="60"/>
      <c r="AH106" s="60"/>
      <c r="AI106" s="60"/>
      <c r="AJ106" s="60"/>
      <c r="AK106" s="64">
        <f t="shared" si="11"/>
        <v>197.84</v>
      </c>
    </row>
    <row r="107" spans="1:37" x14ac:dyDescent="0.25">
      <c r="A107" s="58" t="s">
        <v>783</v>
      </c>
      <c r="B107" s="59" t="str">
        <f t="shared" ca="1" si="15"/>
        <v>VENCIDO</v>
      </c>
      <c r="C107" s="60" t="s">
        <v>790</v>
      </c>
      <c r="D107" s="61" t="s">
        <v>975</v>
      </c>
      <c r="E107" s="62" t="s">
        <v>976</v>
      </c>
      <c r="F107" s="61" t="s">
        <v>775</v>
      </c>
      <c r="G107" s="60" t="s">
        <v>213</v>
      </c>
      <c r="H107" s="63">
        <v>45536</v>
      </c>
      <c r="I107" s="63">
        <f t="shared" si="16"/>
        <v>45356</v>
      </c>
      <c r="J107" s="60">
        <f t="shared" si="14"/>
        <v>1</v>
      </c>
      <c r="K107" s="60">
        <f t="shared" si="10"/>
        <v>0</v>
      </c>
      <c r="L107" s="60"/>
      <c r="M107" s="60"/>
      <c r="N107" s="60"/>
      <c r="O107" s="60"/>
      <c r="P107" s="60"/>
      <c r="Q107" s="60">
        <v>1</v>
      </c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4">
        <f t="shared" si="11"/>
        <v>315.35000000000002</v>
      </c>
    </row>
    <row r="108" spans="1:37" x14ac:dyDescent="0.25">
      <c r="A108" s="58" t="s">
        <v>770</v>
      </c>
      <c r="B108" s="59" t="str">
        <f t="shared" ca="1" si="15"/>
        <v>VENCIDO</v>
      </c>
      <c r="C108" s="60" t="s">
        <v>790</v>
      </c>
      <c r="D108" s="61" t="s">
        <v>977</v>
      </c>
      <c r="E108" s="62" t="s">
        <v>978</v>
      </c>
      <c r="F108" s="61" t="s">
        <v>775</v>
      </c>
      <c r="G108" s="60" t="s">
        <v>213</v>
      </c>
      <c r="H108" s="63">
        <v>45352</v>
      </c>
      <c r="I108" s="63">
        <f t="shared" si="16"/>
        <v>45172</v>
      </c>
      <c r="J108" s="60">
        <f t="shared" si="14"/>
        <v>1</v>
      </c>
      <c r="K108" s="60">
        <f t="shared" si="10"/>
        <v>0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>
        <v>1</v>
      </c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4">
        <f t="shared" si="11"/>
        <v>197.84</v>
      </c>
    </row>
    <row r="109" spans="1:37" x14ac:dyDescent="0.25">
      <c r="A109" s="58" t="s">
        <v>770</v>
      </c>
      <c r="B109" s="59" t="str">
        <f t="shared" ca="1" si="15"/>
        <v>VENCIDO</v>
      </c>
      <c r="C109" s="60" t="s">
        <v>790</v>
      </c>
      <c r="D109" s="61" t="s">
        <v>979</v>
      </c>
      <c r="E109" s="62" t="s">
        <v>980</v>
      </c>
      <c r="F109" s="61" t="s">
        <v>775</v>
      </c>
      <c r="G109" s="60" t="s">
        <v>213</v>
      </c>
      <c r="H109" s="63">
        <v>45505</v>
      </c>
      <c r="I109" s="63">
        <f t="shared" si="16"/>
        <v>45325</v>
      </c>
      <c r="J109" s="60">
        <f t="shared" ref="J109:J136" si="17">SUM(L109:AE109)</f>
        <v>1</v>
      </c>
      <c r="K109" s="60">
        <f t="shared" si="10"/>
        <v>0</v>
      </c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>
        <v>1</v>
      </c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4">
        <f t="shared" si="11"/>
        <v>197.84</v>
      </c>
    </row>
    <row r="110" spans="1:37" hidden="1" x14ac:dyDescent="0.25">
      <c r="A110" s="58" t="s">
        <v>770</v>
      </c>
      <c r="B110" s="59" t="str">
        <f t="shared" ca="1" si="15"/>
        <v>VENCIDO</v>
      </c>
      <c r="C110" s="60" t="s">
        <v>790</v>
      </c>
      <c r="D110" s="61" t="s">
        <v>981</v>
      </c>
      <c r="E110" s="62" t="s">
        <v>982</v>
      </c>
      <c r="F110" s="61" t="s">
        <v>778</v>
      </c>
      <c r="G110" s="60" t="s">
        <v>213</v>
      </c>
      <c r="H110" s="63">
        <v>45444</v>
      </c>
      <c r="I110" s="63">
        <f t="shared" si="16"/>
        <v>45264</v>
      </c>
      <c r="J110" s="60">
        <f t="shared" si="17"/>
        <v>1</v>
      </c>
      <c r="K110" s="60">
        <f t="shared" si="10"/>
        <v>0</v>
      </c>
      <c r="L110" s="60"/>
      <c r="M110" s="60"/>
      <c r="N110" s="60"/>
      <c r="O110" s="60"/>
      <c r="P110" s="60"/>
      <c r="Q110" s="60">
        <v>1</v>
      </c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4">
        <f t="shared" si="11"/>
        <v>315.35000000000002</v>
      </c>
    </row>
    <row r="111" spans="1:37" hidden="1" x14ac:dyDescent="0.25">
      <c r="A111" s="58" t="s">
        <v>770</v>
      </c>
      <c r="B111" s="59" t="str">
        <f t="shared" ca="1" si="15"/>
        <v>VENCIDO</v>
      </c>
      <c r="C111" s="60" t="s">
        <v>790</v>
      </c>
      <c r="D111" s="61" t="s">
        <v>983</v>
      </c>
      <c r="E111" s="62" t="s">
        <v>984</v>
      </c>
      <c r="F111" s="61" t="s">
        <v>778</v>
      </c>
      <c r="G111" s="60" t="s">
        <v>213</v>
      </c>
      <c r="H111" s="63">
        <v>45352</v>
      </c>
      <c r="I111" s="63">
        <f t="shared" si="16"/>
        <v>45172</v>
      </c>
      <c r="J111" s="60">
        <f t="shared" si="17"/>
        <v>1</v>
      </c>
      <c r="K111" s="60">
        <f t="shared" si="10"/>
        <v>0</v>
      </c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>
        <v>1</v>
      </c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4">
        <f t="shared" si="11"/>
        <v>197.84</v>
      </c>
    </row>
    <row r="112" spans="1:37" x14ac:dyDescent="0.25">
      <c r="A112" s="58" t="s">
        <v>770</v>
      </c>
      <c r="B112" s="59" t="str">
        <f t="shared" ca="1" si="15"/>
        <v>VENCIDO</v>
      </c>
      <c r="C112" s="60" t="s">
        <v>790</v>
      </c>
      <c r="D112" s="61" t="s">
        <v>985</v>
      </c>
      <c r="E112" s="62" t="s">
        <v>986</v>
      </c>
      <c r="F112" s="61" t="s">
        <v>775</v>
      </c>
      <c r="G112" s="60" t="s">
        <v>213</v>
      </c>
      <c r="H112" s="63">
        <v>45566</v>
      </c>
      <c r="I112" s="63">
        <f t="shared" si="16"/>
        <v>45386</v>
      </c>
      <c r="J112" s="60">
        <f t="shared" si="17"/>
        <v>1</v>
      </c>
      <c r="K112" s="60">
        <f t="shared" si="10"/>
        <v>0</v>
      </c>
      <c r="L112" s="60"/>
      <c r="M112" s="60"/>
      <c r="N112" s="60"/>
      <c r="O112" s="60">
        <v>1</v>
      </c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4">
        <f t="shared" si="11"/>
        <v>197.82</v>
      </c>
    </row>
    <row r="113" spans="1:37" hidden="1" x14ac:dyDescent="0.25">
      <c r="A113" s="58"/>
      <c r="B113" s="59" t="str">
        <f t="shared" ca="1" si="15"/>
        <v>VENCIDO</v>
      </c>
      <c r="C113" s="60" t="s">
        <v>790</v>
      </c>
      <c r="D113" s="61" t="s">
        <v>987</v>
      </c>
      <c r="E113" s="62" t="s">
        <v>988</v>
      </c>
      <c r="F113" s="61" t="s">
        <v>778</v>
      </c>
      <c r="G113" s="60" t="s">
        <v>213</v>
      </c>
      <c r="H113" s="63">
        <v>45444</v>
      </c>
      <c r="I113" s="63">
        <f t="shared" si="16"/>
        <v>45264</v>
      </c>
      <c r="J113" s="60">
        <f t="shared" si="17"/>
        <v>2</v>
      </c>
      <c r="K113" s="60">
        <f t="shared" si="10"/>
        <v>0</v>
      </c>
      <c r="L113" s="60"/>
      <c r="M113" s="60"/>
      <c r="N113" s="60"/>
      <c r="O113" s="60">
        <v>1</v>
      </c>
      <c r="P113" s="60"/>
      <c r="Q113" s="60">
        <v>1</v>
      </c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4">
        <f t="shared" si="11"/>
        <v>513.17000000000007</v>
      </c>
    </row>
    <row r="114" spans="1:37" x14ac:dyDescent="0.25">
      <c r="A114" s="67"/>
      <c r="B114" s="59" t="str">
        <f t="shared" ca="1" si="15"/>
        <v>VENCIDO</v>
      </c>
      <c r="C114" s="60" t="s">
        <v>790</v>
      </c>
      <c r="D114" s="61" t="s">
        <v>989</v>
      </c>
      <c r="E114" s="62" t="s">
        <v>990</v>
      </c>
      <c r="F114" s="61" t="s">
        <v>775</v>
      </c>
      <c r="G114" s="60" t="s">
        <v>213</v>
      </c>
      <c r="H114" s="63">
        <v>45292</v>
      </c>
      <c r="I114" s="63">
        <f t="shared" si="16"/>
        <v>45112</v>
      </c>
      <c r="J114" s="60">
        <f t="shared" si="17"/>
        <v>1</v>
      </c>
      <c r="K114" s="60">
        <f t="shared" si="10"/>
        <v>0</v>
      </c>
      <c r="L114" s="60"/>
      <c r="M114" s="60"/>
      <c r="N114" s="60"/>
      <c r="O114" s="60">
        <v>1</v>
      </c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4">
        <f t="shared" si="11"/>
        <v>197.82</v>
      </c>
    </row>
    <row r="115" spans="1:37" hidden="1" x14ac:dyDescent="0.25">
      <c r="A115" s="58" t="s">
        <v>783</v>
      </c>
      <c r="B115" s="59" t="str">
        <f t="shared" ca="1" si="15"/>
        <v>VENCIDO</v>
      </c>
      <c r="C115" s="60" t="s">
        <v>790</v>
      </c>
      <c r="D115" s="61" t="s">
        <v>991</v>
      </c>
      <c r="E115" s="62" t="s">
        <v>992</v>
      </c>
      <c r="F115" s="61" t="s">
        <v>793</v>
      </c>
      <c r="G115" s="60" t="s">
        <v>213</v>
      </c>
      <c r="H115" s="63">
        <v>45444</v>
      </c>
      <c r="I115" s="63">
        <f t="shared" si="16"/>
        <v>45264</v>
      </c>
      <c r="J115" s="60">
        <f t="shared" si="17"/>
        <v>1</v>
      </c>
      <c r="K115" s="60">
        <f t="shared" si="10"/>
        <v>0</v>
      </c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>
        <v>1</v>
      </c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4">
        <f t="shared" si="11"/>
        <v>197.84</v>
      </c>
    </row>
    <row r="116" spans="1:37" x14ac:dyDescent="0.25">
      <c r="A116" s="58" t="s">
        <v>770</v>
      </c>
      <c r="B116" s="59" t="str">
        <f t="shared" ca="1" si="15"/>
        <v>VENCIDO</v>
      </c>
      <c r="C116" s="60" t="s">
        <v>790</v>
      </c>
      <c r="D116" s="61" t="s">
        <v>993</v>
      </c>
      <c r="E116" s="62" t="s">
        <v>994</v>
      </c>
      <c r="F116" s="61" t="s">
        <v>775</v>
      </c>
      <c r="G116" s="60" t="s">
        <v>213</v>
      </c>
      <c r="H116" s="63">
        <v>45474</v>
      </c>
      <c r="I116" s="63">
        <f t="shared" si="16"/>
        <v>45294</v>
      </c>
      <c r="J116" s="60">
        <f t="shared" si="17"/>
        <v>8</v>
      </c>
      <c r="K116" s="60">
        <f t="shared" si="10"/>
        <v>4</v>
      </c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>
        <v>8</v>
      </c>
      <c r="W116" s="60"/>
      <c r="X116" s="60"/>
      <c r="Y116" s="60"/>
      <c r="Z116" s="60"/>
      <c r="AA116" s="60"/>
      <c r="AB116" s="60"/>
      <c r="AC116" s="60"/>
      <c r="AD116" s="60"/>
      <c r="AE116" s="60"/>
      <c r="AF116" s="60">
        <v>4</v>
      </c>
      <c r="AG116" s="60"/>
      <c r="AH116" s="60"/>
      <c r="AI116" s="60"/>
      <c r="AJ116" s="60"/>
      <c r="AK116" s="64">
        <f t="shared" si="11"/>
        <v>1582.72</v>
      </c>
    </row>
    <row r="117" spans="1:37" hidden="1" x14ac:dyDescent="0.25">
      <c r="A117" s="58" t="s">
        <v>783</v>
      </c>
      <c r="B117" s="59" t="str">
        <f t="shared" ca="1" si="15"/>
        <v>VENCIDO</v>
      </c>
      <c r="C117" s="60" t="s">
        <v>790</v>
      </c>
      <c r="D117" s="61" t="s">
        <v>995</v>
      </c>
      <c r="E117" s="62" t="s">
        <v>996</v>
      </c>
      <c r="F117" s="61" t="s">
        <v>778</v>
      </c>
      <c r="G117" s="60" t="s">
        <v>213</v>
      </c>
      <c r="H117" s="63">
        <v>45352</v>
      </c>
      <c r="I117" s="63">
        <f t="shared" si="16"/>
        <v>45172</v>
      </c>
      <c r="J117" s="60">
        <f t="shared" si="17"/>
        <v>2</v>
      </c>
      <c r="K117" s="60">
        <f t="shared" si="10"/>
        <v>0</v>
      </c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>
        <v>2</v>
      </c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4">
        <f t="shared" si="11"/>
        <v>395.68</v>
      </c>
    </row>
    <row r="118" spans="1:37" x14ac:dyDescent="0.25">
      <c r="A118" s="58" t="s">
        <v>860</v>
      </c>
      <c r="B118" s="59" t="str">
        <f t="shared" ca="1" si="15"/>
        <v>VENCIDO</v>
      </c>
      <c r="C118" s="60" t="s">
        <v>790</v>
      </c>
      <c r="D118" s="61" t="s">
        <v>997</v>
      </c>
      <c r="E118" s="62" t="s">
        <v>998</v>
      </c>
      <c r="F118" s="61" t="s">
        <v>775</v>
      </c>
      <c r="G118" s="60" t="s">
        <v>213</v>
      </c>
      <c r="H118" s="63">
        <v>45505</v>
      </c>
      <c r="I118" s="63">
        <f t="shared" si="16"/>
        <v>45325</v>
      </c>
      <c r="J118" s="60">
        <f t="shared" si="17"/>
        <v>1</v>
      </c>
      <c r="K118" s="60">
        <f t="shared" si="10"/>
        <v>0</v>
      </c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>
        <v>1</v>
      </c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4">
        <f t="shared" si="11"/>
        <v>197.84</v>
      </c>
    </row>
    <row r="119" spans="1:37" hidden="1" x14ac:dyDescent="0.25">
      <c r="A119" s="58" t="s">
        <v>860</v>
      </c>
      <c r="B119" s="59" t="str">
        <f t="shared" ca="1" si="15"/>
        <v>VENCIDO</v>
      </c>
      <c r="C119" s="60" t="s">
        <v>790</v>
      </c>
      <c r="D119" s="61" t="s">
        <v>999</v>
      </c>
      <c r="E119" s="62" t="s">
        <v>1000</v>
      </c>
      <c r="F119" s="61" t="s">
        <v>778</v>
      </c>
      <c r="G119" s="60" t="s">
        <v>213</v>
      </c>
      <c r="H119" s="63">
        <v>45352</v>
      </c>
      <c r="I119" s="63">
        <f t="shared" si="16"/>
        <v>45172</v>
      </c>
      <c r="J119" s="60">
        <f t="shared" si="17"/>
        <v>1</v>
      </c>
      <c r="K119" s="60">
        <f t="shared" si="10"/>
        <v>0</v>
      </c>
      <c r="L119" s="60"/>
      <c r="M119" s="60"/>
      <c r="N119" s="60"/>
      <c r="O119" s="60"/>
      <c r="P119" s="60"/>
      <c r="Q119" s="60">
        <v>1</v>
      </c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4">
        <f t="shared" si="11"/>
        <v>315.35000000000002</v>
      </c>
    </row>
    <row r="120" spans="1:37" hidden="1" x14ac:dyDescent="0.25">
      <c r="A120" s="58"/>
      <c r="B120" s="59" t="str">
        <f t="shared" ca="1" si="15"/>
        <v>VENCIDO</v>
      </c>
      <c r="C120" s="60" t="s">
        <v>790</v>
      </c>
      <c r="D120" s="61" t="s">
        <v>1001</v>
      </c>
      <c r="E120" s="62" t="s">
        <v>1002</v>
      </c>
      <c r="F120" s="61" t="s">
        <v>778</v>
      </c>
      <c r="G120" s="60" t="s">
        <v>213</v>
      </c>
      <c r="H120" s="63">
        <v>45352</v>
      </c>
      <c r="I120" s="63">
        <f t="shared" si="16"/>
        <v>45172</v>
      </c>
      <c r="J120" s="60">
        <f t="shared" si="17"/>
        <v>1</v>
      </c>
      <c r="K120" s="60">
        <f t="shared" si="10"/>
        <v>0</v>
      </c>
      <c r="L120" s="60"/>
      <c r="M120" s="60"/>
      <c r="N120" s="60"/>
      <c r="O120" s="60"/>
      <c r="P120" s="60"/>
      <c r="Q120" s="60">
        <v>1</v>
      </c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4">
        <f t="shared" si="11"/>
        <v>315.35000000000002</v>
      </c>
    </row>
    <row r="121" spans="1:37" x14ac:dyDescent="0.25">
      <c r="A121" s="58" t="s">
        <v>770</v>
      </c>
      <c r="B121" s="59" t="str">
        <f t="shared" ca="1" si="15"/>
        <v>VENCIDO</v>
      </c>
      <c r="C121" s="60" t="s">
        <v>790</v>
      </c>
      <c r="D121" s="61" t="s">
        <v>1003</v>
      </c>
      <c r="E121" s="62" t="s">
        <v>1004</v>
      </c>
      <c r="F121" s="61" t="s">
        <v>775</v>
      </c>
      <c r="G121" s="60" t="s">
        <v>213</v>
      </c>
      <c r="H121" s="63">
        <v>45536</v>
      </c>
      <c r="I121" s="63">
        <f t="shared" si="16"/>
        <v>45356</v>
      </c>
      <c r="J121" s="60">
        <f t="shared" si="17"/>
        <v>3</v>
      </c>
      <c r="K121" s="60">
        <f t="shared" si="10"/>
        <v>0</v>
      </c>
      <c r="L121" s="60"/>
      <c r="M121" s="60"/>
      <c r="N121" s="60"/>
      <c r="O121" s="60">
        <v>3</v>
      </c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4">
        <f t="shared" si="11"/>
        <v>593.46</v>
      </c>
    </row>
    <row r="122" spans="1:37" hidden="1" x14ac:dyDescent="0.25">
      <c r="A122" s="58"/>
      <c r="B122" s="59" t="str">
        <f t="shared" ca="1" si="15"/>
        <v>VENCIDO</v>
      </c>
      <c r="C122" s="60" t="s">
        <v>790</v>
      </c>
      <c r="D122" s="61" t="s">
        <v>1005</v>
      </c>
      <c r="E122" s="62" t="s">
        <v>1006</v>
      </c>
      <c r="F122" s="61" t="s">
        <v>778</v>
      </c>
      <c r="G122" s="60" t="s">
        <v>213</v>
      </c>
      <c r="H122" s="63">
        <v>45352</v>
      </c>
      <c r="I122" s="63">
        <f t="shared" si="16"/>
        <v>45172</v>
      </c>
      <c r="J122" s="60">
        <f t="shared" si="17"/>
        <v>6</v>
      </c>
      <c r="K122" s="60">
        <f t="shared" si="10"/>
        <v>0</v>
      </c>
      <c r="L122" s="60"/>
      <c r="M122" s="60"/>
      <c r="N122" s="60"/>
      <c r="O122" s="60">
        <v>2</v>
      </c>
      <c r="P122" s="60"/>
      <c r="Q122" s="60">
        <v>2</v>
      </c>
      <c r="R122" s="60"/>
      <c r="S122" s="60"/>
      <c r="T122" s="60"/>
      <c r="U122" s="60"/>
      <c r="V122" s="60">
        <v>2</v>
      </c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4">
        <f t="shared" si="11"/>
        <v>1422.0200000000002</v>
      </c>
    </row>
    <row r="123" spans="1:37" hidden="1" x14ac:dyDescent="0.25">
      <c r="A123" s="58" t="s">
        <v>770</v>
      </c>
      <c r="B123" s="59" t="str">
        <f t="shared" ca="1" si="15"/>
        <v>VENCIDO</v>
      </c>
      <c r="C123" s="60" t="s">
        <v>790</v>
      </c>
      <c r="D123" s="61" t="s">
        <v>1007</v>
      </c>
      <c r="E123" s="62" t="s">
        <v>1008</v>
      </c>
      <c r="F123" s="61" t="s">
        <v>778</v>
      </c>
      <c r="G123" s="60" t="s">
        <v>213</v>
      </c>
      <c r="H123" s="63">
        <v>45352</v>
      </c>
      <c r="I123" s="63">
        <f t="shared" si="16"/>
        <v>45172</v>
      </c>
      <c r="J123" s="60">
        <f t="shared" si="17"/>
        <v>1</v>
      </c>
      <c r="K123" s="60">
        <f t="shared" si="10"/>
        <v>0</v>
      </c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>
        <v>1</v>
      </c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4">
        <f t="shared" si="11"/>
        <v>197.84</v>
      </c>
    </row>
    <row r="124" spans="1:37" hidden="1" x14ac:dyDescent="0.25">
      <c r="A124" s="58"/>
      <c r="B124" s="59" t="str">
        <f t="shared" ca="1" si="15"/>
        <v>VENCIDO</v>
      </c>
      <c r="C124" s="60" t="s">
        <v>790</v>
      </c>
      <c r="D124" s="61" t="s">
        <v>1009</v>
      </c>
      <c r="E124" s="62" t="s">
        <v>1010</v>
      </c>
      <c r="F124" s="61" t="s">
        <v>778</v>
      </c>
      <c r="G124" s="60" t="s">
        <v>213</v>
      </c>
      <c r="H124" s="63">
        <v>45627</v>
      </c>
      <c r="I124" s="63">
        <f t="shared" si="16"/>
        <v>45447</v>
      </c>
      <c r="J124" s="60">
        <f t="shared" si="17"/>
        <v>1</v>
      </c>
      <c r="K124" s="60">
        <f t="shared" si="10"/>
        <v>0</v>
      </c>
      <c r="L124" s="60"/>
      <c r="M124" s="60"/>
      <c r="N124" s="60"/>
      <c r="O124" s="60"/>
      <c r="P124" s="60"/>
      <c r="Q124" s="60">
        <v>1</v>
      </c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4">
        <f t="shared" si="11"/>
        <v>315.35000000000002</v>
      </c>
    </row>
    <row r="125" spans="1:37" x14ac:dyDescent="0.25">
      <c r="A125" s="58" t="s">
        <v>770</v>
      </c>
      <c r="B125" s="59" t="str">
        <f t="shared" ca="1" si="15"/>
        <v>VENCIDO</v>
      </c>
      <c r="C125" s="60" t="s">
        <v>790</v>
      </c>
      <c r="D125" s="61" t="s">
        <v>1011</v>
      </c>
      <c r="E125" s="62" t="s">
        <v>1012</v>
      </c>
      <c r="F125" s="61" t="s">
        <v>775</v>
      </c>
      <c r="G125" s="60" t="s">
        <v>213</v>
      </c>
      <c r="H125" s="63">
        <v>45413</v>
      </c>
      <c r="I125" s="63">
        <f t="shared" si="16"/>
        <v>45233</v>
      </c>
      <c r="J125" s="60">
        <f t="shared" si="17"/>
        <v>1</v>
      </c>
      <c r="K125" s="60">
        <f t="shared" si="10"/>
        <v>0</v>
      </c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>
        <v>1</v>
      </c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4">
        <f t="shared" si="11"/>
        <v>197.84</v>
      </c>
    </row>
    <row r="126" spans="1:37" x14ac:dyDescent="0.25">
      <c r="A126" s="58" t="s">
        <v>770</v>
      </c>
      <c r="B126" s="59" t="str">
        <f t="shared" ca="1" si="15"/>
        <v>VENCIDO</v>
      </c>
      <c r="C126" s="60" t="s">
        <v>790</v>
      </c>
      <c r="D126" s="61" t="s">
        <v>1013</v>
      </c>
      <c r="E126" s="62" t="s">
        <v>1014</v>
      </c>
      <c r="F126" s="61" t="s">
        <v>775</v>
      </c>
      <c r="G126" s="60" t="s">
        <v>213</v>
      </c>
      <c r="H126" s="63">
        <v>45536</v>
      </c>
      <c r="I126" s="63">
        <f t="shared" si="16"/>
        <v>45356</v>
      </c>
      <c r="J126" s="60">
        <f t="shared" si="17"/>
        <v>1</v>
      </c>
      <c r="K126" s="60">
        <f t="shared" si="10"/>
        <v>0</v>
      </c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>
        <v>1</v>
      </c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4">
        <f t="shared" si="11"/>
        <v>197.84</v>
      </c>
    </row>
    <row r="127" spans="1:37" x14ac:dyDescent="0.25">
      <c r="A127" s="58" t="s">
        <v>770</v>
      </c>
      <c r="B127" s="59" t="str">
        <f t="shared" ca="1" si="15"/>
        <v>VENCIDO</v>
      </c>
      <c r="C127" s="60" t="s">
        <v>790</v>
      </c>
      <c r="D127" s="61" t="s">
        <v>1015</v>
      </c>
      <c r="E127" s="62" t="s">
        <v>1016</v>
      </c>
      <c r="F127" s="61" t="s">
        <v>775</v>
      </c>
      <c r="G127" s="60" t="s">
        <v>213</v>
      </c>
      <c r="H127" s="63">
        <v>45474</v>
      </c>
      <c r="I127" s="63">
        <f t="shared" si="16"/>
        <v>45294</v>
      </c>
      <c r="J127" s="60">
        <f t="shared" si="17"/>
        <v>1</v>
      </c>
      <c r="K127" s="60">
        <f t="shared" si="10"/>
        <v>0</v>
      </c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>
        <v>1</v>
      </c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4">
        <f t="shared" si="11"/>
        <v>197.84</v>
      </c>
    </row>
    <row r="128" spans="1:37" hidden="1" x14ac:dyDescent="0.25">
      <c r="A128" s="58" t="s">
        <v>770</v>
      </c>
      <c r="B128" s="59" t="str">
        <f t="shared" ca="1" si="15"/>
        <v>VENCIDO</v>
      </c>
      <c r="C128" s="60" t="s">
        <v>790</v>
      </c>
      <c r="D128" s="61" t="s">
        <v>1017</v>
      </c>
      <c r="E128" s="62" t="s">
        <v>1018</v>
      </c>
      <c r="F128" s="61" t="s">
        <v>778</v>
      </c>
      <c r="G128" s="60" t="s">
        <v>213</v>
      </c>
      <c r="H128" s="63">
        <v>45292</v>
      </c>
      <c r="I128" s="63">
        <f t="shared" si="16"/>
        <v>45112</v>
      </c>
      <c r="J128" s="60">
        <f t="shared" si="17"/>
        <v>1</v>
      </c>
      <c r="K128" s="60">
        <f t="shared" si="10"/>
        <v>0</v>
      </c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>
        <v>1</v>
      </c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4">
        <f t="shared" si="11"/>
        <v>197.84</v>
      </c>
    </row>
    <row r="129" spans="1:37" x14ac:dyDescent="0.25">
      <c r="A129" s="58" t="s">
        <v>770</v>
      </c>
      <c r="B129" s="59" t="str">
        <f t="shared" ca="1" si="15"/>
        <v>VENCIDO</v>
      </c>
      <c r="C129" s="60" t="s">
        <v>790</v>
      </c>
      <c r="D129" s="61" t="s">
        <v>1019</v>
      </c>
      <c r="E129" s="62" t="s">
        <v>1020</v>
      </c>
      <c r="F129" s="61" t="s">
        <v>775</v>
      </c>
      <c r="G129" s="60" t="s">
        <v>213</v>
      </c>
      <c r="H129" s="63">
        <v>45474</v>
      </c>
      <c r="I129" s="63">
        <f t="shared" si="16"/>
        <v>45294</v>
      </c>
      <c r="J129" s="60">
        <f t="shared" si="17"/>
        <v>1</v>
      </c>
      <c r="K129" s="60">
        <f t="shared" si="10"/>
        <v>0</v>
      </c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>
        <v>1</v>
      </c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4">
        <f t="shared" si="11"/>
        <v>197.84</v>
      </c>
    </row>
    <row r="130" spans="1:37" x14ac:dyDescent="0.25">
      <c r="A130" s="58" t="s">
        <v>770</v>
      </c>
      <c r="B130" s="59" t="str">
        <f t="shared" ca="1" si="15"/>
        <v>VENCIDO</v>
      </c>
      <c r="C130" s="60" t="s">
        <v>790</v>
      </c>
      <c r="D130" s="61" t="s">
        <v>1021</v>
      </c>
      <c r="E130" s="62" t="s">
        <v>1022</v>
      </c>
      <c r="F130" s="61" t="s">
        <v>775</v>
      </c>
      <c r="G130" s="60" t="s">
        <v>213</v>
      </c>
      <c r="H130" s="63">
        <v>45352</v>
      </c>
      <c r="I130" s="63">
        <f t="shared" si="16"/>
        <v>45172</v>
      </c>
      <c r="J130" s="60">
        <f t="shared" si="17"/>
        <v>2</v>
      </c>
      <c r="K130" s="60">
        <f t="shared" si="10"/>
        <v>0</v>
      </c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>
        <v>2</v>
      </c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4">
        <f t="shared" si="11"/>
        <v>395.68</v>
      </c>
    </row>
    <row r="131" spans="1:37" hidden="1" x14ac:dyDescent="0.25">
      <c r="A131" s="58" t="s">
        <v>770</v>
      </c>
      <c r="B131" s="59" t="str">
        <f t="shared" ca="1" si="15"/>
        <v>VENCIDO</v>
      </c>
      <c r="C131" s="60" t="s">
        <v>790</v>
      </c>
      <c r="D131" s="61" t="s">
        <v>1023</v>
      </c>
      <c r="E131" s="62" t="s">
        <v>1024</v>
      </c>
      <c r="F131" s="61" t="s">
        <v>793</v>
      </c>
      <c r="G131" s="60" t="s">
        <v>213</v>
      </c>
      <c r="H131" s="63">
        <v>45505</v>
      </c>
      <c r="I131" s="63">
        <f t="shared" si="16"/>
        <v>45325</v>
      </c>
      <c r="J131" s="60">
        <f t="shared" si="17"/>
        <v>1</v>
      </c>
      <c r="K131" s="60">
        <f t="shared" ref="K131:K194" si="18">SUM(AF131:AJ131)</f>
        <v>0</v>
      </c>
      <c r="L131" s="60"/>
      <c r="M131" s="60"/>
      <c r="N131" s="60"/>
      <c r="O131" s="60">
        <v>1</v>
      </c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4">
        <f t="shared" ref="AK131:AK194" si="19">IF(L131&gt;0,L131*90.44,0)+IF(M131&gt;0,M131*348.12,0)+IF(N131&gt;0,N131*151.63,0)+IF(O131&gt;0,O131*197.82,0)+IF(P131&gt;0,P131*244.09,0)+IF(Q131&gt;0,Q131*315.35,0)+IF(R131&gt;0,R131*1067.3,0)+IF(T131&gt;0,T131*567.47,0)+IF(U131&gt;0,U131*151.63,0)+IF(V131&gt;0,V131*197.84,0)+IF(W131&gt;0,W131*470.51,0)+IF(X131&gt;0,X131*701.69,0)+IF(Z131&gt;0,Z131*151.63,0)+IF(AA131&gt;0,AA131*197.84)+IF(AB131&gt;0,AB131*308.4,0)+IF(AC131&gt;0,AC131*496.16,0)</f>
        <v>197.82</v>
      </c>
    </row>
    <row r="132" spans="1:37" hidden="1" x14ac:dyDescent="0.25">
      <c r="A132" s="58" t="s">
        <v>770</v>
      </c>
      <c r="B132" s="59" t="str">
        <f t="shared" ca="1" si="15"/>
        <v>VENCIDO</v>
      </c>
      <c r="C132" s="60" t="s">
        <v>790</v>
      </c>
      <c r="D132" s="61" t="s">
        <v>1025</v>
      </c>
      <c r="E132" s="62" t="s">
        <v>1026</v>
      </c>
      <c r="F132" s="61" t="s">
        <v>793</v>
      </c>
      <c r="G132" s="60" t="s">
        <v>213</v>
      </c>
      <c r="H132" s="63">
        <v>45413</v>
      </c>
      <c r="I132" s="63">
        <f t="shared" si="16"/>
        <v>45233</v>
      </c>
      <c r="J132" s="60">
        <f t="shared" si="17"/>
        <v>2</v>
      </c>
      <c r="K132" s="60">
        <f t="shared" si="18"/>
        <v>0</v>
      </c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>
        <v>1</v>
      </c>
      <c r="W132" s="60"/>
      <c r="X132" s="60"/>
      <c r="Y132" s="60"/>
      <c r="Z132" s="60"/>
      <c r="AA132" s="60">
        <v>1</v>
      </c>
      <c r="AB132" s="60"/>
      <c r="AC132" s="60"/>
      <c r="AD132" s="60"/>
      <c r="AE132" s="60"/>
      <c r="AF132" s="60"/>
      <c r="AG132" s="60"/>
      <c r="AH132" s="60"/>
      <c r="AI132" s="60"/>
      <c r="AJ132" s="60"/>
      <c r="AK132" s="64">
        <f t="shared" si="19"/>
        <v>395.68</v>
      </c>
    </row>
    <row r="133" spans="1:37" hidden="1" x14ac:dyDescent="0.25">
      <c r="A133" s="58" t="s">
        <v>770</v>
      </c>
      <c r="B133" s="59" t="str">
        <f t="shared" ca="1" si="15"/>
        <v>VENCIDO</v>
      </c>
      <c r="C133" s="60" t="s">
        <v>790</v>
      </c>
      <c r="D133" s="61" t="s">
        <v>1027</v>
      </c>
      <c r="E133" s="62" t="s">
        <v>1028</v>
      </c>
      <c r="F133" s="61" t="s">
        <v>778</v>
      </c>
      <c r="G133" s="60" t="s">
        <v>213</v>
      </c>
      <c r="H133" s="63">
        <v>45352</v>
      </c>
      <c r="I133" s="63">
        <f t="shared" si="16"/>
        <v>45172</v>
      </c>
      <c r="J133" s="60">
        <f t="shared" si="17"/>
        <v>2</v>
      </c>
      <c r="K133" s="60">
        <f t="shared" si="18"/>
        <v>0</v>
      </c>
      <c r="L133" s="60"/>
      <c r="M133" s="60"/>
      <c r="N133" s="60"/>
      <c r="O133" s="60">
        <v>2</v>
      </c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4">
        <f t="shared" si="19"/>
        <v>395.64</v>
      </c>
    </row>
    <row r="134" spans="1:37" x14ac:dyDescent="0.25">
      <c r="A134" s="58" t="s">
        <v>770</v>
      </c>
      <c r="B134" s="59" t="str">
        <f t="shared" ca="1" si="15"/>
        <v>VENCIDO</v>
      </c>
      <c r="C134" s="60" t="s">
        <v>790</v>
      </c>
      <c r="D134" s="61" t="s">
        <v>1029</v>
      </c>
      <c r="E134" s="62" t="s">
        <v>1030</v>
      </c>
      <c r="F134" s="61" t="s">
        <v>775</v>
      </c>
      <c r="G134" s="60" t="s">
        <v>213</v>
      </c>
      <c r="H134" s="63">
        <v>45505</v>
      </c>
      <c r="I134" s="63">
        <f t="shared" si="16"/>
        <v>45325</v>
      </c>
      <c r="J134" s="60">
        <f t="shared" si="17"/>
        <v>1</v>
      </c>
      <c r="K134" s="60">
        <f t="shared" si="18"/>
        <v>0</v>
      </c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>
        <v>1</v>
      </c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4">
        <f t="shared" si="19"/>
        <v>197.84</v>
      </c>
    </row>
    <row r="135" spans="1:37" x14ac:dyDescent="0.25">
      <c r="A135" s="58" t="s">
        <v>770</v>
      </c>
      <c r="B135" s="59" t="str">
        <f t="shared" ca="1" si="15"/>
        <v>VENCIDO</v>
      </c>
      <c r="C135" s="60" t="s">
        <v>790</v>
      </c>
      <c r="D135" s="61" t="s">
        <v>1031</v>
      </c>
      <c r="E135" s="62" t="s">
        <v>1032</v>
      </c>
      <c r="F135" s="61" t="s">
        <v>775</v>
      </c>
      <c r="G135" s="60" t="s">
        <v>213</v>
      </c>
      <c r="H135" s="63">
        <v>45505</v>
      </c>
      <c r="I135" s="63">
        <f t="shared" si="16"/>
        <v>45325</v>
      </c>
      <c r="J135" s="60">
        <f t="shared" si="17"/>
        <v>1</v>
      </c>
      <c r="K135" s="60">
        <f t="shared" si="18"/>
        <v>0</v>
      </c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>
        <v>1</v>
      </c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4">
        <f t="shared" si="19"/>
        <v>197.84</v>
      </c>
    </row>
    <row r="136" spans="1:37" x14ac:dyDescent="0.25">
      <c r="A136" s="58" t="s">
        <v>770</v>
      </c>
      <c r="B136" s="59" t="str">
        <f t="shared" ca="1" si="15"/>
        <v>VENCIDO</v>
      </c>
      <c r="C136" s="60" t="s">
        <v>1033</v>
      </c>
      <c r="D136" s="61" t="s">
        <v>1034</v>
      </c>
      <c r="E136" s="62" t="s">
        <v>223</v>
      </c>
      <c r="F136" s="61" t="s">
        <v>775</v>
      </c>
      <c r="G136" s="60" t="s">
        <v>213</v>
      </c>
      <c r="H136" s="63">
        <v>45413</v>
      </c>
      <c r="I136" s="63">
        <v>45413</v>
      </c>
      <c r="J136" s="60">
        <f t="shared" si="17"/>
        <v>293</v>
      </c>
      <c r="K136" s="60">
        <f t="shared" si="18"/>
        <v>0</v>
      </c>
      <c r="L136" s="60">
        <v>111</v>
      </c>
      <c r="M136" s="60">
        <v>6</v>
      </c>
      <c r="N136" s="60"/>
      <c r="O136" s="60">
        <v>1</v>
      </c>
      <c r="P136" s="60"/>
      <c r="Q136" s="60">
        <v>3</v>
      </c>
      <c r="R136" s="60">
        <v>1</v>
      </c>
      <c r="S136" s="60"/>
      <c r="T136" s="60"/>
      <c r="U136" s="60"/>
      <c r="V136" s="60">
        <v>75</v>
      </c>
      <c r="W136" s="60">
        <v>1</v>
      </c>
      <c r="X136" s="60"/>
      <c r="Y136" s="60"/>
      <c r="Z136" s="60"/>
      <c r="AA136" s="60">
        <v>94</v>
      </c>
      <c r="AB136" s="60">
        <v>1</v>
      </c>
      <c r="AC136" s="60"/>
      <c r="AD136" s="60"/>
      <c r="AE136" s="60"/>
      <c r="AF136" s="60"/>
      <c r="AG136" s="60"/>
      <c r="AH136" s="60"/>
      <c r="AI136" s="60"/>
      <c r="AJ136" s="60"/>
      <c r="AK136" s="64">
        <f t="shared" si="19"/>
        <v>48552.6</v>
      </c>
    </row>
    <row r="137" spans="1:37" x14ac:dyDescent="0.25">
      <c r="A137" s="58" t="s">
        <v>770</v>
      </c>
      <c r="B137" s="59" t="str">
        <f t="shared" ca="1" si="15"/>
        <v>VENCIDO</v>
      </c>
      <c r="C137" s="60" t="s">
        <v>824</v>
      </c>
      <c r="D137" s="61" t="s">
        <v>1035</v>
      </c>
      <c r="E137" s="62" t="s">
        <v>774</v>
      </c>
      <c r="F137" s="61" t="s">
        <v>775</v>
      </c>
      <c r="G137" s="60" t="s">
        <v>213</v>
      </c>
      <c r="H137" s="63">
        <v>45323</v>
      </c>
      <c r="I137" s="63">
        <v>45323</v>
      </c>
      <c r="J137" s="60">
        <v>2</v>
      </c>
      <c r="K137" s="60">
        <f t="shared" si="18"/>
        <v>0</v>
      </c>
      <c r="L137" s="60"/>
      <c r="M137" s="60"/>
      <c r="N137" s="60"/>
      <c r="O137" s="60"/>
      <c r="P137" s="60"/>
      <c r="Q137" s="60">
        <v>1</v>
      </c>
      <c r="R137" s="60"/>
      <c r="S137" s="60"/>
      <c r="T137" s="60"/>
      <c r="U137" s="60"/>
      <c r="V137" s="60"/>
      <c r="W137" s="60"/>
      <c r="X137" s="60"/>
      <c r="Y137" s="60"/>
      <c r="Z137" s="60"/>
      <c r="AA137" s="60">
        <v>1</v>
      </c>
      <c r="AB137" s="60"/>
      <c r="AC137" s="60"/>
      <c r="AD137" s="60"/>
      <c r="AE137" s="60"/>
      <c r="AF137" s="60"/>
      <c r="AG137" s="60"/>
      <c r="AH137" s="60"/>
      <c r="AI137" s="60"/>
      <c r="AJ137" s="60"/>
      <c r="AK137" s="64">
        <f t="shared" si="19"/>
        <v>513.19000000000005</v>
      </c>
    </row>
    <row r="138" spans="1:37" hidden="1" x14ac:dyDescent="0.25">
      <c r="A138" s="58" t="s">
        <v>770</v>
      </c>
      <c r="B138" s="59" t="str">
        <f t="shared" ca="1" si="15"/>
        <v>VENCIDO</v>
      </c>
      <c r="C138" s="60" t="s">
        <v>824</v>
      </c>
      <c r="D138" s="61" t="s">
        <v>1036</v>
      </c>
      <c r="E138" s="62" t="s">
        <v>777</v>
      </c>
      <c r="F138" s="61" t="s">
        <v>778</v>
      </c>
      <c r="G138" s="60" t="s">
        <v>213</v>
      </c>
      <c r="H138" s="63">
        <v>45536</v>
      </c>
      <c r="I138" s="63">
        <f>H138-180</f>
        <v>45356</v>
      </c>
      <c r="J138" s="60">
        <f t="shared" ref="J138:J149" si="20">SUM(L138:AE138)</f>
        <v>1</v>
      </c>
      <c r="K138" s="60">
        <f t="shared" si="18"/>
        <v>0</v>
      </c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>
        <v>1</v>
      </c>
      <c r="AB138" s="60"/>
      <c r="AC138" s="60"/>
      <c r="AD138" s="60"/>
      <c r="AE138" s="60"/>
      <c r="AF138" s="60"/>
      <c r="AG138" s="60"/>
      <c r="AH138" s="60"/>
      <c r="AI138" s="60"/>
      <c r="AJ138" s="60"/>
      <c r="AK138" s="64">
        <f t="shared" si="19"/>
        <v>197.84</v>
      </c>
    </row>
    <row r="139" spans="1:37" hidden="1" x14ac:dyDescent="0.25">
      <c r="A139" s="58"/>
      <c r="B139" s="59" t="str">
        <f t="shared" ca="1" si="15"/>
        <v>VENCIDO</v>
      </c>
      <c r="C139" s="60" t="s">
        <v>824</v>
      </c>
      <c r="D139" s="61" t="s">
        <v>1037</v>
      </c>
      <c r="E139" s="62" t="s">
        <v>1038</v>
      </c>
      <c r="F139" s="61" t="s">
        <v>778</v>
      </c>
      <c r="G139" s="60" t="s">
        <v>213</v>
      </c>
      <c r="H139" s="63">
        <v>45444</v>
      </c>
      <c r="I139" s="63">
        <v>45444</v>
      </c>
      <c r="J139" s="60">
        <f t="shared" si="20"/>
        <v>1</v>
      </c>
      <c r="K139" s="60">
        <f t="shared" si="18"/>
        <v>0</v>
      </c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>
        <v>1</v>
      </c>
      <c r="AB139" s="60"/>
      <c r="AC139" s="60"/>
      <c r="AD139" s="60"/>
      <c r="AE139" s="60"/>
      <c r="AF139" s="60"/>
      <c r="AG139" s="60"/>
      <c r="AH139" s="60"/>
      <c r="AI139" s="60"/>
      <c r="AJ139" s="60"/>
      <c r="AK139" s="64">
        <f t="shared" si="19"/>
        <v>197.84</v>
      </c>
    </row>
    <row r="140" spans="1:37" hidden="1" x14ac:dyDescent="0.25">
      <c r="A140" s="58"/>
      <c r="B140" s="59" t="str">
        <f t="shared" ca="1" si="15"/>
        <v>VENCIDO</v>
      </c>
      <c r="C140" s="60" t="s">
        <v>824</v>
      </c>
      <c r="D140" s="61" t="s">
        <v>1039</v>
      </c>
      <c r="E140" s="62" t="s">
        <v>782</v>
      </c>
      <c r="F140" s="61" t="s">
        <v>778</v>
      </c>
      <c r="G140" s="60" t="s">
        <v>213</v>
      </c>
      <c r="H140" s="63">
        <v>45474</v>
      </c>
      <c r="I140" s="63">
        <f t="shared" ref="I140:I146" si="21">H140-180</f>
        <v>45294</v>
      </c>
      <c r="J140" s="60">
        <f t="shared" si="20"/>
        <v>1</v>
      </c>
      <c r="K140" s="60">
        <f t="shared" si="18"/>
        <v>0</v>
      </c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>
        <v>1</v>
      </c>
      <c r="AB140" s="60"/>
      <c r="AC140" s="60"/>
      <c r="AD140" s="60"/>
      <c r="AE140" s="60"/>
      <c r="AF140" s="60"/>
      <c r="AG140" s="60"/>
      <c r="AH140" s="60"/>
      <c r="AI140" s="60"/>
      <c r="AJ140" s="60"/>
      <c r="AK140" s="64">
        <f t="shared" si="19"/>
        <v>197.84</v>
      </c>
    </row>
    <row r="141" spans="1:37" hidden="1" x14ac:dyDescent="0.25">
      <c r="A141" s="58"/>
      <c r="B141" s="59" t="str">
        <f t="shared" ca="1" si="15"/>
        <v>VENCIDO</v>
      </c>
      <c r="C141" s="60" t="s">
        <v>824</v>
      </c>
      <c r="D141" s="61" t="s">
        <v>1040</v>
      </c>
      <c r="E141" s="62" t="s">
        <v>1041</v>
      </c>
      <c r="F141" s="61" t="s">
        <v>793</v>
      </c>
      <c r="G141" s="60" t="s">
        <v>213</v>
      </c>
      <c r="H141" s="63">
        <v>45597</v>
      </c>
      <c r="I141" s="63">
        <f t="shared" si="21"/>
        <v>45417</v>
      </c>
      <c r="J141" s="60">
        <f t="shared" si="20"/>
        <v>1</v>
      </c>
      <c r="K141" s="60">
        <f t="shared" si="18"/>
        <v>0</v>
      </c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>
        <v>1</v>
      </c>
      <c r="AB141" s="60"/>
      <c r="AC141" s="60"/>
      <c r="AD141" s="60"/>
      <c r="AE141" s="60"/>
      <c r="AF141" s="60"/>
      <c r="AG141" s="60"/>
      <c r="AH141" s="60"/>
      <c r="AI141" s="60"/>
      <c r="AJ141" s="60"/>
      <c r="AK141" s="64">
        <f t="shared" si="19"/>
        <v>197.84</v>
      </c>
    </row>
    <row r="142" spans="1:37" x14ac:dyDescent="0.25">
      <c r="A142" s="58" t="s">
        <v>770</v>
      </c>
      <c r="B142" s="59" t="str">
        <f t="shared" ca="1" si="15"/>
        <v>VENCIDO</v>
      </c>
      <c r="C142" s="60" t="s">
        <v>824</v>
      </c>
      <c r="D142" s="61" t="s">
        <v>1042</v>
      </c>
      <c r="E142" s="62" t="s">
        <v>223</v>
      </c>
      <c r="F142" s="61" t="s">
        <v>775</v>
      </c>
      <c r="G142" s="60" t="s">
        <v>213</v>
      </c>
      <c r="H142" s="63">
        <v>45566</v>
      </c>
      <c r="I142" s="63">
        <f t="shared" si="21"/>
        <v>45386</v>
      </c>
      <c r="J142" s="60">
        <f t="shared" si="20"/>
        <v>1</v>
      </c>
      <c r="K142" s="60">
        <f t="shared" si="18"/>
        <v>0</v>
      </c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>
        <v>1</v>
      </c>
      <c r="AB142" s="60"/>
      <c r="AC142" s="60"/>
      <c r="AD142" s="60"/>
      <c r="AE142" s="60"/>
      <c r="AF142" s="60"/>
      <c r="AG142" s="60"/>
      <c r="AH142" s="60"/>
      <c r="AI142" s="60"/>
      <c r="AJ142" s="60"/>
      <c r="AK142" s="64">
        <f t="shared" si="19"/>
        <v>197.84</v>
      </c>
    </row>
    <row r="143" spans="1:37" x14ac:dyDescent="0.25">
      <c r="A143" s="58" t="s">
        <v>783</v>
      </c>
      <c r="B143" s="59" t="str">
        <f t="shared" ca="1" si="15"/>
        <v>VENCIDO</v>
      </c>
      <c r="C143" s="60" t="s">
        <v>824</v>
      </c>
      <c r="D143" s="61" t="s">
        <v>1043</v>
      </c>
      <c r="E143" s="62" t="s">
        <v>1044</v>
      </c>
      <c r="F143" s="61" t="s">
        <v>775</v>
      </c>
      <c r="G143" s="60" t="s">
        <v>213</v>
      </c>
      <c r="H143" s="63">
        <v>45292</v>
      </c>
      <c r="I143" s="63">
        <f t="shared" si="21"/>
        <v>45112</v>
      </c>
      <c r="J143" s="60">
        <f t="shared" si="20"/>
        <v>1</v>
      </c>
      <c r="K143" s="60">
        <f t="shared" si="18"/>
        <v>0</v>
      </c>
      <c r="L143" s="60"/>
      <c r="M143" s="60"/>
      <c r="N143" s="60"/>
      <c r="O143" s="60">
        <v>1</v>
      </c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4">
        <f t="shared" si="19"/>
        <v>197.82</v>
      </c>
    </row>
    <row r="144" spans="1:37" x14ac:dyDescent="0.25">
      <c r="A144" s="58" t="s">
        <v>770</v>
      </c>
      <c r="B144" s="59" t="str">
        <f t="shared" ca="1" si="15"/>
        <v>VENCIDO</v>
      </c>
      <c r="C144" s="60" t="s">
        <v>824</v>
      </c>
      <c r="D144" s="61" t="s">
        <v>1045</v>
      </c>
      <c r="E144" s="62" t="s">
        <v>1046</v>
      </c>
      <c r="F144" s="61" t="s">
        <v>775</v>
      </c>
      <c r="G144" s="60" t="s">
        <v>213</v>
      </c>
      <c r="H144" s="63">
        <v>45505</v>
      </c>
      <c r="I144" s="63">
        <f t="shared" si="21"/>
        <v>45325</v>
      </c>
      <c r="J144" s="60">
        <f t="shared" si="20"/>
        <v>1</v>
      </c>
      <c r="K144" s="60">
        <f t="shared" si="18"/>
        <v>0</v>
      </c>
      <c r="L144" s="60"/>
      <c r="M144" s="60"/>
      <c r="N144" s="60"/>
      <c r="O144" s="60">
        <v>1</v>
      </c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4">
        <f t="shared" si="19"/>
        <v>197.82</v>
      </c>
    </row>
    <row r="145" spans="1:37" hidden="1" x14ac:dyDescent="0.25">
      <c r="A145" s="58" t="s">
        <v>770</v>
      </c>
      <c r="B145" s="59" t="str">
        <f t="shared" ca="1" si="15"/>
        <v>VENCIDO</v>
      </c>
      <c r="C145" s="60" t="s">
        <v>824</v>
      </c>
      <c r="D145" s="61" t="s">
        <v>1047</v>
      </c>
      <c r="E145" s="62" t="s">
        <v>902</v>
      </c>
      <c r="F145" s="61" t="s">
        <v>778</v>
      </c>
      <c r="G145" s="60" t="s">
        <v>213</v>
      </c>
      <c r="H145" s="63">
        <v>45536</v>
      </c>
      <c r="I145" s="63">
        <f t="shared" si="21"/>
        <v>45356</v>
      </c>
      <c r="J145" s="60">
        <f t="shared" si="20"/>
        <v>1</v>
      </c>
      <c r="K145" s="60">
        <f t="shared" si="18"/>
        <v>0</v>
      </c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>
        <v>1</v>
      </c>
      <c r="AB145" s="60"/>
      <c r="AC145" s="60"/>
      <c r="AD145" s="60"/>
      <c r="AE145" s="60"/>
      <c r="AF145" s="60"/>
      <c r="AG145" s="60"/>
      <c r="AH145" s="60"/>
      <c r="AI145" s="60"/>
      <c r="AJ145" s="60"/>
      <c r="AK145" s="64">
        <f t="shared" si="19"/>
        <v>197.84</v>
      </c>
    </row>
    <row r="146" spans="1:37" hidden="1" x14ac:dyDescent="0.25">
      <c r="A146" s="58" t="s">
        <v>770</v>
      </c>
      <c r="B146" s="59" t="str">
        <f t="shared" ca="1" si="15"/>
        <v>VENCIDO</v>
      </c>
      <c r="C146" s="60" t="s">
        <v>824</v>
      </c>
      <c r="D146" s="61" t="s">
        <v>1048</v>
      </c>
      <c r="E146" s="62" t="s">
        <v>1049</v>
      </c>
      <c r="F146" s="61" t="s">
        <v>778</v>
      </c>
      <c r="G146" s="60" t="s">
        <v>213</v>
      </c>
      <c r="H146" s="63">
        <v>45536</v>
      </c>
      <c r="I146" s="63">
        <f t="shared" si="21"/>
        <v>45356</v>
      </c>
      <c r="J146" s="60">
        <f t="shared" si="20"/>
        <v>1</v>
      </c>
      <c r="K146" s="60">
        <f t="shared" si="18"/>
        <v>0</v>
      </c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>
        <v>1</v>
      </c>
      <c r="AB146" s="60"/>
      <c r="AC146" s="60"/>
      <c r="AD146" s="60"/>
      <c r="AE146" s="60"/>
      <c r="AF146" s="60"/>
      <c r="AG146" s="60"/>
      <c r="AH146" s="60"/>
      <c r="AI146" s="60"/>
      <c r="AJ146" s="60"/>
      <c r="AK146" s="64">
        <f t="shared" si="19"/>
        <v>197.84</v>
      </c>
    </row>
    <row r="147" spans="1:37" hidden="1" x14ac:dyDescent="0.25">
      <c r="A147" s="58" t="s">
        <v>770</v>
      </c>
      <c r="B147" s="59" t="str">
        <f t="shared" ca="1" si="15"/>
        <v>VENCIDO</v>
      </c>
      <c r="C147" s="60" t="s">
        <v>824</v>
      </c>
      <c r="D147" s="61" t="s">
        <v>1050</v>
      </c>
      <c r="E147" s="62" t="s">
        <v>1051</v>
      </c>
      <c r="F147" s="61" t="s">
        <v>778</v>
      </c>
      <c r="G147" s="60" t="s">
        <v>213</v>
      </c>
      <c r="H147" s="63">
        <v>45444</v>
      </c>
      <c r="I147" s="63">
        <v>45444</v>
      </c>
      <c r="J147" s="60">
        <f t="shared" si="20"/>
        <v>1</v>
      </c>
      <c r="K147" s="60">
        <f t="shared" si="18"/>
        <v>0</v>
      </c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>
        <v>1</v>
      </c>
      <c r="AB147" s="60"/>
      <c r="AC147" s="60"/>
      <c r="AD147" s="60"/>
      <c r="AE147" s="60"/>
      <c r="AF147" s="60"/>
      <c r="AG147" s="60"/>
      <c r="AH147" s="60"/>
      <c r="AI147" s="60"/>
      <c r="AJ147" s="60"/>
      <c r="AK147" s="64">
        <f t="shared" si="19"/>
        <v>197.84</v>
      </c>
    </row>
    <row r="148" spans="1:37" hidden="1" x14ac:dyDescent="0.25">
      <c r="A148" s="58" t="s">
        <v>770</v>
      </c>
      <c r="B148" s="59" t="str">
        <f t="shared" ca="1" si="15"/>
        <v>VENCIDO</v>
      </c>
      <c r="C148" s="60" t="s">
        <v>824</v>
      </c>
      <c r="D148" s="61" t="s">
        <v>1052</v>
      </c>
      <c r="E148" s="62" t="s">
        <v>1053</v>
      </c>
      <c r="F148" s="61" t="s">
        <v>793</v>
      </c>
      <c r="G148" s="60" t="s">
        <v>213</v>
      </c>
      <c r="H148" s="63">
        <v>45597</v>
      </c>
      <c r="I148" s="63">
        <f>H148-180</f>
        <v>45417</v>
      </c>
      <c r="J148" s="60">
        <f t="shared" si="20"/>
        <v>1</v>
      </c>
      <c r="K148" s="60">
        <f t="shared" si="18"/>
        <v>0</v>
      </c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>
        <v>1</v>
      </c>
      <c r="AB148" s="60"/>
      <c r="AC148" s="60"/>
      <c r="AD148" s="60"/>
      <c r="AE148" s="60"/>
      <c r="AF148" s="60"/>
      <c r="AG148" s="60"/>
      <c r="AH148" s="60"/>
      <c r="AI148" s="60"/>
      <c r="AJ148" s="60"/>
      <c r="AK148" s="64">
        <f t="shared" si="19"/>
        <v>197.84</v>
      </c>
    </row>
    <row r="149" spans="1:37" hidden="1" x14ac:dyDescent="0.25">
      <c r="A149" s="58" t="s">
        <v>770</v>
      </c>
      <c r="B149" s="59" t="str">
        <f t="shared" ca="1" si="15"/>
        <v>VENCIDO</v>
      </c>
      <c r="C149" s="60" t="s">
        <v>824</v>
      </c>
      <c r="D149" s="61" t="s">
        <v>1054</v>
      </c>
      <c r="E149" s="62" t="s">
        <v>778</v>
      </c>
      <c r="F149" s="61" t="s">
        <v>778</v>
      </c>
      <c r="G149" s="60" t="s">
        <v>213</v>
      </c>
      <c r="H149" s="63">
        <v>45444</v>
      </c>
      <c r="I149" s="63">
        <v>45444</v>
      </c>
      <c r="J149" s="60">
        <f t="shared" si="20"/>
        <v>1</v>
      </c>
      <c r="K149" s="60">
        <f t="shared" si="18"/>
        <v>0</v>
      </c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>
        <v>1</v>
      </c>
      <c r="AB149" s="60"/>
      <c r="AC149" s="60"/>
      <c r="AD149" s="60"/>
      <c r="AE149" s="60"/>
      <c r="AF149" s="60"/>
      <c r="AG149" s="60"/>
      <c r="AH149" s="60"/>
      <c r="AI149" s="60"/>
      <c r="AJ149" s="60"/>
      <c r="AK149" s="64">
        <f t="shared" si="19"/>
        <v>197.84</v>
      </c>
    </row>
    <row r="150" spans="1:37" x14ac:dyDescent="0.25">
      <c r="A150" s="58" t="s">
        <v>770</v>
      </c>
      <c r="B150" s="59" t="str">
        <f t="shared" ca="1" si="15"/>
        <v>VENCIDO</v>
      </c>
      <c r="C150" s="60" t="s">
        <v>824</v>
      </c>
      <c r="D150" s="61" t="s">
        <v>1055</v>
      </c>
      <c r="E150" s="62" t="s">
        <v>1056</v>
      </c>
      <c r="F150" s="61" t="s">
        <v>775</v>
      </c>
      <c r="G150" s="60" t="s">
        <v>213</v>
      </c>
      <c r="H150" s="63">
        <v>45474</v>
      </c>
      <c r="I150" s="63">
        <f>H150-180</f>
        <v>45294</v>
      </c>
      <c r="J150" s="60">
        <v>1</v>
      </c>
      <c r="K150" s="60">
        <f t="shared" si="18"/>
        <v>0</v>
      </c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>
        <v>1</v>
      </c>
      <c r="AB150" s="60"/>
      <c r="AC150" s="60"/>
      <c r="AD150" s="60"/>
      <c r="AE150" s="60"/>
      <c r="AF150" s="60"/>
      <c r="AG150" s="60"/>
      <c r="AH150" s="60"/>
      <c r="AI150" s="60"/>
      <c r="AJ150" s="60"/>
      <c r="AK150" s="64">
        <f t="shared" si="19"/>
        <v>197.84</v>
      </c>
    </row>
    <row r="151" spans="1:37" x14ac:dyDescent="0.25">
      <c r="A151" s="58" t="s">
        <v>770</v>
      </c>
      <c r="B151" s="59" t="str">
        <f t="shared" ca="1" si="15"/>
        <v>VENCIDO</v>
      </c>
      <c r="C151" s="60" t="s">
        <v>824</v>
      </c>
      <c r="D151" s="61" t="s">
        <v>1057</v>
      </c>
      <c r="E151" s="62" t="s">
        <v>1058</v>
      </c>
      <c r="F151" s="61" t="s">
        <v>775</v>
      </c>
      <c r="G151" s="60" t="s">
        <v>213</v>
      </c>
      <c r="H151" s="63">
        <v>45566</v>
      </c>
      <c r="I151" s="63">
        <f>H151-180</f>
        <v>45386</v>
      </c>
      <c r="J151" s="60">
        <f t="shared" ref="J151:J162" si="22">SUM(L151:AE151)</f>
        <v>1</v>
      </c>
      <c r="K151" s="60">
        <f t="shared" si="18"/>
        <v>0</v>
      </c>
      <c r="L151" s="60"/>
      <c r="M151" s="60"/>
      <c r="N151" s="60"/>
      <c r="O151" s="60">
        <v>1</v>
      </c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  <c r="AK151" s="64">
        <f t="shared" si="19"/>
        <v>197.82</v>
      </c>
    </row>
    <row r="152" spans="1:37" hidden="1" x14ac:dyDescent="0.25">
      <c r="A152" s="58" t="s">
        <v>849</v>
      </c>
      <c r="B152" s="59" t="str">
        <f t="shared" ca="1" si="15"/>
        <v>VENCIDO</v>
      </c>
      <c r="C152" s="60" t="s">
        <v>869</v>
      </c>
      <c r="D152" s="61" t="s">
        <v>1059</v>
      </c>
      <c r="E152" s="62" t="s">
        <v>942</v>
      </c>
      <c r="F152" s="61" t="s">
        <v>793</v>
      </c>
      <c r="G152" s="60" t="s">
        <v>213</v>
      </c>
      <c r="H152" s="63">
        <v>45536</v>
      </c>
      <c r="I152" s="63">
        <f>H152-180</f>
        <v>45356</v>
      </c>
      <c r="J152" s="60">
        <f t="shared" si="22"/>
        <v>3</v>
      </c>
      <c r="K152" s="60">
        <f t="shared" si="18"/>
        <v>0</v>
      </c>
      <c r="L152" s="60"/>
      <c r="M152" s="60"/>
      <c r="N152" s="60"/>
      <c r="O152" s="60"/>
      <c r="P152" s="60"/>
      <c r="Q152" s="60">
        <v>1</v>
      </c>
      <c r="R152" s="60"/>
      <c r="S152" s="60"/>
      <c r="T152" s="60">
        <v>1</v>
      </c>
      <c r="U152" s="60"/>
      <c r="V152" s="60"/>
      <c r="W152" s="60"/>
      <c r="X152" s="60"/>
      <c r="Y152" s="60"/>
      <c r="Z152" s="60"/>
      <c r="AA152" s="60">
        <v>1</v>
      </c>
      <c r="AB152" s="60"/>
      <c r="AC152" s="60"/>
      <c r="AD152" s="60"/>
      <c r="AE152" s="60"/>
      <c r="AF152" s="60"/>
      <c r="AG152" s="60"/>
      <c r="AH152" s="60"/>
      <c r="AI152" s="60"/>
      <c r="AJ152" s="60"/>
      <c r="AK152" s="64">
        <f t="shared" si="19"/>
        <v>1080.6600000000001</v>
      </c>
    </row>
    <row r="153" spans="1:37" hidden="1" x14ac:dyDescent="0.25">
      <c r="A153" s="58"/>
      <c r="B153" s="59" t="str">
        <f t="shared" ref="B153:B216" ca="1" si="23">IF(H153&lt;$B$1,"VENCIDO","NA VALIDADE")</f>
        <v>VENCIDO</v>
      </c>
      <c r="C153" s="60" t="s">
        <v>869</v>
      </c>
      <c r="D153" s="61" t="s">
        <v>1060</v>
      </c>
      <c r="E153" s="62" t="s">
        <v>970</v>
      </c>
      <c r="F153" s="61" t="s">
        <v>793</v>
      </c>
      <c r="G153" s="60" t="s">
        <v>213</v>
      </c>
      <c r="H153" s="63">
        <v>45597</v>
      </c>
      <c r="I153" s="63">
        <f>H153-180</f>
        <v>45417</v>
      </c>
      <c r="J153" s="60">
        <f t="shared" si="22"/>
        <v>3</v>
      </c>
      <c r="K153" s="60">
        <f t="shared" si="18"/>
        <v>0</v>
      </c>
      <c r="L153" s="60"/>
      <c r="M153" s="60"/>
      <c r="N153" s="60"/>
      <c r="O153" s="60"/>
      <c r="P153" s="60"/>
      <c r="Q153" s="60">
        <v>2</v>
      </c>
      <c r="R153" s="60"/>
      <c r="S153" s="60"/>
      <c r="T153" s="60">
        <v>1</v>
      </c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4">
        <f t="shared" si="19"/>
        <v>1198.17</v>
      </c>
    </row>
    <row r="154" spans="1:37" hidden="1" x14ac:dyDescent="0.25">
      <c r="A154" s="58" t="s">
        <v>770</v>
      </c>
      <c r="B154" s="59" t="str">
        <f t="shared" ca="1" si="23"/>
        <v>VENCIDO</v>
      </c>
      <c r="C154" s="60" t="s">
        <v>824</v>
      </c>
      <c r="D154" s="61" t="s">
        <v>1061</v>
      </c>
      <c r="E154" s="62" t="s">
        <v>1062</v>
      </c>
      <c r="F154" s="61" t="s">
        <v>778</v>
      </c>
      <c r="G154" s="60" t="s">
        <v>213</v>
      </c>
      <c r="H154" s="63">
        <v>45444</v>
      </c>
      <c r="I154" s="63">
        <v>45444</v>
      </c>
      <c r="J154" s="60">
        <f t="shared" si="22"/>
        <v>1</v>
      </c>
      <c r="K154" s="60">
        <f t="shared" si="18"/>
        <v>0</v>
      </c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>
        <v>1</v>
      </c>
      <c r="AB154" s="60"/>
      <c r="AC154" s="60"/>
      <c r="AD154" s="60"/>
      <c r="AE154" s="60"/>
      <c r="AF154" s="60"/>
      <c r="AG154" s="60"/>
      <c r="AH154" s="60"/>
      <c r="AI154" s="60"/>
      <c r="AJ154" s="60"/>
      <c r="AK154" s="64">
        <f t="shared" si="19"/>
        <v>197.84</v>
      </c>
    </row>
    <row r="155" spans="1:37" hidden="1" x14ac:dyDescent="0.25">
      <c r="A155" s="58"/>
      <c r="B155" s="59" t="str">
        <f t="shared" ca="1" si="23"/>
        <v>VENCIDO</v>
      </c>
      <c r="C155" s="60" t="s">
        <v>824</v>
      </c>
      <c r="D155" s="61" t="s">
        <v>1063</v>
      </c>
      <c r="E155" s="62" t="s">
        <v>951</v>
      </c>
      <c r="F155" s="61" t="s">
        <v>778</v>
      </c>
      <c r="G155" s="60" t="s">
        <v>213</v>
      </c>
      <c r="H155" s="63">
        <v>45444</v>
      </c>
      <c r="I155" s="63">
        <f>H155-180</f>
        <v>45264</v>
      </c>
      <c r="J155" s="60">
        <f t="shared" si="22"/>
        <v>1</v>
      </c>
      <c r="K155" s="60">
        <f t="shared" si="18"/>
        <v>0</v>
      </c>
      <c r="L155" s="60"/>
      <c r="M155" s="60"/>
      <c r="N155" s="60"/>
      <c r="O155" s="60">
        <v>1</v>
      </c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4">
        <f t="shared" si="19"/>
        <v>197.82</v>
      </c>
    </row>
    <row r="156" spans="1:37" hidden="1" x14ac:dyDescent="0.25">
      <c r="A156" s="58" t="s">
        <v>938</v>
      </c>
      <c r="B156" s="59" t="str">
        <f t="shared" ca="1" si="23"/>
        <v>VENCIDO</v>
      </c>
      <c r="C156" s="60" t="s">
        <v>824</v>
      </c>
      <c r="D156" s="61" t="s">
        <v>1064</v>
      </c>
      <c r="E156" s="62" t="s">
        <v>877</v>
      </c>
      <c r="F156" s="61" t="s">
        <v>793</v>
      </c>
      <c r="G156" s="60" t="s">
        <v>213</v>
      </c>
      <c r="H156" s="63">
        <v>45444</v>
      </c>
      <c r="I156" s="63">
        <f>H156-180</f>
        <v>45264</v>
      </c>
      <c r="J156" s="60">
        <f t="shared" si="22"/>
        <v>1</v>
      </c>
      <c r="K156" s="60">
        <f t="shared" si="18"/>
        <v>0</v>
      </c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>
        <v>1</v>
      </c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  <c r="AK156" s="64">
        <f t="shared" si="19"/>
        <v>197.84</v>
      </c>
    </row>
    <row r="157" spans="1:37" hidden="1" x14ac:dyDescent="0.25">
      <c r="A157" s="58"/>
      <c r="B157" s="59" t="str">
        <f t="shared" ca="1" si="23"/>
        <v>VENCIDO</v>
      </c>
      <c r="C157" s="60" t="s">
        <v>824</v>
      </c>
      <c r="D157" s="61" t="s">
        <v>1065</v>
      </c>
      <c r="E157" s="62" t="s">
        <v>799</v>
      </c>
      <c r="F157" s="61" t="s">
        <v>778</v>
      </c>
      <c r="G157" s="60" t="s">
        <v>213</v>
      </c>
      <c r="H157" s="63">
        <v>45566</v>
      </c>
      <c r="I157" s="63">
        <v>45383</v>
      </c>
      <c r="J157" s="60">
        <f t="shared" si="22"/>
        <v>1</v>
      </c>
      <c r="K157" s="60">
        <f t="shared" si="18"/>
        <v>0</v>
      </c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>
        <v>1</v>
      </c>
      <c r="AB157" s="60"/>
      <c r="AC157" s="60"/>
      <c r="AD157" s="60"/>
      <c r="AE157" s="60"/>
      <c r="AF157" s="60"/>
      <c r="AG157" s="60"/>
      <c r="AH157" s="60"/>
      <c r="AI157" s="60"/>
      <c r="AJ157" s="60"/>
      <c r="AK157" s="64">
        <f t="shared" si="19"/>
        <v>197.84</v>
      </c>
    </row>
    <row r="158" spans="1:37" x14ac:dyDescent="0.25">
      <c r="A158" s="58" t="s">
        <v>770</v>
      </c>
      <c r="B158" s="59" t="str">
        <f t="shared" ca="1" si="23"/>
        <v>VENCIDO</v>
      </c>
      <c r="C158" s="60" t="s">
        <v>824</v>
      </c>
      <c r="D158" s="61" t="s">
        <v>1066</v>
      </c>
      <c r="E158" s="62" t="s">
        <v>1067</v>
      </c>
      <c r="F158" s="61" t="s">
        <v>775</v>
      </c>
      <c r="G158" s="60" t="s">
        <v>213</v>
      </c>
      <c r="H158" s="63">
        <v>45323</v>
      </c>
      <c r="I158" s="63">
        <v>45323</v>
      </c>
      <c r="J158" s="60">
        <f t="shared" si="22"/>
        <v>1</v>
      </c>
      <c r="K158" s="60">
        <f t="shared" si="18"/>
        <v>0</v>
      </c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>
        <v>1</v>
      </c>
      <c r="AB158" s="60"/>
      <c r="AC158" s="60"/>
      <c r="AD158" s="60"/>
      <c r="AE158" s="60"/>
      <c r="AF158" s="60"/>
      <c r="AG158" s="60"/>
      <c r="AH158" s="60"/>
      <c r="AI158" s="60"/>
      <c r="AJ158" s="60"/>
      <c r="AK158" s="64">
        <f t="shared" si="19"/>
        <v>197.84</v>
      </c>
    </row>
    <row r="159" spans="1:37" x14ac:dyDescent="0.25">
      <c r="A159" s="58"/>
      <c r="B159" s="59" t="str">
        <f t="shared" ca="1" si="23"/>
        <v>VENCIDO</v>
      </c>
      <c r="C159" s="60" t="s">
        <v>824</v>
      </c>
      <c r="D159" s="61" t="s">
        <v>1068</v>
      </c>
      <c r="E159" s="62" t="s">
        <v>1044</v>
      </c>
      <c r="F159" s="61" t="s">
        <v>775</v>
      </c>
      <c r="G159" s="60" t="s">
        <v>213</v>
      </c>
      <c r="H159" s="63">
        <v>45505</v>
      </c>
      <c r="I159" s="63">
        <f>H159-180</f>
        <v>45325</v>
      </c>
      <c r="J159" s="60">
        <f t="shared" si="22"/>
        <v>1</v>
      </c>
      <c r="K159" s="60">
        <f t="shared" si="18"/>
        <v>0</v>
      </c>
      <c r="L159" s="60"/>
      <c r="M159" s="60"/>
      <c r="N159" s="60"/>
      <c r="O159" s="60">
        <v>1</v>
      </c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4">
        <f t="shared" si="19"/>
        <v>197.82</v>
      </c>
    </row>
    <row r="160" spans="1:37" hidden="1" x14ac:dyDescent="0.25">
      <c r="A160" s="58" t="s">
        <v>783</v>
      </c>
      <c r="B160" s="59" t="str">
        <f t="shared" ca="1" si="23"/>
        <v>VENCIDO</v>
      </c>
      <c r="C160" s="60" t="s">
        <v>824</v>
      </c>
      <c r="D160" s="61" t="s">
        <v>1069</v>
      </c>
      <c r="E160" s="62" t="s">
        <v>1070</v>
      </c>
      <c r="F160" s="61" t="s">
        <v>778</v>
      </c>
      <c r="G160" s="60" t="s">
        <v>213</v>
      </c>
      <c r="H160" s="63">
        <v>45536</v>
      </c>
      <c r="I160" s="63">
        <f>H160-180</f>
        <v>45356</v>
      </c>
      <c r="J160" s="60">
        <f t="shared" si="22"/>
        <v>1</v>
      </c>
      <c r="K160" s="60">
        <f t="shared" si="18"/>
        <v>0</v>
      </c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>
        <v>1</v>
      </c>
      <c r="AB160" s="60"/>
      <c r="AC160" s="60"/>
      <c r="AD160" s="60"/>
      <c r="AE160" s="60"/>
      <c r="AF160" s="60"/>
      <c r="AG160" s="60"/>
      <c r="AH160" s="60"/>
      <c r="AI160" s="60"/>
      <c r="AJ160" s="60"/>
      <c r="AK160" s="64">
        <f t="shared" si="19"/>
        <v>197.84</v>
      </c>
    </row>
    <row r="161" spans="1:37" x14ac:dyDescent="0.25">
      <c r="A161" s="58" t="s">
        <v>770</v>
      </c>
      <c r="B161" s="59" t="str">
        <f t="shared" ca="1" si="23"/>
        <v>VENCIDO</v>
      </c>
      <c r="C161" s="60" t="s">
        <v>824</v>
      </c>
      <c r="D161" s="61" t="s">
        <v>1071</v>
      </c>
      <c r="E161" s="62" t="s">
        <v>1072</v>
      </c>
      <c r="F161" s="61" t="s">
        <v>775</v>
      </c>
      <c r="G161" s="60" t="s">
        <v>213</v>
      </c>
      <c r="H161" s="63">
        <v>45566</v>
      </c>
      <c r="I161" s="63">
        <f>H161-180</f>
        <v>45386</v>
      </c>
      <c r="J161" s="60">
        <f t="shared" si="22"/>
        <v>2</v>
      </c>
      <c r="K161" s="60">
        <f t="shared" si="18"/>
        <v>0</v>
      </c>
      <c r="L161" s="60"/>
      <c r="M161" s="60"/>
      <c r="N161" s="60"/>
      <c r="O161" s="60"/>
      <c r="P161" s="60"/>
      <c r="Q161" s="60">
        <v>1</v>
      </c>
      <c r="R161" s="60"/>
      <c r="S161" s="60"/>
      <c r="T161" s="60"/>
      <c r="U161" s="60"/>
      <c r="V161" s="60"/>
      <c r="W161" s="60"/>
      <c r="X161" s="60"/>
      <c r="Y161" s="60"/>
      <c r="Z161" s="60"/>
      <c r="AA161" s="60">
        <v>1</v>
      </c>
      <c r="AB161" s="60"/>
      <c r="AC161" s="60"/>
      <c r="AD161" s="60"/>
      <c r="AE161" s="60"/>
      <c r="AF161" s="60"/>
      <c r="AG161" s="60"/>
      <c r="AH161" s="60"/>
      <c r="AI161" s="60"/>
      <c r="AJ161" s="60"/>
      <c r="AK161" s="64">
        <f t="shared" si="19"/>
        <v>513.19000000000005</v>
      </c>
    </row>
    <row r="162" spans="1:37" x14ac:dyDescent="0.25">
      <c r="A162" s="58" t="s">
        <v>770</v>
      </c>
      <c r="B162" s="59" t="str">
        <f t="shared" ca="1" si="23"/>
        <v>VENCIDO</v>
      </c>
      <c r="C162" s="60" t="s">
        <v>869</v>
      </c>
      <c r="D162" s="61" t="s">
        <v>1073</v>
      </c>
      <c r="E162" s="62" t="s">
        <v>1058</v>
      </c>
      <c r="F162" s="61" t="s">
        <v>775</v>
      </c>
      <c r="G162" s="60" t="s">
        <v>213</v>
      </c>
      <c r="H162" s="63">
        <v>45323</v>
      </c>
      <c r="I162" s="63">
        <f>H162-180</f>
        <v>45143</v>
      </c>
      <c r="J162" s="60">
        <f t="shared" si="22"/>
        <v>1</v>
      </c>
      <c r="K162" s="60">
        <f t="shared" si="18"/>
        <v>0</v>
      </c>
      <c r="L162" s="60"/>
      <c r="M162" s="60"/>
      <c r="N162" s="60"/>
      <c r="O162" s="60">
        <v>1</v>
      </c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  <c r="AK162" s="64">
        <f t="shared" si="19"/>
        <v>197.82</v>
      </c>
    </row>
    <row r="163" spans="1:37" x14ac:dyDescent="0.25">
      <c r="A163" s="58" t="s">
        <v>770</v>
      </c>
      <c r="B163" s="59" t="str">
        <f t="shared" ca="1" si="23"/>
        <v>VENCIDO</v>
      </c>
      <c r="C163" s="60" t="s">
        <v>869</v>
      </c>
      <c r="D163" s="61" t="s">
        <v>1074</v>
      </c>
      <c r="E163" s="62" t="s">
        <v>1004</v>
      </c>
      <c r="F163" s="61" t="s">
        <v>775</v>
      </c>
      <c r="G163" s="60" t="s">
        <v>213</v>
      </c>
      <c r="H163" s="63">
        <v>45323</v>
      </c>
      <c r="I163" s="63">
        <v>45323</v>
      </c>
      <c r="J163" s="60">
        <v>1</v>
      </c>
      <c r="K163" s="60">
        <f t="shared" si="18"/>
        <v>0</v>
      </c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>
        <v>1</v>
      </c>
      <c r="AB163" s="60"/>
      <c r="AC163" s="60"/>
      <c r="AD163" s="60"/>
      <c r="AE163" s="60"/>
      <c r="AF163" s="60"/>
      <c r="AG163" s="60"/>
      <c r="AH163" s="60"/>
      <c r="AI163" s="60"/>
      <c r="AJ163" s="60"/>
      <c r="AK163" s="64">
        <f t="shared" si="19"/>
        <v>197.84</v>
      </c>
    </row>
    <row r="164" spans="1:37" hidden="1" x14ac:dyDescent="0.25">
      <c r="A164" s="58"/>
      <c r="B164" s="59" t="str">
        <f t="shared" ca="1" si="23"/>
        <v>VENCIDO</v>
      </c>
      <c r="C164" s="60" t="s">
        <v>824</v>
      </c>
      <c r="D164" s="61" t="s">
        <v>1075</v>
      </c>
      <c r="E164" s="62" t="s">
        <v>1076</v>
      </c>
      <c r="F164" s="61" t="s">
        <v>778</v>
      </c>
      <c r="G164" s="60" t="s">
        <v>213</v>
      </c>
      <c r="H164" s="63">
        <v>45444</v>
      </c>
      <c r="I164" s="63">
        <v>45444</v>
      </c>
      <c r="J164" s="60">
        <f t="shared" ref="J164:J227" si="24">SUM(L164:AE164)</f>
        <v>1</v>
      </c>
      <c r="K164" s="60">
        <f t="shared" si="18"/>
        <v>0</v>
      </c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>
        <v>1</v>
      </c>
      <c r="AB164" s="60"/>
      <c r="AC164" s="60"/>
      <c r="AD164" s="60"/>
      <c r="AE164" s="60"/>
      <c r="AF164" s="60"/>
      <c r="AG164" s="60"/>
      <c r="AH164" s="60"/>
      <c r="AI164" s="60"/>
      <c r="AJ164" s="60"/>
      <c r="AK164" s="64">
        <f t="shared" si="19"/>
        <v>197.84</v>
      </c>
    </row>
    <row r="165" spans="1:37" hidden="1" x14ac:dyDescent="0.25">
      <c r="A165" s="58"/>
      <c r="B165" s="59" t="str">
        <f t="shared" ca="1" si="23"/>
        <v>VENCIDO</v>
      </c>
      <c r="C165" s="60" t="s">
        <v>824</v>
      </c>
      <c r="D165" s="61" t="s">
        <v>1077</v>
      </c>
      <c r="E165" s="62" t="s">
        <v>1078</v>
      </c>
      <c r="F165" s="61" t="s">
        <v>778</v>
      </c>
      <c r="G165" s="60" t="s">
        <v>213</v>
      </c>
      <c r="H165" s="63">
        <v>45444</v>
      </c>
      <c r="I165" s="63">
        <v>45444</v>
      </c>
      <c r="J165" s="60">
        <f t="shared" si="24"/>
        <v>1</v>
      </c>
      <c r="K165" s="60">
        <f t="shared" si="18"/>
        <v>0</v>
      </c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>
        <v>1</v>
      </c>
      <c r="AB165" s="60"/>
      <c r="AC165" s="60"/>
      <c r="AD165" s="60"/>
      <c r="AE165" s="60"/>
      <c r="AF165" s="60"/>
      <c r="AG165" s="60"/>
      <c r="AH165" s="60"/>
      <c r="AI165" s="60"/>
      <c r="AJ165" s="60"/>
      <c r="AK165" s="64">
        <f t="shared" si="19"/>
        <v>197.84</v>
      </c>
    </row>
    <row r="166" spans="1:37" hidden="1" x14ac:dyDescent="0.25">
      <c r="A166" s="58" t="s">
        <v>770</v>
      </c>
      <c r="B166" s="59" t="str">
        <f t="shared" ca="1" si="23"/>
        <v>VENCIDO</v>
      </c>
      <c r="C166" s="60" t="s">
        <v>824</v>
      </c>
      <c r="D166" s="61" t="s">
        <v>1079</v>
      </c>
      <c r="E166" s="62" t="s">
        <v>844</v>
      </c>
      <c r="F166" s="61" t="s">
        <v>778</v>
      </c>
      <c r="G166" s="60" t="s">
        <v>213</v>
      </c>
      <c r="H166" s="63">
        <v>45536</v>
      </c>
      <c r="I166" s="63">
        <f>H166-180</f>
        <v>45356</v>
      </c>
      <c r="J166" s="60">
        <f t="shared" si="24"/>
        <v>1</v>
      </c>
      <c r="K166" s="60">
        <f t="shared" si="18"/>
        <v>0</v>
      </c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>
        <v>1</v>
      </c>
      <c r="AB166" s="60"/>
      <c r="AC166" s="60"/>
      <c r="AD166" s="60"/>
      <c r="AE166" s="60"/>
      <c r="AF166" s="60"/>
      <c r="AG166" s="60"/>
      <c r="AH166" s="60"/>
      <c r="AI166" s="60"/>
      <c r="AJ166" s="60"/>
      <c r="AK166" s="64">
        <f t="shared" si="19"/>
        <v>197.84</v>
      </c>
    </row>
    <row r="167" spans="1:37" hidden="1" x14ac:dyDescent="0.25">
      <c r="A167" s="58" t="s">
        <v>783</v>
      </c>
      <c r="B167" s="59" t="str">
        <f t="shared" ca="1" si="23"/>
        <v>VENCIDO</v>
      </c>
      <c r="C167" s="60" t="s">
        <v>824</v>
      </c>
      <c r="D167" s="61" t="s">
        <v>1080</v>
      </c>
      <c r="E167" s="62" t="s">
        <v>1081</v>
      </c>
      <c r="F167" s="61" t="s">
        <v>778</v>
      </c>
      <c r="G167" s="60" t="s">
        <v>213</v>
      </c>
      <c r="H167" s="63">
        <v>45597</v>
      </c>
      <c r="I167" s="63">
        <f>H167-180</f>
        <v>45417</v>
      </c>
      <c r="J167" s="60">
        <f t="shared" si="24"/>
        <v>1</v>
      </c>
      <c r="K167" s="60">
        <f t="shared" si="18"/>
        <v>0</v>
      </c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>
        <v>1</v>
      </c>
      <c r="AB167" s="60"/>
      <c r="AC167" s="60"/>
      <c r="AD167" s="60"/>
      <c r="AE167" s="60"/>
      <c r="AF167" s="60"/>
      <c r="AG167" s="60"/>
      <c r="AH167" s="60"/>
      <c r="AI167" s="60"/>
      <c r="AJ167" s="60"/>
      <c r="AK167" s="64">
        <f t="shared" si="19"/>
        <v>197.84</v>
      </c>
    </row>
    <row r="168" spans="1:37" hidden="1" x14ac:dyDescent="0.25">
      <c r="A168" s="58" t="s">
        <v>770</v>
      </c>
      <c r="B168" s="59" t="str">
        <f t="shared" ca="1" si="23"/>
        <v>VENCIDO</v>
      </c>
      <c r="C168" s="60" t="s">
        <v>824</v>
      </c>
      <c r="D168" s="61" t="s">
        <v>1082</v>
      </c>
      <c r="E168" s="62" t="s">
        <v>1078</v>
      </c>
      <c r="F168" s="61" t="s">
        <v>778</v>
      </c>
      <c r="G168" s="60" t="s">
        <v>213</v>
      </c>
      <c r="H168" s="63">
        <v>45566</v>
      </c>
      <c r="I168" s="63">
        <f>H168-180</f>
        <v>45386</v>
      </c>
      <c r="J168" s="60">
        <f t="shared" si="24"/>
        <v>1</v>
      </c>
      <c r="K168" s="60">
        <f t="shared" si="18"/>
        <v>0</v>
      </c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>
        <v>1</v>
      </c>
      <c r="AB168" s="60"/>
      <c r="AC168" s="60"/>
      <c r="AD168" s="60"/>
      <c r="AE168" s="60"/>
      <c r="AF168" s="60"/>
      <c r="AG168" s="60"/>
      <c r="AH168" s="60"/>
      <c r="AI168" s="60"/>
      <c r="AJ168" s="60"/>
      <c r="AK168" s="64">
        <f t="shared" si="19"/>
        <v>197.84</v>
      </c>
    </row>
    <row r="169" spans="1:37" hidden="1" x14ac:dyDescent="0.25">
      <c r="A169" s="58" t="s">
        <v>770</v>
      </c>
      <c r="B169" s="59" t="str">
        <f t="shared" ca="1" si="23"/>
        <v>VENCIDO</v>
      </c>
      <c r="C169" s="60" t="s">
        <v>824</v>
      </c>
      <c r="D169" s="61" t="s">
        <v>1083</v>
      </c>
      <c r="E169" s="62" t="s">
        <v>954</v>
      </c>
      <c r="F169" s="61" t="s">
        <v>778</v>
      </c>
      <c r="G169" s="60" t="s">
        <v>213</v>
      </c>
      <c r="H169" s="63">
        <v>45474</v>
      </c>
      <c r="I169" s="63">
        <f>H169-180</f>
        <v>45294</v>
      </c>
      <c r="J169" s="60">
        <f t="shared" si="24"/>
        <v>1</v>
      </c>
      <c r="K169" s="60">
        <f t="shared" si="18"/>
        <v>0</v>
      </c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>
        <v>1</v>
      </c>
      <c r="AB169" s="60"/>
      <c r="AC169" s="60"/>
      <c r="AD169" s="60"/>
      <c r="AE169" s="60"/>
      <c r="AF169" s="60"/>
      <c r="AG169" s="60"/>
      <c r="AH169" s="60"/>
      <c r="AI169" s="60"/>
      <c r="AJ169" s="60"/>
      <c r="AK169" s="64">
        <f t="shared" si="19"/>
        <v>197.84</v>
      </c>
    </row>
    <row r="170" spans="1:37" hidden="1" x14ac:dyDescent="0.25">
      <c r="A170" s="58" t="s">
        <v>770</v>
      </c>
      <c r="B170" s="59" t="str">
        <f t="shared" ca="1" si="23"/>
        <v>VENCIDO</v>
      </c>
      <c r="C170" s="60" t="s">
        <v>824</v>
      </c>
      <c r="D170" s="61" t="s">
        <v>1084</v>
      </c>
      <c r="E170" s="62" t="s">
        <v>782</v>
      </c>
      <c r="F170" s="61" t="s">
        <v>778</v>
      </c>
      <c r="G170" s="60" t="s">
        <v>213</v>
      </c>
      <c r="H170" s="63">
        <v>45352</v>
      </c>
      <c r="I170" s="63">
        <v>45352</v>
      </c>
      <c r="J170" s="60">
        <f t="shared" si="24"/>
        <v>1</v>
      </c>
      <c r="K170" s="60">
        <f t="shared" si="18"/>
        <v>0</v>
      </c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>
        <v>1</v>
      </c>
      <c r="AB170" s="60"/>
      <c r="AC170" s="60"/>
      <c r="AD170" s="60"/>
      <c r="AE170" s="60"/>
      <c r="AF170" s="60"/>
      <c r="AG170" s="60"/>
      <c r="AH170" s="60"/>
      <c r="AI170" s="60"/>
      <c r="AJ170" s="60"/>
      <c r="AK170" s="64">
        <f t="shared" si="19"/>
        <v>197.84</v>
      </c>
    </row>
    <row r="171" spans="1:37" hidden="1" x14ac:dyDescent="0.25">
      <c r="A171" s="58" t="s">
        <v>770</v>
      </c>
      <c r="B171" s="59" t="str">
        <f t="shared" ca="1" si="23"/>
        <v>VENCIDO</v>
      </c>
      <c r="C171" s="60" t="s">
        <v>869</v>
      </c>
      <c r="D171" s="61" t="s">
        <v>1085</v>
      </c>
      <c r="E171" s="62" t="s">
        <v>1086</v>
      </c>
      <c r="F171" s="61" t="s">
        <v>793</v>
      </c>
      <c r="G171" s="60" t="s">
        <v>213</v>
      </c>
      <c r="H171" s="63">
        <v>45566</v>
      </c>
      <c r="I171" s="63">
        <f>H171-180</f>
        <v>45386</v>
      </c>
      <c r="J171" s="60">
        <f t="shared" si="24"/>
        <v>6</v>
      </c>
      <c r="K171" s="60">
        <f t="shared" si="18"/>
        <v>0</v>
      </c>
      <c r="L171" s="60"/>
      <c r="M171" s="60"/>
      <c r="N171" s="60"/>
      <c r="O171" s="60"/>
      <c r="P171" s="60"/>
      <c r="Q171" s="60">
        <v>5</v>
      </c>
      <c r="R171" s="60"/>
      <c r="S171" s="60"/>
      <c r="T171" s="60"/>
      <c r="U171" s="60"/>
      <c r="V171" s="60"/>
      <c r="W171" s="60"/>
      <c r="X171" s="60"/>
      <c r="Y171" s="60"/>
      <c r="Z171" s="60"/>
      <c r="AA171" s="60">
        <v>1</v>
      </c>
      <c r="AB171" s="60"/>
      <c r="AC171" s="60"/>
      <c r="AD171" s="60"/>
      <c r="AE171" s="60"/>
      <c r="AF171" s="60"/>
      <c r="AG171" s="60"/>
      <c r="AH171" s="60"/>
      <c r="AI171" s="60"/>
      <c r="AJ171" s="60"/>
      <c r="AK171" s="64">
        <f t="shared" si="19"/>
        <v>1774.59</v>
      </c>
    </row>
    <row r="172" spans="1:37" hidden="1" x14ac:dyDescent="0.25">
      <c r="A172" s="58"/>
      <c r="B172" s="59" t="str">
        <f t="shared" ca="1" si="23"/>
        <v>VENCIDO</v>
      </c>
      <c r="C172" s="60" t="s">
        <v>824</v>
      </c>
      <c r="D172" s="61" t="s">
        <v>1087</v>
      </c>
      <c r="E172" s="62" t="s">
        <v>1051</v>
      </c>
      <c r="F172" s="61" t="s">
        <v>778</v>
      </c>
      <c r="G172" s="60" t="s">
        <v>213</v>
      </c>
      <c r="H172" s="63">
        <v>45627</v>
      </c>
      <c r="I172" s="63">
        <f>H172-180</f>
        <v>45447</v>
      </c>
      <c r="J172" s="60">
        <f t="shared" si="24"/>
        <v>1</v>
      </c>
      <c r="K172" s="60">
        <f t="shared" si="18"/>
        <v>0</v>
      </c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>
        <v>1</v>
      </c>
      <c r="AB172" s="60"/>
      <c r="AC172" s="60"/>
      <c r="AD172" s="60"/>
      <c r="AE172" s="60"/>
      <c r="AF172" s="60"/>
      <c r="AG172" s="60"/>
      <c r="AH172" s="60"/>
      <c r="AI172" s="60"/>
      <c r="AJ172" s="60"/>
      <c r="AK172" s="64">
        <f t="shared" si="19"/>
        <v>197.84</v>
      </c>
    </row>
    <row r="173" spans="1:37" hidden="1" x14ac:dyDescent="0.25">
      <c r="A173" s="58" t="s">
        <v>770</v>
      </c>
      <c r="B173" s="59" t="str">
        <f t="shared" ca="1" si="23"/>
        <v>VENCIDO</v>
      </c>
      <c r="C173" s="60" t="s">
        <v>824</v>
      </c>
      <c r="D173" s="61" t="s">
        <v>1088</v>
      </c>
      <c r="E173" s="62" t="s">
        <v>1078</v>
      </c>
      <c r="F173" s="61" t="s">
        <v>778</v>
      </c>
      <c r="G173" s="60" t="s">
        <v>213</v>
      </c>
      <c r="H173" s="63">
        <v>45444</v>
      </c>
      <c r="I173" s="63">
        <v>45444</v>
      </c>
      <c r="J173" s="60">
        <f t="shared" si="24"/>
        <v>1</v>
      </c>
      <c r="K173" s="60">
        <f t="shared" si="18"/>
        <v>0</v>
      </c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>
        <v>1</v>
      </c>
      <c r="AB173" s="60"/>
      <c r="AC173" s="60"/>
      <c r="AD173" s="60"/>
      <c r="AE173" s="60"/>
      <c r="AF173" s="60"/>
      <c r="AG173" s="60"/>
      <c r="AH173" s="60"/>
      <c r="AI173" s="60"/>
      <c r="AJ173" s="60"/>
      <c r="AK173" s="64">
        <f t="shared" si="19"/>
        <v>197.84</v>
      </c>
    </row>
    <row r="174" spans="1:37" hidden="1" x14ac:dyDescent="0.25">
      <c r="A174" s="58" t="s">
        <v>770</v>
      </c>
      <c r="B174" s="59" t="str">
        <f t="shared" ca="1" si="23"/>
        <v>VENCIDO</v>
      </c>
      <c r="C174" s="60" t="s">
        <v>824</v>
      </c>
      <c r="D174" s="61" t="s">
        <v>1089</v>
      </c>
      <c r="E174" s="62" t="s">
        <v>1090</v>
      </c>
      <c r="F174" s="61" t="s">
        <v>778</v>
      </c>
      <c r="G174" s="60" t="s">
        <v>213</v>
      </c>
      <c r="H174" s="63">
        <v>45323</v>
      </c>
      <c r="I174" s="63">
        <f>H174-180</f>
        <v>45143</v>
      </c>
      <c r="J174" s="60">
        <f t="shared" si="24"/>
        <v>1</v>
      </c>
      <c r="K174" s="60">
        <f t="shared" si="18"/>
        <v>0</v>
      </c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>
        <v>1</v>
      </c>
      <c r="AB174" s="60"/>
      <c r="AC174" s="60"/>
      <c r="AD174" s="60"/>
      <c r="AE174" s="60"/>
      <c r="AF174" s="60"/>
      <c r="AG174" s="60"/>
      <c r="AH174" s="60"/>
      <c r="AI174" s="60"/>
      <c r="AJ174" s="60"/>
      <c r="AK174" s="64">
        <f t="shared" si="19"/>
        <v>197.84</v>
      </c>
    </row>
    <row r="175" spans="1:37" hidden="1" x14ac:dyDescent="0.25">
      <c r="A175" s="58"/>
      <c r="B175" s="59" t="str">
        <f t="shared" ca="1" si="23"/>
        <v>VENCIDO</v>
      </c>
      <c r="C175" s="60" t="s">
        <v>824</v>
      </c>
      <c r="D175" s="61" t="s">
        <v>1091</v>
      </c>
      <c r="E175" s="62" t="s">
        <v>799</v>
      </c>
      <c r="F175" s="61" t="s">
        <v>778</v>
      </c>
      <c r="G175" s="60" t="s">
        <v>213</v>
      </c>
      <c r="H175" s="63">
        <v>45566</v>
      </c>
      <c r="I175" s="63">
        <v>45566</v>
      </c>
      <c r="J175" s="60">
        <f t="shared" si="24"/>
        <v>1</v>
      </c>
      <c r="K175" s="60">
        <f t="shared" si="18"/>
        <v>0</v>
      </c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>
        <v>1</v>
      </c>
      <c r="AB175" s="60"/>
      <c r="AC175" s="60"/>
      <c r="AD175" s="60"/>
      <c r="AE175" s="60"/>
      <c r="AF175" s="60"/>
      <c r="AG175" s="60"/>
      <c r="AH175" s="60"/>
      <c r="AI175" s="60"/>
      <c r="AJ175" s="60"/>
      <c r="AK175" s="64">
        <f t="shared" si="19"/>
        <v>197.84</v>
      </c>
    </row>
    <row r="176" spans="1:37" x14ac:dyDescent="0.25">
      <c r="A176" s="58"/>
      <c r="B176" s="59" t="str">
        <f t="shared" ca="1" si="23"/>
        <v>VENCIDO</v>
      </c>
      <c r="C176" s="60" t="s">
        <v>824</v>
      </c>
      <c r="D176" s="61" t="s">
        <v>1092</v>
      </c>
      <c r="E176" s="62" t="s">
        <v>1093</v>
      </c>
      <c r="F176" s="61" t="s">
        <v>775</v>
      </c>
      <c r="G176" s="60" t="s">
        <v>213</v>
      </c>
      <c r="H176" s="63">
        <v>45474</v>
      </c>
      <c r="I176" s="63">
        <f>H176-180</f>
        <v>45294</v>
      </c>
      <c r="J176" s="60">
        <f t="shared" si="24"/>
        <v>1</v>
      </c>
      <c r="K176" s="60">
        <f t="shared" si="18"/>
        <v>0</v>
      </c>
      <c r="L176" s="60"/>
      <c r="M176" s="60"/>
      <c r="N176" s="60"/>
      <c r="O176" s="60">
        <v>1</v>
      </c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4">
        <f t="shared" si="19"/>
        <v>197.82</v>
      </c>
    </row>
    <row r="177" spans="1:37" x14ac:dyDescent="0.25">
      <c r="A177" s="58" t="s">
        <v>770</v>
      </c>
      <c r="B177" s="59" t="str">
        <f t="shared" ca="1" si="23"/>
        <v>VENCIDO</v>
      </c>
      <c r="C177" s="60" t="s">
        <v>824</v>
      </c>
      <c r="D177" s="61" t="s">
        <v>1094</v>
      </c>
      <c r="E177" s="62" t="s">
        <v>817</v>
      </c>
      <c r="F177" s="61" t="s">
        <v>775</v>
      </c>
      <c r="G177" s="60" t="s">
        <v>213</v>
      </c>
      <c r="H177" s="63">
        <v>45292</v>
      </c>
      <c r="I177" s="63">
        <v>45292</v>
      </c>
      <c r="J177" s="60">
        <f t="shared" si="24"/>
        <v>1</v>
      </c>
      <c r="K177" s="60">
        <f t="shared" si="18"/>
        <v>0</v>
      </c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>
        <v>1</v>
      </c>
      <c r="AB177" s="60"/>
      <c r="AC177" s="60"/>
      <c r="AD177" s="60"/>
      <c r="AE177" s="60"/>
      <c r="AF177" s="60"/>
      <c r="AG177" s="60"/>
      <c r="AH177" s="60"/>
      <c r="AI177" s="60"/>
      <c r="AJ177" s="60"/>
      <c r="AK177" s="64">
        <f t="shared" si="19"/>
        <v>197.84</v>
      </c>
    </row>
    <row r="178" spans="1:37" x14ac:dyDescent="0.25">
      <c r="A178" s="58"/>
      <c r="B178" s="59" t="str">
        <f t="shared" ca="1" si="23"/>
        <v>VENCIDO</v>
      </c>
      <c r="C178" s="60" t="s">
        <v>824</v>
      </c>
      <c r="D178" s="61" t="s">
        <v>1095</v>
      </c>
      <c r="E178" s="62" t="s">
        <v>820</v>
      </c>
      <c r="F178" s="61" t="s">
        <v>775</v>
      </c>
      <c r="G178" s="60" t="s">
        <v>213</v>
      </c>
      <c r="H178" s="63">
        <v>45536</v>
      </c>
      <c r="I178" s="63">
        <f>H178-180</f>
        <v>45356</v>
      </c>
      <c r="J178" s="60">
        <f t="shared" si="24"/>
        <v>2</v>
      </c>
      <c r="K178" s="60">
        <f t="shared" si="18"/>
        <v>0</v>
      </c>
      <c r="L178" s="60"/>
      <c r="M178" s="60"/>
      <c r="N178" s="60"/>
      <c r="O178" s="60"/>
      <c r="P178" s="60"/>
      <c r="Q178" s="60">
        <v>1</v>
      </c>
      <c r="R178" s="60"/>
      <c r="S178" s="60"/>
      <c r="T178" s="60"/>
      <c r="U178" s="60"/>
      <c r="V178" s="60"/>
      <c r="W178" s="60"/>
      <c r="X178" s="60"/>
      <c r="Y178" s="60"/>
      <c r="Z178" s="60"/>
      <c r="AA178" s="60">
        <v>1</v>
      </c>
      <c r="AB178" s="60"/>
      <c r="AC178" s="60"/>
      <c r="AD178" s="60"/>
      <c r="AE178" s="60"/>
      <c r="AF178" s="60"/>
      <c r="AG178" s="60"/>
      <c r="AH178" s="60"/>
      <c r="AI178" s="60"/>
      <c r="AJ178" s="60"/>
      <c r="AK178" s="64">
        <f t="shared" si="19"/>
        <v>513.19000000000005</v>
      </c>
    </row>
    <row r="179" spans="1:37" hidden="1" x14ac:dyDescent="0.25">
      <c r="A179" s="58"/>
      <c r="B179" s="59" t="str">
        <f t="shared" ca="1" si="23"/>
        <v>VENCIDO</v>
      </c>
      <c r="C179" s="60" t="s">
        <v>824</v>
      </c>
      <c r="D179" s="61" t="s">
        <v>1096</v>
      </c>
      <c r="E179" s="62" t="s">
        <v>778</v>
      </c>
      <c r="F179" s="61" t="s">
        <v>778</v>
      </c>
      <c r="G179" s="60" t="s">
        <v>213</v>
      </c>
      <c r="H179" s="63">
        <v>45444</v>
      </c>
      <c r="I179" s="63">
        <v>45444</v>
      </c>
      <c r="J179" s="60">
        <f t="shared" si="24"/>
        <v>1</v>
      </c>
      <c r="K179" s="60">
        <f t="shared" si="18"/>
        <v>0</v>
      </c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>
        <v>1</v>
      </c>
      <c r="AB179" s="60"/>
      <c r="AC179" s="60"/>
      <c r="AD179" s="60"/>
      <c r="AE179" s="60"/>
      <c r="AF179" s="60"/>
      <c r="AG179" s="60"/>
      <c r="AH179" s="60"/>
      <c r="AI179" s="60"/>
      <c r="AJ179" s="60"/>
      <c r="AK179" s="64">
        <f t="shared" si="19"/>
        <v>197.84</v>
      </c>
    </row>
    <row r="180" spans="1:37" hidden="1" x14ac:dyDescent="0.25">
      <c r="A180" s="58"/>
      <c r="B180" s="59" t="str">
        <f t="shared" ca="1" si="23"/>
        <v>VENCIDO</v>
      </c>
      <c r="C180" s="60" t="s">
        <v>869</v>
      </c>
      <c r="D180" s="61" t="s">
        <v>1097</v>
      </c>
      <c r="E180" s="62" t="s">
        <v>916</v>
      </c>
      <c r="F180" s="61" t="s">
        <v>793</v>
      </c>
      <c r="G180" s="60" t="s">
        <v>213</v>
      </c>
      <c r="H180" s="63">
        <v>45566</v>
      </c>
      <c r="I180" s="63">
        <f>H180-180</f>
        <v>45386</v>
      </c>
      <c r="J180" s="60">
        <f t="shared" si="24"/>
        <v>2</v>
      </c>
      <c r="K180" s="60">
        <f t="shared" si="18"/>
        <v>0</v>
      </c>
      <c r="L180" s="60"/>
      <c r="M180" s="60"/>
      <c r="N180" s="60"/>
      <c r="O180" s="60"/>
      <c r="P180" s="60"/>
      <c r="Q180" s="60">
        <v>1</v>
      </c>
      <c r="R180" s="60"/>
      <c r="S180" s="60"/>
      <c r="T180" s="60"/>
      <c r="U180" s="60"/>
      <c r="V180" s="60"/>
      <c r="W180" s="60"/>
      <c r="X180" s="60"/>
      <c r="Y180" s="60"/>
      <c r="Z180" s="60"/>
      <c r="AA180" s="60">
        <v>1</v>
      </c>
      <c r="AB180" s="60"/>
      <c r="AC180" s="60"/>
      <c r="AD180" s="60"/>
      <c r="AE180" s="60"/>
      <c r="AF180" s="60"/>
      <c r="AG180" s="60"/>
      <c r="AH180" s="60"/>
      <c r="AI180" s="60"/>
      <c r="AJ180" s="60"/>
      <c r="AK180" s="64">
        <f t="shared" si="19"/>
        <v>513.19000000000005</v>
      </c>
    </row>
    <row r="181" spans="1:37" hidden="1" x14ac:dyDescent="0.25">
      <c r="A181" s="58" t="s">
        <v>811</v>
      </c>
      <c r="B181" s="59" t="str">
        <f t="shared" ca="1" si="23"/>
        <v>VENCIDO</v>
      </c>
      <c r="C181" s="60" t="s">
        <v>869</v>
      </c>
      <c r="D181" s="61" t="s">
        <v>1098</v>
      </c>
      <c r="E181" s="62" t="s">
        <v>792</v>
      </c>
      <c r="F181" s="61" t="s">
        <v>793</v>
      </c>
      <c r="G181" s="60" t="s">
        <v>213</v>
      </c>
      <c r="H181" s="63">
        <v>45597</v>
      </c>
      <c r="I181" s="63">
        <f>H181-180</f>
        <v>45417</v>
      </c>
      <c r="J181" s="60">
        <f t="shared" si="24"/>
        <v>2</v>
      </c>
      <c r="K181" s="60">
        <f t="shared" si="18"/>
        <v>0</v>
      </c>
      <c r="L181" s="60"/>
      <c r="M181" s="60"/>
      <c r="N181" s="60"/>
      <c r="O181" s="60"/>
      <c r="P181" s="60"/>
      <c r="Q181" s="60">
        <v>1</v>
      </c>
      <c r="R181" s="60"/>
      <c r="S181" s="60"/>
      <c r="T181" s="60"/>
      <c r="U181" s="60"/>
      <c r="V181" s="60"/>
      <c r="W181" s="60"/>
      <c r="X181" s="60"/>
      <c r="Y181" s="60"/>
      <c r="Z181" s="60"/>
      <c r="AA181" s="60">
        <v>1</v>
      </c>
      <c r="AB181" s="60"/>
      <c r="AC181" s="60"/>
      <c r="AD181" s="60"/>
      <c r="AE181" s="60"/>
      <c r="AF181" s="60"/>
      <c r="AG181" s="60"/>
      <c r="AH181" s="60"/>
      <c r="AI181" s="60"/>
      <c r="AJ181" s="60"/>
      <c r="AK181" s="64">
        <f t="shared" si="19"/>
        <v>513.19000000000005</v>
      </c>
    </row>
    <row r="182" spans="1:37" hidden="1" x14ac:dyDescent="0.25">
      <c r="A182" s="58" t="s">
        <v>811</v>
      </c>
      <c r="B182" s="59" t="str">
        <f t="shared" ca="1" si="23"/>
        <v>VENCIDO</v>
      </c>
      <c r="C182" s="60" t="s">
        <v>869</v>
      </c>
      <c r="D182" s="61" t="s">
        <v>1099</v>
      </c>
      <c r="E182" s="62" t="s">
        <v>826</v>
      </c>
      <c r="F182" s="61" t="s">
        <v>793</v>
      </c>
      <c r="G182" s="60" t="s">
        <v>213</v>
      </c>
      <c r="H182" s="63">
        <v>45474</v>
      </c>
      <c r="I182" s="63">
        <f>H182-180</f>
        <v>45294</v>
      </c>
      <c r="J182" s="60">
        <f t="shared" si="24"/>
        <v>2</v>
      </c>
      <c r="K182" s="60">
        <f t="shared" si="18"/>
        <v>0</v>
      </c>
      <c r="L182" s="60"/>
      <c r="M182" s="60"/>
      <c r="N182" s="60"/>
      <c r="O182" s="60"/>
      <c r="P182" s="60"/>
      <c r="Q182" s="60">
        <v>1</v>
      </c>
      <c r="R182" s="60"/>
      <c r="S182" s="60"/>
      <c r="T182" s="60"/>
      <c r="U182" s="60"/>
      <c r="V182" s="60"/>
      <c r="W182" s="60"/>
      <c r="X182" s="60"/>
      <c r="Y182" s="60"/>
      <c r="Z182" s="60"/>
      <c r="AA182" s="60">
        <v>1</v>
      </c>
      <c r="AB182" s="60"/>
      <c r="AC182" s="60"/>
      <c r="AD182" s="60"/>
      <c r="AE182" s="60"/>
      <c r="AF182" s="60"/>
      <c r="AG182" s="60"/>
      <c r="AH182" s="60"/>
      <c r="AI182" s="60"/>
      <c r="AJ182" s="60"/>
      <c r="AK182" s="64">
        <f t="shared" si="19"/>
        <v>513.19000000000005</v>
      </c>
    </row>
    <row r="183" spans="1:37" hidden="1" x14ac:dyDescent="0.25">
      <c r="A183" s="58"/>
      <c r="B183" s="59" t="str">
        <f t="shared" ca="1" si="23"/>
        <v>VENCIDO</v>
      </c>
      <c r="C183" s="60" t="s">
        <v>824</v>
      </c>
      <c r="D183" s="61" t="s">
        <v>1100</v>
      </c>
      <c r="E183" s="62" t="s">
        <v>778</v>
      </c>
      <c r="F183" s="61" t="s">
        <v>778</v>
      </c>
      <c r="G183" s="60" t="s">
        <v>213</v>
      </c>
      <c r="H183" s="63">
        <v>45444</v>
      </c>
      <c r="I183" s="63">
        <v>45444</v>
      </c>
      <c r="J183" s="60">
        <f t="shared" si="24"/>
        <v>1</v>
      </c>
      <c r="K183" s="60">
        <f t="shared" si="18"/>
        <v>0</v>
      </c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>
        <v>1</v>
      </c>
      <c r="AB183" s="60"/>
      <c r="AC183" s="60"/>
      <c r="AD183" s="60"/>
      <c r="AE183" s="60"/>
      <c r="AF183" s="60"/>
      <c r="AG183" s="60"/>
      <c r="AH183" s="60"/>
      <c r="AI183" s="60"/>
      <c r="AJ183" s="60"/>
      <c r="AK183" s="64">
        <f t="shared" si="19"/>
        <v>197.84</v>
      </c>
    </row>
    <row r="184" spans="1:37" x14ac:dyDescent="0.25">
      <c r="A184" s="58" t="s">
        <v>770</v>
      </c>
      <c r="B184" s="59" t="str">
        <f t="shared" ca="1" si="23"/>
        <v>VENCIDO</v>
      </c>
      <c r="C184" s="60" t="s">
        <v>1101</v>
      </c>
      <c r="D184" s="61" t="s">
        <v>1102</v>
      </c>
      <c r="E184" s="62" t="s">
        <v>223</v>
      </c>
      <c r="F184" s="61" t="s">
        <v>775</v>
      </c>
      <c r="G184" s="60" t="s">
        <v>213</v>
      </c>
      <c r="H184" s="63">
        <v>45505</v>
      </c>
      <c r="I184" s="63">
        <f>H184-180</f>
        <v>45325</v>
      </c>
      <c r="J184" s="60">
        <f t="shared" si="24"/>
        <v>21</v>
      </c>
      <c r="K184" s="60">
        <f t="shared" si="18"/>
        <v>10</v>
      </c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>
        <v>15</v>
      </c>
      <c r="W184" s="60"/>
      <c r="X184" s="60"/>
      <c r="Y184" s="60"/>
      <c r="Z184" s="60"/>
      <c r="AA184" s="60">
        <v>6</v>
      </c>
      <c r="AB184" s="60"/>
      <c r="AC184" s="60"/>
      <c r="AD184" s="60"/>
      <c r="AE184" s="60"/>
      <c r="AF184" s="60"/>
      <c r="AG184" s="60">
        <v>10</v>
      </c>
      <c r="AH184" s="60"/>
      <c r="AI184" s="60"/>
      <c r="AJ184" s="60"/>
      <c r="AK184" s="64">
        <f t="shared" si="19"/>
        <v>4154.6399999999994</v>
      </c>
    </row>
    <row r="185" spans="1:37" hidden="1" x14ac:dyDescent="0.25">
      <c r="A185" s="58" t="s">
        <v>849</v>
      </c>
      <c r="B185" s="59" t="str">
        <f t="shared" ca="1" si="23"/>
        <v>VENCIDO</v>
      </c>
      <c r="C185" s="60" t="s">
        <v>869</v>
      </c>
      <c r="D185" s="61" t="s">
        <v>1103</v>
      </c>
      <c r="E185" s="62" t="s">
        <v>832</v>
      </c>
      <c r="F185" s="61" t="s">
        <v>778</v>
      </c>
      <c r="G185" s="60" t="s">
        <v>213</v>
      </c>
      <c r="H185" s="63">
        <v>45292</v>
      </c>
      <c r="I185" s="63">
        <v>45292</v>
      </c>
      <c r="J185" s="60">
        <f t="shared" si="24"/>
        <v>2</v>
      </c>
      <c r="K185" s="60">
        <f t="shared" si="18"/>
        <v>0</v>
      </c>
      <c r="L185" s="60"/>
      <c r="M185" s="60"/>
      <c r="N185" s="60"/>
      <c r="O185" s="60"/>
      <c r="P185" s="60"/>
      <c r="Q185" s="60">
        <v>1</v>
      </c>
      <c r="R185" s="60"/>
      <c r="S185" s="60"/>
      <c r="T185" s="60"/>
      <c r="U185" s="60"/>
      <c r="V185" s="60"/>
      <c r="W185" s="60"/>
      <c r="X185" s="60"/>
      <c r="Y185" s="60"/>
      <c r="Z185" s="60"/>
      <c r="AA185" s="60">
        <v>1</v>
      </c>
      <c r="AB185" s="60"/>
      <c r="AC185" s="60"/>
      <c r="AD185" s="60"/>
      <c r="AE185" s="60"/>
      <c r="AF185" s="60"/>
      <c r="AG185" s="60"/>
      <c r="AH185" s="60"/>
      <c r="AI185" s="60"/>
      <c r="AJ185" s="60"/>
      <c r="AK185" s="64">
        <f t="shared" si="19"/>
        <v>513.19000000000005</v>
      </c>
    </row>
    <row r="186" spans="1:37" x14ac:dyDescent="0.25">
      <c r="A186" s="58"/>
      <c r="B186" s="59" t="str">
        <f t="shared" ca="1" si="23"/>
        <v>VENCIDO</v>
      </c>
      <c r="C186" s="60" t="s">
        <v>869</v>
      </c>
      <c r="D186" s="61" t="s">
        <v>1104</v>
      </c>
      <c r="E186" s="62" t="s">
        <v>223</v>
      </c>
      <c r="F186" s="61" t="s">
        <v>775</v>
      </c>
      <c r="G186" s="60" t="s">
        <v>213</v>
      </c>
      <c r="H186" s="63">
        <v>45323</v>
      </c>
      <c r="I186" s="63">
        <v>45323</v>
      </c>
      <c r="J186" s="60">
        <f t="shared" si="24"/>
        <v>5</v>
      </c>
      <c r="K186" s="60">
        <f t="shared" si="18"/>
        <v>0</v>
      </c>
      <c r="L186" s="60"/>
      <c r="M186" s="60"/>
      <c r="N186" s="60"/>
      <c r="O186" s="60"/>
      <c r="P186" s="60">
        <v>1</v>
      </c>
      <c r="Q186" s="60">
        <v>2</v>
      </c>
      <c r="R186" s="60"/>
      <c r="S186" s="60"/>
      <c r="T186" s="60">
        <v>1</v>
      </c>
      <c r="U186" s="60"/>
      <c r="V186" s="60"/>
      <c r="W186" s="60"/>
      <c r="X186" s="60"/>
      <c r="Y186" s="60"/>
      <c r="Z186" s="60"/>
      <c r="AA186" s="60">
        <v>1</v>
      </c>
      <c r="AB186" s="60"/>
      <c r="AC186" s="60"/>
      <c r="AD186" s="60"/>
      <c r="AE186" s="60"/>
      <c r="AF186" s="60"/>
      <c r="AG186" s="60"/>
      <c r="AH186" s="60"/>
      <c r="AI186" s="60"/>
      <c r="AJ186" s="60"/>
      <c r="AK186" s="64">
        <f t="shared" si="19"/>
        <v>1640.1000000000001</v>
      </c>
    </row>
    <row r="187" spans="1:37" hidden="1" x14ac:dyDescent="0.25">
      <c r="A187" s="58" t="s">
        <v>770</v>
      </c>
      <c r="B187" s="59" t="str">
        <f t="shared" ca="1" si="23"/>
        <v>VENCIDO</v>
      </c>
      <c r="C187" s="60" t="s">
        <v>869</v>
      </c>
      <c r="D187" s="61" t="s">
        <v>1105</v>
      </c>
      <c r="E187" s="62" t="s">
        <v>1106</v>
      </c>
      <c r="F187" s="61" t="s">
        <v>778</v>
      </c>
      <c r="G187" s="60" t="s">
        <v>213</v>
      </c>
      <c r="H187" s="63">
        <v>45292</v>
      </c>
      <c r="I187" s="63">
        <v>45292</v>
      </c>
      <c r="J187" s="60">
        <f t="shared" si="24"/>
        <v>4</v>
      </c>
      <c r="K187" s="60">
        <f t="shared" si="18"/>
        <v>0</v>
      </c>
      <c r="L187" s="60"/>
      <c r="M187" s="60"/>
      <c r="N187" s="60"/>
      <c r="O187" s="60"/>
      <c r="P187" s="60"/>
      <c r="Q187" s="60">
        <v>3</v>
      </c>
      <c r="R187" s="60"/>
      <c r="S187" s="60"/>
      <c r="T187" s="60"/>
      <c r="U187" s="60"/>
      <c r="V187" s="60"/>
      <c r="W187" s="60"/>
      <c r="X187" s="60"/>
      <c r="Y187" s="60"/>
      <c r="Z187" s="60"/>
      <c r="AA187" s="60">
        <v>1</v>
      </c>
      <c r="AB187" s="60"/>
      <c r="AC187" s="60"/>
      <c r="AD187" s="60"/>
      <c r="AE187" s="60"/>
      <c r="AF187" s="60"/>
      <c r="AG187" s="60"/>
      <c r="AH187" s="60"/>
      <c r="AI187" s="60"/>
      <c r="AJ187" s="60"/>
      <c r="AK187" s="64">
        <f t="shared" si="19"/>
        <v>1143.8900000000001</v>
      </c>
    </row>
    <row r="188" spans="1:37" hidden="1" x14ac:dyDescent="0.25">
      <c r="A188" s="58" t="s">
        <v>770</v>
      </c>
      <c r="B188" s="59" t="str">
        <f t="shared" ca="1" si="23"/>
        <v>VENCIDO</v>
      </c>
      <c r="C188" s="60" t="s">
        <v>869</v>
      </c>
      <c r="D188" s="61" t="s">
        <v>1107</v>
      </c>
      <c r="E188" s="62" t="s">
        <v>1108</v>
      </c>
      <c r="F188" s="61" t="s">
        <v>778</v>
      </c>
      <c r="G188" s="60" t="s">
        <v>213</v>
      </c>
      <c r="H188" s="63">
        <v>45444</v>
      </c>
      <c r="I188" s="63">
        <v>45444</v>
      </c>
      <c r="J188" s="60">
        <f t="shared" si="24"/>
        <v>2</v>
      </c>
      <c r="K188" s="60">
        <f t="shared" si="18"/>
        <v>0</v>
      </c>
      <c r="L188" s="60"/>
      <c r="M188" s="60"/>
      <c r="N188" s="60"/>
      <c r="O188" s="60"/>
      <c r="P188" s="60"/>
      <c r="Q188" s="60">
        <v>1</v>
      </c>
      <c r="R188" s="60"/>
      <c r="S188" s="60"/>
      <c r="T188" s="60"/>
      <c r="U188" s="60"/>
      <c r="V188" s="60"/>
      <c r="W188" s="60"/>
      <c r="X188" s="60"/>
      <c r="Y188" s="60"/>
      <c r="Z188" s="60"/>
      <c r="AA188" s="60">
        <v>1</v>
      </c>
      <c r="AB188" s="60"/>
      <c r="AC188" s="60"/>
      <c r="AD188" s="60"/>
      <c r="AE188" s="60"/>
      <c r="AF188" s="60"/>
      <c r="AG188" s="60"/>
      <c r="AH188" s="60"/>
      <c r="AI188" s="60"/>
      <c r="AJ188" s="60"/>
      <c r="AK188" s="64">
        <f t="shared" si="19"/>
        <v>513.19000000000005</v>
      </c>
    </row>
    <row r="189" spans="1:37" x14ac:dyDescent="0.25">
      <c r="A189" s="58" t="s">
        <v>783</v>
      </c>
      <c r="B189" s="59" t="str">
        <f t="shared" ca="1" si="23"/>
        <v>VENCIDO</v>
      </c>
      <c r="C189" s="60" t="s">
        <v>869</v>
      </c>
      <c r="D189" s="61" t="s">
        <v>1109</v>
      </c>
      <c r="E189" s="62" t="s">
        <v>774</v>
      </c>
      <c r="F189" s="61" t="s">
        <v>775</v>
      </c>
      <c r="G189" s="60" t="s">
        <v>213</v>
      </c>
      <c r="H189" s="63">
        <v>45566</v>
      </c>
      <c r="I189" s="63">
        <f>H189-180</f>
        <v>45386</v>
      </c>
      <c r="J189" s="60">
        <f t="shared" si="24"/>
        <v>5</v>
      </c>
      <c r="K189" s="60">
        <f t="shared" si="18"/>
        <v>0</v>
      </c>
      <c r="L189" s="60"/>
      <c r="M189" s="60"/>
      <c r="N189" s="60"/>
      <c r="O189" s="60"/>
      <c r="P189" s="60"/>
      <c r="Q189" s="60">
        <v>3</v>
      </c>
      <c r="R189" s="60"/>
      <c r="S189" s="60"/>
      <c r="T189" s="60">
        <v>1</v>
      </c>
      <c r="U189" s="60"/>
      <c r="V189" s="60"/>
      <c r="W189" s="60"/>
      <c r="X189" s="60"/>
      <c r="Y189" s="60"/>
      <c r="Z189" s="60"/>
      <c r="AA189" s="60">
        <v>1</v>
      </c>
      <c r="AB189" s="60"/>
      <c r="AC189" s="60"/>
      <c r="AD189" s="60"/>
      <c r="AE189" s="60"/>
      <c r="AF189" s="60"/>
      <c r="AG189" s="60"/>
      <c r="AH189" s="60"/>
      <c r="AI189" s="60"/>
      <c r="AJ189" s="60"/>
      <c r="AK189" s="64">
        <f t="shared" si="19"/>
        <v>1711.36</v>
      </c>
    </row>
    <row r="190" spans="1:37" hidden="1" x14ac:dyDescent="0.25">
      <c r="A190" s="58"/>
      <c r="B190" s="59" t="str">
        <f t="shared" ca="1" si="23"/>
        <v>VENCIDO</v>
      </c>
      <c r="C190" s="60" t="s">
        <v>1110</v>
      </c>
      <c r="D190" s="61" t="s">
        <v>1111</v>
      </c>
      <c r="E190" s="62" t="s">
        <v>428</v>
      </c>
      <c r="F190" s="61" t="s">
        <v>793</v>
      </c>
      <c r="G190" s="60" t="s">
        <v>213</v>
      </c>
      <c r="H190" s="63">
        <v>45413</v>
      </c>
      <c r="I190" s="63">
        <f>H190-180</f>
        <v>45233</v>
      </c>
      <c r="J190" s="60">
        <f t="shared" si="24"/>
        <v>4</v>
      </c>
      <c r="K190" s="60">
        <f t="shared" si="18"/>
        <v>0</v>
      </c>
      <c r="L190" s="60">
        <v>2</v>
      </c>
      <c r="M190" s="60"/>
      <c r="N190" s="60"/>
      <c r="O190" s="60"/>
      <c r="P190" s="60"/>
      <c r="Q190" s="60">
        <v>2</v>
      </c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  <c r="AK190" s="64">
        <f t="shared" si="19"/>
        <v>811.58</v>
      </c>
    </row>
    <row r="191" spans="1:37" x14ac:dyDescent="0.25">
      <c r="A191" s="58" t="s">
        <v>770</v>
      </c>
      <c r="B191" s="59" t="str">
        <f t="shared" ca="1" si="23"/>
        <v>VENCIDO</v>
      </c>
      <c r="C191" s="60" t="s">
        <v>869</v>
      </c>
      <c r="D191" s="61" t="s">
        <v>1112</v>
      </c>
      <c r="E191" s="62" t="s">
        <v>223</v>
      </c>
      <c r="F191" s="61" t="s">
        <v>775</v>
      </c>
      <c r="G191" s="60" t="s">
        <v>213</v>
      </c>
      <c r="H191" s="63">
        <v>45323</v>
      </c>
      <c r="I191" s="63">
        <v>45323</v>
      </c>
      <c r="J191" s="60">
        <f t="shared" si="24"/>
        <v>5</v>
      </c>
      <c r="K191" s="60">
        <f t="shared" si="18"/>
        <v>0</v>
      </c>
      <c r="L191" s="60"/>
      <c r="M191" s="60"/>
      <c r="N191" s="60"/>
      <c r="O191" s="60"/>
      <c r="P191" s="60"/>
      <c r="Q191" s="60">
        <v>2</v>
      </c>
      <c r="R191" s="60"/>
      <c r="S191" s="60"/>
      <c r="T191" s="60"/>
      <c r="U191" s="60"/>
      <c r="V191" s="60"/>
      <c r="W191" s="60"/>
      <c r="X191" s="60"/>
      <c r="Y191" s="60"/>
      <c r="Z191" s="60">
        <v>3</v>
      </c>
      <c r="AA191" s="60"/>
      <c r="AB191" s="60"/>
      <c r="AC191" s="60"/>
      <c r="AD191" s="60"/>
      <c r="AE191" s="60"/>
      <c r="AF191" s="60"/>
      <c r="AG191" s="60"/>
      <c r="AH191" s="60"/>
      <c r="AI191" s="60"/>
      <c r="AJ191" s="60"/>
      <c r="AK191" s="64">
        <f t="shared" si="19"/>
        <v>1085.5900000000001</v>
      </c>
    </row>
    <row r="192" spans="1:37" hidden="1" x14ac:dyDescent="0.25">
      <c r="A192" s="58" t="s">
        <v>770</v>
      </c>
      <c r="B192" s="59" t="str">
        <f t="shared" ca="1" si="23"/>
        <v>VENCIDO</v>
      </c>
      <c r="C192" s="60" t="s">
        <v>869</v>
      </c>
      <c r="D192" s="61" t="s">
        <v>1113</v>
      </c>
      <c r="E192" s="62" t="s">
        <v>830</v>
      </c>
      <c r="F192" s="61" t="s">
        <v>778</v>
      </c>
      <c r="G192" s="60" t="s">
        <v>213</v>
      </c>
      <c r="H192" s="63">
        <v>45352</v>
      </c>
      <c r="I192" s="63">
        <v>45352</v>
      </c>
      <c r="J192" s="60">
        <f t="shared" si="24"/>
        <v>2</v>
      </c>
      <c r="K192" s="60">
        <f t="shared" si="18"/>
        <v>0</v>
      </c>
      <c r="L192" s="60"/>
      <c r="M192" s="60"/>
      <c r="N192" s="60"/>
      <c r="O192" s="60"/>
      <c r="P192" s="60"/>
      <c r="Q192" s="60">
        <v>1</v>
      </c>
      <c r="R192" s="60"/>
      <c r="S192" s="60"/>
      <c r="T192" s="60"/>
      <c r="U192" s="60"/>
      <c r="V192" s="60"/>
      <c r="W192" s="60"/>
      <c r="X192" s="60"/>
      <c r="Y192" s="60"/>
      <c r="Z192" s="60"/>
      <c r="AA192" s="60">
        <v>1</v>
      </c>
      <c r="AB192" s="60"/>
      <c r="AC192" s="60"/>
      <c r="AD192" s="60"/>
      <c r="AE192" s="60"/>
      <c r="AF192" s="60"/>
      <c r="AG192" s="60"/>
      <c r="AH192" s="60"/>
      <c r="AI192" s="60"/>
      <c r="AJ192" s="60"/>
      <c r="AK192" s="64">
        <f t="shared" si="19"/>
        <v>513.19000000000005</v>
      </c>
    </row>
    <row r="193" spans="1:37" x14ac:dyDescent="0.25">
      <c r="A193" s="58" t="s">
        <v>770</v>
      </c>
      <c r="B193" s="59" t="str">
        <f t="shared" ca="1" si="23"/>
        <v>VENCIDO</v>
      </c>
      <c r="C193" s="60" t="s">
        <v>869</v>
      </c>
      <c r="D193" s="61" t="s">
        <v>1114</v>
      </c>
      <c r="E193" s="62" t="s">
        <v>1115</v>
      </c>
      <c r="F193" s="61" t="s">
        <v>775</v>
      </c>
      <c r="G193" s="60" t="s">
        <v>213</v>
      </c>
      <c r="H193" s="63">
        <v>45352</v>
      </c>
      <c r="I193" s="63">
        <v>45352</v>
      </c>
      <c r="J193" s="60">
        <f t="shared" si="24"/>
        <v>5</v>
      </c>
      <c r="K193" s="60">
        <f t="shared" si="18"/>
        <v>0</v>
      </c>
      <c r="L193" s="60"/>
      <c r="M193" s="60"/>
      <c r="N193" s="60"/>
      <c r="O193" s="60"/>
      <c r="P193" s="60"/>
      <c r="Q193" s="60">
        <v>3</v>
      </c>
      <c r="R193" s="60"/>
      <c r="S193" s="60"/>
      <c r="T193" s="60">
        <v>1</v>
      </c>
      <c r="U193" s="60"/>
      <c r="V193" s="60"/>
      <c r="W193" s="60"/>
      <c r="X193" s="60"/>
      <c r="Y193" s="60"/>
      <c r="Z193" s="60"/>
      <c r="AA193" s="60">
        <v>1</v>
      </c>
      <c r="AB193" s="60"/>
      <c r="AC193" s="60"/>
      <c r="AD193" s="60"/>
      <c r="AE193" s="60"/>
      <c r="AF193" s="60"/>
      <c r="AG193" s="60"/>
      <c r="AH193" s="60"/>
      <c r="AI193" s="60"/>
      <c r="AJ193" s="60"/>
      <c r="AK193" s="64">
        <f t="shared" si="19"/>
        <v>1711.36</v>
      </c>
    </row>
    <row r="194" spans="1:37" x14ac:dyDescent="0.25">
      <c r="A194" s="58" t="s">
        <v>849</v>
      </c>
      <c r="B194" s="59" t="str">
        <f t="shared" ca="1" si="23"/>
        <v>VENCIDO</v>
      </c>
      <c r="C194" s="60" t="s">
        <v>869</v>
      </c>
      <c r="D194" s="61" t="s">
        <v>1116</v>
      </c>
      <c r="E194" s="62" t="s">
        <v>1117</v>
      </c>
      <c r="F194" s="61" t="s">
        <v>775</v>
      </c>
      <c r="G194" s="60" t="s">
        <v>213</v>
      </c>
      <c r="H194" s="63">
        <v>45474</v>
      </c>
      <c r="I194" s="63">
        <f>H194-180</f>
        <v>45294</v>
      </c>
      <c r="J194" s="60">
        <f t="shared" si="24"/>
        <v>1</v>
      </c>
      <c r="K194" s="60">
        <f t="shared" si="18"/>
        <v>0</v>
      </c>
      <c r="L194" s="60"/>
      <c r="M194" s="60"/>
      <c r="N194" s="60"/>
      <c r="O194" s="60"/>
      <c r="P194" s="60"/>
      <c r="Q194" s="60">
        <v>1</v>
      </c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  <c r="AK194" s="64">
        <f t="shared" si="19"/>
        <v>315.35000000000002</v>
      </c>
    </row>
    <row r="195" spans="1:37" x14ac:dyDescent="0.25">
      <c r="A195" s="58"/>
      <c r="B195" s="59" t="str">
        <f t="shared" ca="1" si="23"/>
        <v>VENCIDO</v>
      </c>
      <c r="C195" s="60" t="s">
        <v>869</v>
      </c>
      <c r="D195" s="61" t="s">
        <v>1118</v>
      </c>
      <c r="E195" s="62" t="s">
        <v>1117</v>
      </c>
      <c r="F195" s="61" t="s">
        <v>775</v>
      </c>
      <c r="G195" s="60" t="s">
        <v>213</v>
      </c>
      <c r="H195" s="63">
        <v>45323</v>
      </c>
      <c r="I195" s="63">
        <v>45323</v>
      </c>
      <c r="J195" s="60">
        <f t="shared" si="24"/>
        <v>4</v>
      </c>
      <c r="K195" s="60">
        <f t="shared" ref="K195:K258" si="25">SUM(AF195:AJ195)</f>
        <v>0</v>
      </c>
      <c r="L195" s="60"/>
      <c r="M195" s="60"/>
      <c r="N195" s="60"/>
      <c r="O195" s="60"/>
      <c r="P195" s="60"/>
      <c r="Q195" s="60">
        <v>2</v>
      </c>
      <c r="R195" s="60"/>
      <c r="S195" s="60"/>
      <c r="T195" s="60"/>
      <c r="U195" s="60"/>
      <c r="V195" s="60"/>
      <c r="W195" s="60"/>
      <c r="X195" s="60"/>
      <c r="Y195" s="60"/>
      <c r="Z195" s="60"/>
      <c r="AA195" s="60">
        <v>2</v>
      </c>
      <c r="AB195" s="60"/>
      <c r="AC195" s="60"/>
      <c r="AD195" s="60"/>
      <c r="AE195" s="60"/>
      <c r="AF195" s="60"/>
      <c r="AG195" s="60"/>
      <c r="AH195" s="60"/>
      <c r="AI195" s="60"/>
      <c r="AJ195" s="60"/>
      <c r="AK195" s="64">
        <f t="shared" ref="AK195:AK258" si="26">IF(L195&gt;0,L195*90.44,0)+IF(M195&gt;0,M195*348.12,0)+IF(N195&gt;0,N195*151.63,0)+IF(O195&gt;0,O195*197.82,0)+IF(P195&gt;0,P195*244.09,0)+IF(Q195&gt;0,Q195*315.35,0)+IF(R195&gt;0,R195*1067.3,0)+IF(T195&gt;0,T195*567.47,0)+IF(U195&gt;0,U195*151.63,0)+IF(V195&gt;0,V195*197.84,0)+IF(W195&gt;0,W195*470.51,0)+IF(X195&gt;0,X195*701.69,0)+IF(Z195&gt;0,Z195*151.63,0)+IF(AA195&gt;0,AA195*197.84)+IF(AB195&gt;0,AB195*308.4,0)+IF(AC195&gt;0,AC195*496.16,0)</f>
        <v>1026.3800000000001</v>
      </c>
    </row>
    <row r="196" spans="1:37" hidden="1" x14ac:dyDescent="0.25">
      <c r="A196" s="58"/>
      <c r="B196" s="59" t="str">
        <f t="shared" ca="1" si="23"/>
        <v>VENCIDO</v>
      </c>
      <c r="C196" s="60" t="s">
        <v>869</v>
      </c>
      <c r="D196" s="61" t="s">
        <v>1119</v>
      </c>
      <c r="E196" s="62" t="s">
        <v>1120</v>
      </c>
      <c r="F196" s="61" t="s">
        <v>778</v>
      </c>
      <c r="G196" s="60" t="s">
        <v>213</v>
      </c>
      <c r="H196" s="63">
        <v>45383</v>
      </c>
      <c r="I196" s="63">
        <v>45383</v>
      </c>
      <c r="J196" s="60">
        <f t="shared" si="24"/>
        <v>2</v>
      </c>
      <c r="K196" s="60">
        <f t="shared" si="25"/>
        <v>0</v>
      </c>
      <c r="L196" s="60"/>
      <c r="M196" s="60"/>
      <c r="N196" s="60"/>
      <c r="O196" s="60"/>
      <c r="P196" s="60"/>
      <c r="Q196" s="60">
        <v>1</v>
      </c>
      <c r="R196" s="60"/>
      <c r="S196" s="60"/>
      <c r="T196" s="60"/>
      <c r="U196" s="60"/>
      <c r="V196" s="60"/>
      <c r="W196" s="60"/>
      <c r="X196" s="60"/>
      <c r="Y196" s="60"/>
      <c r="Z196" s="60"/>
      <c r="AA196" s="60">
        <v>1</v>
      </c>
      <c r="AB196" s="60"/>
      <c r="AC196" s="60"/>
      <c r="AD196" s="60"/>
      <c r="AE196" s="60"/>
      <c r="AF196" s="60"/>
      <c r="AG196" s="60"/>
      <c r="AH196" s="60"/>
      <c r="AI196" s="60"/>
      <c r="AJ196" s="60"/>
      <c r="AK196" s="64">
        <f t="shared" si="26"/>
        <v>513.19000000000005</v>
      </c>
    </row>
    <row r="197" spans="1:37" hidden="1" x14ac:dyDescent="0.25">
      <c r="A197" s="58" t="s">
        <v>770</v>
      </c>
      <c r="B197" s="59" t="str">
        <f t="shared" ca="1" si="23"/>
        <v>VENCIDO</v>
      </c>
      <c r="C197" s="60" t="s">
        <v>869</v>
      </c>
      <c r="D197" s="61" t="s">
        <v>1121</v>
      </c>
      <c r="E197" s="62" t="s">
        <v>835</v>
      </c>
      <c r="F197" s="61" t="s">
        <v>778</v>
      </c>
      <c r="G197" s="60" t="s">
        <v>213</v>
      </c>
      <c r="H197" s="63">
        <v>45444</v>
      </c>
      <c r="I197" s="63">
        <v>45444</v>
      </c>
      <c r="J197" s="60">
        <f t="shared" si="24"/>
        <v>2</v>
      </c>
      <c r="K197" s="60">
        <f t="shared" si="25"/>
        <v>0</v>
      </c>
      <c r="L197" s="60"/>
      <c r="M197" s="60"/>
      <c r="N197" s="60"/>
      <c r="O197" s="60"/>
      <c r="P197" s="60"/>
      <c r="Q197" s="60">
        <v>1</v>
      </c>
      <c r="R197" s="60"/>
      <c r="S197" s="60"/>
      <c r="T197" s="60"/>
      <c r="U197" s="60"/>
      <c r="V197" s="60"/>
      <c r="W197" s="60"/>
      <c r="X197" s="60"/>
      <c r="Y197" s="60"/>
      <c r="Z197" s="60"/>
      <c r="AA197" s="60">
        <v>1</v>
      </c>
      <c r="AB197" s="60"/>
      <c r="AC197" s="60"/>
      <c r="AD197" s="60"/>
      <c r="AE197" s="60"/>
      <c r="AF197" s="60"/>
      <c r="AG197" s="60"/>
      <c r="AH197" s="60"/>
      <c r="AI197" s="60"/>
      <c r="AJ197" s="60"/>
      <c r="AK197" s="64">
        <f t="shared" si="26"/>
        <v>513.19000000000005</v>
      </c>
    </row>
    <row r="198" spans="1:37" x14ac:dyDescent="0.25">
      <c r="A198" s="58"/>
      <c r="B198" s="59" t="str">
        <f t="shared" ca="1" si="23"/>
        <v>VENCIDO</v>
      </c>
      <c r="C198" s="60" t="s">
        <v>869</v>
      </c>
      <c r="D198" s="61" t="s">
        <v>1122</v>
      </c>
      <c r="E198" s="62" t="s">
        <v>1123</v>
      </c>
      <c r="F198" s="61" t="s">
        <v>775</v>
      </c>
      <c r="G198" s="60" t="s">
        <v>213</v>
      </c>
      <c r="H198" s="63">
        <v>45444</v>
      </c>
      <c r="I198" s="63">
        <v>45444</v>
      </c>
      <c r="J198" s="60">
        <f t="shared" si="24"/>
        <v>2</v>
      </c>
      <c r="K198" s="60">
        <f t="shared" si="25"/>
        <v>0</v>
      </c>
      <c r="L198" s="60"/>
      <c r="M198" s="60"/>
      <c r="N198" s="60"/>
      <c r="O198" s="60"/>
      <c r="P198" s="60"/>
      <c r="Q198" s="60">
        <v>1</v>
      </c>
      <c r="R198" s="60"/>
      <c r="S198" s="60"/>
      <c r="T198" s="60"/>
      <c r="U198" s="60"/>
      <c r="V198" s="60"/>
      <c r="W198" s="60"/>
      <c r="X198" s="60"/>
      <c r="Y198" s="60"/>
      <c r="Z198" s="60"/>
      <c r="AA198" s="60">
        <v>1</v>
      </c>
      <c r="AB198" s="60"/>
      <c r="AC198" s="60"/>
      <c r="AD198" s="60"/>
      <c r="AE198" s="60"/>
      <c r="AF198" s="60"/>
      <c r="AG198" s="60"/>
      <c r="AH198" s="60"/>
      <c r="AI198" s="60"/>
      <c r="AJ198" s="60"/>
      <c r="AK198" s="64">
        <f t="shared" si="26"/>
        <v>513.19000000000005</v>
      </c>
    </row>
    <row r="199" spans="1:37" hidden="1" x14ac:dyDescent="0.25">
      <c r="A199" s="58"/>
      <c r="B199" s="59" t="str">
        <f t="shared" ca="1" si="23"/>
        <v>VENCIDO</v>
      </c>
      <c r="C199" s="60" t="s">
        <v>869</v>
      </c>
      <c r="D199" s="61" t="s">
        <v>1124</v>
      </c>
      <c r="E199" s="62" t="s">
        <v>1125</v>
      </c>
      <c r="F199" s="61" t="s">
        <v>778</v>
      </c>
      <c r="G199" s="60" t="s">
        <v>213</v>
      </c>
      <c r="H199" s="63">
        <v>45627</v>
      </c>
      <c r="I199" s="63">
        <f>H199-180</f>
        <v>45447</v>
      </c>
      <c r="J199" s="60">
        <f t="shared" si="24"/>
        <v>5</v>
      </c>
      <c r="K199" s="60">
        <f t="shared" si="25"/>
        <v>0</v>
      </c>
      <c r="L199" s="60"/>
      <c r="M199" s="60"/>
      <c r="N199" s="60"/>
      <c r="O199" s="60"/>
      <c r="P199" s="60"/>
      <c r="Q199" s="60">
        <v>3</v>
      </c>
      <c r="R199" s="60"/>
      <c r="S199" s="60"/>
      <c r="T199" s="60">
        <v>1</v>
      </c>
      <c r="U199" s="60"/>
      <c r="V199" s="60"/>
      <c r="W199" s="60"/>
      <c r="X199" s="60"/>
      <c r="Y199" s="60"/>
      <c r="Z199" s="60"/>
      <c r="AA199" s="60">
        <v>1</v>
      </c>
      <c r="AB199" s="60"/>
      <c r="AC199" s="60"/>
      <c r="AD199" s="60"/>
      <c r="AE199" s="60"/>
      <c r="AF199" s="60"/>
      <c r="AG199" s="60"/>
      <c r="AH199" s="60"/>
      <c r="AI199" s="60"/>
      <c r="AJ199" s="60"/>
      <c r="AK199" s="64">
        <f t="shared" si="26"/>
        <v>1711.36</v>
      </c>
    </row>
    <row r="200" spans="1:37" hidden="1" x14ac:dyDescent="0.25">
      <c r="A200" s="58"/>
      <c r="B200" s="59" t="str">
        <f t="shared" ca="1" si="23"/>
        <v>VENCIDO</v>
      </c>
      <c r="C200" s="60" t="s">
        <v>869</v>
      </c>
      <c r="D200" s="61" t="s">
        <v>1126</v>
      </c>
      <c r="E200" s="62" t="s">
        <v>1127</v>
      </c>
      <c r="F200" s="61" t="s">
        <v>778</v>
      </c>
      <c r="G200" s="60" t="s">
        <v>213</v>
      </c>
      <c r="H200" s="63">
        <v>45323</v>
      </c>
      <c r="I200" s="63">
        <v>45323</v>
      </c>
      <c r="J200" s="60">
        <f t="shared" si="24"/>
        <v>6</v>
      </c>
      <c r="K200" s="60">
        <f t="shared" si="25"/>
        <v>0</v>
      </c>
      <c r="L200" s="60"/>
      <c r="M200" s="60"/>
      <c r="N200" s="60"/>
      <c r="O200" s="60"/>
      <c r="P200" s="60"/>
      <c r="Q200" s="60">
        <v>5</v>
      </c>
      <c r="R200" s="60"/>
      <c r="S200" s="60"/>
      <c r="T200" s="60"/>
      <c r="U200" s="60"/>
      <c r="V200" s="60"/>
      <c r="W200" s="60"/>
      <c r="X200" s="60"/>
      <c r="Y200" s="60"/>
      <c r="Z200" s="60"/>
      <c r="AA200" s="60">
        <v>1</v>
      </c>
      <c r="AB200" s="60"/>
      <c r="AC200" s="60"/>
      <c r="AD200" s="60"/>
      <c r="AE200" s="60"/>
      <c r="AF200" s="60"/>
      <c r="AG200" s="60"/>
      <c r="AH200" s="60"/>
      <c r="AI200" s="60"/>
      <c r="AJ200" s="60"/>
      <c r="AK200" s="64">
        <f t="shared" si="26"/>
        <v>1774.59</v>
      </c>
    </row>
    <row r="201" spans="1:37" hidden="1" x14ac:dyDescent="0.25">
      <c r="A201" s="58"/>
      <c r="B201" s="59" t="str">
        <f t="shared" ca="1" si="23"/>
        <v>VENCIDO</v>
      </c>
      <c r="C201" s="60" t="s">
        <v>869</v>
      </c>
      <c r="D201" s="61" t="s">
        <v>1128</v>
      </c>
      <c r="E201" s="62" t="s">
        <v>914</v>
      </c>
      <c r="F201" s="61" t="s">
        <v>778</v>
      </c>
      <c r="G201" s="60" t="s">
        <v>213</v>
      </c>
      <c r="H201" s="63">
        <v>45323</v>
      </c>
      <c r="I201" s="63">
        <v>45323</v>
      </c>
      <c r="J201" s="60">
        <f t="shared" si="24"/>
        <v>8</v>
      </c>
      <c r="K201" s="60">
        <f t="shared" si="25"/>
        <v>0</v>
      </c>
      <c r="L201" s="60"/>
      <c r="M201" s="60"/>
      <c r="N201" s="60"/>
      <c r="O201" s="60"/>
      <c r="P201" s="60"/>
      <c r="Q201" s="60">
        <v>5</v>
      </c>
      <c r="R201" s="60"/>
      <c r="S201" s="60"/>
      <c r="T201" s="60">
        <v>2</v>
      </c>
      <c r="U201" s="60"/>
      <c r="V201" s="60"/>
      <c r="W201" s="60"/>
      <c r="X201" s="60"/>
      <c r="Y201" s="60"/>
      <c r="Z201" s="60"/>
      <c r="AA201" s="60">
        <v>1</v>
      </c>
      <c r="AB201" s="60"/>
      <c r="AC201" s="60"/>
      <c r="AD201" s="60"/>
      <c r="AE201" s="60"/>
      <c r="AF201" s="60"/>
      <c r="AG201" s="60"/>
      <c r="AH201" s="60"/>
      <c r="AI201" s="60"/>
      <c r="AJ201" s="60"/>
      <c r="AK201" s="64">
        <f t="shared" si="26"/>
        <v>2909.53</v>
      </c>
    </row>
    <row r="202" spans="1:37" hidden="1" x14ac:dyDescent="0.25">
      <c r="A202" s="58" t="s">
        <v>783</v>
      </c>
      <c r="B202" s="59" t="str">
        <f t="shared" ca="1" si="23"/>
        <v>VENCIDO</v>
      </c>
      <c r="C202" s="60" t="s">
        <v>869</v>
      </c>
      <c r="D202" s="61" t="s">
        <v>1129</v>
      </c>
      <c r="E202" s="62" t="s">
        <v>902</v>
      </c>
      <c r="F202" s="61" t="s">
        <v>778</v>
      </c>
      <c r="G202" s="60" t="s">
        <v>213</v>
      </c>
      <c r="H202" s="63">
        <v>45292</v>
      </c>
      <c r="I202" s="63">
        <v>45292</v>
      </c>
      <c r="J202" s="60">
        <f t="shared" si="24"/>
        <v>6</v>
      </c>
      <c r="K202" s="60">
        <f t="shared" si="25"/>
        <v>0</v>
      </c>
      <c r="L202" s="60"/>
      <c r="M202" s="60"/>
      <c r="N202" s="60"/>
      <c r="O202" s="60"/>
      <c r="P202" s="60"/>
      <c r="Q202" s="60">
        <v>2</v>
      </c>
      <c r="R202" s="60"/>
      <c r="S202" s="60"/>
      <c r="T202" s="60">
        <v>2</v>
      </c>
      <c r="U202" s="60"/>
      <c r="V202" s="60"/>
      <c r="W202" s="60"/>
      <c r="X202" s="60"/>
      <c r="Y202" s="60"/>
      <c r="Z202" s="60"/>
      <c r="AA202" s="60">
        <v>2</v>
      </c>
      <c r="AB202" s="60"/>
      <c r="AC202" s="60"/>
      <c r="AD202" s="60"/>
      <c r="AE202" s="60"/>
      <c r="AF202" s="60"/>
      <c r="AG202" s="60"/>
      <c r="AH202" s="60"/>
      <c r="AI202" s="60"/>
      <c r="AJ202" s="60"/>
      <c r="AK202" s="64">
        <f t="shared" si="26"/>
        <v>2161.3200000000002</v>
      </c>
    </row>
    <row r="203" spans="1:37" hidden="1" x14ac:dyDescent="0.25">
      <c r="A203" s="58"/>
      <c r="B203" s="59" t="str">
        <f t="shared" ca="1" si="23"/>
        <v>VENCIDO</v>
      </c>
      <c r="C203" s="60" t="s">
        <v>869</v>
      </c>
      <c r="D203" s="61" t="s">
        <v>1130</v>
      </c>
      <c r="E203" s="62" t="s">
        <v>1127</v>
      </c>
      <c r="F203" s="61" t="s">
        <v>778</v>
      </c>
      <c r="G203" s="60" t="s">
        <v>213</v>
      </c>
      <c r="H203" s="63">
        <v>45383</v>
      </c>
      <c r="I203" s="63">
        <v>45383</v>
      </c>
      <c r="J203" s="60">
        <f t="shared" si="24"/>
        <v>10</v>
      </c>
      <c r="K203" s="60">
        <f t="shared" si="25"/>
        <v>0</v>
      </c>
      <c r="L203" s="60"/>
      <c r="M203" s="60"/>
      <c r="N203" s="60"/>
      <c r="O203" s="60"/>
      <c r="P203" s="60"/>
      <c r="Q203" s="60">
        <v>4</v>
      </c>
      <c r="R203" s="60"/>
      <c r="S203" s="60"/>
      <c r="T203" s="60">
        <v>2</v>
      </c>
      <c r="U203" s="60"/>
      <c r="V203" s="60"/>
      <c r="W203" s="60"/>
      <c r="X203" s="60"/>
      <c r="Y203" s="60"/>
      <c r="Z203" s="60"/>
      <c r="AA203" s="60">
        <v>4</v>
      </c>
      <c r="AB203" s="60"/>
      <c r="AC203" s="60"/>
      <c r="AD203" s="60"/>
      <c r="AE203" s="60"/>
      <c r="AF203" s="60"/>
      <c r="AG203" s="60"/>
      <c r="AH203" s="60"/>
      <c r="AI203" s="60"/>
      <c r="AJ203" s="60"/>
      <c r="AK203" s="64">
        <f t="shared" si="26"/>
        <v>3187.7000000000003</v>
      </c>
    </row>
    <row r="204" spans="1:37" hidden="1" x14ac:dyDescent="0.25">
      <c r="A204" s="58" t="s">
        <v>849</v>
      </c>
      <c r="B204" s="59" t="str">
        <f t="shared" ca="1" si="23"/>
        <v>VENCIDO</v>
      </c>
      <c r="C204" s="60" t="s">
        <v>869</v>
      </c>
      <c r="D204" s="61" t="s">
        <v>1131</v>
      </c>
      <c r="E204" s="62" t="s">
        <v>896</v>
      </c>
      <c r="F204" s="61" t="s">
        <v>778</v>
      </c>
      <c r="G204" s="60" t="s">
        <v>213</v>
      </c>
      <c r="H204" s="63">
        <v>45413</v>
      </c>
      <c r="I204" s="63">
        <v>45413</v>
      </c>
      <c r="J204" s="60">
        <f t="shared" si="24"/>
        <v>14</v>
      </c>
      <c r="K204" s="60">
        <f t="shared" si="25"/>
        <v>0</v>
      </c>
      <c r="L204" s="60"/>
      <c r="M204" s="60"/>
      <c r="N204" s="60"/>
      <c r="O204" s="60"/>
      <c r="P204" s="60"/>
      <c r="Q204" s="60">
        <v>10</v>
      </c>
      <c r="R204" s="60"/>
      <c r="S204" s="60"/>
      <c r="T204" s="60">
        <v>2</v>
      </c>
      <c r="U204" s="60"/>
      <c r="V204" s="60"/>
      <c r="W204" s="60"/>
      <c r="X204" s="60"/>
      <c r="Y204" s="60"/>
      <c r="Z204" s="60"/>
      <c r="AA204" s="60">
        <v>2</v>
      </c>
      <c r="AB204" s="60"/>
      <c r="AC204" s="60"/>
      <c r="AD204" s="60"/>
      <c r="AE204" s="60"/>
      <c r="AF204" s="60"/>
      <c r="AG204" s="60"/>
      <c r="AH204" s="60"/>
      <c r="AI204" s="60"/>
      <c r="AJ204" s="60"/>
      <c r="AK204" s="64">
        <f t="shared" si="26"/>
        <v>4684.1200000000008</v>
      </c>
    </row>
    <row r="205" spans="1:37" x14ac:dyDescent="0.25">
      <c r="A205" s="58" t="s">
        <v>849</v>
      </c>
      <c r="B205" s="59" t="str">
        <f t="shared" ca="1" si="23"/>
        <v>VENCIDO</v>
      </c>
      <c r="C205" s="60" t="s">
        <v>869</v>
      </c>
      <c r="D205" s="61" t="s">
        <v>1132</v>
      </c>
      <c r="E205" s="62" t="s">
        <v>1133</v>
      </c>
      <c r="F205" s="61" t="s">
        <v>775</v>
      </c>
      <c r="G205" s="60" t="s">
        <v>213</v>
      </c>
      <c r="H205" s="63">
        <v>45536</v>
      </c>
      <c r="I205" s="63">
        <f>H205-180</f>
        <v>45356</v>
      </c>
      <c r="J205" s="60">
        <f t="shared" si="24"/>
        <v>9</v>
      </c>
      <c r="K205" s="60">
        <f t="shared" si="25"/>
        <v>0</v>
      </c>
      <c r="L205" s="60"/>
      <c r="M205" s="60"/>
      <c r="N205" s="60"/>
      <c r="O205" s="60"/>
      <c r="P205" s="60">
        <v>2</v>
      </c>
      <c r="Q205" s="60">
        <v>2</v>
      </c>
      <c r="R205" s="60"/>
      <c r="S205" s="60"/>
      <c r="T205" s="60">
        <v>2</v>
      </c>
      <c r="U205" s="60"/>
      <c r="V205" s="60"/>
      <c r="W205" s="60"/>
      <c r="X205" s="60"/>
      <c r="Y205" s="60"/>
      <c r="Z205" s="60"/>
      <c r="AA205" s="60">
        <v>3</v>
      </c>
      <c r="AB205" s="60"/>
      <c r="AC205" s="60"/>
      <c r="AD205" s="60"/>
      <c r="AE205" s="60"/>
      <c r="AF205" s="60"/>
      <c r="AG205" s="60"/>
      <c r="AH205" s="60"/>
      <c r="AI205" s="60"/>
      <c r="AJ205" s="60"/>
      <c r="AK205" s="64">
        <f t="shared" si="26"/>
        <v>2847.34</v>
      </c>
    </row>
    <row r="206" spans="1:37" x14ac:dyDescent="0.25">
      <c r="A206" s="58" t="s">
        <v>770</v>
      </c>
      <c r="B206" s="59" t="str">
        <f t="shared" ca="1" si="23"/>
        <v>VENCIDO</v>
      </c>
      <c r="C206" s="60" t="s">
        <v>869</v>
      </c>
      <c r="D206" s="61" t="s">
        <v>1134</v>
      </c>
      <c r="E206" s="62" t="s">
        <v>937</v>
      </c>
      <c r="F206" s="61" t="s">
        <v>775</v>
      </c>
      <c r="G206" s="60" t="s">
        <v>213</v>
      </c>
      <c r="H206" s="63">
        <v>45292</v>
      </c>
      <c r="I206" s="63">
        <v>45292</v>
      </c>
      <c r="J206" s="60">
        <f t="shared" si="24"/>
        <v>2</v>
      </c>
      <c r="K206" s="60">
        <f t="shared" si="25"/>
        <v>0</v>
      </c>
      <c r="L206" s="60"/>
      <c r="M206" s="60"/>
      <c r="N206" s="60"/>
      <c r="O206" s="60"/>
      <c r="P206" s="60"/>
      <c r="Q206" s="60">
        <v>1</v>
      </c>
      <c r="R206" s="60"/>
      <c r="S206" s="60"/>
      <c r="T206" s="60"/>
      <c r="U206" s="60"/>
      <c r="V206" s="60"/>
      <c r="W206" s="60"/>
      <c r="X206" s="60"/>
      <c r="Y206" s="60"/>
      <c r="Z206" s="60"/>
      <c r="AA206" s="60">
        <v>1</v>
      </c>
      <c r="AB206" s="60"/>
      <c r="AC206" s="60"/>
      <c r="AD206" s="60"/>
      <c r="AE206" s="60"/>
      <c r="AF206" s="60"/>
      <c r="AG206" s="60"/>
      <c r="AH206" s="60"/>
      <c r="AI206" s="60"/>
      <c r="AJ206" s="60"/>
      <c r="AK206" s="64">
        <f t="shared" si="26"/>
        <v>513.19000000000005</v>
      </c>
    </row>
    <row r="207" spans="1:37" x14ac:dyDescent="0.25">
      <c r="A207" s="58"/>
      <c r="B207" s="59" t="str">
        <f t="shared" ca="1" si="23"/>
        <v>VENCIDO</v>
      </c>
      <c r="C207" s="60" t="s">
        <v>869</v>
      </c>
      <c r="D207" s="61" t="s">
        <v>1135</v>
      </c>
      <c r="E207" s="62" t="s">
        <v>1136</v>
      </c>
      <c r="F207" s="61" t="s">
        <v>775</v>
      </c>
      <c r="G207" s="60" t="s">
        <v>213</v>
      </c>
      <c r="H207" s="63">
        <v>45536</v>
      </c>
      <c r="I207" s="63">
        <f>H207-180</f>
        <v>45356</v>
      </c>
      <c r="J207" s="60">
        <f t="shared" si="24"/>
        <v>5</v>
      </c>
      <c r="K207" s="60">
        <f t="shared" si="25"/>
        <v>0</v>
      </c>
      <c r="L207" s="60"/>
      <c r="M207" s="60"/>
      <c r="N207" s="60"/>
      <c r="O207" s="60"/>
      <c r="P207" s="60"/>
      <c r="Q207" s="60">
        <v>2</v>
      </c>
      <c r="R207" s="60"/>
      <c r="S207" s="60"/>
      <c r="T207" s="60">
        <v>1</v>
      </c>
      <c r="U207" s="60"/>
      <c r="V207" s="60">
        <v>2</v>
      </c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  <c r="AK207" s="64">
        <f t="shared" si="26"/>
        <v>1593.8500000000001</v>
      </c>
    </row>
    <row r="208" spans="1:37" x14ac:dyDescent="0.25">
      <c r="A208" s="58" t="s">
        <v>938</v>
      </c>
      <c r="B208" s="59" t="str">
        <f t="shared" ca="1" si="23"/>
        <v>VENCIDO</v>
      </c>
      <c r="C208" s="60" t="s">
        <v>869</v>
      </c>
      <c r="D208" s="61" t="s">
        <v>1137</v>
      </c>
      <c r="E208" s="62" t="s">
        <v>785</v>
      </c>
      <c r="F208" s="61" t="s">
        <v>775</v>
      </c>
      <c r="G208" s="60" t="s">
        <v>213</v>
      </c>
      <c r="H208" s="63">
        <v>45444</v>
      </c>
      <c r="I208" s="63">
        <v>45444</v>
      </c>
      <c r="J208" s="60">
        <f t="shared" si="24"/>
        <v>2</v>
      </c>
      <c r="K208" s="60">
        <f t="shared" si="25"/>
        <v>0</v>
      </c>
      <c r="L208" s="60"/>
      <c r="M208" s="60"/>
      <c r="N208" s="60"/>
      <c r="O208" s="60"/>
      <c r="P208" s="60"/>
      <c r="Q208" s="60">
        <v>1</v>
      </c>
      <c r="R208" s="60"/>
      <c r="S208" s="60"/>
      <c r="T208" s="60"/>
      <c r="U208" s="60"/>
      <c r="V208" s="60"/>
      <c r="W208" s="60"/>
      <c r="X208" s="60"/>
      <c r="Y208" s="60"/>
      <c r="Z208" s="60"/>
      <c r="AA208" s="60">
        <v>1</v>
      </c>
      <c r="AB208" s="60"/>
      <c r="AC208" s="60"/>
      <c r="AD208" s="60"/>
      <c r="AE208" s="60"/>
      <c r="AF208" s="60"/>
      <c r="AG208" s="60"/>
      <c r="AH208" s="60"/>
      <c r="AI208" s="60"/>
      <c r="AJ208" s="60"/>
      <c r="AK208" s="64">
        <f t="shared" si="26"/>
        <v>513.19000000000005</v>
      </c>
    </row>
    <row r="209" spans="1:37" x14ac:dyDescent="0.25">
      <c r="A209" s="58" t="s">
        <v>811</v>
      </c>
      <c r="B209" s="59" t="str">
        <f t="shared" ca="1" si="23"/>
        <v>VENCIDO</v>
      </c>
      <c r="C209" s="60" t="s">
        <v>869</v>
      </c>
      <c r="D209" s="61" t="s">
        <v>1138</v>
      </c>
      <c r="E209" s="62" t="s">
        <v>802</v>
      </c>
      <c r="F209" s="61" t="s">
        <v>775</v>
      </c>
      <c r="G209" s="60" t="s">
        <v>213</v>
      </c>
      <c r="H209" s="63">
        <v>45323</v>
      </c>
      <c r="I209" s="63">
        <v>45323</v>
      </c>
      <c r="J209" s="60">
        <f t="shared" si="24"/>
        <v>17</v>
      </c>
      <c r="K209" s="60">
        <f t="shared" si="25"/>
        <v>0</v>
      </c>
      <c r="L209" s="60"/>
      <c r="M209" s="60"/>
      <c r="N209" s="60"/>
      <c r="O209" s="60"/>
      <c r="P209" s="60">
        <v>2</v>
      </c>
      <c r="Q209" s="60">
        <v>11</v>
      </c>
      <c r="R209" s="60"/>
      <c r="S209" s="60"/>
      <c r="T209" s="60">
        <v>3</v>
      </c>
      <c r="U209" s="60"/>
      <c r="V209" s="60"/>
      <c r="W209" s="60"/>
      <c r="X209" s="60"/>
      <c r="Y209" s="60"/>
      <c r="Z209" s="60"/>
      <c r="AA209" s="60">
        <v>1</v>
      </c>
      <c r="AB209" s="60"/>
      <c r="AC209" s="60"/>
      <c r="AD209" s="60"/>
      <c r="AE209" s="60"/>
      <c r="AF209" s="60"/>
      <c r="AG209" s="60"/>
      <c r="AH209" s="60"/>
      <c r="AI209" s="60"/>
      <c r="AJ209" s="60"/>
      <c r="AK209" s="64">
        <f t="shared" si="26"/>
        <v>5857.2800000000007</v>
      </c>
    </row>
    <row r="210" spans="1:37" x14ac:dyDescent="0.25">
      <c r="A210" s="58" t="s">
        <v>1139</v>
      </c>
      <c r="B210" s="59" t="str">
        <f t="shared" ca="1" si="23"/>
        <v>VENCIDO</v>
      </c>
      <c r="C210" s="60" t="s">
        <v>869</v>
      </c>
      <c r="D210" s="61" t="s">
        <v>1140</v>
      </c>
      <c r="E210" s="62" t="s">
        <v>785</v>
      </c>
      <c r="F210" s="61" t="s">
        <v>775</v>
      </c>
      <c r="G210" s="60" t="s">
        <v>213</v>
      </c>
      <c r="H210" s="63">
        <v>45292</v>
      </c>
      <c r="I210" s="63">
        <v>45292</v>
      </c>
      <c r="J210" s="60">
        <f t="shared" si="24"/>
        <v>5</v>
      </c>
      <c r="K210" s="60">
        <f t="shared" si="25"/>
        <v>0</v>
      </c>
      <c r="L210" s="60"/>
      <c r="M210" s="60"/>
      <c r="N210" s="60"/>
      <c r="O210" s="60"/>
      <c r="P210" s="60"/>
      <c r="Q210" s="60">
        <v>2</v>
      </c>
      <c r="R210" s="60"/>
      <c r="S210" s="60"/>
      <c r="T210" s="60">
        <v>1</v>
      </c>
      <c r="U210" s="60"/>
      <c r="V210" s="60"/>
      <c r="W210" s="60"/>
      <c r="X210" s="60"/>
      <c r="Y210" s="60"/>
      <c r="Z210" s="60"/>
      <c r="AA210" s="60">
        <v>2</v>
      </c>
      <c r="AB210" s="60"/>
      <c r="AC210" s="60"/>
      <c r="AD210" s="60"/>
      <c r="AE210" s="60"/>
      <c r="AF210" s="60"/>
      <c r="AG210" s="60"/>
      <c r="AH210" s="60"/>
      <c r="AI210" s="60"/>
      <c r="AJ210" s="60"/>
      <c r="AK210" s="64">
        <f t="shared" si="26"/>
        <v>1593.8500000000001</v>
      </c>
    </row>
    <row r="211" spans="1:37" x14ac:dyDescent="0.25">
      <c r="A211" s="58" t="s">
        <v>849</v>
      </c>
      <c r="B211" s="59" t="str">
        <f t="shared" ca="1" si="23"/>
        <v>VENCIDO</v>
      </c>
      <c r="C211" s="60" t="s">
        <v>869</v>
      </c>
      <c r="D211" s="61" t="s">
        <v>1141</v>
      </c>
      <c r="E211" s="62" t="s">
        <v>212</v>
      </c>
      <c r="F211" s="61" t="s">
        <v>775</v>
      </c>
      <c r="G211" s="60" t="s">
        <v>213</v>
      </c>
      <c r="H211" s="63">
        <v>45536</v>
      </c>
      <c r="I211" s="63">
        <f>H211-180</f>
        <v>45356</v>
      </c>
      <c r="J211" s="60">
        <f t="shared" si="24"/>
        <v>27</v>
      </c>
      <c r="K211" s="60">
        <f t="shared" si="25"/>
        <v>0</v>
      </c>
      <c r="L211" s="60"/>
      <c r="M211" s="60"/>
      <c r="N211" s="60"/>
      <c r="O211" s="60"/>
      <c r="P211" s="60"/>
      <c r="Q211" s="60">
        <v>22</v>
      </c>
      <c r="R211" s="60"/>
      <c r="S211" s="60"/>
      <c r="T211" s="60">
        <v>5</v>
      </c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  <c r="AK211" s="64">
        <f t="shared" si="26"/>
        <v>9775.0500000000011</v>
      </c>
    </row>
    <row r="212" spans="1:37" x14ac:dyDescent="0.25">
      <c r="A212" s="58" t="s">
        <v>811</v>
      </c>
      <c r="B212" s="59" t="str">
        <f t="shared" ca="1" si="23"/>
        <v>VENCIDO</v>
      </c>
      <c r="C212" s="60" t="s">
        <v>869</v>
      </c>
      <c r="D212" s="61" t="s">
        <v>1142</v>
      </c>
      <c r="E212" s="62" t="s">
        <v>802</v>
      </c>
      <c r="F212" s="61" t="s">
        <v>775</v>
      </c>
      <c r="G212" s="60" t="s">
        <v>213</v>
      </c>
      <c r="H212" s="63">
        <v>45444</v>
      </c>
      <c r="I212" s="63">
        <v>45444</v>
      </c>
      <c r="J212" s="60">
        <f t="shared" si="24"/>
        <v>7</v>
      </c>
      <c r="K212" s="60">
        <f t="shared" si="25"/>
        <v>0</v>
      </c>
      <c r="L212" s="60"/>
      <c r="M212" s="60"/>
      <c r="N212" s="60"/>
      <c r="O212" s="60"/>
      <c r="P212" s="60">
        <v>1</v>
      </c>
      <c r="Q212" s="60">
        <v>4</v>
      </c>
      <c r="R212" s="60"/>
      <c r="S212" s="60"/>
      <c r="T212" s="60">
        <v>1</v>
      </c>
      <c r="U212" s="60"/>
      <c r="V212" s="60"/>
      <c r="W212" s="60"/>
      <c r="X212" s="60"/>
      <c r="Y212" s="60"/>
      <c r="Z212" s="60"/>
      <c r="AA212" s="60">
        <v>1</v>
      </c>
      <c r="AB212" s="60"/>
      <c r="AC212" s="60"/>
      <c r="AD212" s="60"/>
      <c r="AE212" s="60"/>
      <c r="AF212" s="60"/>
      <c r="AG212" s="60"/>
      <c r="AH212" s="60"/>
      <c r="AI212" s="60"/>
      <c r="AJ212" s="60"/>
      <c r="AK212" s="64">
        <f t="shared" si="26"/>
        <v>2270.8000000000002</v>
      </c>
    </row>
    <row r="213" spans="1:37" x14ac:dyDescent="0.25">
      <c r="A213" s="58"/>
      <c r="B213" s="59" t="str">
        <f t="shared" ca="1" si="23"/>
        <v>VENCIDO</v>
      </c>
      <c r="C213" s="60" t="s">
        <v>869</v>
      </c>
      <c r="D213" s="61" t="s">
        <v>1143</v>
      </c>
      <c r="E213" s="62" t="s">
        <v>1144</v>
      </c>
      <c r="F213" s="61" t="s">
        <v>775</v>
      </c>
      <c r="G213" s="60" t="s">
        <v>213</v>
      </c>
      <c r="H213" s="63">
        <v>45474</v>
      </c>
      <c r="I213" s="63">
        <f>H213-180</f>
        <v>45294</v>
      </c>
      <c r="J213" s="60">
        <f t="shared" si="24"/>
        <v>2</v>
      </c>
      <c r="K213" s="60">
        <f t="shared" si="25"/>
        <v>0</v>
      </c>
      <c r="L213" s="60"/>
      <c r="M213" s="60"/>
      <c r="N213" s="60"/>
      <c r="O213" s="60"/>
      <c r="P213" s="60"/>
      <c r="Q213" s="60">
        <v>1</v>
      </c>
      <c r="R213" s="60"/>
      <c r="S213" s="60"/>
      <c r="T213" s="60"/>
      <c r="U213" s="60"/>
      <c r="V213" s="60"/>
      <c r="W213" s="60"/>
      <c r="X213" s="60"/>
      <c r="Y213" s="60"/>
      <c r="Z213" s="60"/>
      <c r="AA213" s="60">
        <v>1</v>
      </c>
      <c r="AB213" s="60"/>
      <c r="AC213" s="60"/>
      <c r="AD213" s="60"/>
      <c r="AE213" s="60"/>
      <c r="AF213" s="60"/>
      <c r="AG213" s="60"/>
      <c r="AH213" s="60"/>
      <c r="AI213" s="60"/>
      <c r="AJ213" s="60"/>
      <c r="AK213" s="64">
        <f t="shared" si="26"/>
        <v>513.19000000000005</v>
      </c>
    </row>
    <row r="214" spans="1:37" x14ac:dyDescent="0.25">
      <c r="A214" s="58"/>
      <c r="B214" s="59" t="str">
        <f t="shared" ca="1" si="23"/>
        <v>VENCIDO</v>
      </c>
      <c r="C214" s="60" t="s">
        <v>869</v>
      </c>
      <c r="D214" s="61" t="s">
        <v>1143</v>
      </c>
      <c r="E214" s="62" t="s">
        <v>802</v>
      </c>
      <c r="F214" s="61" t="s">
        <v>775</v>
      </c>
      <c r="G214" s="60" t="s">
        <v>213</v>
      </c>
      <c r="H214" s="63">
        <v>45474</v>
      </c>
      <c r="I214" s="63">
        <f>H214-180</f>
        <v>45294</v>
      </c>
      <c r="J214" s="60">
        <f t="shared" si="24"/>
        <v>3</v>
      </c>
      <c r="K214" s="60">
        <f t="shared" si="25"/>
        <v>0</v>
      </c>
      <c r="L214" s="60"/>
      <c r="M214" s="60"/>
      <c r="N214" s="60"/>
      <c r="O214" s="60"/>
      <c r="P214" s="60"/>
      <c r="Q214" s="60">
        <v>1</v>
      </c>
      <c r="R214" s="60"/>
      <c r="S214" s="60"/>
      <c r="T214" s="60">
        <v>1</v>
      </c>
      <c r="U214" s="60"/>
      <c r="V214" s="60"/>
      <c r="W214" s="60"/>
      <c r="X214" s="60"/>
      <c r="Y214" s="60"/>
      <c r="Z214" s="60"/>
      <c r="AA214" s="60">
        <v>1</v>
      </c>
      <c r="AB214" s="60"/>
      <c r="AC214" s="60"/>
      <c r="AD214" s="60"/>
      <c r="AE214" s="60"/>
      <c r="AF214" s="60"/>
      <c r="AG214" s="60"/>
      <c r="AH214" s="60"/>
      <c r="AI214" s="60"/>
      <c r="AJ214" s="60"/>
      <c r="AK214" s="64">
        <f t="shared" si="26"/>
        <v>1080.6600000000001</v>
      </c>
    </row>
    <row r="215" spans="1:37" x14ac:dyDescent="0.25">
      <c r="A215" s="58" t="s">
        <v>770</v>
      </c>
      <c r="B215" s="59" t="str">
        <f t="shared" ca="1" si="23"/>
        <v>VENCIDO</v>
      </c>
      <c r="C215" s="60" t="s">
        <v>869</v>
      </c>
      <c r="D215" s="61" t="s">
        <v>1145</v>
      </c>
      <c r="E215" s="62" t="s">
        <v>802</v>
      </c>
      <c r="F215" s="61" t="s">
        <v>775</v>
      </c>
      <c r="G215" s="60" t="s">
        <v>213</v>
      </c>
      <c r="H215" s="63">
        <v>45566</v>
      </c>
      <c r="I215" s="63">
        <f>H215-180</f>
        <v>45386</v>
      </c>
      <c r="J215" s="60">
        <f t="shared" si="24"/>
        <v>8</v>
      </c>
      <c r="K215" s="60">
        <f t="shared" si="25"/>
        <v>0</v>
      </c>
      <c r="L215" s="60"/>
      <c r="M215" s="60"/>
      <c r="N215" s="60"/>
      <c r="O215" s="60"/>
      <c r="P215" s="60"/>
      <c r="Q215" s="60">
        <v>5</v>
      </c>
      <c r="R215" s="60"/>
      <c r="S215" s="60"/>
      <c r="T215" s="60">
        <v>2</v>
      </c>
      <c r="U215" s="60"/>
      <c r="V215" s="60"/>
      <c r="W215" s="60"/>
      <c r="X215" s="60"/>
      <c r="Y215" s="60"/>
      <c r="Z215" s="60"/>
      <c r="AA215" s="60">
        <v>1</v>
      </c>
      <c r="AB215" s="60"/>
      <c r="AC215" s="60"/>
      <c r="AD215" s="60"/>
      <c r="AE215" s="60"/>
      <c r="AF215" s="60"/>
      <c r="AG215" s="60"/>
      <c r="AH215" s="60"/>
      <c r="AI215" s="60"/>
      <c r="AJ215" s="60"/>
      <c r="AK215" s="64">
        <f t="shared" si="26"/>
        <v>2909.53</v>
      </c>
    </row>
    <row r="216" spans="1:37" hidden="1" x14ac:dyDescent="0.25">
      <c r="A216" s="58" t="s">
        <v>770</v>
      </c>
      <c r="B216" s="59" t="str">
        <f t="shared" ca="1" si="23"/>
        <v>VENCIDO</v>
      </c>
      <c r="C216" s="60" t="s">
        <v>869</v>
      </c>
      <c r="D216" s="61" t="s">
        <v>1146</v>
      </c>
      <c r="E216" s="62" t="s">
        <v>846</v>
      </c>
      <c r="F216" s="61" t="s">
        <v>778</v>
      </c>
      <c r="G216" s="60" t="s">
        <v>213</v>
      </c>
      <c r="H216" s="63">
        <v>45474</v>
      </c>
      <c r="I216" s="63">
        <f>H216-180</f>
        <v>45294</v>
      </c>
      <c r="J216" s="60">
        <f t="shared" si="24"/>
        <v>9</v>
      </c>
      <c r="K216" s="60">
        <f t="shared" si="25"/>
        <v>0</v>
      </c>
      <c r="L216" s="60"/>
      <c r="M216" s="60"/>
      <c r="N216" s="60"/>
      <c r="O216" s="60"/>
      <c r="P216" s="60"/>
      <c r="Q216" s="60">
        <v>5</v>
      </c>
      <c r="R216" s="60"/>
      <c r="S216" s="60"/>
      <c r="T216" s="60">
        <v>2</v>
      </c>
      <c r="U216" s="60"/>
      <c r="V216" s="60">
        <v>1</v>
      </c>
      <c r="W216" s="60"/>
      <c r="X216" s="60"/>
      <c r="Y216" s="60"/>
      <c r="Z216" s="60"/>
      <c r="AA216" s="60">
        <v>1</v>
      </c>
      <c r="AB216" s="60"/>
      <c r="AC216" s="60"/>
      <c r="AD216" s="60"/>
      <c r="AE216" s="60"/>
      <c r="AF216" s="60"/>
      <c r="AG216" s="60"/>
      <c r="AH216" s="60"/>
      <c r="AI216" s="60"/>
      <c r="AJ216" s="60"/>
      <c r="AK216" s="64">
        <f t="shared" si="26"/>
        <v>3107.3700000000003</v>
      </c>
    </row>
    <row r="217" spans="1:37" x14ac:dyDescent="0.25">
      <c r="A217" s="58" t="s">
        <v>770</v>
      </c>
      <c r="B217" s="59" t="str">
        <f t="shared" ref="B217:B280" ca="1" si="27">IF(H217&lt;$B$1,"VENCIDO","NA VALIDADE")</f>
        <v>VENCIDO</v>
      </c>
      <c r="C217" s="60" t="s">
        <v>869</v>
      </c>
      <c r="D217" s="61" t="s">
        <v>1147</v>
      </c>
      <c r="E217" s="62" t="s">
        <v>842</v>
      </c>
      <c r="F217" s="61" t="s">
        <v>775</v>
      </c>
      <c r="G217" s="60" t="s">
        <v>213</v>
      </c>
      <c r="H217" s="63">
        <v>45474</v>
      </c>
      <c r="I217" s="63">
        <f>H217-180</f>
        <v>45294</v>
      </c>
      <c r="J217" s="60">
        <f t="shared" si="24"/>
        <v>4</v>
      </c>
      <c r="K217" s="60">
        <f t="shared" si="25"/>
        <v>0</v>
      </c>
      <c r="L217" s="60"/>
      <c r="M217" s="60"/>
      <c r="N217" s="60"/>
      <c r="O217" s="60">
        <v>1</v>
      </c>
      <c r="P217" s="60"/>
      <c r="Q217" s="60">
        <v>1</v>
      </c>
      <c r="R217" s="60"/>
      <c r="S217" s="60"/>
      <c r="T217" s="60"/>
      <c r="U217" s="60"/>
      <c r="V217" s="60"/>
      <c r="W217" s="60"/>
      <c r="X217" s="60"/>
      <c r="Y217" s="60"/>
      <c r="Z217" s="60"/>
      <c r="AA217" s="60">
        <v>2</v>
      </c>
      <c r="AB217" s="60"/>
      <c r="AC217" s="60"/>
      <c r="AD217" s="60"/>
      <c r="AE217" s="60"/>
      <c r="AF217" s="60"/>
      <c r="AG217" s="60"/>
      <c r="AH217" s="60"/>
      <c r="AI217" s="60"/>
      <c r="AJ217" s="60"/>
      <c r="AK217" s="64">
        <f t="shared" si="26"/>
        <v>908.85000000000014</v>
      </c>
    </row>
    <row r="218" spans="1:37" hidden="1" x14ac:dyDescent="0.25">
      <c r="A218" s="58" t="s">
        <v>770</v>
      </c>
      <c r="B218" s="59" t="str">
        <f t="shared" ca="1" si="27"/>
        <v>VENCIDO</v>
      </c>
      <c r="C218" s="60" t="s">
        <v>869</v>
      </c>
      <c r="D218" s="61" t="s">
        <v>1148</v>
      </c>
      <c r="E218" s="62" t="s">
        <v>844</v>
      </c>
      <c r="F218" s="61" t="s">
        <v>778</v>
      </c>
      <c r="G218" s="60" t="s">
        <v>213</v>
      </c>
      <c r="H218" s="63">
        <v>45352</v>
      </c>
      <c r="I218" s="63">
        <v>45352</v>
      </c>
      <c r="J218" s="60">
        <f t="shared" si="24"/>
        <v>9</v>
      </c>
      <c r="K218" s="60">
        <f t="shared" si="25"/>
        <v>0</v>
      </c>
      <c r="L218" s="60"/>
      <c r="M218" s="60"/>
      <c r="N218" s="60"/>
      <c r="O218" s="60"/>
      <c r="P218" s="60"/>
      <c r="Q218" s="60">
        <v>6</v>
      </c>
      <c r="R218" s="60"/>
      <c r="S218" s="60"/>
      <c r="T218" s="60">
        <v>1</v>
      </c>
      <c r="U218" s="60"/>
      <c r="V218" s="60"/>
      <c r="W218" s="60"/>
      <c r="X218" s="60"/>
      <c r="Y218" s="60"/>
      <c r="Z218" s="60"/>
      <c r="AA218" s="60">
        <v>2</v>
      </c>
      <c r="AB218" s="60"/>
      <c r="AC218" s="60"/>
      <c r="AD218" s="60"/>
      <c r="AE218" s="60"/>
      <c r="AF218" s="60"/>
      <c r="AG218" s="60"/>
      <c r="AH218" s="60"/>
      <c r="AI218" s="60"/>
      <c r="AJ218" s="60"/>
      <c r="AK218" s="64">
        <f t="shared" si="26"/>
        <v>2855.25</v>
      </c>
    </row>
    <row r="219" spans="1:37" x14ac:dyDescent="0.25">
      <c r="A219" s="58" t="s">
        <v>938</v>
      </c>
      <c r="B219" s="59" t="str">
        <f t="shared" ca="1" si="27"/>
        <v>VENCIDO</v>
      </c>
      <c r="C219" s="60" t="s">
        <v>869</v>
      </c>
      <c r="D219" s="61" t="s">
        <v>1149</v>
      </c>
      <c r="E219" s="62" t="s">
        <v>1150</v>
      </c>
      <c r="F219" s="61" t="s">
        <v>775</v>
      </c>
      <c r="G219" s="60" t="s">
        <v>213</v>
      </c>
      <c r="H219" s="63">
        <v>45536</v>
      </c>
      <c r="I219" s="63">
        <f>H219-180</f>
        <v>45356</v>
      </c>
      <c r="J219" s="60">
        <f t="shared" si="24"/>
        <v>2</v>
      </c>
      <c r="K219" s="60">
        <f t="shared" si="25"/>
        <v>0</v>
      </c>
      <c r="L219" s="60"/>
      <c r="M219" s="60"/>
      <c r="N219" s="60"/>
      <c r="O219" s="60"/>
      <c r="P219" s="60"/>
      <c r="Q219" s="60">
        <v>1</v>
      </c>
      <c r="R219" s="60"/>
      <c r="S219" s="60"/>
      <c r="T219" s="60"/>
      <c r="U219" s="60"/>
      <c r="V219" s="60"/>
      <c r="W219" s="60"/>
      <c r="X219" s="60"/>
      <c r="Y219" s="60"/>
      <c r="Z219" s="60"/>
      <c r="AA219" s="60">
        <v>1</v>
      </c>
      <c r="AB219" s="60"/>
      <c r="AC219" s="60"/>
      <c r="AD219" s="60"/>
      <c r="AE219" s="60"/>
      <c r="AF219" s="60"/>
      <c r="AG219" s="60"/>
      <c r="AH219" s="60"/>
      <c r="AI219" s="60"/>
      <c r="AJ219" s="60"/>
      <c r="AK219" s="64">
        <f t="shared" si="26"/>
        <v>513.19000000000005</v>
      </c>
    </row>
    <row r="220" spans="1:37" x14ac:dyDescent="0.25">
      <c r="A220" s="58" t="s">
        <v>1151</v>
      </c>
      <c r="B220" s="59" t="str">
        <f t="shared" ca="1" si="27"/>
        <v>VENCIDO</v>
      </c>
      <c r="C220" s="60" t="s">
        <v>869</v>
      </c>
      <c r="D220" s="61" t="s">
        <v>1152</v>
      </c>
      <c r="E220" s="62" t="s">
        <v>842</v>
      </c>
      <c r="F220" s="61" t="s">
        <v>775</v>
      </c>
      <c r="G220" s="60" t="s">
        <v>213</v>
      </c>
      <c r="H220" s="63">
        <v>45444</v>
      </c>
      <c r="I220" s="63">
        <v>45444</v>
      </c>
      <c r="J220" s="60">
        <f t="shared" si="24"/>
        <v>12</v>
      </c>
      <c r="K220" s="60">
        <f t="shared" si="25"/>
        <v>0</v>
      </c>
      <c r="L220" s="60"/>
      <c r="M220" s="60"/>
      <c r="N220" s="60"/>
      <c r="O220" s="60"/>
      <c r="P220" s="60"/>
      <c r="Q220" s="60">
        <v>3</v>
      </c>
      <c r="R220" s="60"/>
      <c r="S220" s="60"/>
      <c r="T220" s="60">
        <v>2</v>
      </c>
      <c r="U220" s="60"/>
      <c r="V220" s="60"/>
      <c r="W220" s="60"/>
      <c r="X220" s="60"/>
      <c r="Y220" s="60"/>
      <c r="Z220" s="60"/>
      <c r="AA220" s="60">
        <v>6</v>
      </c>
      <c r="AB220" s="60">
        <v>1</v>
      </c>
      <c r="AC220" s="60"/>
      <c r="AD220" s="60"/>
      <c r="AE220" s="60"/>
      <c r="AF220" s="60"/>
      <c r="AG220" s="60"/>
      <c r="AH220" s="60"/>
      <c r="AI220" s="60"/>
      <c r="AJ220" s="60"/>
      <c r="AK220" s="64">
        <f t="shared" si="26"/>
        <v>3576.4300000000003</v>
      </c>
    </row>
    <row r="221" spans="1:37" hidden="1" x14ac:dyDescent="0.25">
      <c r="A221" s="58" t="s">
        <v>770</v>
      </c>
      <c r="B221" s="59" t="str">
        <f t="shared" ca="1" si="27"/>
        <v>VENCIDO</v>
      </c>
      <c r="C221" s="60" t="s">
        <v>869</v>
      </c>
      <c r="D221" s="61" t="s">
        <v>1153</v>
      </c>
      <c r="E221" s="62" t="s">
        <v>777</v>
      </c>
      <c r="F221" s="61" t="s">
        <v>778</v>
      </c>
      <c r="G221" s="60" t="s">
        <v>213</v>
      </c>
      <c r="H221" s="63">
        <v>45566</v>
      </c>
      <c r="I221" s="63">
        <f t="shared" ref="I221:I226" si="28">H221-180</f>
        <v>45386</v>
      </c>
      <c r="J221" s="60">
        <f t="shared" si="24"/>
        <v>2</v>
      </c>
      <c r="K221" s="60">
        <f t="shared" si="25"/>
        <v>0</v>
      </c>
      <c r="L221" s="60"/>
      <c r="M221" s="60"/>
      <c r="N221" s="60"/>
      <c r="O221" s="60"/>
      <c r="P221" s="60">
        <v>1</v>
      </c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>
        <v>1</v>
      </c>
      <c r="AB221" s="60"/>
      <c r="AC221" s="60"/>
      <c r="AD221" s="60"/>
      <c r="AE221" s="60"/>
      <c r="AF221" s="60"/>
      <c r="AG221" s="60"/>
      <c r="AH221" s="60"/>
      <c r="AI221" s="60"/>
      <c r="AJ221" s="60"/>
      <c r="AK221" s="64">
        <f t="shared" si="26"/>
        <v>441.93</v>
      </c>
    </row>
    <row r="222" spans="1:37" hidden="1" x14ac:dyDescent="0.25">
      <c r="A222" s="58" t="s">
        <v>849</v>
      </c>
      <c r="B222" s="59" t="str">
        <f t="shared" ca="1" si="27"/>
        <v>VENCIDO</v>
      </c>
      <c r="C222" s="60" t="s">
        <v>869</v>
      </c>
      <c r="D222" s="61" t="s">
        <v>1154</v>
      </c>
      <c r="E222" s="62" t="s">
        <v>777</v>
      </c>
      <c r="F222" s="61" t="s">
        <v>778</v>
      </c>
      <c r="G222" s="60" t="s">
        <v>213</v>
      </c>
      <c r="H222" s="63">
        <v>45566</v>
      </c>
      <c r="I222" s="63">
        <f t="shared" si="28"/>
        <v>45386</v>
      </c>
      <c r="J222" s="60">
        <f t="shared" si="24"/>
        <v>3</v>
      </c>
      <c r="K222" s="60">
        <f t="shared" si="25"/>
        <v>0</v>
      </c>
      <c r="L222" s="60"/>
      <c r="M222" s="60"/>
      <c r="N222" s="60"/>
      <c r="O222" s="60"/>
      <c r="P222" s="60"/>
      <c r="Q222" s="60">
        <v>2</v>
      </c>
      <c r="R222" s="60"/>
      <c r="S222" s="60"/>
      <c r="T222" s="60"/>
      <c r="U222" s="60"/>
      <c r="V222" s="60"/>
      <c r="W222" s="60"/>
      <c r="X222" s="60"/>
      <c r="Y222" s="60"/>
      <c r="Z222" s="60"/>
      <c r="AA222" s="60">
        <v>1</v>
      </c>
      <c r="AB222" s="60"/>
      <c r="AC222" s="60"/>
      <c r="AD222" s="60"/>
      <c r="AE222" s="60"/>
      <c r="AF222" s="60"/>
      <c r="AG222" s="60"/>
      <c r="AH222" s="60"/>
      <c r="AI222" s="60"/>
      <c r="AJ222" s="60"/>
      <c r="AK222" s="64">
        <f t="shared" si="26"/>
        <v>828.54000000000008</v>
      </c>
    </row>
    <row r="223" spans="1:37" x14ac:dyDescent="0.25">
      <c r="A223" s="58" t="s">
        <v>770</v>
      </c>
      <c r="B223" s="59" t="str">
        <f t="shared" ca="1" si="27"/>
        <v>VENCIDO</v>
      </c>
      <c r="C223" s="60" t="s">
        <v>869</v>
      </c>
      <c r="D223" s="61" t="s">
        <v>1155</v>
      </c>
      <c r="E223" s="62" t="s">
        <v>908</v>
      </c>
      <c r="F223" s="61" t="s">
        <v>775</v>
      </c>
      <c r="G223" s="60" t="s">
        <v>213</v>
      </c>
      <c r="H223" s="63">
        <v>45323</v>
      </c>
      <c r="I223" s="63">
        <f t="shared" si="28"/>
        <v>45143</v>
      </c>
      <c r="J223" s="60">
        <f t="shared" si="24"/>
        <v>3</v>
      </c>
      <c r="K223" s="60">
        <f t="shared" si="25"/>
        <v>0</v>
      </c>
      <c r="L223" s="60"/>
      <c r="M223" s="60"/>
      <c r="N223" s="60"/>
      <c r="O223" s="60"/>
      <c r="P223" s="60"/>
      <c r="Q223" s="60">
        <v>2</v>
      </c>
      <c r="R223" s="60"/>
      <c r="S223" s="60"/>
      <c r="T223" s="60">
        <v>1</v>
      </c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  <c r="AK223" s="64">
        <f t="shared" si="26"/>
        <v>1198.17</v>
      </c>
    </row>
    <row r="224" spans="1:37" hidden="1" x14ac:dyDescent="0.25">
      <c r="A224" s="58"/>
      <c r="B224" s="59" t="str">
        <f t="shared" ca="1" si="27"/>
        <v>VENCIDO</v>
      </c>
      <c r="C224" s="60" t="s">
        <v>869</v>
      </c>
      <c r="D224" s="61" t="s">
        <v>1156</v>
      </c>
      <c r="E224" s="62" t="s">
        <v>853</v>
      </c>
      <c r="F224" s="61" t="s">
        <v>793</v>
      </c>
      <c r="G224" s="60" t="s">
        <v>213</v>
      </c>
      <c r="H224" s="63">
        <v>45627</v>
      </c>
      <c r="I224" s="63">
        <f t="shared" si="28"/>
        <v>45447</v>
      </c>
      <c r="J224" s="60">
        <f t="shared" si="24"/>
        <v>5</v>
      </c>
      <c r="K224" s="60">
        <f t="shared" si="25"/>
        <v>0</v>
      </c>
      <c r="L224" s="60"/>
      <c r="M224" s="60"/>
      <c r="N224" s="60"/>
      <c r="O224" s="60"/>
      <c r="P224" s="60"/>
      <c r="Q224" s="60">
        <v>3</v>
      </c>
      <c r="R224" s="60"/>
      <c r="S224" s="60"/>
      <c r="T224" s="60">
        <v>1</v>
      </c>
      <c r="U224" s="60"/>
      <c r="V224" s="60"/>
      <c r="W224" s="60"/>
      <c r="X224" s="60"/>
      <c r="Y224" s="60"/>
      <c r="Z224" s="60"/>
      <c r="AA224" s="60">
        <v>1</v>
      </c>
      <c r="AB224" s="60"/>
      <c r="AC224" s="60"/>
      <c r="AD224" s="60"/>
      <c r="AE224" s="60"/>
      <c r="AF224" s="60"/>
      <c r="AG224" s="60"/>
      <c r="AH224" s="60"/>
      <c r="AI224" s="60"/>
      <c r="AJ224" s="60"/>
      <c r="AK224" s="64">
        <f t="shared" si="26"/>
        <v>1711.36</v>
      </c>
    </row>
    <row r="225" spans="1:37" x14ac:dyDescent="0.25">
      <c r="A225" s="58" t="s">
        <v>770</v>
      </c>
      <c r="B225" s="59" t="str">
        <f t="shared" ca="1" si="27"/>
        <v>VENCIDO</v>
      </c>
      <c r="C225" s="60" t="s">
        <v>869</v>
      </c>
      <c r="D225" s="61" t="s">
        <v>1157</v>
      </c>
      <c r="E225" s="62" t="s">
        <v>1150</v>
      </c>
      <c r="F225" s="61" t="s">
        <v>775</v>
      </c>
      <c r="G225" s="60" t="s">
        <v>213</v>
      </c>
      <c r="H225" s="63">
        <v>45536</v>
      </c>
      <c r="I225" s="63">
        <f t="shared" si="28"/>
        <v>45356</v>
      </c>
      <c r="J225" s="60">
        <f t="shared" si="24"/>
        <v>2</v>
      </c>
      <c r="K225" s="60">
        <f t="shared" si="25"/>
        <v>0</v>
      </c>
      <c r="L225" s="60"/>
      <c r="M225" s="60"/>
      <c r="N225" s="60"/>
      <c r="O225" s="60"/>
      <c r="P225" s="60"/>
      <c r="Q225" s="60">
        <v>1</v>
      </c>
      <c r="R225" s="60"/>
      <c r="S225" s="60"/>
      <c r="T225" s="60"/>
      <c r="U225" s="60"/>
      <c r="V225" s="60"/>
      <c r="W225" s="60"/>
      <c r="X225" s="60"/>
      <c r="Y225" s="60"/>
      <c r="Z225" s="60"/>
      <c r="AA225" s="60">
        <v>1</v>
      </c>
      <c r="AB225" s="60"/>
      <c r="AC225" s="60"/>
      <c r="AD225" s="60"/>
      <c r="AE225" s="60"/>
      <c r="AF225" s="60"/>
      <c r="AG225" s="60"/>
      <c r="AH225" s="60"/>
      <c r="AI225" s="60"/>
      <c r="AJ225" s="60"/>
      <c r="AK225" s="64">
        <f t="shared" si="26"/>
        <v>513.19000000000005</v>
      </c>
    </row>
    <row r="226" spans="1:37" hidden="1" x14ac:dyDescent="0.25">
      <c r="A226" s="58" t="s">
        <v>770</v>
      </c>
      <c r="B226" s="59" t="str">
        <f t="shared" ca="1" si="27"/>
        <v>VENCIDO</v>
      </c>
      <c r="C226" s="60" t="s">
        <v>869</v>
      </c>
      <c r="D226" s="61" t="s">
        <v>1158</v>
      </c>
      <c r="E226" s="62" t="s">
        <v>1159</v>
      </c>
      <c r="F226" s="61" t="s">
        <v>793</v>
      </c>
      <c r="G226" s="60" t="s">
        <v>213</v>
      </c>
      <c r="H226" s="63">
        <v>45352</v>
      </c>
      <c r="I226" s="63">
        <f t="shared" si="28"/>
        <v>45172</v>
      </c>
      <c r="J226" s="60">
        <f t="shared" si="24"/>
        <v>6</v>
      </c>
      <c r="K226" s="60">
        <f t="shared" si="25"/>
        <v>0</v>
      </c>
      <c r="L226" s="60"/>
      <c r="M226" s="60"/>
      <c r="N226" s="60"/>
      <c r="O226" s="60">
        <v>2</v>
      </c>
      <c r="P226" s="60">
        <v>3</v>
      </c>
      <c r="Q226" s="60"/>
      <c r="R226" s="60"/>
      <c r="S226" s="60"/>
      <c r="T226" s="60">
        <v>1</v>
      </c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  <c r="AK226" s="64">
        <f t="shared" si="26"/>
        <v>1695.3799999999999</v>
      </c>
    </row>
    <row r="227" spans="1:37" x14ac:dyDescent="0.25">
      <c r="A227" s="58" t="s">
        <v>770</v>
      </c>
      <c r="B227" s="59" t="str">
        <f t="shared" ca="1" si="27"/>
        <v>VENCIDO</v>
      </c>
      <c r="C227" s="60" t="s">
        <v>869</v>
      </c>
      <c r="D227" s="61" t="s">
        <v>1160</v>
      </c>
      <c r="E227" s="62" t="s">
        <v>837</v>
      </c>
      <c r="F227" s="61" t="s">
        <v>775</v>
      </c>
      <c r="G227" s="60" t="s">
        <v>213</v>
      </c>
      <c r="H227" s="63">
        <v>45323</v>
      </c>
      <c r="I227" s="63">
        <v>45323</v>
      </c>
      <c r="J227" s="60">
        <f t="shared" si="24"/>
        <v>9</v>
      </c>
      <c r="K227" s="60">
        <f t="shared" si="25"/>
        <v>0</v>
      </c>
      <c r="L227" s="60"/>
      <c r="M227" s="60"/>
      <c r="N227" s="60"/>
      <c r="O227" s="60"/>
      <c r="P227" s="60"/>
      <c r="Q227" s="60">
        <v>2</v>
      </c>
      <c r="R227" s="60"/>
      <c r="S227" s="60"/>
      <c r="T227" s="60">
        <v>1</v>
      </c>
      <c r="U227" s="60"/>
      <c r="V227" s="60"/>
      <c r="W227" s="60"/>
      <c r="X227" s="60"/>
      <c r="Y227" s="60"/>
      <c r="Z227" s="60"/>
      <c r="AA227" s="60">
        <v>6</v>
      </c>
      <c r="AB227" s="60"/>
      <c r="AC227" s="60"/>
      <c r="AD227" s="60"/>
      <c r="AE227" s="60"/>
      <c r="AF227" s="60"/>
      <c r="AG227" s="60"/>
      <c r="AH227" s="60"/>
      <c r="AI227" s="60"/>
      <c r="AJ227" s="60"/>
      <c r="AK227" s="64">
        <f t="shared" si="26"/>
        <v>2385.21</v>
      </c>
    </row>
    <row r="228" spans="1:37" hidden="1" x14ac:dyDescent="0.25">
      <c r="A228" s="58" t="s">
        <v>783</v>
      </c>
      <c r="B228" s="59" t="str">
        <f t="shared" ca="1" si="27"/>
        <v>VENCIDO</v>
      </c>
      <c r="C228" s="60" t="s">
        <v>869</v>
      </c>
      <c r="D228" s="61" t="s">
        <v>1161</v>
      </c>
      <c r="E228" s="62" t="s">
        <v>1049</v>
      </c>
      <c r="F228" s="61" t="s">
        <v>778</v>
      </c>
      <c r="G228" s="60" t="s">
        <v>213</v>
      </c>
      <c r="H228" s="63">
        <v>45352</v>
      </c>
      <c r="I228" s="63">
        <v>45352</v>
      </c>
      <c r="J228" s="60">
        <f t="shared" ref="J228:J291" si="29">SUM(L228:AE228)</f>
        <v>6</v>
      </c>
      <c r="K228" s="60">
        <f t="shared" si="25"/>
        <v>0</v>
      </c>
      <c r="L228" s="60"/>
      <c r="M228" s="60"/>
      <c r="N228" s="60"/>
      <c r="O228" s="60"/>
      <c r="P228" s="60"/>
      <c r="Q228" s="60">
        <v>3</v>
      </c>
      <c r="R228" s="60"/>
      <c r="S228" s="60"/>
      <c r="T228" s="60">
        <v>1</v>
      </c>
      <c r="U228" s="60"/>
      <c r="V228" s="60"/>
      <c r="W228" s="60"/>
      <c r="X228" s="60"/>
      <c r="Y228" s="60"/>
      <c r="Z228" s="60"/>
      <c r="AA228" s="60">
        <v>2</v>
      </c>
      <c r="AB228" s="60"/>
      <c r="AC228" s="60"/>
      <c r="AD228" s="60"/>
      <c r="AE228" s="60"/>
      <c r="AF228" s="60"/>
      <c r="AG228" s="60"/>
      <c r="AH228" s="60"/>
      <c r="AI228" s="60"/>
      <c r="AJ228" s="60"/>
      <c r="AK228" s="64">
        <f t="shared" si="26"/>
        <v>1909.2</v>
      </c>
    </row>
    <row r="229" spans="1:37" hidden="1" x14ac:dyDescent="0.25">
      <c r="A229" s="58"/>
      <c r="B229" s="59" t="str">
        <f t="shared" ca="1" si="27"/>
        <v>VENCIDO</v>
      </c>
      <c r="C229" s="60" t="s">
        <v>869</v>
      </c>
      <c r="D229" s="61" t="s">
        <v>1162</v>
      </c>
      <c r="E229" s="62" t="s">
        <v>780</v>
      </c>
      <c r="F229" s="61" t="s">
        <v>778</v>
      </c>
      <c r="G229" s="60" t="s">
        <v>213</v>
      </c>
      <c r="H229" s="63">
        <v>45536</v>
      </c>
      <c r="I229" s="63">
        <f>H229-180</f>
        <v>45356</v>
      </c>
      <c r="J229" s="60">
        <f t="shared" si="29"/>
        <v>4</v>
      </c>
      <c r="K229" s="60">
        <f t="shared" si="25"/>
        <v>0</v>
      </c>
      <c r="L229" s="60"/>
      <c r="M229" s="60"/>
      <c r="N229" s="60"/>
      <c r="O229" s="60"/>
      <c r="P229" s="60"/>
      <c r="Q229" s="60">
        <v>2</v>
      </c>
      <c r="R229" s="60"/>
      <c r="S229" s="60"/>
      <c r="T229" s="60"/>
      <c r="U229" s="60"/>
      <c r="V229" s="60"/>
      <c r="W229" s="60"/>
      <c r="X229" s="60"/>
      <c r="Y229" s="60"/>
      <c r="Z229" s="60"/>
      <c r="AA229" s="60">
        <v>2</v>
      </c>
      <c r="AB229" s="60"/>
      <c r="AC229" s="60"/>
      <c r="AD229" s="60"/>
      <c r="AE229" s="60"/>
      <c r="AF229" s="60"/>
      <c r="AG229" s="60"/>
      <c r="AH229" s="60"/>
      <c r="AI229" s="60"/>
      <c r="AJ229" s="60"/>
      <c r="AK229" s="64">
        <f t="shared" si="26"/>
        <v>1026.3800000000001</v>
      </c>
    </row>
    <row r="230" spans="1:37" hidden="1" x14ac:dyDescent="0.25">
      <c r="A230" s="58"/>
      <c r="B230" s="59" t="str">
        <f t="shared" ca="1" si="27"/>
        <v>VENCIDO</v>
      </c>
      <c r="C230" s="60" t="s">
        <v>869</v>
      </c>
      <c r="D230" s="61" t="s">
        <v>1163</v>
      </c>
      <c r="E230" s="62" t="s">
        <v>1164</v>
      </c>
      <c r="F230" s="61" t="s">
        <v>778</v>
      </c>
      <c r="G230" s="60" t="s">
        <v>213</v>
      </c>
      <c r="H230" s="63">
        <v>45444</v>
      </c>
      <c r="I230" s="63">
        <v>45444</v>
      </c>
      <c r="J230" s="60">
        <f t="shared" si="29"/>
        <v>2</v>
      </c>
      <c r="K230" s="60">
        <f t="shared" si="25"/>
        <v>0</v>
      </c>
      <c r="L230" s="60"/>
      <c r="M230" s="60"/>
      <c r="N230" s="60"/>
      <c r="O230" s="60">
        <v>1</v>
      </c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>
        <v>1</v>
      </c>
      <c r="AB230" s="60"/>
      <c r="AC230" s="60"/>
      <c r="AD230" s="60"/>
      <c r="AE230" s="60"/>
      <c r="AF230" s="60"/>
      <c r="AG230" s="60"/>
      <c r="AH230" s="60"/>
      <c r="AI230" s="60"/>
      <c r="AJ230" s="60"/>
      <c r="AK230" s="64">
        <f t="shared" si="26"/>
        <v>395.65999999999997</v>
      </c>
    </row>
    <row r="231" spans="1:37" hidden="1" x14ac:dyDescent="0.25">
      <c r="A231" s="58" t="s">
        <v>783</v>
      </c>
      <c r="B231" s="59" t="str">
        <f t="shared" ca="1" si="27"/>
        <v>VENCIDO</v>
      </c>
      <c r="C231" s="60" t="s">
        <v>869</v>
      </c>
      <c r="D231" s="61" t="s">
        <v>1165</v>
      </c>
      <c r="E231" s="62" t="s">
        <v>1164</v>
      </c>
      <c r="F231" s="61" t="s">
        <v>778</v>
      </c>
      <c r="G231" s="60" t="s">
        <v>213</v>
      </c>
      <c r="H231" s="63">
        <v>45444</v>
      </c>
      <c r="I231" s="63">
        <v>45444</v>
      </c>
      <c r="J231" s="60">
        <f t="shared" si="29"/>
        <v>5</v>
      </c>
      <c r="K231" s="60">
        <f t="shared" si="25"/>
        <v>0</v>
      </c>
      <c r="L231" s="60"/>
      <c r="M231" s="60"/>
      <c r="N231" s="60"/>
      <c r="O231" s="60"/>
      <c r="P231" s="60"/>
      <c r="Q231" s="60"/>
      <c r="R231" s="60"/>
      <c r="S231" s="60"/>
      <c r="T231" s="60">
        <v>1</v>
      </c>
      <c r="U231" s="60"/>
      <c r="V231" s="60">
        <v>2</v>
      </c>
      <c r="W231" s="60"/>
      <c r="X231" s="60"/>
      <c r="Y231" s="60"/>
      <c r="Z231" s="60"/>
      <c r="AA231" s="60">
        <v>2</v>
      </c>
      <c r="AB231" s="60"/>
      <c r="AC231" s="60"/>
      <c r="AD231" s="60"/>
      <c r="AE231" s="60"/>
      <c r="AF231" s="60"/>
      <c r="AG231" s="60"/>
      <c r="AH231" s="60"/>
      <c r="AI231" s="60"/>
      <c r="AJ231" s="60"/>
      <c r="AK231" s="64">
        <f t="shared" si="26"/>
        <v>1358.8300000000002</v>
      </c>
    </row>
    <row r="232" spans="1:37" hidden="1" x14ac:dyDescent="0.25">
      <c r="A232" s="58" t="s">
        <v>770</v>
      </c>
      <c r="B232" s="59" t="str">
        <f t="shared" ca="1" si="27"/>
        <v>VENCIDO</v>
      </c>
      <c r="C232" s="60" t="s">
        <v>869</v>
      </c>
      <c r="D232" s="61" t="s">
        <v>1166</v>
      </c>
      <c r="E232" s="62" t="s">
        <v>1167</v>
      </c>
      <c r="F232" s="61" t="s">
        <v>778</v>
      </c>
      <c r="G232" s="60" t="s">
        <v>213</v>
      </c>
      <c r="H232" s="63">
        <v>45474</v>
      </c>
      <c r="I232" s="63">
        <f>H232-180</f>
        <v>45294</v>
      </c>
      <c r="J232" s="60">
        <f t="shared" si="29"/>
        <v>6</v>
      </c>
      <c r="K232" s="60">
        <f t="shared" si="25"/>
        <v>0</v>
      </c>
      <c r="L232" s="60"/>
      <c r="M232" s="60"/>
      <c r="N232" s="60"/>
      <c r="O232" s="60">
        <v>2</v>
      </c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>
        <v>4</v>
      </c>
      <c r="AB232" s="60"/>
      <c r="AC232" s="60"/>
      <c r="AD232" s="60"/>
      <c r="AE232" s="60"/>
      <c r="AF232" s="60"/>
      <c r="AG232" s="60"/>
      <c r="AH232" s="60"/>
      <c r="AI232" s="60"/>
      <c r="AJ232" s="60"/>
      <c r="AK232" s="64">
        <f t="shared" si="26"/>
        <v>1187</v>
      </c>
    </row>
    <row r="233" spans="1:37" hidden="1" x14ac:dyDescent="0.25">
      <c r="A233" s="58"/>
      <c r="B233" s="59" t="str">
        <f t="shared" ca="1" si="27"/>
        <v>VENCIDO</v>
      </c>
      <c r="C233" s="60" t="s">
        <v>869</v>
      </c>
      <c r="D233" s="61" t="s">
        <v>1168</v>
      </c>
      <c r="E233" s="62" t="s">
        <v>857</v>
      </c>
      <c r="F233" s="61" t="s">
        <v>778</v>
      </c>
      <c r="G233" s="60" t="s">
        <v>213</v>
      </c>
      <c r="H233" s="63">
        <v>45566</v>
      </c>
      <c r="I233" s="63">
        <f>H233-180</f>
        <v>45386</v>
      </c>
      <c r="J233" s="60">
        <f t="shared" si="29"/>
        <v>6</v>
      </c>
      <c r="K233" s="60">
        <f t="shared" si="25"/>
        <v>0</v>
      </c>
      <c r="L233" s="60"/>
      <c r="M233" s="60"/>
      <c r="N233" s="60"/>
      <c r="O233" s="60"/>
      <c r="P233" s="60"/>
      <c r="Q233" s="60">
        <v>4</v>
      </c>
      <c r="R233" s="60"/>
      <c r="S233" s="60"/>
      <c r="T233" s="60"/>
      <c r="U233" s="60"/>
      <c r="V233" s="60"/>
      <c r="W233" s="60"/>
      <c r="X233" s="60"/>
      <c r="Y233" s="60"/>
      <c r="Z233" s="60"/>
      <c r="AA233" s="60">
        <v>2</v>
      </c>
      <c r="AB233" s="60"/>
      <c r="AC233" s="60"/>
      <c r="AD233" s="60"/>
      <c r="AE233" s="60"/>
      <c r="AF233" s="60"/>
      <c r="AG233" s="60"/>
      <c r="AH233" s="60"/>
      <c r="AI233" s="60"/>
      <c r="AJ233" s="60"/>
      <c r="AK233" s="64">
        <f t="shared" si="26"/>
        <v>1657.0800000000002</v>
      </c>
    </row>
    <row r="234" spans="1:37" x14ac:dyDescent="0.25">
      <c r="A234" s="58"/>
      <c r="B234" s="59" t="str">
        <f t="shared" ca="1" si="27"/>
        <v>VENCIDO</v>
      </c>
      <c r="C234" s="60" t="s">
        <v>869</v>
      </c>
      <c r="D234" s="61" t="s">
        <v>1169</v>
      </c>
      <c r="E234" s="62" t="s">
        <v>774</v>
      </c>
      <c r="F234" s="61" t="s">
        <v>775</v>
      </c>
      <c r="G234" s="60" t="s">
        <v>213</v>
      </c>
      <c r="H234" s="63">
        <v>45323</v>
      </c>
      <c r="I234" s="63">
        <v>45323</v>
      </c>
      <c r="J234" s="60">
        <f t="shared" si="29"/>
        <v>2</v>
      </c>
      <c r="K234" s="60">
        <f t="shared" si="25"/>
        <v>0</v>
      </c>
      <c r="L234" s="60"/>
      <c r="M234" s="60"/>
      <c r="N234" s="60"/>
      <c r="O234" s="60"/>
      <c r="P234" s="60"/>
      <c r="Q234" s="60">
        <v>1</v>
      </c>
      <c r="R234" s="60"/>
      <c r="S234" s="60"/>
      <c r="T234" s="60"/>
      <c r="U234" s="60"/>
      <c r="V234" s="60"/>
      <c r="W234" s="60"/>
      <c r="X234" s="60"/>
      <c r="Y234" s="60"/>
      <c r="Z234" s="60"/>
      <c r="AA234" s="60">
        <v>1</v>
      </c>
      <c r="AB234" s="60"/>
      <c r="AC234" s="60"/>
      <c r="AD234" s="60"/>
      <c r="AE234" s="60"/>
      <c r="AF234" s="60"/>
      <c r="AG234" s="60"/>
      <c r="AH234" s="60"/>
      <c r="AI234" s="60"/>
      <c r="AJ234" s="60"/>
      <c r="AK234" s="64">
        <f t="shared" si="26"/>
        <v>513.19000000000005</v>
      </c>
    </row>
    <row r="235" spans="1:37" x14ac:dyDescent="0.25">
      <c r="A235" s="58"/>
      <c r="B235" s="59" t="str">
        <f t="shared" ca="1" si="27"/>
        <v>VENCIDO</v>
      </c>
      <c r="C235" s="60" t="s">
        <v>869</v>
      </c>
      <c r="D235" s="61" t="s">
        <v>1170</v>
      </c>
      <c r="E235" s="62" t="s">
        <v>223</v>
      </c>
      <c r="F235" s="61" t="s">
        <v>775</v>
      </c>
      <c r="G235" s="60" t="s">
        <v>213</v>
      </c>
      <c r="H235" s="63">
        <v>45444</v>
      </c>
      <c r="I235" s="63">
        <v>45444</v>
      </c>
      <c r="J235" s="60">
        <f t="shared" si="29"/>
        <v>11</v>
      </c>
      <c r="K235" s="60">
        <f t="shared" si="25"/>
        <v>0</v>
      </c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>
        <v>5</v>
      </c>
      <c r="W235" s="60"/>
      <c r="X235" s="60"/>
      <c r="Y235" s="60"/>
      <c r="Z235" s="60"/>
      <c r="AA235" s="60">
        <v>6</v>
      </c>
      <c r="AB235" s="60"/>
      <c r="AC235" s="60"/>
      <c r="AD235" s="60"/>
      <c r="AE235" s="60"/>
      <c r="AF235" s="60"/>
      <c r="AG235" s="60"/>
      <c r="AH235" s="60"/>
      <c r="AI235" s="60"/>
      <c r="AJ235" s="60"/>
      <c r="AK235" s="64">
        <f t="shared" si="26"/>
        <v>2176.2399999999998</v>
      </c>
    </row>
    <row r="236" spans="1:37" x14ac:dyDescent="0.25">
      <c r="A236" s="58"/>
      <c r="B236" s="59" t="str">
        <f t="shared" ca="1" si="27"/>
        <v>VENCIDO</v>
      </c>
      <c r="C236" s="60" t="s">
        <v>869</v>
      </c>
      <c r="D236" s="61" t="s">
        <v>1171</v>
      </c>
      <c r="E236" s="62" t="s">
        <v>223</v>
      </c>
      <c r="F236" s="61" t="s">
        <v>775</v>
      </c>
      <c r="G236" s="60" t="s">
        <v>213</v>
      </c>
      <c r="H236" s="63">
        <v>45413</v>
      </c>
      <c r="I236" s="63">
        <v>45413</v>
      </c>
      <c r="J236" s="60">
        <f t="shared" si="29"/>
        <v>4</v>
      </c>
      <c r="K236" s="60">
        <f t="shared" si="25"/>
        <v>0</v>
      </c>
      <c r="L236" s="60"/>
      <c r="M236" s="60"/>
      <c r="N236" s="60"/>
      <c r="O236" s="60"/>
      <c r="P236" s="60"/>
      <c r="Q236" s="60">
        <v>2</v>
      </c>
      <c r="R236" s="60"/>
      <c r="S236" s="60"/>
      <c r="T236" s="60">
        <v>1</v>
      </c>
      <c r="U236" s="60"/>
      <c r="V236" s="60"/>
      <c r="W236" s="60"/>
      <c r="X236" s="60"/>
      <c r="Y236" s="60"/>
      <c r="Z236" s="60"/>
      <c r="AA236" s="60">
        <v>1</v>
      </c>
      <c r="AB236" s="60"/>
      <c r="AC236" s="60"/>
      <c r="AD236" s="60"/>
      <c r="AE236" s="60"/>
      <c r="AF236" s="60"/>
      <c r="AG236" s="60"/>
      <c r="AH236" s="60"/>
      <c r="AI236" s="60"/>
      <c r="AJ236" s="60"/>
      <c r="AK236" s="64">
        <f t="shared" si="26"/>
        <v>1396.01</v>
      </c>
    </row>
    <row r="237" spans="1:37" x14ac:dyDescent="0.25">
      <c r="A237" s="58" t="s">
        <v>770</v>
      </c>
      <c r="B237" s="59" t="str">
        <f t="shared" ca="1" si="27"/>
        <v>VENCIDO</v>
      </c>
      <c r="C237" s="60" t="s">
        <v>869</v>
      </c>
      <c r="D237" s="61" t="s">
        <v>1172</v>
      </c>
      <c r="E237" s="62" t="s">
        <v>788</v>
      </c>
      <c r="F237" s="61" t="s">
        <v>775</v>
      </c>
      <c r="G237" s="60" t="s">
        <v>213</v>
      </c>
      <c r="H237" s="63">
        <v>45413</v>
      </c>
      <c r="I237" s="63">
        <v>45413</v>
      </c>
      <c r="J237" s="60">
        <f t="shared" si="29"/>
        <v>2</v>
      </c>
      <c r="K237" s="60">
        <f t="shared" si="25"/>
        <v>0</v>
      </c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>
        <v>2</v>
      </c>
      <c r="AB237" s="60"/>
      <c r="AC237" s="60"/>
      <c r="AD237" s="60"/>
      <c r="AE237" s="60"/>
      <c r="AF237" s="60"/>
      <c r="AG237" s="60"/>
      <c r="AH237" s="60"/>
      <c r="AI237" s="60"/>
      <c r="AJ237" s="60"/>
      <c r="AK237" s="64">
        <f t="shared" si="26"/>
        <v>395.68</v>
      </c>
    </row>
    <row r="238" spans="1:37" hidden="1" x14ac:dyDescent="0.25">
      <c r="A238" s="58" t="s">
        <v>783</v>
      </c>
      <c r="B238" s="59" t="str">
        <f t="shared" ca="1" si="27"/>
        <v>VENCIDO</v>
      </c>
      <c r="C238" s="60" t="s">
        <v>869</v>
      </c>
      <c r="D238" s="61" t="s">
        <v>1173</v>
      </c>
      <c r="E238" s="62" t="s">
        <v>868</v>
      </c>
      <c r="F238" s="61" t="s">
        <v>778</v>
      </c>
      <c r="G238" s="60" t="s">
        <v>213</v>
      </c>
      <c r="H238" s="63">
        <v>45292</v>
      </c>
      <c r="I238" s="63">
        <v>45292</v>
      </c>
      <c r="J238" s="60">
        <f t="shared" si="29"/>
        <v>9</v>
      </c>
      <c r="K238" s="60">
        <f t="shared" si="25"/>
        <v>0</v>
      </c>
      <c r="L238" s="60"/>
      <c r="M238" s="60"/>
      <c r="N238" s="60"/>
      <c r="O238" s="60">
        <v>6</v>
      </c>
      <c r="P238" s="60"/>
      <c r="Q238" s="60"/>
      <c r="R238" s="60"/>
      <c r="S238" s="60"/>
      <c r="T238" s="60">
        <v>1</v>
      </c>
      <c r="U238" s="60"/>
      <c r="V238" s="60"/>
      <c r="W238" s="60"/>
      <c r="X238" s="60"/>
      <c r="Y238" s="60"/>
      <c r="Z238" s="60"/>
      <c r="AA238" s="60">
        <v>2</v>
      </c>
      <c r="AB238" s="60"/>
      <c r="AC238" s="60"/>
      <c r="AD238" s="60"/>
      <c r="AE238" s="60"/>
      <c r="AF238" s="60"/>
      <c r="AG238" s="60"/>
      <c r="AH238" s="60"/>
      <c r="AI238" s="60"/>
      <c r="AJ238" s="60"/>
      <c r="AK238" s="64">
        <f t="shared" si="26"/>
        <v>2150.0700000000002</v>
      </c>
    </row>
    <row r="239" spans="1:37" x14ac:dyDescent="0.25">
      <c r="A239" s="58" t="s">
        <v>783</v>
      </c>
      <c r="B239" s="59" t="str">
        <f t="shared" ca="1" si="27"/>
        <v>VENCIDO</v>
      </c>
      <c r="C239" s="60" t="s">
        <v>869</v>
      </c>
      <c r="D239" s="61" t="s">
        <v>1174</v>
      </c>
      <c r="E239" s="62" t="s">
        <v>223</v>
      </c>
      <c r="F239" s="61" t="s">
        <v>775</v>
      </c>
      <c r="G239" s="60" t="s">
        <v>213</v>
      </c>
      <c r="H239" s="63">
        <v>45474</v>
      </c>
      <c r="I239" s="63">
        <f>H239-180</f>
        <v>45294</v>
      </c>
      <c r="J239" s="60">
        <f t="shared" si="29"/>
        <v>4</v>
      </c>
      <c r="K239" s="60">
        <f t="shared" si="25"/>
        <v>0</v>
      </c>
      <c r="L239" s="60"/>
      <c r="M239" s="60"/>
      <c r="N239" s="60"/>
      <c r="O239" s="60"/>
      <c r="P239" s="60"/>
      <c r="Q239" s="60">
        <v>2</v>
      </c>
      <c r="R239" s="60"/>
      <c r="S239" s="60"/>
      <c r="T239" s="60"/>
      <c r="U239" s="60"/>
      <c r="V239" s="60"/>
      <c r="W239" s="60"/>
      <c r="X239" s="60"/>
      <c r="Y239" s="60"/>
      <c r="Z239" s="60"/>
      <c r="AA239" s="60">
        <v>2</v>
      </c>
      <c r="AB239" s="60"/>
      <c r="AC239" s="60"/>
      <c r="AD239" s="60"/>
      <c r="AE239" s="60"/>
      <c r="AF239" s="60"/>
      <c r="AG239" s="60"/>
      <c r="AH239" s="60"/>
      <c r="AI239" s="60"/>
      <c r="AJ239" s="60"/>
      <c r="AK239" s="64">
        <f t="shared" si="26"/>
        <v>1026.3800000000001</v>
      </c>
    </row>
    <row r="240" spans="1:37" hidden="1" x14ac:dyDescent="0.25">
      <c r="A240" s="58" t="s">
        <v>783</v>
      </c>
      <c r="B240" s="59" t="str">
        <f t="shared" ca="1" si="27"/>
        <v>VENCIDO</v>
      </c>
      <c r="C240" s="60" t="s">
        <v>772</v>
      </c>
      <c r="D240" s="61" t="s">
        <v>1175</v>
      </c>
      <c r="E240" s="62" t="s">
        <v>1176</v>
      </c>
      <c r="F240" s="61" t="s">
        <v>793</v>
      </c>
      <c r="G240" s="60" t="s">
        <v>213</v>
      </c>
      <c r="H240" s="63">
        <v>45323</v>
      </c>
      <c r="I240" s="63">
        <f>H240-180</f>
        <v>45143</v>
      </c>
      <c r="J240" s="60">
        <f t="shared" si="29"/>
        <v>2</v>
      </c>
      <c r="K240" s="60">
        <f t="shared" si="25"/>
        <v>0</v>
      </c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>
        <v>2</v>
      </c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  <c r="AK240" s="64">
        <f t="shared" si="26"/>
        <v>395.68</v>
      </c>
    </row>
    <row r="241" spans="1:37" x14ac:dyDescent="0.25">
      <c r="A241" s="58" t="s">
        <v>1139</v>
      </c>
      <c r="B241" s="59" t="str">
        <f t="shared" ca="1" si="27"/>
        <v>VENCIDO</v>
      </c>
      <c r="C241" s="60" t="s">
        <v>869</v>
      </c>
      <c r="D241" s="61" t="s">
        <v>1177</v>
      </c>
      <c r="E241" s="62" t="s">
        <v>785</v>
      </c>
      <c r="F241" s="61" t="s">
        <v>775</v>
      </c>
      <c r="G241" s="60" t="s">
        <v>213</v>
      </c>
      <c r="H241" s="63">
        <v>45444</v>
      </c>
      <c r="I241" s="63">
        <v>45292</v>
      </c>
      <c r="J241" s="60">
        <f t="shared" si="29"/>
        <v>2</v>
      </c>
      <c r="K241" s="60">
        <f t="shared" si="25"/>
        <v>0</v>
      </c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>
        <v>1</v>
      </c>
      <c r="W241" s="60"/>
      <c r="X241" s="60"/>
      <c r="Y241" s="60"/>
      <c r="Z241" s="60"/>
      <c r="AA241" s="60">
        <v>1</v>
      </c>
      <c r="AB241" s="60"/>
      <c r="AC241" s="60"/>
      <c r="AD241" s="60"/>
      <c r="AE241" s="60"/>
      <c r="AF241" s="60"/>
      <c r="AG241" s="60"/>
      <c r="AH241" s="60"/>
      <c r="AI241" s="60"/>
      <c r="AJ241" s="60"/>
      <c r="AK241" s="64">
        <f t="shared" si="26"/>
        <v>395.68</v>
      </c>
    </row>
    <row r="242" spans="1:37" x14ac:dyDescent="0.25">
      <c r="A242" s="58" t="s">
        <v>770</v>
      </c>
      <c r="B242" s="59" t="str">
        <f t="shared" ca="1" si="27"/>
        <v>VENCIDO</v>
      </c>
      <c r="C242" s="60" t="s">
        <v>869</v>
      </c>
      <c r="D242" s="61" t="s">
        <v>1178</v>
      </c>
      <c r="E242" s="62" t="s">
        <v>785</v>
      </c>
      <c r="F242" s="61" t="s">
        <v>775</v>
      </c>
      <c r="G242" s="60" t="s">
        <v>213</v>
      </c>
      <c r="H242" s="63">
        <v>45536</v>
      </c>
      <c r="I242" s="63">
        <f>H242-180</f>
        <v>45356</v>
      </c>
      <c r="J242" s="60">
        <f t="shared" si="29"/>
        <v>4</v>
      </c>
      <c r="K242" s="60">
        <f t="shared" si="25"/>
        <v>0</v>
      </c>
      <c r="L242" s="60"/>
      <c r="M242" s="60"/>
      <c r="N242" s="60"/>
      <c r="O242" s="60"/>
      <c r="P242" s="60"/>
      <c r="Q242" s="60">
        <v>2</v>
      </c>
      <c r="R242" s="60"/>
      <c r="S242" s="60"/>
      <c r="T242" s="60">
        <v>1</v>
      </c>
      <c r="U242" s="60"/>
      <c r="V242" s="60"/>
      <c r="W242" s="60"/>
      <c r="X242" s="60"/>
      <c r="Y242" s="60"/>
      <c r="Z242" s="60"/>
      <c r="AA242" s="60">
        <v>1</v>
      </c>
      <c r="AB242" s="60"/>
      <c r="AC242" s="60"/>
      <c r="AD242" s="60"/>
      <c r="AE242" s="60"/>
      <c r="AF242" s="60"/>
      <c r="AG242" s="60"/>
      <c r="AH242" s="60"/>
      <c r="AI242" s="60"/>
      <c r="AJ242" s="60"/>
      <c r="AK242" s="64">
        <f t="shared" si="26"/>
        <v>1396.01</v>
      </c>
    </row>
    <row r="243" spans="1:37" x14ac:dyDescent="0.25">
      <c r="A243" s="58" t="s">
        <v>849</v>
      </c>
      <c r="B243" s="59" t="str">
        <f t="shared" ca="1" si="27"/>
        <v>VENCIDO</v>
      </c>
      <c r="C243" s="60" t="s">
        <v>869</v>
      </c>
      <c r="D243" s="61" t="s">
        <v>1179</v>
      </c>
      <c r="E243" s="62" t="s">
        <v>785</v>
      </c>
      <c r="F243" s="61" t="s">
        <v>775</v>
      </c>
      <c r="G243" s="60" t="s">
        <v>213</v>
      </c>
      <c r="H243" s="63">
        <v>45352</v>
      </c>
      <c r="I243" s="63">
        <f>H243-180</f>
        <v>45172</v>
      </c>
      <c r="J243" s="60">
        <f t="shared" si="29"/>
        <v>6</v>
      </c>
      <c r="K243" s="60">
        <f t="shared" si="25"/>
        <v>0</v>
      </c>
      <c r="L243" s="60"/>
      <c r="M243" s="60"/>
      <c r="N243" s="60"/>
      <c r="O243" s="60"/>
      <c r="P243" s="60"/>
      <c r="Q243" s="60">
        <v>4</v>
      </c>
      <c r="R243" s="60"/>
      <c r="S243" s="60"/>
      <c r="T243" s="60"/>
      <c r="U243" s="60"/>
      <c r="V243" s="60"/>
      <c r="W243" s="60"/>
      <c r="X243" s="60"/>
      <c r="Y243" s="60"/>
      <c r="Z243" s="60"/>
      <c r="AA243" s="60">
        <v>2</v>
      </c>
      <c r="AB243" s="60"/>
      <c r="AC243" s="60"/>
      <c r="AD243" s="60"/>
      <c r="AE243" s="60"/>
      <c r="AF243" s="60"/>
      <c r="AG243" s="60"/>
      <c r="AH243" s="60"/>
      <c r="AI243" s="60"/>
      <c r="AJ243" s="60"/>
      <c r="AK243" s="64">
        <f t="shared" si="26"/>
        <v>1657.0800000000002</v>
      </c>
    </row>
    <row r="244" spans="1:37" hidden="1" x14ac:dyDescent="0.25">
      <c r="A244" s="58" t="s">
        <v>783</v>
      </c>
      <c r="B244" s="59" t="str">
        <f t="shared" ca="1" si="27"/>
        <v>VENCIDO</v>
      </c>
      <c r="C244" s="60" t="s">
        <v>772</v>
      </c>
      <c r="D244" s="61" t="s">
        <v>1180</v>
      </c>
      <c r="E244" s="62" t="s">
        <v>1181</v>
      </c>
      <c r="F244" s="61" t="s">
        <v>793</v>
      </c>
      <c r="G244" s="60" t="s">
        <v>213</v>
      </c>
      <c r="H244" s="63">
        <v>45413</v>
      </c>
      <c r="I244" s="63">
        <f>H244-180</f>
        <v>45233</v>
      </c>
      <c r="J244" s="60">
        <f t="shared" si="29"/>
        <v>7</v>
      </c>
      <c r="K244" s="60">
        <f t="shared" si="25"/>
        <v>0</v>
      </c>
      <c r="L244" s="60">
        <v>4</v>
      </c>
      <c r="M244" s="60"/>
      <c r="N244" s="60"/>
      <c r="O244" s="60">
        <v>3</v>
      </c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H244" s="60"/>
      <c r="AI244" s="60"/>
      <c r="AJ244" s="60"/>
      <c r="AK244" s="64">
        <f t="shared" si="26"/>
        <v>955.22</v>
      </c>
    </row>
    <row r="245" spans="1:37" hidden="1" x14ac:dyDescent="0.25">
      <c r="A245" s="58" t="s">
        <v>770</v>
      </c>
      <c r="B245" s="59" t="str">
        <f t="shared" ca="1" si="27"/>
        <v>VENCIDO</v>
      </c>
      <c r="C245" s="60" t="s">
        <v>1110</v>
      </c>
      <c r="D245" s="61" t="s">
        <v>1182</v>
      </c>
      <c r="E245" s="62" t="s">
        <v>428</v>
      </c>
      <c r="F245" s="61" t="s">
        <v>793</v>
      </c>
      <c r="G245" s="60" t="s">
        <v>213</v>
      </c>
      <c r="H245" s="63">
        <v>45413</v>
      </c>
      <c r="I245" s="63">
        <v>45413</v>
      </c>
      <c r="J245" s="60">
        <f t="shared" si="29"/>
        <v>4</v>
      </c>
      <c r="K245" s="60">
        <f t="shared" si="25"/>
        <v>0</v>
      </c>
      <c r="L245" s="60">
        <v>2</v>
      </c>
      <c r="M245" s="60"/>
      <c r="N245" s="60"/>
      <c r="O245" s="60"/>
      <c r="P245" s="60"/>
      <c r="Q245" s="60">
        <v>1</v>
      </c>
      <c r="R245" s="60"/>
      <c r="S245" s="60"/>
      <c r="T245" s="60"/>
      <c r="U245" s="60"/>
      <c r="V245" s="60"/>
      <c r="W245" s="60"/>
      <c r="X245" s="60"/>
      <c r="Y245" s="60"/>
      <c r="Z245" s="60"/>
      <c r="AA245" s="60">
        <v>1</v>
      </c>
      <c r="AB245" s="60"/>
      <c r="AC245" s="60"/>
      <c r="AD245" s="60"/>
      <c r="AE245" s="60"/>
      <c r="AF245" s="60"/>
      <c r="AG245" s="60"/>
      <c r="AH245" s="60"/>
      <c r="AI245" s="60"/>
      <c r="AJ245" s="60"/>
      <c r="AK245" s="64">
        <f t="shared" si="26"/>
        <v>694.07</v>
      </c>
    </row>
    <row r="246" spans="1:37" hidden="1" x14ac:dyDescent="0.25">
      <c r="A246" s="58" t="s">
        <v>770</v>
      </c>
      <c r="B246" s="59" t="str">
        <f t="shared" ca="1" si="27"/>
        <v>VENCIDO</v>
      </c>
      <c r="C246" s="60" t="s">
        <v>772</v>
      </c>
      <c r="D246" s="61" t="s">
        <v>1183</v>
      </c>
      <c r="E246" s="62" t="s">
        <v>428</v>
      </c>
      <c r="F246" s="61" t="s">
        <v>793</v>
      </c>
      <c r="G246" s="60" t="s">
        <v>213</v>
      </c>
      <c r="H246" s="63">
        <v>45413</v>
      </c>
      <c r="I246" s="63">
        <f>H246-180</f>
        <v>45233</v>
      </c>
      <c r="J246" s="60">
        <f t="shared" si="29"/>
        <v>2</v>
      </c>
      <c r="K246" s="60">
        <f t="shared" si="25"/>
        <v>0</v>
      </c>
      <c r="L246" s="60">
        <v>1</v>
      </c>
      <c r="M246" s="60"/>
      <c r="N246" s="60"/>
      <c r="O246" s="60">
        <v>1</v>
      </c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/>
      <c r="AD246" s="60"/>
      <c r="AE246" s="60"/>
      <c r="AF246" s="60"/>
      <c r="AG246" s="60"/>
      <c r="AH246" s="60"/>
      <c r="AI246" s="60"/>
      <c r="AJ246" s="60"/>
      <c r="AK246" s="64">
        <f t="shared" si="26"/>
        <v>288.26</v>
      </c>
    </row>
    <row r="247" spans="1:37" x14ac:dyDescent="0.25">
      <c r="A247" s="58" t="s">
        <v>783</v>
      </c>
      <c r="B247" s="59" t="str">
        <f t="shared" ca="1" si="27"/>
        <v>VENCIDO</v>
      </c>
      <c r="C247" s="60" t="s">
        <v>869</v>
      </c>
      <c r="D247" s="61" t="s">
        <v>1184</v>
      </c>
      <c r="E247" s="62" t="s">
        <v>223</v>
      </c>
      <c r="F247" s="61" t="s">
        <v>775</v>
      </c>
      <c r="G247" s="60" t="s">
        <v>213</v>
      </c>
      <c r="H247" s="63">
        <v>45323</v>
      </c>
      <c r="I247" s="63">
        <v>45323</v>
      </c>
      <c r="J247" s="60">
        <f t="shared" si="29"/>
        <v>8</v>
      </c>
      <c r="K247" s="60">
        <f t="shared" si="25"/>
        <v>0</v>
      </c>
      <c r="L247" s="60"/>
      <c r="M247" s="60"/>
      <c r="N247" s="60"/>
      <c r="O247" s="60">
        <v>1</v>
      </c>
      <c r="P247" s="60"/>
      <c r="Q247" s="60">
        <v>2</v>
      </c>
      <c r="R247" s="60"/>
      <c r="S247" s="60"/>
      <c r="T247" s="60"/>
      <c r="U247" s="60"/>
      <c r="V247" s="60"/>
      <c r="W247" s="60"/>
      <c r="X247" s="60"/>
      <c r="Y247" s="60"/>
      <c r="Z247" s="60"/>
      <c r="AA247" s="60">
        <v>5</v>
      </c>
      <c r="AB247" s="60"/>
      <c r="AC247" s="60"/>
      <c r="AD247" s="60"/>
      <c r="AE247" s="60"/>
      <c r="AF247" s="60"/>
      <c r="AG247" s="60"/>
      <c r="AH247" s="60"/>
      <c r="AI247" s="60"/>
      <c r="AJ247" s="60"/>
      <c r="AK247" s="64">
        <f t="shared" si="26"/>
        <v>1817.72</v>
      </c>
    </row>
    <row r="248" spans="1:37" hidden="1" x14ac:dyDescent="0.25">
      <c r="A248" s="58" t="s">
        <v>770</v>
      </c>
      <c r="B248" s="59" t="str">
        <f t="shared" ca="1" si="27"/>
        <v>VENCIDO</v>
      </c>
      <c r="C248" s="60" t="s">
        <v>869</v>
      </c>
      <c r="D248" s="61" t="s">
        <v>1185</v>
      </c>
      <c r="E248" s="62" t="s">
        <v>1186</v>
      </c>
      <c r="F248" s="61" t="s">
        <v>778</v>
      </c>
      <c r="G248" s="60" t="s">
        <v>213</v>
      </c>
      <c r="H248" s="63">
        <v>45292</v>
      </c>
      <c r="I248" s="63">
        <v>45292</v>
      </c>
      <c r="J248" s="60">
        <f t="shared" si="29"/>
        <v>2</v>
      </c>
      <c r="K248" s="60">
        <f t="shared" si="25"/>
        <v>0</v>
      </c>
      <c r="L248" s="60"/>
      <c r="M248" s="60"/>
      <c r="N248" s="60"/>
      <c r="O248" s="60"/>
      <c r="P248" s="60"/>
      <c r="Q248" s="60">
        <v>1</v>
      </c>
      <c r="R248" s="60"/>
      <c r="S248" s="60"/>
      <c r="T248" s="60"/>
      <c r="U248" s="60"/>
      <c r="V248" s="60"/>
      <c r="W248" s="60"/>
      <c r="X248" s="60"/>
      <c r="Y248" s="60"/>
      <c r="Z248" s="60"/>
      <c r="AA248" s="60">
        <v>1</v>
      </c>
      <c r="AB248" s="60"/>
      <c r="AC248" s="60"/>
      <c r="AD248" s="60"/>
      <c r="AE248" s="60"/>
      <c r="AF248" s="60"/>
      <c r="AG248" s="60"/>
      <c r="AH248" s="60"/>
      <c r="AI248" s="60"/>
      <c r="AJ248" s="60"/>
      <c r="AK248" s="64">
        <f t="shared" si="26"/>
        <v>513.19000000000005</v>
      </c>
    </row>
    <row r="249" spans="1:37" hidden="1" x14ac:dyDescent="0.25">
      <c r="A249" s="58" t="s">
        <v>770</v>
      </c>
      <c r="B249" s="59" t="str">
        <f t="shared" ca="1" si="27"/>
        <v>VENCIDO</v>
      </c>
      <c r="C249" s="60" t="s">
        <v>869</v>
      </c>
      <c r="D249" s="61" t="s">
        <v>1187</v>
      </c>
      <c r="E249" s="62" t="s">
        <v>879</v>
      </c>
      <c r="F249" s="61" t="s">
        <v>778</v>
      </c>
      <c r="G249" s="60" t="s">
        <v>213</v>
      </c>
      <c r="H249" s="63">
        <v>45474</v>
      </c>
      <c r="I249" s="63">
        <f>H249-180</f>
        <v>45294</v>
      </c>
      <c r="J249" s="60">
        <f t="shared" si="29"/>
        <v>2</v>
      </c>
      <c r="K249" s="60">
        <f t="shared" si="25"/>
        <v>0</v>
      </c>
      <c r="L249" s="60"/>
      <c r="M249" s="60"/>
      <c r="N249" s="60"/>
      <c r="O249" s="60"/>
      <c r="P249" s="60">
        <v>1</v>
      </c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>
        <v>1</v>
      </c>
      <c r="AB249" s="60"/>
      <c r="AC249" s="60"/>
      <c r="AD249" s="60"/>
      <c r="AE249" s="60"/>
      <c r="AF249" s="60"/>
      <c r="AG249" s="60"/>
      <c r="AH249" s="60"/>
      <c r="AI249" s="60"/>
      <c r="AJ249" s="60"/>
      <c r="AK249" s="64">
        <f t="shared" si="26"/>
        <v>441.93</v>
      </c>
    </row>
    <row r="250" spans="1:37" x14ac:dyDescent="0.25">
      <c r="A250" s="58" t="s">
        <v>770</v>
      </c>
      <c r="B250" s="59" t="str">
        <f t="shared" ca="1" si="27"/>
        <v>VENCIDO</v>
      </c>
      <c r="C250" s="60" t="s">
        <v>869</v>
      </c>
      <c r="D250" s="61" t="s">
        <v>1188</v>
      </c>
      <c r="E250" s="62" t="s">
        <v>885</v>
      </c>
      <c r="F250" s="61" t="s">
        <v>775</v>
      </c>
      <c r="G250" s="60" t="s">
        <v>213</v>
      </c>
      <c r="H250" s="63">
        <v>45383</v>
      </c>
      <c r="I250" s="63">
        <f>H250-180</f>
        <v>45203</v>
      </c>
      <c r="J250" s="60">
        <f t="shared" si="29"/>
        <v>7</v>
      </c>
      <c r="K250" s="60">
        <f t="shared" si="25"/>
        <v>0</v>
      </c>
      <c r="L250" s="60"/>
      <c r="M250" s="60"/>
      <c r="N250" s="60"/>
      <c r="O250" s="60">
        <v>2</v>
      </c>
      <c r="P250" s="60"/>
      <c r="Q250" s="60">
        <v>4</v>
      </c>
      <c r="R250" s="60"/>
      <c r="S250" s="60"/>
      <c r="T250" s="60">
        <v>1</v>
      </c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  <c r="AK250" s="64">
        <f t="shared" si="26"/>
        <v>2224.5100000000002</v>
      </c>
    </row>
    <row r="251" spans="1:37" hidden="1" x14ac:dyDescent="0.25">
      <c r="A251" s="58"/>
      <c r="B251" s="59" t="str">
        <f t="shared" ca="1" si="27"/>
        <v>VENCIDO</v>
      </c>
      <c r="C251" s="60" t="s">
        <v>790</v>
      </c>
      <c r="D251" s="61" t="s">
        <v>1189</v>
      </c>
      <c r="E251" s="62" t="s">
        <v>1190</v>
      </c>
      <c r="F251" s="61" t="s">
        <v>778</v>
      </c>
      <c r="G251" s="60" t="s">
        <v>213</v>
      </c>
      <c r="H251" s="63">
        <v>45474</v>
      </c>
      <c r="I251" s="63">
        <f>H251-180</f>
        <v>45294</v>
      </c>
      <c r="J251" s="60">
        <f t="shared" si="29"/>
        <v>1</v>
      </c>
      <c r="K251" s="60">
        <f t="shared" si="25"/>
        <v>0</v>
      </c>
      <c r="L251" s="60"/>
      <c r="M251" s="60"/>
      <c r="N251" s="60"/>
      <c r="O251" s="60">
        <v>1</v>
      </c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H251" s="60"/>
      <c r="AI251" s="60"/>
      <c r="AJ251" s="60"/>
      <c r="AK251" s="64">
        <f t="shared" si="26"/>
        <v>197.82</v>
      </c>
    </row>
    <row r="252" spans="1:37" hidden="1" x14ac:dyDescent="0.25">
      <c r="A252" s="58" t="s">
        <v>938</v>
      </c>
      <c r="B252" s="59" t="str">
        <f t="shared" ca="1" si="27"/>
        <v>VENCIDO</v>
      </c>
      <c r="C252" s="60" t="s">
        <v>869</v>
      </c>
      <c r="D252" s="61" t="s">
        <v>1191</v>
      </c>
      <c r="E252" s="62" t="s">
        <v>1190</v>
      </c>
      <c r="F252" s="61" t="s">
        <v>778</v>
      </c>
      <c r="G252" s="60" t="s">
        <v>213</v>
      </c>
      <c r="H252" s="63">
        <v>45352</v>
      </c>
      <c r="I252" s="63">
        <v>45352</v>
      </c>
      <c r="J252" s="60">
        <f t="shared" si="29"/>
        <v>2</v>
      </c>
      <c r="K252" s="60">
        <f t="shared" si="25"/>
        <v>0</v>
      </c>
      <c r="L252" s="60"/>
      <c r="M252" s="60"/>
      <c r="N252" s="60"/>
      <c r="O252" s="60">
        <v>1</v>
      </c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>
        <v>1</v>
      </c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  <c r="AK252" s="64">
        <f t="shared" si="26"/>
        <v>349.45</v>
      </c>
    </row>
    <row r="253" spans="1:37" hidden="1" x14ac:dyDescent="0.25">
      <c r="A253" s="58" t="s">
        <v>770</v>
      </c>
      <c r="B253" s="59" t="str">
        <f t="shared" ca="1" si="27"/>
        <v>VENCIDO</v>
      </c>
      <c r="C253" s="60" t="s">
        <v>869</v>
      </c>
      <c r="D253" s="61" t="s">
        <v>1192</v>
      </c>
      <c r="E253" s="62" t="s">
        <v>1193</v>
      </c>
      <c r="F253" s="61" t="s">
        <v>778</v>
      </c>
      <c r="G253" s="60" t="s">
        <v>213</v>
      </c>
      <c r="H253" s="63">
        <v>45566</v>
      </c>
      <c r="I253" s="63">
        <f>H253-180</f>
        <v>45386</v>
      </c>
      <c r="J253" s="60">
        <f t="shared" si="29"/>
        <v>8</v>
      </c>
      <c r="K253" s="60">
        <f t="shared" si="25"/>
        <v>0</v>
      </c>
      <c r="L253" s="60">
        <v>1</v>
      </c>
      <c r="M253" s="60"/>
      <c r="N253" s="60"/>
      <c r="O253" s="60"/>
      <c r="P253" s="60"/>
      <c r="Q253" s="60">
        <v>3</v>
      </c>
      <c r="R253" s="60"/>
      <c r="S253" s="60"/>
      <c r="T253" s="60"/>
      <c r="U253" s="60"/>
      <c r="V253" s="60"/>
      <c r="W253" s="60"/>
      <c r="X253" s="60">
        <v>1</v>
      </c>
      <c r="Y253" s="60"/>
      <c r="Z253" s="60"/>
      <c r="AA253" s="60">
        <v>3</v>
      </c>
      <c r="AB253" s="60"/>
      <c r="AC253" s="60"/>
      <c r="AD253" s="60"/>
      <c r="AE253" s="60"/>
      <c r="AF253" s="60"/>
      <c r="AG253" s="60"/>
      <c r="AH253" s="60"/>
      <c r="AI253" s="60"/>
      <c r="AJ253" s="60"/>
      <c r="AK253" s="64">
        <f t="shared" si="26"/>
        <v>2331.6999999999998</v>
      </c>
    </row>
    <row r="254" spans="1:37" hidden="1" x14ac:dyDescent="0.25">
      <c r="A254" s="58" t="s">
        <v>783</v>
      </c>
      <c r="B254" s="59" t="str">
        <f t="shared" ca="1" si="27"/>
        <v>VENCIDO</v>
      </c>
      <c r="C254" s="60" t="s">
        <v>869</v>
      </c>
      <c r="D254" s="61" t="s">
        <v>1194</v>
      </c>
      <c r="E254" s="62" t="s">
        <v>1195</v>
      </c>
      <c r="F254" s="61" t="s">
        <v>778</v>
      </c>
      <c r="G254" s="60" t="s">
        <v>213</v>
      </c>
      <c r="H254" s="63">
        <v>45566</v>
      </c>
      <c r="I254" s="63">
        <f>H254-180</f>
        <v>45386</v>
      </c>
      <c r="J254" s="60">
        <f t="shared" si="29"/>
        <v>8</v>
      </c>
      <c r="K254" s="60">
        <f t="shared" si="25"/>
        <v>0</v>
      </c>
      <c r="L254" s="60">
        <v>1</v>
      </c>
      <c r="M254" s="60"/>
      <c r="N254" s="60"/>
      <c r="O254" s="60"/>
      <c r="P254" s="60"/>
      <c r="Q254" s="60">
        <v>3</v>
      </c>
      <c r="R254" s="60"/>
      <c r="S254" s="60"/>
      <c r="T254" s="60"/>
      <c r="U254" s="60"/>
      <c r="V254" s="60"/>
      <c r="W254" s="60"/>
      <c r="X254" s="60">
        <v>1</v>
      </c>
      <c r="Y254" s="60"/>
      <c r="Z254" s="60"/>
      <c r="AA254" s="60">
        <v>3</v>
      </c>
      <c r="AB254" s="60"/>
      <c r="AC254" s="60"/>
      <c r="AD254" s="60"/>
      <c r="AE254" s="60"/>
      <c r="AF254" s="60"/>
      <c r="AG254" s="60"/>
      <c r="AH254" s="60"/>
      <c r="AI254" s="60"/>
      <c r="AJ254" s="60"/>
      <c r="AK254" s="64">
        <f t="shared" si="26"/>
        <v>2331.6999999999998</v>
      </c>
    </row>
    <row r="255" spans="1:37" x14ac:dyDescent="0.25">
      <c r="A255" s="58" t="s">
        <v>770</v>
      </c>
      <c r="B255" s="59" t="str">
        <f t="shared" ca="1" si="27"/>
        <v>VENCIDO</v>
      </c>
      <c r="C255" s="60" t="s">
        <v>869</v>
      </c>
      <c r="D255" s="61" t="s">
        <v>1196</v>
      </c>
      <c r="E255" s="62" t="s">
        <v>887</v>
      </c>
      <c r="F255" s="61" t="s">
        <v>775</v>
      </c>
      <c r="G255" s="60" t="s">
        <v>213</v>
      </c>
      <c r="H255" s="63">
        <v>45383</v>
      </c>
      <c r="I255" s="63">
        <v>45383</v>
      </c>
      <c r="J255" s="60">
        <f t="shared" si="29"/>
        <v>4</v>
      </c>
      <c r="K255" s="60">
        <f t="shared" si="25"/>
        <v>0</v>
      </c>
      <c r="L255" s="60"/>
      <c r="M255" s="60"/>
      <c r="N255" s="60"/>
      <c r="O255" s="60"/>
      <c r="P255" s="60"/>
      <c r="Q255" s="60">
        <v>2</v>
      </c>
      <c r="R255" s="60"/>
      <c r="S255" s="60"/>
      <c r="T255" s="60">
        <v>1</v>
      </c>
      <c r="U255" s="60"/>
      <c r="V255" s="60"/>
      <c r="W255" s="60"/>
      <c r="X255" s="60"/>
      <c r="Y255" s="60"/>
      <c r="Z255" s="60"/>
      <c r="AA255" s="60">
        <v>1</v>
      </c>
      <c r="AB255" s="60"/>
      <c r="AC255" s="60"/>
      <c r="AD255" s="60"/>
      <c r="AE255" s="60"/>
      <c r="AF255" s="60"/>
      <c r="AG255" s="60"/>
      <c r="AH255" s="60"/>
      <c r="AI255" s="60"/>
      <c r="AJ255" s="60"/>
      <c r="AK255" s="64">
        <f t="shared" si="26"/>
        <v>1396.01</v>
      </c>
    </row>
    <row r="256" spans="1:37" hidden="1" x14ac:dyDescent="0.25">
      <c r="A256" s="58" t="s">
        <v>770</v>
      </c>
      <c r="B256" s="59" t="str">
        <f t="shared" ca="1" si="27"/>
        <v>VENCIDO</v>
      </c>
      <c r="C256" s="60" t="s">
        <v>869</v>
      </c>
      <c r="D256" s="61" t="s">
        <v>1197</v>
      </c>
      <c r="E256" s="62" t="s">
        <v>1198</v>
      </c>
      <c r="F256" s="61" t="s">
        <v>778</v>
      </c>
      <c r="G256" s="60" t="s">
        <v>213</v>
      </c>
      <c r="H256" s="63">
        <v>45292</v>
      </c>
      <c r="I256" s="63">
        <v>45292</v>
      </c>
      <c r="J256" s="60">
        <f t="shared" si="29"/>
        <v>4</v>
      </c>
      <c r="K256" s="60">
        <f t="shared" si="25"/>
        <v>0</v>
      </c>
      <c r="L256" s="60"/>
      <c r="M256" s="60"/>
      <c r="N256" s="60"/>
      <c r="O256" s="60"/>
      <c r="P256" s="60"/>
      <c r="Q256" s="60">
        <v>2</v>
      </c>
      <c r="R256" s="60"/>
      <c r="S256" s="60"/>
      <c r="T256" s="60"/>
      <c r="U256" s="60"/>
      <c r="V256" s="60"/>
      <c r="W256" s="60"/>
      <c r="X256" s="60"/>
      <c r="Y256" s="60"/>
      <c r="Z256" s="60"/>
      <c r="AA256" s="60">
        <v>2</v>
      </c>
      <c r="AB256" s="60"/>
      <c r="AC256" s="60"/>
      <c r="AD256" s="60"/>
      <c r="AE256" s="60"/>
      <c r="AF256" s="60"/>
      <c r="AG256" s="60"/>
      <c r="AH256" s="60"/>
      <c r="AI256" s="60"/>
      <c r="AJ256" s="60"/>
      <c r="AK256" s="64">
        <f t="shared" si="26"/>
        <v>1026.3800000000001</v>
      </c>
    </row>
    <row r="257" spans="1:37" x14ac:dyDescent="0.25">
      <c r="A257" s="58" t="s">
        <v>860</v>
      </c>
      <c r="B257" s="59" t="str">
        <f t="shared" ca="1" si="27"/>
        <v>VENCIDO</v>
      </c>
      <c r="C257" s="60" t="s">
        <v>869</v>
      </c>
      <c r="D257" s="66" t="s">
        <v>1199</v>
      </c>
      <c r="E257" s="62" t="s">
        <v>889</v>
      </c>
      <c r="F257" s="61" t="s">
        <v>775</v>
      </c>
      <c r="G257" s="60" t="s">
        <v>213</v>
      </c>
      <c r="H257" s="63">
        <v>45597</v>
      </c>
      <c r="I257" s="63">
        <f>H257-180</f>
        <v>45417</v>
      </c>
      <c r="J257" s="60">
        <f t="shared" si="29"/>
        <v>1</v>
      </c>
      <c r="K257" s="60">
        <f t="shared" si="25"/>
        <v>0</v>
      </c>
      <c r="L257" s="60"/>
      <c r="M257" s="60"/>
      <c r="N257" s="60"/>
      <c r="O257" s="60"/>
      <c r="P257" s="60"/>
      <c r="Q257" s="60">
        <v>1</v>
      </c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0"/>
      <c r="AH257" s="60"/>
      <c r="AI257" s="60"/>
      <c r="AJ257" s="60"/>
      <c r="AK257" s="64">
        <f t="shared" si="26"/>
        <v>315.35000000000002</v>
      </c>
    </row>
    <row r="258" spans="1:37" x14ac:dyDescent="0.25">
      <c r="A258" s="58" t="s">
        <v>783</v>
      </c>
      <c r="B258" s="59" t="str">
        <f t="shared" ca="1" si="27"/>
        <v>VENCIDO</v>
      </c>
      <c r="C258" s="60" t="s">
        <v>869</v>
      </c>
      <c r="D258" s="61" t="s">
        <v>1200</v>
      </c>
      <c r="E258" s="62" t="s">
        <v>223</v>
      </c>
      <c r="F258" s="61" t="s">
        <v>775</v>
      </c>
      <c r="G258" s="60" t="s">
        <v>213</v>
      </c>
      <c r="H258" s="63">
        <v>45505</v>
      </c>
      <c r="I258" s="63">
        <f>H258-180</f>
        <v>45325</v>
      </c>
      <c r="J258" s="60">
        <f t="shared" si="29"/>
        <v>8</v>
      </c>
      <c r="K258" s="60">
        <f t="shared" si="25"/>
        <v>0</v>
      </c>
      <c r="L258" s="60"/>
      <c r="M258" s="60"/>
      <c r="N258" s="60"/>
      <c r="O258" s="60"/>
      <c r="P258" s="60"/>
      <c r="Q258" s="60">
        <v>5</v>
      </c>
      <c r="R258" s="60"/>
      <c r="S258" s="60"/>
      <c r="T258" s="60">
        <v>3</v>
      </c>
      <c r="U258" s="60"/>
      <c r="V258" s="60"/>
      <c r="W258" s="60"/>
      <c r="X258" s="60"/>
      <c r="Y258" s="60"/>
      <c r="Z258" s="60"/>
      <c r="AA258" s="60"/>
      <c r="AB258" s="60"/>
      <c r="AC258" s="60"/>
      <c r="AD258" s="60"/>
      <c r="AE258" s="60"/>
      <c r="AF258" s="60"/>
      <c r="AG258" s="60"/>
      <c r="AH258" s="60"/>
      <c r="AI258" s="60"/>
      <c r="AJ258" s="60"/>
      <c r="AK258" s="64">
        <f t="shared" si="26"/>
        <v>3279.16</v>
      </c>
    </row>
    <row r="259" spans="1:37" x14ac:dyDescent="0.25">
      <c r="A259" s="58" t="s">
        <v>770</v>
      </c>
      <c r="B259" s="59" t="str">
        <f t="shared" ca="1" si="27"/>
        <v>VENCIDO</v>
      </c>
      <c r="C259" s="60" t="s">
        <v>869</v>
      </c>
      <c r="D259" s="61" t="s">
        <v>1201</v>
      </c>
      <c r="E259" s="62" t="s">
        <v>212</v>
      </c>
      <c r="F259" s="61" t="s">
        <v>775</v>
      </c>
      <c r="G259" s="60" t="s">
        <v>213</v>
      </c>
      <c r="H259" s="63">
        <v>45566</v>
      </c>
      <c r="I259" s="63">
        <f>H259-180</f>
        <v>45386</v>
      </c>
      <c r="J259" s="60">
        <f t="shared" si="29"/>
        <v>12</v>
      </c>
      <c r="K259" s="60">
        <f t="shared" ref="K259:K322" si="30">SUM(AF259:AJ259)</f>
        <v>0</v>
      </c>
      <c r="L259" s="60"/>
      <c r="M259" s="60"/>
      <c r="N259" s="60"/>
      <c r="O259" s="60"/>
      <c r="P259" s="60"/>
      <c r="Q259" s="60">
        <v>9</v>
      </c>
      <c r="R259" s="60"/>
      <c r="S259" s="60"/>
      <c r="T259" s="60">
        <v>2</v>
      </c>
      <c r="U259" s="60"/>
      <c r="V259" s="60"/>
      <c r="W259" s="60"/>
      <c r="X259" s="60"/>
      <c r="Y259" s="60"/>
      <c r="Z259" s="60"/>
      <c r="AA259" s="60">
        <v>1</v>
      </c>
      <c r="AB259" s="60"/>
      <c r="AC259" s="60"/>
      <c r="AD259" s="60"/>
      <c r="AE259" s="60"/>
      <c r="AF259" s="60"/>
      <c r="AG259" s="60"/>
      <c r="AH259" s="60"/>
      <c r="AI259" s="60"/>
      <c r="AJ259" s="60"/>
      <c r="AK259" s="64">
        <f t="shared" ref="AK259:AK322" si="31">IF(L259&gt;0,L259*90.44,0)+IF(M259&gt;0,M259*348.12,0)+IF(N259&gt;0,N259*151.63,0)+IF(O259&gt;0,O259*197.82,0)+IF(P259&gt;0,P259*244.09,0)+IF(Q259&gt;0,Q259*315.35,0)+IF(R259&gt;0,R259*1067.3,0)+IF(T259&gt;0,T259*567.47,0)+IF(U259&gt;0,U259*151.63,0)+IF(V259&gt;0,V259*197.84,0)+IF(W259&gt;0,W259*470.51,0)+IF(X259&gt;0,X259*701.69,0)+IF(Z259&gt;0,Z259*151.63,0)+IF(AA259&gt;0,AA259*197.84)+IF(AB259&gt;0,AB259*308.4,0)+IF(AC259&gt;0,AC259*496.16,0)</f>
        <v>4170.93</v>
      </c>
    </row>
    <row r="260" spans="1:37" hidden="1" x14ac:dyDescent="0.25">
      <c r="A260" s="58" t="s">
        <v>860</v>
      </c>
      <c r="B260" s="59" t="str">
        <f t="shared" ca="1" si="27"/>
        <v>VENCIDO</v>
      </c>
      <c r="C260" s="60" t="s">
        <v>869</v>
      </c>
      <c r="D260" s="61" t="s">
        <v>1202</v>
      </c>
      <c r="E260" s="62" t="s">
        <v>806</v>
      </c>
      <c r="F260" s="61" t="s">
        <v>778</v>
      </c>
      <c r="G260" s="60" t="s">
        <v>213</v>
      </c>
      <c r="H260" s="63">
        <v>45566</v>
      </c>
      <c r="I260" s="63">
        <f>H260-180</f>
        <v>45386</v>
      </c>
      <c r="J260" s="60">
        <f t="shared" si="29"/>
        <v>4</v>
      </c>
      <c r="K260" s="60">
        <f t="shared" si="30"/>
        <v>0</v>
      </c>
      <c r="L260" s="60"/>
      <c r="M260" s="60"/>
      <c r="N260" s="60"/>
      <c r="O260" s="60"/>
      <c r="P260" s="60"/>
      <c r="Q260" s="60">
        <v>2</v>
      </c>
      <c r="R260" s="60"/>
      <c r="S260" s="60"/>
      <c r="T260" s="60"/>
      <c r="U260" s="60"/>
      <c r="V260" s="60"/>
      <c r="W260" s="60"/>
      <c r="X260" s="60"/>
      <c r="Y260" s="60"/>
      <c r="Z260" s="60"/>
      <c r="AA260" s="60">
        <v>2</v>
      </c>
      <c r="AB260" s="60"/>
      <c r="AC260" s="60"/>
      <c r="AD260" s="60"/>
      <c r="AE260" s="60"/>
      <c r="AF260" s="60"/>
      <c r="AG260" s="60"/>
      <c r="AH260" s="60"/>
      <c r="AI260" s="60"/>
      <c r="AJ260" s="60"/>
      <c r="AK260" s="64">
        <f t="shared" si="31"/>
        <v>1026.3800000000001</v>
      </c>
    </row>
    <row r="261" spans="1:37" hidden="1" x14ac:dyDescent="0.25">
      <c r="A261" s="58" t="s">
        <v>1151</v>
      </c>
      <c r="B261" s="59" t="str">
        <f t="shared" ca="1" si="27"/>
        <v>VENCIDO</v>
      </c>
      <c r="C261" s="60" t="s">
        <v>790</v>
      </c>
      <c r="D261" s="61" t="s">
        <v>1203</v>
      </c>
      <c r="E261" s="62" t="s">
        <v>1204</v>
      </c>
      <c r="F261" s="61" t="s">
        <v>793</v>
      </c>
      <c r="G261" s="60" t="s">
        <v>213</v>
      </c>
      <c r="H261" s="63">
        <v>45444</v>
      </c>
      <c r="I261" s="63">
        <f>H261-180</f>
        <v>45264</v>
      </c>
      <c r="J261" s="60">
        <f t="shared" si="29"/>
        <v>2</v>
      </c>
      <c r="K261" s="60">
        <f t="shared" si="30"/>
        <v>0</v>
      </c>
      <c r="L261" s="60"/>
      <c r="M261" s="60"/>
      <c r="N261" s="60"/>
      <c r="O261" s="60"/>
      <c r="P261" s="60"/>
      <c r="Q261" s="60">
        <v>2</v>
      </c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H261" s="60"/>
      <c r="AI261" s="60"/>
      <c r="AJ261" s="60"/>
      <c r="AK261" s="64">
        <f t="shared" si="31"/>
        <v>630.70000000000005</v>
      </c>
    </row>
    <row r="262" spans="1:37" x14ac:dyDescent="0.25">
      <c r="A262" s="58" t="s">
        <v>770</v>
      </c>
      <c r="B262" s="59" t="str">
        <f t="shared" ca="1" si="27"/>
        <v>VENCIDO</v>
      </c>
      <c r="C262" s="60" t="s">
        <v>869</v>
      </c>
      <c r="D262" s="61" t="s">
        <v>1205</v>
      </c>
      <c r="E262" s="62" t="s">
        <v>1206</v>
      </c>
      <c r="F262" s="61" t="s">
        <v>775</v>
      </c>
      <c r="G262" s="60" t="s">
        <v>213</v>
      </c>
      <c r="H262" s="63">
        <v>45352</v>
      </c>
      <c r="I262" s="63">
        <v>45352</v>
      </c>
      <c r="J262" s="60">
        <f t="shared" si="29"/>
        <v>10</v>
      </c>
      <c r="K262" s="60">
        <f t="shared" si="30"/>
        <v>0</v>
      </c>
      <c r="L262" s="60"/>
      <c r="M262" s="60"/>
      <c r="N262" s="60"/>
      <c r="O262" s="60">
        <v>2</v>
      </c>
      <c r="P262" s="60"/>
      <c r="Q262" s="60">
        <v>5</v>
      </c>
      <c r="R262" s="60"/>
      <c r="S262" s="60"/>
      <c r="T262" s="60">
        <v>2</v>
      </c>
      <c r="U262" s="60"/>
      <c r="V262" s="60"/>
      <c r="W262" s="60"/>
      <c r="X262" s="60"/>
      <c r="Y262" s="60"/>
      <c r="Z262" s="60"/>
      <c r="AA262" s="60">
        <v>1</v>
      </c>
      <c r="AB262" s="60"/>
      <c r="AC262" s="60"/>
      <c r="AD262" s="60"/>
      <c r="AE262" s="60"/>
      <c r="AF262" s="60"/>
      <c r="AG262" s="60"/>
      <c r="AH262" s="60"/>
      <c r="AI262" s="60"/>
      <c r="AJ262" s="60"/>
      <c r="AK262" s="64">
        <f t="shared" si="31"/>
        <v>3305.17</v>
      </c>
    </row>
    <row r="263" spans="1:37" x14ac:dyDescent="0.25">
      <c r="A263" s="58" t="s">
        <v>770</v>
      </c>
      <c r="B263" s="59" t="str">
        <f t="shared" ca="1" si="27"/>
        <v>VENCIDO</v>
      </c>
      <c r="C263" s="60" t="s">
        <v>869</v>
      </c>
      <c r="D263" s="61" t="s">
        <v>1207</v>
      </c>
      <c r="E263" s="62" t="s">
        <v>788</v>
      </c>
      <c r="F263" s="61" t="s">
        <v>775</v>
      </c>
      <c r="G263" s="60" t="s">
        <v>213</v>
      </c>
      <c r="H263" s="63">
        <v>45536</v>
      </c>
      <c r="I263" s="63">
        <f>H263-180</f>
        <v>45356</v>
      </c>
      <c r="J263" s="60">
        <f t="shared" si="29"/>
        <v>8</v>
      </c>
      <c r="K263" s="60">
        <f t="shared" si="30"/>
        <v>0</v>
      </c>
      <c r="L263" s="60"/>
      <c r="M263" s="60"/>
      <c r="N263" s="60"/>
      <c r="O263" s="60"/>
      <c r="P263" s="60"/>
      <c r="Q263" s="60">
        <v>5</v>
      </c>
      <c r="R263" s="60"/>
      <c r="S263" s="60"/>
      <c r="T263" s="60">
        <v>2</v>
      </c>
      <c r="U263" s="60"/>
      <c r="V263" s="60"/>
      <c r="W263" s="60"/>
      <c r="X263" s="60"/>
      <c r="Y263" s="60"/>
      <c r="Z263" s="60"/>
      <c r="AA263" s="60">
        <v>1</v>
      </c>
      <c r="AB263" s="60"/>
      <c r="AC263" s="60"/>
      <c r="AD263" s="60"/>
      <c r="AE263" s="60"/>
      <c r="AF263" s="60"/>
      <c r="AG263" s="60"/>
      <c r="AH263" s="60"/>
      <c r="AI263" s="60"/>
      <c r="AJ263" s="60"/>
      <c r="AK263" s="64">
        <f t="shared" si="31"/>
        <v>2909.53</v>
      </c>
    </row>
    <row r="264" spans="1:37" x14ac:dyDescent="0.25">
      <c r="A264" s="58" t="s">
        <v>770</v>
      </c>
      <c r="B264" s="59" t="str">
        <f t="shared" ca="1" si="27"/>
        <v>VENCIDO</v>
      </c>
      <c r="C264" s="60" t="s">
        <v>869</v>
      </c>
      <c r="D264" s="61" t="s">
        <v>1208</v>
      </c>
      <c r="E264" s="62" t="s">
        <v>823</v>
      </c>
      <c r="F264" s="61" t="s">
        <v>775</v>
      </c>
      <c r="G264" s="60" t="s">
        <v>213</v>
      </c>
      <c r="H264" s="63">
        <v>45444</v>
      </c>
      <c r="I264" s="63">
        <v>45292</v>
      </c>
      <c r="J264" s="60">
        <f t="shared" si="29"/>
        <v>7</v>
      </c>
      <c r="K264" s="60">
        <f t="shared" si="30"/>
        <v>0</v>
      </c>
      <c r="L264" s="60"/>
      <c r="M264" s="60"/>
      <c r="N264" s="60"/>
      <c r="O264" s="60"/>
      <c r="P264" s="60"/>
      <c r="Q264" s="60">
        <v>2</v>
      </c>
      <c r="R264" s="60"/>
      <c r="S264" s="60"/>
      <c r="T264" s="60">
        <v>2</v>
      </c>
      <c r="U264" s="60"/>
      <c r="V264" s="60"/>
      <c r="W264" s="60"/>
      <c r="X264" s="60"/>
      <c r="Y264" s="60"/>
      <c r="Z264" s="60"/>
      <c r="AA264" s="60">
        <v>3</v>
      </c>
      <c r="AB264" s="60"/>
      <c r="AC264" s="60"/>
      <c r="AD264" s="60"/>
      <c r="AE264" s="60"/>
      <c r="AF264" s="60"/>
      <c r="AG264" s="60"/>
      <c r="AH264" s="60"/>
      <c r="AI264" s="60"/>
      <c r="AJ264" s="60"/>
      <c r="AK264" s="64">
        <f t="shared" si="31"/>
        <v>2359.16</v>
      </c>
    </row>
    <row r="265" spans="1:37" x14ac:dyDescent="0.25">
      <c r="A265" s="58" t="s">
        <v>770</v>
      </c>
      <c r="B265" s="59" t="str">
        <f t="shared" ca="1" si="27"/>
        <v>VENCIDO</v>
      </c>
      <c r="C265" s="60" t="s">
        <v>869</v>
      </c>
      <c r="D265" s="61" t="s">
        <v>1209</v>
      </c>
      <c r="E265" s="62" t="s">
        <v>891</v>
      </c>
      <c r="F265" s="61" t="s">
        <v>775</v>
      </c>
      <c r="G265" s="60" t="s">
        <v>213</v>
      </c>
      <c r="H265" s="63">
        <v>45536</v>
      </c>
      <c r="I265" s="63">
        <v>45200</v>
      </c>
      <c r="J265" s="60">
        <f t="shared" si="29"/>
        <v>2</v>
      </c>
      <c r="K265" s="60">
        <f t="shared" si="30"/>
        <v>0</v>
      </c>
      <c r="L265" s="60"/>
      <c r="M265" s="60"/>
      <c r="N265" s="60"/>
      <c r="O265" s="60"/>
      <c r="P265" s="60"/>
      <c r="Q265" s="60">
        <v>1</v>
      </c>
      <c r="R265" s="60"/>
      <c r="S265" s="60"/>
      <c r="T265" s="60"/>
      <c r="U265" s="60"/>
      <c r="V265" s="60"/>
      <c r="W265" s="60"/>
      <c r="X265" s="60"/>
      <c r="Y265" s="60"/>
      <c r="Z265" s="60"/>
      <c r="AA265" s="60">
        <v>1</v>
      </c>
      <c r="AB265" s="60"/>
      <c r="AC265" s="60"/>
      <c r="AD265" s="60"/>
      <c r="AE265" s="60"/>
      <c r="AF265" s="60"/>
      <c r="AG265" s="60"/>
      <c r="AH265" s="60"/>
      <c r="AI265" s="60"/>
      <c r="AJ265" s="60"/>
      <c r="AK265" s="64">
        <f t="shared" si="31"/>
        <v>513.19000000000005</v>
      </c>
    </row>
    <row r="266" spans="1:37" x14ac:dyDescent="0.25">
      <c r="A266" s="58" t="s">
        <v>770</v>
      </c>
      <c r="B266" s="59" t="str">
        <f t="shared" ca="1" si="27"/>
        <v>VENCIDO</v>
      </c>
      <c r="C266" s="60" t="s">
        <v>869</v>
      </c>
      <c r="D266" s="61" t="s">
        <v>1210</v>
      </c>
      <c r="E266" s="62" t="s">
        <v>891</v>
      </c>
      <c r="F266" s="61" t="s">
        <v>775</v>
      </c>
      <c r="G266" s="60" t="s">
        <v>213</v>
      </c>
      <c r="H266" s="63">
        <v>45536</v>
      </c>
      <c r="I266" s="63">
        <f>H266-180</f>
        <v>45356</v>
      </c>
      <c r="J266" s="60">
        <f t="shared" si="29"/>
        <v>4</v>
      </c>
      <c r="K266" s="60">
        <f t="shared" si="30"/>
        <v>0</v>
      </c>
      <c r="L266" s="60"/>
      <c r="M266" s="60"/>
      <c r="N266" s="60"/>
      <c r="O266" s="60"/>
      <c r="P266" s="60"/>
      <c r="Q266" s="60">
        <v>2</v>
      </c>
      <c r="R266" s="60"/>
      <c r="S266" s="60"/>
      <c r="T266" s="60">
        <v>2</v>
      </c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H266" s="60"/>
      <c r="AI266" s="60"/>
      <c r="AJ266" s="60"/>
      <c r="AK266" s="64">
        <f t="shared" si="31"/>
        <v>1765.64</v>
      </c>
    </row>
    <row r="267" spans="1:37" x14ac:dyDescent="0.25">
      <c r="A267" s="58" t="s">
        <v>783</v>
      </c>
      <c r="B267" s="59" t="str">
        <f t="shared" ca="1" si="27"/>
        <v>VENCIDO</v>
      </c>
      <c r="C267" s="60" t="s">
        <v>869</v>
      </c>
      <c r="D267" s="66" t="s">
        <v>1211</v>
      </c>
      <c r="E267" s="62" t="s">
        <v>1212</v>
      </c>
      <c r="F267" s="61" t="s">
        <v>775</v>
      </c>
      <c r="G267" s="60" t="s">
        <v>213</v>
      </c>
      <c r="H267" s="63">
        <v>45536</v>
      </c>
      <c r="I267" s="63">
        <f>H267-180</f>
        <v>45356</v>
      </c>
      <c r="J267" s="60">
        <f t="shared" si="29"/>
        <v>5</v>
      </c>
      <c r="K267" s="60">
        <f t="shared" si="30"/>
        <v>0</v>
      </c>
      <c r="L267" s="60"/>
      <c r="M267" s="60"/>
      <c r="N267" s="60"/>
      <c r="O267" s="60"/>
      <c r="P267" s="60"/>
      <c r="Q267" s="60">
        <v>4</v>
      </c>
      <c r="R267" s="60"/>
      <c r="S267" s="60"/>
      <c r="T267" s="60">
        <v>1</v>
      </c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0"/>
      <c r="AH267" s="60"/>
      <c r="AI267" s="60"/>
      <c r="AJ267" s="60"/>
      <c r="AK267" s="64">
        <f t="shared" si="31"/>
        <v>1828.8700000000001</v>
      </c>
    </row>
    <row r="268" spans="1:37" hidden="1" x14ac:dyDescent="0.25">
      <c r="A268" s="58"/>
      <c r="B268" s="59" t="str">
        <f t="shared" ca="1" si="27"/>
        <v>VENCIDO</v>
      </c>
      <c r="C268" s="60" t="s">
        <v>869</v>
      </c>
      <c r="D268" s="66" t="s">
        <v>1213</v>
      </c>
      <c r="E268" s="62" t="s">
        <v>894</v>
      </c>
      <c r="F268" s="61" t="s">
        <v>793</v>
      </c>
      <c r="G268" s="60" t="s">
        <v>213</v>
      </c>
      <c r="H268" s="63">
        <v>45505</v>
      </c>
      <c r="I268" s="63">
        <f>H268-180</f>
        <v>45325</v>
      </c>
      <c r="J268" s="60">
        <f t="shared" si="29"/>
        <v>1</v>
      </c>
      <c r="K268" s="60">
        <f t="shared" si="30"/>
        <v>0</v>
      </c>
      <c r="L268" s="60"/>
      <c r="M268" s="60"/>
      <c r="N268" s="60"/>
      <c r="O268" s="60"/>
      <c r="P268" s="60"/>
      <c r="Q268" s="60">
        <v>1</v>
      </c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/>
      <c r="AD268" s="60"/>
      <c r="AE268" s="60"/>
      <c r="AF268" s="60"/>
      <c r="AG268" s="60"/>
      <c r="AH268" s="60"/>
      <c r="AI268" s="60"/>
      <c r="AJ268" s="60"/>
      <c r="AK268" s="64">
        <f t="shared" si="31"/>
        <v>315.35000000000002</v>
      </c>
    </row>
    <row r="269" spans="1:37" x14ac:dyDescent="0.25">
      <c r="A269" s="58" t="s">
        <v>770</v>
      </c>
      <c r="B269" s="59" t="str">
        <f t="shared" ca="1" si="27"/>
        <v>VENCIDO</v>
      </c>
      <c r="C269" s="60" t="s">
        <v>869</v>
      </c>
      <c r="D269" s="61" t="s">
        <v>1214</v>
      </c>
      <c r="E269" s="62" t="s">
        <v>1215</v>
      </c>
      <c r="F269" s="61" t="s">
        <v>775</v>
      </c>
      <c r="G269" s="60" t="s">
        <v>213</v>
      </c>
      <c r="H269" s="63">
        <v>45566</v>
      </c>
      <c r="I269" s="63">
        <f>H269-180</f>
        <v>45386</v>
      </c>
      <c r="J269" s="60">
        <f t="shared" si="29"/>
        <v>2</v>
      </c>
      <c r="K269" s="60">
        <f t="shared" si="30"/>
        <v>0</v>
      </c>
      <c r="L269" s="60"/>
      <c r="M269" s="60"/>
      <c r="N269" s="60"/>
      <c r="O269" s="60"/>
      <c r="P269" s="60"/>
      <c r="Q269" s="60">
        <v>1</v>
      </c>
      <c r="R269" s="60"/>
      <c r="S269" s="60"/>
      <c r="T269" s="60"/>
      <c r="U269" s="60"/>
      <c r="V269" s="60"/>
      <c r="W269" s="60"/>
      <c r="X269" s="60"/>
      <c r="Y269" s="60"/>
      <c r="Z269" s="60"/>
      <c r="AA269" s="60">
        <v>1</v>
      </c>
      <c r="AB269" s="60"/>
      <c r="AC269" s="60"/>
      <c r="AD269" s="60"/>
      <c r="AE269" s="60"/>
      <c r="AF269" s="60"/>
      <c r="AG269" s="60"/>
      <c r="AH269" s="60"/>
      <c r="AI269" s="60"/>
      <c r="AJ269" s="60"/>
      <c r="AK269" s="64">
        <f t="shared" si="31"/>
        <v>513.19000000000005</v>
      </c>
    </row>
    <row r="270" spans="1:37" x14ac:dyDescent="0.25">
      <c r="A270" s="58" t="s">
        <v>770</v>
      </c>
      <c r="B270" s="59" t="str">
        <f t="shared" ca="1" si="27"/>
        <v>VENCIDO</v>
      </c>
      <c r="C270" s="60" t="s">
        <v>869</v>
      </c>
      <c r="D270" s="61" t="s">
        <v>1216</v>
      </c>
      <c r="E270" s="62" t="s">
        <v>1217</v>
      </c>
      <c r="F270" s="61" t="s">
        <v>775</v>
      </c>
      <c r="G270" s="60" t="s">
        <v>213</v>
      </c>
      <c r="H270" s="63">
        <v>45536</v>
      </c>
      <c r="I270" s="63">
        <f>H270-180</f>
        <v>45356</v>
      </c>
      <c r="J270" s="60">
        <f t="shared" si="29"/>
        <v>5</v>
      </c>
      <c r="K270" s="60">
        <f t="shared" si="30"/>
        <v>0</v>
      </c>
      <c r="L270" s="60"/>
      <c r="M270" s="60"/>
      <c r="N270" s="60"/>
      <c r="O270" s="60"/>
      <c r="P270" s="60"/>
      <c r="Q270" s="60">
        <v>3</v>
      </c>
      <c r="R270" s="60"/>
      <c r="S270" s="60"/>
      <c r="T270" s="60">
        <v>1</v>
      </c>
      <c r="U270" s="60"/>
      <c r="V270" s="60"/>
      <c r="W270" s="60"/>
      <c r="X270" s="60"/>
      <c r="Y270" s="60"/>
      <c r="Z270" s="60"/>
      <c r="AA270" s="60">
        <v>1</v>
      </c>
      <c r="AB270" s="60"/>
      <c r="AC270" s="60"/>
      <c r="AD270" s="60"/>
      <c r="AE270" s="60"/>
      <c r="AF270" s="60"/>
      <c r="AG270" s="60"/>
      <c r="AH270" s="60"/>
      <c r="AI270" s="60"/>
      <c r="AJ270" s="60"/>
      <c r="AK270" s="64">
        <f t="shared" si="31"/>
        <v>1711.36</v>
      </c>
    </row>
    <row r="271" spans="1:37" x14ac:dyDescent="0.25">
      <c r="A271" s="58" t="s">
        <v>783</v>
      </c>
      <c r="B271" s="59" t="str">
        <f t="shared" ca="1" si="27"/>
        <v>VENCIDO</v>
      </c>
      <c r="C271" s="60" t="s">
        <v>869</v>
      </c>
      <c r="D271" s="61" t="s">
        <v>1218</v>
      </c>
      <c r="E271" s="62" t="s">
        <v>1219</v>
      </c>
      <c r="F271" s="61" t="s">
        <v>775</v>
      </c>
      <c r="G271" s="60" t="s">
        <v>213</v>
      </c>
      <c r="H271" s="63">
        <v>45444</v>
      </c>
      <c r="I271" s="63">
        <v>45444</v>
      </c>
      <c r="J271" s="60">
        <f t="shared" si="29"/>
        <v>3</v>
      </c>
      <c r="K271" s="60">
        <f t="shared" si="30"/>
        <v>0</v>
      </c>
      <c r="L271" s="60"/>
      <c r="M271" s="60"/>
      <c r="N271" s="60"/>
      <c r="O271" s="60"/>
      <c r="P271" s="60"/>
      <c r="Q271" s="60">
        <v>1</v>
      </c>
      <c r="R271" s="60"/>
      <c r="S271" s="60"/>
      <c r="T271" s="60"/>
      <c r="U271" s="60"/>
      <c r="V271" s="60"/>
      <c r="W271" s="60"/>
      <c r="X271" s="60"/>
      <c r="Y271" s="60"/>
      <c r="Z271" s="60"/>
      <c r="AA271" s="60">
        <v>2</v>
      </c>
      <c r="AB271" s="60"/>
      <c r="AC271" s="60"/>
      <c r="AD271" s="60"/>
      <c r="AE271" s="60"/>
      <c r="AF271" s="60"/>
      <c r="AG271" s="60"/>
      <c r="AH271" s="60"/>
      <c r="AI271" s="60"/>
      <c r="AJ271" s="60"/>
      <c r="AK271" s="64">
        <f t="shared" si="31"/>
        <v>711.03</v>
      </c>
    </row>
    <row r="272" spans="1:37" hidden="1" x14ac:dyDescent="0.25">
      <c r="A272" s="58" t="s">
        <v>770</v>
      </c>
      <c r="B272" s="59" t="str">
        <f t="shared" ca="1" si="27"/>
        <v>VENCIDO</v>
      </c>
      <c r="C272" s="60" t="s">
        <v>869</v>
      </c>
      <c r="D272" s="61" t="s">
        <v>1220</v>
      </c>
      <c r="E272" s="62" t="s">
        <v>1221</v>
      </c>
      <c r="F272" s="61" t="s">
        <v>793</v>
      </c>
      <c r="G272" s="60" t="s">
        <v>213</v>
      </c>
      <c r="H272" s="63">
        <v>45505</v>
      </c>
      <c r="I272" s="63">
        <f>H272-180</f>
        <v>45325</v>
      </c>
      <c r="J272" s="60">
        <f t="shared" si="29"/>
        <v>2</v>
      </c>
      <c r="K272" s="60">
        <f t="shared" si="30"/>
        <v>0</v>
      </c>
      <c r="L272" s="60"/>
      <c r="M272" s="60"/>
      <c r="N272" s="60"/>
      <c r="O272" s="60"/>
      <c r="P272" s="60"/>
      <c r="Q272" s="60">
        <v>1</v>
      </c>
      <c r="R272" s="60"/>
      <c r="S272" s="60"/>
      <c r="T272" s="60"/>
      <c r="U272" s="60"/>
      <c r="V272" s="60"/>
      <c r="W272" s="60"/>
      <c r="X272" s="60"/>
      <c r="Y272" s="60"/>
      <c r="Z272" s="60"/>
      <c r="AA272" s="60">
        <v>1</v>
      </c>
      <c r="AB272" s="60"/>
      <c r="AC272" s="60"/>
      <c r="AD272" s="60"/>
      <c r="AE272" s="60"/>
      <c r="AF272" s="60"/>
      <c r="AG272" s="60"/>
      <c r="AH272" s="60"/>
      <c r="AI272" s="60"/>
      <c r="AJ272" s="60"/>
      <c r="AK272" s="64">
        <f t="shared" si="31"/>
        <v>513.19000000000005</v>
      </c>
    </row>
    <row r="273" spans="1:37" hidden="1" x14ac:dyDescent="0.25">
      <c r="A273" s="58"/>
      <c r="B273" s="59" t="str">
        <f t="shared" ca="1" si="27"/>
        <v>VENCIDO</v>
      </c>
      <c r="C273" s="60" t="s">
        <v>869</v>
      </c>
      <c r="D273" s="61" t="s">
        <v>1222</v>
      </c>
      <c r="E273" s="62" t="s">
        <v>902</v>
      </c>
      <c r="F273" s="61" t="s">
        <v>778</v>
      </c>
      <c r="G273" s="60" t="s">
        <v>213</v>
      </c>
      <c r="H273" s="63">
        <v>45536</v>
      </c>
      <c r="I273" s="63">
        <f>H273-180</f>
        <v>45356</v>
      </c>
      <c r="J273" s="60">
        <f t="shared" si="29"/>
        <v>4</v>
      </c>
      <c r="K273" s="60">
        <f t="shared" si="30"/>
        <v>0</v>
      </c>
      <c r="L273" s="60">
        <v>1</v>
      </c>
      <c r="M273" s="60"/>
      <c r="N273" s="60"/>
      <c r="O273" s="60">
        <v>1</v>
      </c>
      <c r="P273" s="60"/>
      <c r="Q273" s="60"/>
      <c r="R273" s="60"/>
      <c r="S273" s="60"/>
      <c r="T273" s="60"/>
      <c r="U273" s="60"/>
      <c r="V273" s="60">
        <v>1</v>
      </c>
      <c r="W273" s="60"/>
      <c r="X273" s="60"/>
      <c r="Y273" s="60"/>
      <c r="Z273" s="60"/>
      <c r="AA273" s="60">
        <v>1</v>
      </c>
      <c r="AB273" s="60"/>
      <c r="AC273" s="60"/>
      <c r="AD273" s="60"/>
      <c r="AE273" s="60"/>
      <c r="AF273" s="60"/>
      <c r="AG273" s="60"/>
      <c r="AH273" s="60"/>
      <c r="AI273" s="60"/>
      <c r="AJ273" s="60"/>
      <c r="AK273" s="64">
        <f t="shared" si="31"/>
        <v>683.94</v>
      </c>
    </row>
    <row r="274" spans="1:37" x14ac:dyDescent="0.25">
      <c r="A274" s="58" t="s">
        <v>783</v>
      </c>
      <c r="B274" s="59" t="str">
        <f t="shared" ca="1" si="27"/>
        <v>VENCIDO</v>
      </c>
      <c r="C274" s="60" t="s">
        <v>869</v>
      </c>
      <c r="D274" s="61" t="s">
        <v>1223</v>
      </c>
      <c r="E274" s="62" t="s">
        <v>906</v>
      </c>
      <c r="F274" s="61" t="s">
        <v>775</v>
      </c>
      <c r="G274" s="60" t="s">
        <v>213</v>
      </c>
      <c r="H274" s="63">
        <v>45444</v>
      </c>
      <c r="I274" s="63">
        <v>45444</v>
      </c>
      <c r="J274" s="60">
        <f t="shared" si="29"/>
        <v>2</v>
      </c>
      <c r="K274" s="60">
        <f t="shared" si="30"/>
        <v>0</v>
      </c>
      <c r="L274" s="60"/>
      <c r="M274" s="60"/>
      <c r="N274" s="60"/>
      <c r="O274" s="60"/>
      <c r="P274" s="60"/>
      <c r="Q274" s="60">
        <v>1</v>
      </c>
      <c r="R274" s="60"/>
      <c r="S274" s="60"/>
      <c r="T274" s="60"/>
      <c r="U274" s="60"/>
      <c r="V274" s="60"/>
      <c r="W274" s="60"/>
      <c r="X274" s="60"/>
      <c r="Y274" s="60"/>
      <c r="Z274" s="60"/>
      <c r="AA274" s="60">
        <v>1</v>
      </c>
      <c r="AB274" s="60"/>
      <c r="AC274" s="60"/>
      <c r="AD274" s="60"/>
      <c r="AE274" s="60"/>
      <c r="AF274" s="60"/>
      <c r="AG274" s="60"/>
      <c r="AH274" s="60"/>
      <c r="AI274" s="60"/>
      <c r="AJ274" s="60"/>
      <c r="AK274" s="64">
        <f t="shared" si="31"/>
        <v>513.19000000000005</v>
      </c>
    </row>
    <row r="275" spans="1:37" x14ac:dyDescent="0.25">
      <c r="A275" s="58" t="s">
        <v>1151</v>
      </c>
      <c r="B275" s="59" t="str">
        <f t="shared" ca="1" si="27"/>
        <v>VENCIDO</v>
      </c>
      <c r="C275" s="60" t="s">
        <v>869</v>
      </c>
      <c r="D275" s="61" t="s">
        <v>1224</v>
      </c>
      <c r="E275" s="62" t="s">
        <v>908</v>
      </c>
      <c r="F275" s="61" t="s">
        <v>775</v>
      </c>
      <c r="G275" s="60" t="s">
        <v>213</v>
      </c>
      <c r="H275" s="63">
        <v>45383</v>
      </c>
      <c r="I275" s="63">
        <f>H275-180</f>
        <v>45203</v>
      </c>
      <c r="J275" s="60">
        <f t="shared" si="29"/>
        <v>2</v>
      </c>
      <c r="K275" s="60">
        <f t="shared" si="30"/>
        <v>0</v>
      </c>
      <c r="L275" s="60"/>
      <c r="M275" s="60"/>
      <c r="N275" s="60"/>
      <c r="O275" s="60"/>
      <c r="P275" s="60"/>
      <c r="Q275" s="60">
        <v>1</v>
      </c>
      <c r="R275" s="60"/>
      <c r="S275" s="60"/>
      <c r="T275" s="60"/>
      <c r="U275" s="60"/>
      <c r="V275" s="60"/>
      <c r="W275" s="60"/>
      <c r="X275" s="60"/>
      <c r="Y275" s="60"/>
      <c r="Z275" s="60"/>
      <c r="AA275" s="60">
        <v>1</v>
      </c>
      <c r="AB275" s="60"/>
      <c r="AC275" s="60"/>
      <c r="AD275" s="60"/>
      <c r="AE275" s="60"/>
      <c r="AF275" s="60"/>
      <c r="AG275" s="60"/>
      <c r="AH275" s="60"/>
      <c r="AI275" s="60"/>
      <c r="AJ275" s="60"/>
      <c r="AK275" s="64">
        <f t="shared" si="31"/>
        <v>513.19000000000005</v>
      </c>
    </row>
    <row r="276" spans="1:37" hidden="1" x14ac:dyDescent="0.25">
      <c r="A276" s="58" t="s">
        <v>770</v>
      </c>
      <c r="B276" s="59" t="str">
        <f t="shared" ca="1" si="27"/>
        <v>VENCIDO</v>
      </c>
      <c r="C276" s="60" t="s">
        <v>790</v>
      </c>
      <c r="D276" s="61" t="s">
        <v>1225</v>
      </c>
      <c r="E276" s="62" t="s">
        <v>1226</v>
      </c>
      <c r="F276" s="61" t="s">
        <v>793</v>
      </c>
      <c r="G276" s="60" t="s">
        <v>213</v>
      </c>
      <c r="H276" s="63">
        <v>45383</v>
      </c>
      <c r="I276" s="63">
        <f>H276-180</f>
        <v>45203</v>
      </c>
      <c r="J276" s="60">
        <f t="shared" si="29"/>
        <v>2</v>
      </c>
      <c r="K276" s="60">
        <f t="shared" si="30"/>
        <v>0</v>
      </c>
      <c r="L276" s="60"/>
      <c r="M276" s="60"/>
      <c r="N276" s="60"/>
      <c r="O276" s="60"/>
      <c r="P276" s="60"/>
      <c r="Q276" s="60">
        <v>2</v>
      </c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/>
      <c r="AD276" s="60"/>
      <c r="AE276" s="60"/>
      <c r="AF276" s="60"/>
      <c r="AG276" s="60"/>
      <c r="AH276" s="60"/>
      <c r="AI276" s="60"/>
      <c r="AJ276" s="60"/>
      <c r="AK276" s="64">
        <f t="shared" si="31"/>
        <v>630.70000000000005</v>
      </c>
    </row>
    <row r="277" spans="1:37" hidden="1" x14ac:dyDescent="0.25">
      <c r="A277" s="58" t="s">
        <v>770</v>
      </c>
      <c r="B277" s="59" t="str">
        <f t="shared" ca="1" si="27"/>
        <v>VENCIDO</v>
      </c>
      <c r="C277" s="60" t="s">
        <v>869</v>
      </c>
      <c r="D277" s="61" t="s">
        <v>1227</v>
      </c>
      <c r="E277" s="62" t="s">
        <v>793</v>
      </c>
      <c r="F277" s="61" t="s">
        <v>793</v>
      </c>
      <c r="G277" s="60" t="s">
        <v>213</v>
      </c>
      <c r="H277" s="63">
        <v>45536</v>
      </c>
      <c r="I277" s="63">
        <f>H277-180</f>
        <v>45356</v>
      </c>
      <c r="J277" s="60">
        <f t="shared" si="29"/>
        <v>6</v>
      </c>
      <c r="K277" s="60">
        <f t="shared" si="30"/>
        <v>0</v>
      </c>
      <c r="L277" s="60"/>
      <c r="M277" s="60"/>
      <c r="N277" s="60"/>
      <c r="O277" s="60">
        <v>2</v>
      </c>
      <c r="P277" s="60"/>
      <c r="Q277" s="60">
        <v>2</v>
      </c>
      <c r="R277" s="60"/>
      <c r="S277" s="60"/>
      <c r="T277" s="60"/>
      <c r="U277" s="60"/>
      <c r="V277" s="60"/>
      <c r="W277" s="60"/>
      <c r="X277" s="60"/>
      <c r="Y277" s="60"/>
      <c r="Z277" s="60"/>
      <c r="AA277" s="60">
        <v>2</v>
      </c>
      <c r="AB277" s="60"/>
      <c r="AC277" s="60"/>
      <c r="AD277" s="60"/>
      <c r="AE277" s="60"/>
      <c r="AF277" s="60"/>
      <c r="AG277" s="60"/>
      <c r="AH277" s="60"/>
      <c r="AI277" s="60"/>
      <c r="AJ277" s="60"/>
      <c r="AK277" s="64">
        <f t="shared" si="31"/>
        <v>1422.0200000000002</v>
      </c>
    </row>
    <row r="278" spans="1:37" x14ac:dyDescent="0.25">
      <c r="A278" s="58" t="s">
        <v>770</v>
      </c>
      <c r="B278" s="59" t="str">
        <f t="shared" ca="1" si="27"/>
        <v>VENCIDO</v>
      </c>
      <c r="C278" s="60" t="s">
        <v>869</v>
      </c>
      <c r="D278" s="61" t="s">
        <v>1228</v>
      </c>
      <c r="E278" s="62" t="s">
        <v>1229</v>
      </c>
      <c r="F278" s="61" t="s">
        <v>775</v>
      </c>
      <c r="G278" s="60" t="s">
        <v>213</v>
      </c>
      <c r="H278" s="63">
        <v>45413</v>
      </c>
      <c r="I278" s="63">
        <v>45413</v>
      </c>
      <c r="J278" s="60">
        <f t="shared" si="29"/>
        <v>2</v>
      </c>
      <c r="K278" s="60">
        <f t="shared" si="30"/>
        <v>0</v>
      </c>
      <c r="L278" s="60"/>
      <c r="M278" s="60"/>
      <c r="N278" s="60"/>
      <c r="O278" s="60"/>
      <c r="P278" s="60"/>
      <c r="Q278" s="60">
        <v>1</v>
      </c>
      <c r="R278" s="60"/>
      <c r="S278" s="60"/>
      <c r="T278" s="60"/>
      <c r="U278" s="60"/>
      <c r="V278" s="60"/>
      <c r="W278" s="60"/>
      <c r="X278" s="60"/>
      <c r="Y278" s="60"/>
      <c r="Z278" s="60"/>
      <c r="AA278" s="60">
        <v>1</v>
      </c>
      <c r="AB278" s="60"/>
      <c r="AC278" s="60"/>
      <c r="AD278" s="60"/>
      <c r="AE278" s="60"/>
      <c r="AF278" s="60"/>
      <c r="AG278" s="60"/>
      <c r="AH278" s="60"/>
      <c r="AI278" s="60"/>
      <c r="AJ278" s="60"/>
      <c r="AK278" s="64">
        <f t="shared" si="31"/>
        <v>513.19000000000005</v>
      </c>
    </row>
    <row r="279" spans="1:37" x14ac:dyDescent="0.25">
      <c r="A279" s="58"/>
      <c r="B279" s="59" t="str">
        <f t="shared" ca="1" si="27"/>
        <v>VENCIDO</v>
      </c>
      <c r="C279" s="60" t="s">
        <v>869</v>
      </c>
      <c r="D279" s="61" t="s">
        <v>1230</v>
      </c>
      <c r="E279" s="62" t="s">
        <v>1231</v>
      </c>
      <c r="F279" s="61" t="s">
        <v>775</v>
      </c>
      <c r="G279" s="60" t="s">
        <v>213</v>
      </c>
      <c r="H279" s="63">
        <v>45352</v>
      </c>
      <c r="I279" s="63">
        <v>45352</v>
      </c>
      <c r="J279" s="60">
        <f t="shared" si="29"/>
        <v>5</v>
      </c>
      <c r="K279" s="60">
        <f t="shared" si="30"/>
        <v>0</v>
      </c>
      <c r="L279" s="60"/>
      <c r="M279" s="60"/>
      <c r="N279" s="60"/>
      <c r="O279" s="60"/>
      <c r="P279" s="60"/>
      <c r="Q279" s="60">
        <v>3</v>
      </c>
      <c r="R279" s="60"/>
      <c r="S279" s="60"/>
      <c r="T279" s="60">
        <v>1</v>
      </c>
      <c r="U279" s="60"/>
      <c r="V279" s="60"/>
      <c r="W279" s="60"/>
      <c r="X279" s="60"/>
      <c r="Y279" s="60"/>
      <c r="Z279" s="60"/>
      <c r="AA279" s="60">
        <v>1</v>
      </c>
      <c r="AB279" s="60"/>
      <c r="AC279" s="60"/>
      <c r="AD279" s="60"/>
      <c r="AE279" s="60"/>
      <c r="AF279" s="60"/>
      <c r="AG279" s="60"/>
      <c r="AH279" s="60"/>
      <c r="AI279" s="60"/>
      <c r="AJ279" s="60"/>
      <c r="AK279" s="64">
        <f t="shared" si="31"/>
        <v>1711.36</v>
      </c>
    </row>
    <row r="280" spans="1:37" x14ac:dyDescent="0.25">
      <c r="A280" s="58" t="s">
        <v>770</v>
      </c>
      <c r="B280" s="59" t="str">
        <f t="shared" ca="1" si="27"/>
        <v>VENCIDO</v>
      </c>
      <c r="C280" s="60" t="s">
        <v>869</v>
      </c>
      <c r="D280" s="61" t="s">
        <v>1232</v>
      </c>
      <c r="E280" s="68" t="s">
        <v>910</v>
      </c>
      <c r="F280" s="61" t="s">
        <v>775</v>
      </c>
      <c r="G280" s="60" t="s">
        <v>213</v>
      </c>
      <c r="H280" s="63">
        <v>45566</v>
      </c>
      <c r="I280" s="63">
        <f>H280-180</f>
        <v>45386</v>
      </c>
      <c r="J280" s="60">
        <f t="shared" si="29"/>
        <v>4</v>
      </c>
      <c r="K280" s="60">
        <f t="shared" si="30"/>
        <v>0</v>
      </c>
      <c r="L280" s="60"/>
      <c r="M280" s="60"/>
      <c r="N280" s="60"/>
      <c r="O280" s="60"/>
      <c r="P280" s="60"/>
      <c r="Q280" s="60">
        <v>1</v>
      </c>
      <c r="R280" s="60"/>
      <c r="S280" s="60"/>
      <c r="T280" s="60">
        <v>2</v>
      </c>
      <c r="U280" s="60"/>
      <c r="V280" s="60"/>
      <c r="W280" s="60"/>
      <c r="X280" s="60"/>
      <c r="Y280" s="60"/>
      <c r="Z280" s="60"/>
      <c r="AA280" s="60">
        <v>1</v>
      </c>
      <c r="AB280" s="60"/>
      <c r="AC280" s="60"/>
      <c r="AD280" s="60"/>
      <c r="AE280" s="60"/>
      <c r="AF280" s="60"/>
      <c r="AG280" s="60"/>
      <c r="AH280" s="60"/>
      <c r="AI280" s="60"/>
      <c r="AJ280" s="60"/>
      <c r="AK280" s="64">
        <f t="shared" si="31"/>
        <v>1648.1299999999999</v>
      </c>
    </row>
    <row r="281" spans="1:37" x14ac:dyDescent="0.25">
      <c r="A281" s="58" t="s">
        <v>783</v>
      </c>
      <c r="B281" s="59" t="str">
        <f t="shared" ref="B281:B308" ca="1" si="32">IF(H281&lt;$B$1,"VENCIDO","NA VALIDADE")</f>
        <v>VENCIDO</v>
      </c>
      <c r="C281" s="60" t="s">
        <v>869</v>
      </c>
      <c r="D281" s="61" t="s">
        <v>1233</v>
      </c>
      <c r="E281" s="62" t="s">
        <v>1234</v>
      </c>
      <c r="F281" s="61" t="s">
        <v>775</v>
      </c>
      <c r="G281" s="60" t="s">
        <v>213</v>
      </c>
      <c r="H281" s="63">
        <v>45536</v>
      </c>
      <c r="I281" s="63">
        <f>H281-180</f>
        <v>45356</v>
      </c>
      <c r="J281" s="60">
        <f t="shared" si="29"/>
        <v>2</v>
      </c>
      <c r="K281" s="60">
        <f t="shared" si="30"/>
        <v>0</v>
      </c>
      <c r="L281" s="60"/>
      <c r="M281" s="60"/>
      <c r="N281" s="60"/>
      <c r="O281" s="60"/>
      <c r="P281" s="60"/>
      <c r="Q281" s="60">
        <v>1</v>
      </c>
      <c r="R281" s="60"/>
      <c r="S281" s="60"/>
      <c r="T281" s="60"/>
      <c r="U281" s="60"/>
      <c r="V281" s="60"/>
      <c r="W281" s="60"/>
      <c r="X281" s="60"/>
      <c r="Y281" s="60"/>
      <c r="Z281" s="60"/>
      <c r="AA281" s="60">
        <v>1</v>
      </c>
      <c r="AB281" s="60"/>
      <c r="AC281" s="60"/>
      <c r="AD281" s="60"/>
      <c r="AE281" s="60"/>
      <c r="AF281" s="60"/>
      <c r="AG281" s="60"/>
      <c r="AH281" s="60"/>
      <c r="AI281" s="60"/>
      <c r="AJ281" s="60"/>
      <c r="AK281" s="64">
        <f t="shared" si="31"/>
        <v>513.19000000000005</v>
      </c>
    </row>
    <row r="282" spans="1:37" x14ac:dyDescent="0.25">
      <c r="A282" s="58" t="s">
        <v>938</v>
      </c>
      <c r="B282" s="59" t="str">
        <f t="shared" ca="1" si="32"/>
        <v>VENCIDO</v>
      </c>
      <c r="C282" s="60" t="s">
        <v>869</v>
      </c>
      <c r="D282" s="61" t="s">
        <v>1235</v>
      </c>
      <c r="E282" s="62" t="s">
        <v>912</v>
      </c>
      <c r="F282" s="61" t="s">
        <v>775</v>
      </c>
      <c r="G282" s="60" t="s">
        <v>213</v>
      </c>
      <c r="H282" s="63">
        <v>45536</v>
      </c>
      <c r="I282" s="63">
        <v>45200</v>
      </c>
      <c r="J282" s="60">
        <f t="shared" si="29"/>
        <v>2</v>
      </c>
      <c r="K282" s="60">
        <f t="shared" si="30"/>
        <v>0</v>
      </c>
      <c r="L282" s="60"/>
      <c r="M282" s="60"/>
      <c r="N282" s="60"/>
      <c r="O282" s="60"/>
      <c r="P282" s="60"/>
      <c r="Q282" s="60">
        <v>1</v>
      </c>
      <c r="R282" s="60"/>
      <c r="S282" s="60"/>
      <c r="T282" s="60"/>
      <c r="U282" s="60"/>
      <c r="V282" s="60"/>
      <c r="W282" s="60"/>
      <c r="X282" s="60"/>
      <c r="Y282" s="60"/>
      <c r="Z282" s="60"/>
      <c r="AA282" s="60">
        <v>1</v>
      </c>
      <c r="AB282" s="60"/>
      <c r="AC282" s="60"/>
      <c r="AD282" s="60"/>
      <c r="AE282" s="60"/>
      <c r="AF282" s="60"/>
      <c r="AG282" s="60"/>
      <c r="AH282" s="60"/>
      <c r="AI282" s="60"/>
      <c r="AJ282" s="60"/>
      <c r="AK282" s="64">
        <f t="shared" si="31"/>
        <v>513.19000000000005</v>
      </c>
    </row>
    <row r="283" spans="1:37" x14ac:dyDescent="0.25">
      <c r="A283" s="58" t="s">
        <v>938</v>
      </c>
      <c r="B283" s="59" t="str">
        <f t="shared" ca="1" si="32"/>
        <v>VENCIDO</v>
      </c>
      <c r="C283" s="60" t="s">
        <v>869</v>
      </c>
      <c r="D283" s="61" t="s">
        <v>1236</v>
      </c>
      <c r="E283" s="62" t="s">
        <v>912</v>
      </c>
      <c r="F283" s="61" t="s">
        <v>775</v>
      </c>
      <c r="G283" s="60" t="s">
        <v>213</v>
      </c>
      <c r="H283" s="63">
        <v>45536</v>
      </c>
      <c r="I283" s="63">
        <v>45200</v>
      </c>
      <c r="J283" s="60">
        <f t="shared" si="29"/>
        <v>4</v>
      </c>
      <c r="K283" s="60">
        <f t="shared" si="30"/>
        <v>0</v>
      </c>
      <c r="L283" s="60"/>
      <c r="M283" s="60"/>
      <c r="N283" s="60"/>
      <c r="O283" s="60"/>
      <c r="P283" s="60"/>
      <c r="Q283" s="60">
        <v>2</v>
      </c>
      <c r="R283" s="60"/>
      <c r="S283" s="60"/>
      <c r="T283" s="60"/>
      <c r="U283" s="60"/>
      <c r="V283" s="60"/>
      <c r="W283" s="60"/>
      <c r="X283" s="60"/>
      <c r="Y283" s="60"/>
      <c r="Z283" s="60"/>
      <c r="AA283" s="60">
        <v>2</v>
      </c>
      <c r="AB283" s="60"/>
      <c r="AC283" s="60"/>
      <c r="AD283" s="60"/>
      <c r="AE283" s="60"/>
      <c r="AF283" s="60"/>
      <c r="AG283" s="60"/>
      <c r="AH283" s="60"/>
      <c r="AI283" s="60"/>
      <c r="AJ283" s="60"/>
      <c r="AK283" s="64">
        <f t="shared" si="31"/>
        <v>1026.3800000000001</v>
      </c>
    </row>
    <row r="284" spans="1:37" hidden="1" x14ac:dyDescent="0.25">
      <c r="A284" s="58" t="s">
        <v>770</v>
      </c>
      <c r="B284" s="59" t="str">
        <f t="shared" ca="1" si="32"/>
        <v>VENCIDO</v>
      </c>
      <c r="C284" s="60" t="s">
        <v>790</v>
      </c>
      <c r="D284" s="61" t="s">
        <v>1237</v>
      </c>
      <c r="E284" s="62" t="s">
        <v>1238</v>
      </c>
      <c r="F284" s="61" t="s">
        <v>793</v>
      </c>
      <c r="G284" s="60" t="s">
        <v>213</v>
      </c>
      <c r="H284" s="63">
        <v>45627</v>
      </c>
      <c r="I284" s="63">
        <f>H284-180</f>
        <v>45447</v>
      </c>
      <c r="J284" s="60">
        <f t="shared" si="29"/>
        <v>2</v>
      </c>
      <c r="K284" s="60">
        <f t="shared" si="30"/>
        <v>0</v>
      </c>
      <c r="L284" s="60"/>
      <c r="M284" s="60"/>
      <c r="N284" s="60"/>
      <c r="O284" s="60"/>
      <c r="P284" s="60">
        <v>2</v>
      </c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H284" s="60"/>
      <c r="AI284" s="60"/>
      <c r="AJ284" s="60"/>
      <c r="AK284" s="64">
        <f t="shared" si="31"/>
        <v>488.18</v>
      </c>
    </row>
    <row r="285" spans="1:37" x14ac:dyDescent="0.25">
      <c r="A285" s="58" t="s">
        <v>770</v>
      </c>
      <c r="B285" s="59" t="str">
        <f t="shared" ca="1" si="32"/>
        <v>VENCIDO</v>
      </c>
      <c r="C285" s="60" t="s">
        <v>869</v>
      </c>
      <c r="D285" s="61" t="s">
        <v>1239</v>
      </c>
      <c r="E285" s="62" t="s">
        <v>223</v>
      </c>
      <c r="F285" s="61" t="s">
        <v>775</v>
      </c>
      <c r="G285" s="60" t="s">
        <v>213</v>
      </c>
      <c r="H285" s="63">
        <v>45323</v>
      </c>
      <c r="I285" s="63">
        <v>45323</v>
      </c>
      <c r="J285" s="60">
        <f t="shared" si="29"/>
        <v>4</v>
      </c>
      <c r="K285" s="60">
        <f t="shared" si="30"/>
        <v>0</v>
      </c>
      <c r="L285" s="60"/>
      <c r="M285" s="60"/>
      <c r="N285" s="60"/>
      <c r="O285" s="60"/>
      <c r="P285" s="60"/>
      <c r="Q285" s="60">
        <v>1</v>
      </c>
      <c r="R285" s="60"/>
      <c r="S285" s="60"/>
      <c r="T285" s="60">
        <v>1</v>
      </c>
      <c r="U285" s="60"/>
      <c r="V285" s="60"/>
      <c r="W285" s="60"/>
      <c r="X285" s="60"/>
      <c r="Y285" s="60"/>
      <c r="Z285" s="60"/>
      <c r="AA285" s="60">
        <v>2</v>
      </c>
      <c r="AB285" s="60"/>
      <c r="AC285" s="60"/>
      <c r="AD285" s="60"/>
      <c r="AE285" s="60"/>
      <c r="AF285" s="60"/>
      <c r="AG285" s="60"/>
      <c r="AH285" s="60"/>
      <c r="AI285" s="60"/>
      <c r="AJ285" s="60"/>
      <c r="AK285" s="64">
        <f t="shared" si="31"/>
        <v>1278.5</v>
      </c>
    </row>
    <row r="286" spans="1:37" x14ac:dyDescent="0.25">
      <c r="A286" s="58" t="s">
        <v>783</v>
      </c>
      <c r="B286" s="59" t="str">
        <f t="shared" ca="1" si="32"/>
        <v>VENCIDO</v>
      </c>
      <c r="C286" s="60" t="s">
        <v>869</v>
      </c>
      <c r="D286" s="61" t="s">
        <v>1240</v>
      </c>
      <c r="E286" s="62" t="s">
        <v>212</v>
      </c>
      <c r="F286" s="61" t="s">
        <v>775</v>
      </c>
      <c r="G286" s="60" t="s">
        <v>213</v>
      </c>
      <c r="H286" s="63">
        <v>45413</v>
      </c>
      <c r="I286" s="63">
        <v>45413</v>
      </c>
      <c r="J286" s="60">
        <f t="shared" si="29"/>
        <v>19</v>
      </c>
      <c r="K286" s="60">
        <f t="shared" si="30"/>
        <v>0</v>
      </c>
      <c r="L286" s="60"/>
      <c r="M286" s="60"/>
      <c r="N286" s="60"/>
      <c r="O286" s="60"/>
      <c r="P286" s="60"/>
      <c r="Q286" s="60">
        <v>14</v>
      </c>
      <c r="R286" s="60"/>
      <c r="S286" s="60"/>
      <c r="T286" s="60">
        <v>3</v>
      </c>
      <c r="U286" s="60"/>
      <c r="V286" s="60"/>
      <c r="W286" s="60"/>
      <c r="X286" s="60"/>
      <c r="Y286" s="60"/>
      <c r="Z286" s="60"/>
      <c r="AA286" s="60">
        <v>2</v>
      </c>
      <c r="AB286" s="60"/>
      <c r="AC286" s="60"/>
      <c r="AD286" s="60"/>
      <c r="AE286" s="60"/>
      <c r="AF286" s="60"/>
      <c r="AG286" s="60"/>
      <c r="AH286" s="60"/>
      <c r="AI286" s="60"/>
      <c r="AJ286" s="60"/>
      <c r="AK286" s="64">
        <f t="shared" si="31"/>
        <v>6512.9900000000007</v>
      </c>
    </row>
    <row r="287" spans="1:37" x14ac:dyDescent="0.25">
      <c r="A287" s="58" t="s">
        <v>783</v>
      </c>
      <c r="B287" s="59" t="str">
        <f t="shared" ca="1" si="32"/>
        <v>VENCIDO</v>
      </c>
      <c r="C287" s="60" t="s">
        <v>869</v>
      </c>
      <c r="D287" s="61" t="s">
        <v>1241</v>
      </c>
      <c r="E287" s="62" t="s">
        <v>223</v>
      </c>
      <c r="F287" s="61" t="s">
        <v>775</v>
      </c>
      <c r="G287" s="60" t="s">
        <v>213</v>
      </c>
      <c r="H287" s="63">
        <v>45474</v>
      </c>
      <c r="I287" s="63">
        <f>H287-180</f>
        <v>45294</v>
      </c>
      <c r="J287" s="60">
        <f t="shared" si="29"/>
        <v>11</v>
      </c>
      <c r="K287" s="60">
        <f t="shared" si="30"/>
        <v>0</v>
      </c>
      <c r="L287" s="60"/>
      <c r="M287" s="60"/>
      <c r="N287" s="60"/>
      <c r="O287" s="60"/>
      <c r="P287" s="60"/>
      <c r="Q287" s="60">
        <v>3</v>
      </c>
      <c r="R287" s="60"/>
      <c r="S287" s="60"/>
      <c r="T287" s="60"/>
      <c r="U287" s="60"/>
      <c r="V287" s="60"/>
      <c r="W287" s="60"/>
      <c r="X287" s="60"/>
      <c r="Y287" s="60"/>
      <c r="Z287" s="60"/>
      <c r="AA287" s="60">
        <v>8</v>
      </c>
      <c r="AB287" s="60"/>
      <c r="AC287" s="60"/>
      <c r="AD287" s="60"/>
      <c r="AE287" s="60"/>
      <c r="AF287" s="60"/>
      <c r="AG287" s="60"/>
      <c r="AH287" s="60"/>
      <c r="AI287" s="60"/>
      <c r="AJ287" s="60"/>
      <c r="AK287" s="64">
        <f t="shared" si="31"/>
        <v>2528.77</v>
      </c>
    </row>
    <row r="288" spans="1:37" hidden="1" x14ac:dyDescent="0.25">
      <c r="A288" s="58" t="s">
        <v>783</v>
      </c>
      <c r="B288" s="59" t="str">
        <f t="shared" ca="1" si="32"/>
        <v>VENCIDO</v>
      </c>
      <c r="C288" s="60" t="s">
        <v>869</v>
      </c>
      <c r="D288" s="61" t="s">
        <v>1242</v>
      </c>
      <c r="E288" s="62" t="s">
        <v>780</v>
      </c>
      <c r="F288" s="61" t="s">
        <v>778</v>
      </c>
      <c r="G288" s="60" t="s">
        <v>213</v>
      </c>
      <c r="H288" s="63">
        <v>45536</v>
      </c>
      <c r="I288" s="63">
        <f>H288-180</f>
        <v>45356</v>
      </c>
      <c r="J288" s="60">
        <f t="shared" si="29"/>
        <v>2</v>
      </c>
      <c r="K288" s="60">
        <f t="shared" si="30"/>
        <v>0</v>
      </c>
      <c r="L288" s="60"/>
      <c r="M288" s="60"/>
      <c r="N288" s="60"/>
      <c r="O288" s="60"/>
      <c r="P288" s="60"/>
      <c r="Q288" s="60">
        <v>1</v>
      </c>
      <c r="R288" s="60"/>
      <c r="S288" s="60"/>
      <c r="T288" s="60"/>
      <c r="U288" s="60"/>
      <c r="V288" s="60"/>
      <c r="W288" s="60"/>
      <c r="X288" s="60"/>
      <c r="Y288" s="60"/>
      <c r="Z288" s="60"/>
      <c r="AA288" s="60">
        <v>1</v>
      </c>
      <c r="AB288" s="60"/>
      <c r="AC288" s="60"/>
      <c r="AD288" s="60"/>
      <c r="AE288" s="60"/>
      <c r="AF288" s="60"/>
      <c r="AG288" s="60"/>
      <c r="AH288" s="60"/>
      <c r="AI288" s="60"/>
      <c r="AJ288" s="60"/>
      <c r="AK288" s="64">
        <f t="shared" si="31"/>
        <v>513.19000000000005</v>
      </c>
    </row>
    <row r="289" spans="1:37" x14ac:dyDescent="0.25">
      <c r="A289" s="58" t="s">
        <v>770</v>
      </c>
      <c r="B289" s="59" t="str">
        <f t="shared" ca="1" si="32"/>
        <v>VENCIDO</v>
      </c>
      <c r="C289" s="60" t="s">
        <v>869</v>
      </c>
      <c r="D289" s="61" t="s">
        <v>1243</v>
      </c>
      <c r="E289" s="62" t="s">
        <v>1133</v>
      </c>
      <c r="F289" s="61" t="s">
        <v>775</v>
      </c>
      <c r="G289" s="60" t="s">
        <v>213</v>
      </c>
      <c r="H289" s="63">
        <v>45536</v>
      </c>
      <c r="I289" s="63">
        <f>H289-180</f>
        <v>45356</v>
      </c>
      <c r="J289" s="60">
        <f t="shared" si="29"/>
        <v>4</v>
      </c>
      <c r="K289" s="60">
        <f t="shared" si="30"/>
        <v>0</v>
      </c>
      <c r="L289" s="60"/>
      <c r="M289" s="60"/>
      <c r="N289" s="60"/>
      <c r="O289" s="60"/>
      <c r="P289" s="60"/>
      <c r="Q289" s="60">
        <v>2</v>
      </c>
      <c r="R289" s="60"/>
      <c r="S289" s="60"/>
      <c r="T289" s="60"/>
      <c r="U289" s="60"/>
      <c r="V289" s="60"/>
      <c r="W289" s="60"/>
      <c r="X289" s="60"/>
      <c r="Y289" s="60"/>
      <c r="Z289" s="60"/>
      <c r="AA289" s="60">
        <v>2</v>
      </c>
      <c r="AB289" s="60"/>
      <c r="AC289" s="60"/>
      <c r="AD289" s="60"/>
      <c r="AE289" s="60"/>
      <c r="AF289" s="60"/>
      <c r="AG289" s="60"/>
      <c r="AH289" s="60"/>
      <c r="AI289" s="60"/>
      <c r="AJ289" s="60"/>
      <c r="AK289" s="64">
        <f t="shared" si="31"/>
        <v>1026.3800000000001</v>
      </c>
    </row>
    <row r="290" spans="1:37" x14ac:dyDescent="0.25">
      <c r="A290" s="58" t="s">
        <v>1151</v>
      </c>
      <c r="B290" s="59" t="str">
        <f t="shared" ca="1" si="32"/>
        <v>VENCIDO</v>
      </c>
      <c r="C290" s="60" t="s">
        <v>869</v>
      </c>
      <c r="D290" s="61" t="s">
        <v>1244</v>
      </c>
      <c r="E290" s="62" t="s">
        <v>223</v>
      </c>
      <c r="F290" s="61" t="s">
        <v>775</v>
      </c>
      <c r="G290" s="60" t="s">
        <v>213</v>
      </c>
      <c r="H290" s="63">
        <v>45292</v>
      </c>
      <c r="I290" s="63">
        <v>45292</v>
      </c>
      <c r="J290" s="60">
        <f t="shared" si="29"/>
        <v>3</v>
      </c>
      <c r="K290" s="60">
        <f t="shared" si="30"/>
        <v>0</v>
      </c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>
        <v>3</v>
      </c>
      <c r="AB290" s="60"/>
      <c r="AC290" s="60"/>
      <c r="AD290" s="60"/>
      <c r="AE290" s="60"/>
      <c r="AF290" s="60"/>
      <c r="AG290" s="60"/>
      <c r="AH290" s="60"/>
      <c r="AI290" s="60"/>
      <c r="AJ290" s="60"/>
      <c r="AK290" s="64">
        <f t="shared" si="31"/>
        <v>593.52</v>
      </c>
    </row>
    <row r="291" spans="1:37" hidden="1" x14ac:dyDescent="0.25">
      <c r="A291" s="58" t="s">
        <v>783</v>
      </c>
      <c r="B291" s="59" t="str">
        <f t="shared" ca="1" si="32"/>
        <v>VENCIDO</v>
      </c>
      <c r="C291" s="60" t="s">
        <v>869</v>
      </c>
      <c r="D291" s="61" t="s">
        <v>1245</v>
      </c>
      <c r="E291" s="62" t="s">
        <v>797</v>
      </c>
      <c r="F291" s="61" t="s">
        <v>778</v>
      </c>
      <c r="G291" s="60" t="s">
        <v>213</v>
      </c>
      <c r="H291" s="63">
        <v>45323</v>
      </c>
      <c r="I291" s="63">
        <v>45323</v>
      </c>
      <c r="J291" s="60">
        <f t="shared" si="29"/>
        <v>13</v>
      </c>
      <c r="K291" s="60">
        <f t="shared" si="30"/>
        <v>0</v>
      </c>
      <c r="L291" s="60"/>
      <c r="M291" s="60"/>
      <c r="N291" s="60"/>
      <c r="O291" s="60">
        <v>1</v>
      </c>
      <c r="P291" s="60"/>
      <c r="Q291" s="60">
        <v>9</v>
      </c>
      <c r="R291" s="60"/>
      <c r="S291" s="60"/>
      <c r="T291" s="60">
        <v>1</v>
      </c>
      <c r="U291" s="60"/>
      <c r="V291" s="60"/>
      <c r="W291" s="60"/>
      <c r="X291" s="60"/>
      <c r="Y291" s="60"/>
      <c r="Z291" s="60"/>
      <c r="AA291" s="60">
        <v>2</v>
      </c>
      <c r="AB291" s="60"/>
      <c r="AC291" s="60"/>
      <c r="AD291" s="60"/>
      <c r="AE291" s="60"/>
      <c r="AF291" s="60"/>
      <c r="AG291" s="60"/>
      <c r="AH291" s="60"/>
      <c r="AI291" s="60"/>
      <c r="AJ291" s="60"/>
      <c r="AK291" s="64">
        <f t="shared" si="31"/>
        <v>3999.1200000000003</v>
      </c>
    </row>
    <row r="292" spans="1:37" x14ac:dyDescent="0.25">
      <c r="A292" s="58" t="s">
        <v>770</v>
      </c>
      <c r="B292" s="59" t="str">
        <f t="shared" ca="1" si="32"/>
        <v>VENCIDO</v>
      </c>
      <c r="C292" s="60" t="s">
        <v>869</v>
      </c>
      <c r="D292" s="61" t="s">
        <v>1246</v>
      </c>
      <c r="E292" s="62" t="s">
        <v>785</v>
      </c>
      <c r="F292" s="61" t="s">
        <v>775</v>
      </c>
      <c r="G292" s="60" t="s">
        <v>213</v>
      </c>
      <c r="H292" s="63">
        <v>45444</v>
      </c>
      <c r="I292" s="63">
        <v>45444</v>
      </c>
      <c r="J292" s="60">
        <f t="shared" ref="J292:J355" si="33">SUM(L292:AE292)</f>
        <v>4</v>
      </c>
      <c r="K292" s="60">
        <f t="shared" si="30"/>
        <v>0</v>
      </c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>
        <v>2</v>
      </c>
      <c r="AB292" s="60">
        <v>2</v>
      </c>
      <c r="AC292" s="60"/>
      <c r="AD292" s="60"/>
      <c r="AE292" s="60"/>
      <c r="AF292" s="60"/>
      <c r="AG292" s="60"/>
      <c r="AH292" s="60"/>
      <c r="AI292" s="60"/>
      <c r="AJ292" s="60"/>
      <c r="AK292" s="64">
        <f t="shared" si="31"/>
        <v>1012.48</v>
      </c>
    </row>
    <row r="293" spans="1:37" hidden="1" x14ac:dyDescent="0.25">
      <c r="A293" s="58" t="s">
        <v>770</v>
      </c>
      <c r="B293" s="59" t="str">
        <f t="shared" ca="1" si="32"/>
        <v>VENCIDO</v>
      </c>
      <c r="C293" s="60" t="s">
        <v>869</v>
      </c>
      <c r="D293" s="61" t="s">
        <v>1247</v>
      </c>
      <c r="E293" s="62" t="s">
        <v>1248</v>
      </c>
      <c r="F293" s="61" t="s">
        <v>778</v>
      </c>
      <c r="G293" s="60" t="s">
        <v>213</v>
      </c>
      <c r="H293" s="63">
        <v>45474</v>
      </c>
      <c r="I293" s="63">
        <f>H293-180</f>
        <v>45294</v>
      </c>
      <c r="J293" s="60">
        <f t="shared" si="33"/>
        <v>5</v>
      </c>
      <c r="K293" s="60">
        <f t="shared" si="30"/>
        <v>0</v>
      </c>
      <c r="L293" s="60"/>
      <c r="M293" s="60"/>
      <c r="N293" s="60"/>
      <c r="O293" s="60"/>
      <c r="P293" s="60">
        <v>2</v>
      </c>
      <c r="Q293" s="60"/>
      <c r="R293" s="60"/>
      <c r="S293" s="60"/>
      <c r="T293" s="60">
        <v>1</v>
      </c>
      <c r="U293" s="60"/>
      <c r="V293" s="60"/>
      <c r="W293" s="60"/>
      <c r="X293" s="60"/>
      <c r="Y293" s="60"/>
      <c r="Z293" s="60"/>
      <c r="AA293" s="60">
        <v>2</v>
      </c>
      <c r="AB293" s="60"/>
      <c r="AC293" s="60"/>
      <c r="AD293" s="60"/>
      <c r="AE293" s="60"/>
      <c r="AF293" s="60"/>
      <c r="AG293" s="60"/>
      <c r="AH293" s="60"/>
      <c r="AI293" s="60"/>
      <c r="AJ293" s="60"/>
      <c r="AK293" s="64">
        <f t="shared" si="31"/>
        <v>1451.3300000000002</v>
      </c>
    </row>
    <row r="294" spans="1:37" hidden="1" x14ac:dyDescent="0.25">
      <c r="A294" s="58" t="s">
        <v>938</v>
      </c>
      <c r="B294" s="59" t="str">
        <f t="shared" ca="1" si="32"/>
        <v>VENCIDO</v>
      </c>
      <c r="C294" s="60" t="s">
        <v>869</v>
      </c>
      <c r="D294" s="61" t="s">
        <v>1249</v>
      </c>
      <c r="E294" s="62" t="s">
        <v>920</v>
      </c>
      <c r="F294" s="61" t="s">
        <v>793</v>
      </c>
      <c r="G294" s="60" t="s">
        <v>213</v>
      </c>
      <c r="H294" s="63">
        <v>45505</v>
      </c>
      <c r="I294" s="63">
        <f>H294-180</f>
        <v>45325</v>
      </c>
      <c r="J294" s="60">
        <f t="shared" si="33"/>
        <v>2</v>
      </c>
      <c r="K294" s="60">
        <f t="shared" si="30"/>
        <v>0</v>
      </c>
      <c r="L294" s="60"/>
      <c r="M294" s="60"/>
      <c r="N294" s="60"/>
      <c r="O294" s="60">
        <v>1</v>
      </c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>
        <v>1</v>
      </c>
      <c r="AB294" s="60"/>
      <c r="AC294" s="60"/>
      <c r="AD294" s="60"/>
      <c r="AE294" s="60"/>
      <c r="AF294" s="60"/>
      <c r="AG294" s="60"/>
      <c r="AH294" s="60"/>
      <c r="AI294" s="60"/>
      <c r="AJ294" s="60"/>
      <c r="AK294" s="64">
        <f t="shared" si="31"/>
        <v>395.65999999999997</v>
      </c>
    </row>
    <row r="295" spans="1:37" hidden="1" x14ac:dyDescent="0.25">
      <c r="A295" s="58" t="s">
        <v>938</v>
      </c>
      <c r="B295" s="59" t="str">
        <f t="shared" ca="1" si="32"/>
        <v>VENCIDO</v>
      </c>
      <c r="C295" s="60" t="s">
        <v>869</v>
      </c>
      <c r="D295" s="61" t="s">
        <v>1250</v>
      </c>
      <c r="E295" s="62" t="s">
        <v>922</v>
      </c>
      <c r="F295" s="61" t="s">
        <v>778</v>
      </c>
      <c r="G295" s="60" t="s">
        <v>213</v>
      </c>
      <c r="H295" s="63">
        <v>45352</v>
      </c>
      <c r="I295" s="63">
        <v>45352</v>
      </c>
      <c r="J295" s="60">
        <f t="shared" si="33"/>
        <v>1</v>
      </c>
      <c r="K295" s="60">
        <f t="shared" si="30"/>
        <v>0</v>
      </c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>
        <v>1</v>
      </c>
      <c r="AB295" s="60"/>
      <c r="AC295" s="60"/>
      <c r="AD295" s="60"/>
      <c r="AE295" s="60"/>
      <c r="AF295" s="60"/>
      <c r="AG295" s="60"/>
      <c r="AH295" s="60"/>
      <c r="AI295" s="60"/>
      <c r="AJ295" s="60"/>
      <c r="AK295" s="64">
        <f t="shared" si="31"/>
        <v>197.84</v>
      </c>
    </row>
    <row r="296" spans="1:37" x14ac:dyDescent="0.25">
      <c r="A296" s="58"/>
      <c r="B296" s="59" t="str">
        <f t="shared" ca="1" si="32"/>
        <v>VENCIDO</v>
      </c>
      <c r="C296" s="60" t="s">
        <v>869</v>
      </c>
      <c r="D296" s="61" t="s">
        <v>1251</v>
      </c>
      <c r="E296" s="62" t="s">
        <v>924</v>
      </c>
      <c r="F296" s="61" t="s">
        <v>775</v>
      </c>
      <c r="G296" s="60" t="s">
        <v>213</v>
      </c>
      <c r="H296" s="63">
        <v>45474</v>
      </c>
      <c r="I296" s="63">
        <f>H296-180</f>
        <v>45294</v>
      </c>
      <c r="J296" s="60">
        <f t="shared" si="33"/>
        <v>2</v>
      </c>
      <c r="K296" s="60">
        <f t="shared" si="30"/>
        <v>0</v>
      </c>
      <c r="L296" s="60"/>
      <c r="M296" s="60"/>
      <c r="N296" s="60"/>
      <c r="O296" s="60"/>
      <c r="P296" s="60"/>
      <c r="Q296" s="60">
        <v>1</v>
      </c>
      <c r="R296" s="60"/>
      <c r="S296" s="60"/>
      <c r="T296" s="60"/>
      <c r="U296" s="60"/>
      <c r="V296" s="60"/>
      <c r="W296" s="60"/>
      <c r="X296" s="60"/>
      <c r="Y296" s="60"/>
      <c r="Z296" s="60"/>
      <c r="AA296" s="60">
        <v>1</v>
      </c>
      <c r="AB296" s="60"/>
      <c r="AC296" s="60"/>
      <c r="AD296" s="60"/>
      <c r="AE296" s="60"/>
      <c r="AF296" s="60"/>
      <c r="AG296" s="60"/>
      <c r="AH296" s="60"/>
      <c r="AI296" s="60"/>
      <c r="AJ296" s="60"/>
      <c r="AK296" s="64">
        <f t="shared" si="31"/>
        <v>513.19000000000005</v>
      </c>
    </row>
    <row r="297" spans="1:37" hidden="1" x14ac:dyDescent="0.25">
      <c r="A297" s="58"/>
      <c r="B297" s="59" t="str">
        <f t="shared" ca="1" si="32"/>
        <v>VENCIDO</v>
      </c>
      <c r="C297" s="60" t="s">
        <v>869</v>
      </c>
      <c r="D297" s="61" t="s">
        <v>1252</v>
      </c>
      <c r="E297" s="62" t="s">
        <v>926</v>
      </c>
      <c r="F297" s="61" t="s">
        <v>778</v>
      </c>
      <c r="G297" s="60" t="s">
        <v>213</v>
      </c>
      <c r="H297" s="63">
        <v>45444</v>
      </c>
      <c r="I297" s="63">
        <v>45444</v>
      </c>
      <c r="J297" s="60">
        <f t="shared" si="33"/>
        <v>2</v>
      </c>
      <c r="K297" s="60">
        <f t="shared" si="30"/>
        <v>0</v>
      </c>
      <c r="L297" s="60"/>
      <c r="M297" s="60"/>
      <c r="N297" s="60"/>
      <c r="O297" s="60"/>
      <c r="P297" s="60"/>
      <c r="Q297" s="60">
        <v>1</v>
      </c>
      <c r="R297" s="60"/>
      <c r="S297" s="60"/>
      <c r="T297" s="60"/>
      <c r="U297" s="60"/>
      <c r="V297" s="60"/>
      <c r="W297" s="60"/>
      <c r="X297" s="60"/>
      <c r="Y297" s="60"/>
      <c r="Z297" s="60"/>
      <c r="AA297" s="60">
        <v>1</v>
      </c>
      <c r="AB297" s="60"/>
      <c r="AC297" s="60"/>
      <c r="AD297" s="60"/>
      <c r="AE297" s="60"/>
      <c r="AF297" s="60"/>
      <c r="AG297" s="60"/>
      <c r="AH297" s="60"/>
      <c r="AI297" s="60"/>
      <c r="AJ297" s="60"/>
      <c r="AK297" s="64">
        <f t="shared" si="31"/>
        <v>513.19000000000005</v>
      </c>
    </row>
    <row r="298" spans="1:37" x14ac:dyDescent="0.25">
      <c r="A298" s="58"/>
      <c r="B298" s="59" t="str">
        <f t="shared" ca="1" si="32"/>
        <v>VENCIDO</v>
      </c>
      <c r="C298" s="60" t="s">
        <v>869</v>
      </c>
      <c r="D298" s="61" t="s">
        <v>1253</v>
      </c>
      <c r="E298" s="62" t="s">
        <v>1254</v>
      </c>
      <c r="F298" s="61" t="s">
        <v>775</v>
      </c>
      <c r="G298" s="60" t="s">
        <v>213</v>
      </c>
      <c r="H298" s="63">
        <v>45323</v>
      </c>
      <c r="I298" s="63">
        <v>45323</v>
      </c>
      <c r="J298" s="60">
        <f t="shared" si="33"/>
        <v>3</v>
      </c>
      <c r="K298" s="60">
        <f t="shared" si="30"/>
        <v>0</v>
      </c>
      <c r="L298" s="60"/>
      <c r="M298" s="60"/>
      <c r="N298" s="60"/>
      <c r="O298" s="60"/>
      <c r="P298" s="60"/>
      <c r="Q298" s="60">
        <v>1</v>
      </c>
      <c r="R298" s="60"/>
      <c r="S298" s="60"/>
      <c r="T298" s="60">
        <v>1</v>
      </c>
      <c r="U298" s="60"/>
      <c r="V298" s="60"/>
      <c r="W298" s="60"/>
      <c r="X298" s="60"/>
      <c r="Y298" s="60"/>
      <c r="Z298" s="60"/>
      <c r="AA298" s="60">
        <v>1</v>
      </c>
      <c r="AB298" s="60"/>
      <c r="AC298" s="60"/>
      <c r="AD298" s="60"/>
      <c r="AE298" s="60"/>
      <c r="AF298" s="60"/>
      <c r="AG298" s="60"/>
      <c r="AH298" s="60"/>
      <c r="AI298" s="60"/>
      <c r="AJ298" s="60"/>
      <c r="AK298" s="64">
        <f t="shared" si="31"/>
        <v>1080.6600000000001</v>
      </c>
    </row>
    <row r="299" spans="1:37" hidden="1" x14ac:dyDescent="0.25">
      <c r="A299" s="58" t="s">
        <v>860</v>
      </c>
      <c r="B299" s="59" t="str">
        <f t="shared" ca="1" si="32"/>
        <v>VENCIDO</v>
      </c>
      <c r="C299" s="60" t="s">
        <v>869</v>
      </c>
      <c r="D299" s="61" t="s">
        <v>1255</v>
      </c>
      <c r="E299" s="62" t="s">
        <v>1256</v>
      </c>
      <c r="F299" s="61" t="s">
        <v>778</v>
      </c>
      <c r="G299" s="60" t="s">
        <v>213</v>
      </c>
      <c r="H299" s="63">
        <v>45536</v>
      </c>
      <c r="I299" s="63">
        <f>H299-180</f>
        <v>45356</v>
      </c>
      <c r="J299" s="60">
        <f t="shared" si="33"/>
        <v>9</v>
      </c>
      <c r="K299" s="60">
        <f t="shared" si="30"/>
        <v>0</v>
      </c>
      <c r="L299" s="60"/>
      <c r="M299" s="60"/>
      <c r="N299" s="60"/>
      <c r="O299" s="60"/>
      <c r="P299" s="60"/>
      <c r="Q299" s="60">
        <v>6</v>
      </c>
      <c r="R299" s="60"/>
      <c r="S299" s="60"/>
      <c r="T299" s="60">
        <v>1</v>
      </c>
      <c r="U299" s="60"/>
      <c r="V299" s="60"/>
      <c r="W299" s="60"/>
      <c r="X299" s="60"/>
      <c r="Y299" s="60"/>
      <c r="Z299" s="60"/>
      <c r="AA299" s="60">
        <v>2</v>
      </c>
      <c r="AB299" s="60"/>
      <c r="AC299" s="60"/>
      <c r="AD299" s="60"/>
      <c r="AE299" s="60"/>
      <c r="AF299" s="60"/>
      <c r="AG299" s="60"/>
      <c r="AH299" s="60"/>
      <c r="AI299" s="60"/>
      <c r="AJ299" s="60"/>
      <c r="AK299" s="64">
        <f t="shared" si="31"/>
        <v>2855.25</v>
      </c>
    </row>
    <row r="300" spans="1:37" x14ac:dyDescent="0.25">
      <c r="A300" s="58" t="s">
        <v>770</v>
      </c>
      <c r="B300" s="59" t="str">
        <f t="shared" ca="1" si="32"/>
        <v>VENCIDO</v>
      </c>
      <c r="C300" s="60" t="s">
        <v>869</v>
      </c>
      <c r="D300" s="61" t="s">
        <v>1257</v>
      </c>
      <c r="E300" s="62" t="s">
        <v>223</v>
      </c>
      <c r="F300" s="61" t="s">
        <v>775</v>
      </c>
      <c r="G300" s="60" t="s">
        <v>213</v>
      </c>
      <c r="H300" s="63">
        <v>45292</v>
      </c>
      <c r="I300" s="63">
        <v>45292</v>
      </c>
      <c r="J300" s="60">
        <f t="shared" si="33"/>
        <v>4</v>
      </c>
      <c r="K300" s="60">
        <f t="shared" si="30"/>
        <v>0</v>
      </c>
      <c r="L300" s="60"/>
      <c r="M300" s="60"/>
      <c r="N300" s="60"/>
      <c r="O300" s="60"/>
      <c r="P300" s="60"/>
      <c r="Q300" s="60">
        <v>2</v>
      </c>
      <c r="R300" s="60"/>
      <c r="S300" s="60"/>
      <c r="T300" s="60"/>
      <c r="U300" s="60"/>
      <c r="V300" s="60"/>
      <c r="W300" s="60"/>
      <c r="X300" s="60"/>
      <c r="Y300" s="60"/>
      <c r="Z300" s="60"/>
      <c r="AA300" s="60">
        <v>2</v>
      </c>
      <c r="AB300" s="60"/>
      <c r="AC300" s="60"/>
      <c r="AD300" s="60"/>
      <c r="AE300" s="60"/>
      <c r="AF300" s="60"/>
      <c r="AG300" s="60"/>
      <c r="AH300" s="60"/>
      <c r="AI300" s="60"/>
      <c r="AJ300" s="60"/>
      <c r="AK300" s="64">
        <f t="shared" si="31"/>
        <v>1026.3800000000001</v>
      </c>
    </row>
    <row r="301" spans="1:37" hidden="1" x14ac:dyDescent="0.25">
      <c r="A301" s="58" t="s">
        <v>770</v>
      </c>
      <c r="B301" s="59" t="str">
        <f t="shared" ca="1" si="32"/>
        <v>VENCIDO</v>
      </c>
      <c r="C301" s="60" t="s">
        <v>869</v>
      </c>
      <c r="D301" s="61" t="s">
        <v>1258</v>
      </c>
      <c r="E301" s="62" t="s">
        <v>868</v>
      </c>
      <c r="F301" s="61" t="s">
        <v>778</v>
      </c>
      <c r="G301" s="60" t="s">
        <v>213</v>
      </c>
      <c r="H301" s="63">
        <v>45474</v>
      </c>
      <c r="I301" s="63">
        <v>45474</v>
      </c>
      <c r="J301" s="60">
        <f t="shared" si="33"/>
        <v>2</v>
      </c>
      <c r="K301" s="60">
        <f t="shared" si="30"/>
        <v>0</v>
      </c>
      <c r="L301" s="60"/>
      <c r="M301" s="60"/>
      <c r="N301" s="60"/>
      <c r="O301" s="60"/>
      <c r="P301" s="60"/>
      <c r="Q301" s="60">
        <v>1</v>
      </c>
      <c r="R301" s="60"/>
      <c r="S301" s="60"/>
      <c r="T301" s="60"/>
      <c r="U301" s="60"/>
      <c r="V301" s="60"/>
      <c r="W301" s="60"/>
      <c r="X301" s="60"/>
      <c r="Y301" s="60"/>
      <c r="Z301" s="60"/>
      <c r="AA301" s="60">
        <v>1</v>
      </c>
      <c r="AB301" s="60"/>
      <c r="AC301" s="60"/>
      <c r="AD301" s="60"/>
      <c r="AE301" s="60"/>
      <c r="AF301" s="60"/>
      <c r="AG301" s="60"/>
      <c r="AH301" s="60"/>
      <c r="AI301" s="60"/>
      <c r="AJ301" s="60"/>
      <c r="AK301" s="64">
        <f t="shared" si="31"/>
        <v>513.19000000000005</v>
      </c>
    </row>
    <row r="302" spans="1:37" x14ac:dyDescent="0.25">
      <c r="A302" s="58" t="s">
        <v>770</v>
      </c>
      <c r="B302" s="59" t="str">
        <f t="shared" ca="1" si="32"/>
        <v>VENCIDO</v>
      </c>
      <c r="C302" s="60" t="s">
        <v>869</v>
      </c>
      <c r="D302" s="61" t="s">
        <v>1259</v>
      </c>
      <c r="E302" s="62" t="s">
        <v>1260</v>
      </c>
      <c r="F302" s="61" t="s">
        <v>775</v>
      </c>
      <c r="G302" s="60" t="s">
        <v>213</v>
      </c>
      <c r="H302" s="63">
        <v>45566</v>
      </c>
      <c r="I302" s="63">
        <f>H302-180</f>
        <v>45386</v>
      </c>
      <c r="J302" s="60">
        <f t="shared" si="33"/>
        <v>2</v>
      </c>
      <c r="K302" s="60">
        <f t="shared" si="30"/>
        <v>0</v>
      </c>
      <c r="L302" s="60"/>
      <c r="M302" s="60"/>
      <c r="N302" s="60"/>
      <c r="O302" s="60"/>
      <c r="P302" s="60"/>
      <c r="Q302" s="60">
        <v>1</v>
      </c>
      <c r="R302" s="60"/>
      <c r="S302" s="60"/>
      <c r="T302" s="60"/>
      <c r="U302" s="60"/>
      <c r="V302" s="60"/>
      <c r="W302" s="60"/>
      <c r="X302" s="60"/>
      <c r="Y302" s="60"/>
      <c r="Z302" s="60"/>
      <c r="AA302" s="60">
        <v>1</v>
      </c>
      <c r="AB302" s="60"/>
      <c r="AC302" s="60"/>
      <c r="AD302" s="60"/>
      <c r="AE302" s="60"/>
      <c r="AF302" s="60"/>
      <c r="AG302" s="60"/>
      <c r="AH302" s="60"/>
      <c r="AI302" s="60"/>
      <c r="AJ302" s="60"/>
      <c r="AK302" s="64">
        <f t="shared" si="31"/>
        <v>513.19000000000005</v>
      </c>
    </row>
    <row r="303" spans="1:37" hidden="1" x14ac:dyDescent="0.25">
      <c r="A303" s="58" t="s">
        <v>770</v>
      </c>
      <c r="B303" s="59" t="str">
        <f t="shared" ca="1" si="32"/>
        <v>VENCIDO</v>
      </c>
      <c r="C303" s="60" t="s">
        <v>790</v>
      </c>
      <c r="D303" s="61" t="s">
        <v>1261</v>
      </c>
      <c r="E303" s="62" t="s">
        <v>1262</v>
      </c>
      <c r="F303" s="61" t="s">
        <v>793</v>
      </c>
      <c r="G303" s="60" t="s">
        <v>213</v>
      </c>
      <c r="H303" s="63">
        <v>45444</v>
      </c>
      <c r="I303" s="63">
        <f>H303-180</f>
        <v>45264</v>
      </c>
      <c r="J303" s="60">
        <f t="shared" si="33"/>
        <v>2</v>
      </c>
      <c r="K303" s="60">
        <f t="shared" si="30"/>
        <v>0</v>
      </c>
      <c r="L303" s="60"/>
      <c r="M303" s="60"/>
      <c r="N303" s="60"/>
      <c r="O303" s="60"/>
      <c r="P303" s="60">
        <v>2</v>
      </c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H303" s="60"/>
      <c r="AI303" s="60"/>
      <c r="AJ303" s="60"/>
      <c r="AK303" s="64">
        <f t="shared" si="31"/>
        <v>488.18</v>
      </c>
    </row>
    <row r="304" spans="1:37" x14ac:dyDescent="0.25">
      <c r="A304" s="58" t="s">
        <v>783</v>
      </c>
      <c r="B304" s="59" t="str">
        <f t="shared" ca="1" si="32"/>
        <v>VENCIDO</v>
      </c>
      <c r="C304" s="60" t="s">
        <v>869</v>
      </c>
      <c r="D304" s="61" t="s">
        <v>1263</v>
      </c>
      <c r="E304" s="62" t="s">
        <v>933</v>
      </c>
      <c r="F304" s="61" t="s">
        <v>775</v>
      </c>
      <c r="G304" s="60" t="s">
        <v>213</v>
      </c>
      <c r="H304" s="63">
        <v>45323</v>
      </c>
      <c r="I304" s="63">
        <v>45323</v>
      </c>
      <c r="J304" s="60">
        <f t="shared" si="33"/>
        <v>8</v>
      </c>
      <c r="K304" s="60">
        <f t="shared" si="30"/>
        <v>0</v>
      </c>
      <c r="L304" s="60"/>
      <c r="M304" s="60"/>
      <c r="N304" s="60"/>
      <c r="O304" s="60">
        <v>2</v>
      </c>
      <c r="P304" s="60"/>
      <c r="Q304" s="60">
        <v>3</v>
      </c>
      <c r="R304" s="60"/>
      <c r="S304" s="60"/>
      <c r="T304" s="60">
        <v>1</v>
      </c>
      <c r="U304" s="60"/>
      <c r="V304" s="60"/>
      <c r="W304" s="60"/>
      <c r="X304" s="60"/>
      <c r="Y304" s="60"/>
      <c r="Z304" s="60"/>
      <c r="AA304" s="60">
        <v>2</v>
      </c>
      <c r="AB304" s="60"/>
      <c r="AC304" s="60"/>
      <c r="AD304" s="60"/>
      <c r="AE304" s="60"/>
      <c r="AF304" s="60"/>
      <c r="AG304" s="60"/>
      <c r="AH304" s="60"/>
      <c r="AI304" s="60"/>
      <c r="AJ304" s="60"/>
      <c r="AK304" s="64">
        <f t="shared" si="31"/>
        <v>2304.84</v>
      </c>
    </row>
    <row r="305" spans="1:37" hidden="1" x14ac:dyDescent="0.25">
      <c r="A305" s="58" t="s">
        <v>783</v>
      </c>
      <c r="B305" s="59" t="str">
        <f t="shared" ca="1" si="32"/>
        <v>VENCIDO</v>
      </c>
      <c r="C305" s="60" t="s">
        <v>869</v>
      </c>
      <c r="D305" s="61" t="s">
        <v>1264</v>
      </c>
      <c r="E305" s="62" t="s">
        <v>935</v>
      </c>
      <c r="F305" s="61" t="s">
        <v>778</v>
      </c>
      <c r="G305" s="60" t="s">
        <v>213</v>
      </c>
      <c r="H305" s="63">
        <v>45292</v>
      </c>
      <c r="I305" s="63">
        <v>45292</v>
      </c>
      <c r="J305" s="60">
        <f t="shared" si="33"/>
        <v>17</v>
      </c>
      <c r="K305" s="60">
        <f t="shared" si="30"/>
        <v>0</v>
      </c>
      <c r="L305" s="60"/>
      <c r="M305" s="60"/>
      <c r="N305" s="60"/>
      <c r="O305" s="60"/>
      <c r="P305" s="60"/>
      <c r="Q305" s="60">
        <v>13</v>
      </c>
      <c r="R305" s="60"/>
      <c r="S305" s="60"/>
      <c r="T305" s="60">
        <v>3</v>
      </c>
      <c r="U305" s="60"/>
      <c r="V305" s="60"/>
      <c r="W305" s="60"/>
      <c r="X305" s="60"/>
      <c r="Y305" s="60"/>
      <c r="Z305" s="60"/>
      <c r="AA305" s="60">
        <v>1</v>
      </c>
      <c r="AB305" s="60"/>
      <c r="AC305" s="60"/>
      <c r="AD305" s="60"/>
      <c r="AE305" s="60"/>
      <c r="AF305" s="60"/>
      <c r="AG305" s="60"/>
      <c r="AH305" s="60"/>
      <c r="AI305" s="60"/>
      <c r="AJ305" s="60"/>
      <c r="AK305" s="64">
        <f t="shared" si="31"/>
        <v>5999.8</v>
      </c>
    </row>
    <row r="306" spans="1:37" x14ac:dyDescent="0.25">
      <c r="A306" s="58" t="s">
        <v>849</v>
      </c>
      <c r="B306" s="59" t="str">
        <f t="shared" ca="1" si="32"/>
        <v>VENCIDO</v>
      </c>
      <c r="C306" s="60" t="s">
        <v>869</v>
      </c>
      <c r="D306" s="61" t="s">
        <v>1265</v>
      </c>
      <c r="E306" s="62" t="s">
        <v>940</v>
      </c>
      <c r="F306" s="61" t="s">
        <v>775</v>
      </c>
      <c r="G306" s="60" t="s">
        <v>213</v>
      </c>
      <c r="H306" s="63">
        <v>45566</v>
      </c>
      <c r="I306" s="63">
        <f>H306-180</f>
        <v>45386</v>
      </c>
      <c r="J306" s="60">
        <f t="shared" si="33"/>
        <v>2</v>
      </c>
      <c r="K306" s="60">
        <f t="shared" si="30"/>
        <v>0</v>
      </c>
      <c r="L306" s="60"/>
      <c r="M306" s="60"/>
      <c r="N306" s="60"/>
      <c r="O306" s="60"/>
      <c r="P306" s="60"/>
      <c r="Q306" s="60">
        <v>1</v>
      </c>
      <c r="R306" s="60"/>
      <c r="S306" s="60"/>
      <c r="T306" s="60"/>
      <c r="U306" s="60"/>
      <c r="V306" s="60"/>
      <c r="W306" s="60"/>
      <c r="X306" s="60"/>
      <c r="Y306" s="60"/>
      <c r="Z306" s="60"/>
      <c r="AA306" s="60">
        <v>1</v>
      </c>
      <c r="AB306" s="60"/>
      <c r="AC306" s="60"/>
      <c r="AD306" s="60"/>
      <c r="AE306" s="60"/>
      <c r="AF306" s="60"/>
      <c r="AG306" s="60"/>
      <c r="AH306" s="60"/>
      <c r="AI306" s="60"/>
      <c r="AJ306" s="60"/>
      <c r="AK306" s="64">
        <f t="shared" si="31"/>
        <v>513.19000000000005</v>
      </c>
    </row>
    <row r="307" spans="1:37" x14ac:dyDescent="0.25">
      <c r="A307" s="58"/>
      <c r="B307" s="59" t="str">
        <f t="shared" ca="1" si="32"/>
        <v>VENCIDO</v>
      </c>
      <c r="C307" s="60" t="s">
        <v>869</v>
      </c>
      <c r="D307" s="61" t="s">
        <v>1266</v>
      </c>
      <c r="E307" s="62" t="s">
        <v>802</v>
      </c>
      <c r="F307" s="61" t="s">
        <v>775</v>
      </c>
      <c r="G307" s="60" t="s">
        <v>213</v>
      </c>
      <c r="H307" s="63">
        <v>45323</v>
      </c>
      <c r="I307" s="63">
        <v>45323</v>
      </c>
      <c r="J307" s="60">
        <f t="shared" si="33"/>
        <v>7</v>
      </c>
      <c r="K307" s="60">
        <f t="shared" si="30"/>
        <v>0</v>
      </c>
      <c r="L307" s="60"/>
      <c r="M307" s="60"/>
      <c r="N307" s="60"/>
      <c r="O307" s="60"/>
      <c r="P307" s="60">
        <v>1</v>
      </c>
      <c r="Q307" s="60">
        <v>4</v>
      </c>
      <c r="R307" s="60"/>
      <c r="S307" s="60"/>
      <c r="T307" s="60">
        <v>1</v>
      </c>
      <c r="U307" s="60"/>
      <c r="V307" s="60"/>
      <c r="W307" s="60"/>
      <c r="X307" s="60"/>
      <c r="Y307" s="60"/>
      <c r="Z307" s="60"/>
      <c r="AA307" s="60">
        <v>1</v>
      </c>
      <c r="AB307" s="60"/>
      <c r="AC307" s="60"/>
      <c r="AD307" s="60"/>
      <c r="AE307" s="60"/>
      <c r="AF307" s="60"/>
      <c r="AG307" s="60"/>
      <c r="AH307" s="60"/>
      <c r="AI307" s="60"/>
      <c r="AJ307" s="60"/>
      <c r="AK307" s="64">
        <f t="shared" si="31"/>
        <v>2270.8000000000002</v>
      </c>
    </row>
    <row r="308" spans="1:37" x14ac:dyDescent="0.25">
      <c r="A308" s="58" t="s">
        <v>770</v>
      </c>
      <c r="B308" s="59" t="str">
        <f t="shared" ca="1" si="32"/>
        <v>VENCIDO</v>
      </c>
      <c r="C308" s="60" t="s">
        <v>869</v>
      </c>
      <c r="D308" s="61" t="s">
        <v>1267</v>
      </c>
      <c r="E308" s="62" t="s">
        <v>802</v>
      </c>
      <c r="F308" s="61" t="s">
        <v>775</v>
      </c>
      <c r="G308" s="60" t="s">
        <v>213</v>
      </c>
      <c r="H308" s="63">
        <v>45323</v>
      </c>
      <c r="I308" s="63">
        <v>45323</v>
      </c>
      <c r="J308" s="60">
        <f t="shared" si="33"/>
        <v>5</v>
      </c>
      <c r="K308" s="60">
        <f t="shared" si="30"/>
        <v>0</v>
      </c>
      <c r="L308" s="60"/>
      <c r="M308" s="60"/>
      <c r="N308" s="60"/>
      <c r="O308" s="60">
        <v>1</v>
      </c>
      <c r="P308" s="60">
        <v>1</v>
      </c>
      <c r="Q308" s="60">
        <v>1</v>
      </c>
      <c r="R308" s="60"/>
      <c r="S308" s="60"/>
      <c r="T308" s="60">
        <v>1</v>
      </c>
      <c r="U308" s="60"/>
      <c r="V308" s="60"/>
      <c r="W308" s="60"/>
      <c r="X308" s="60"/>
      <c r="Y308" s="60"/>
      <c r="Z308" s="60"/>
      <c r="AA308" s="60">
        <v>1</v>
      </c>
      <c r="AB308" s="60"/>
      <c r="AC308" s="60"/>
      <c r="AD308" s="60"/>
      <c r="AE308" s="60"/>
      <c r="AF308" s="60"/>
      <c r="AG308" s="60"/>
      <c r="AH308" s="60"/>
      <c r="AI308" s="60"/>
      <c r="AJ308" s="60"/>
      <c r="AK308" s="64">
        <f t="shared" si="31"/>
        <v>1522.57</v>
      </c>
    </row>
    <row r="309" spans="1:37" hidden="1" x14ac:dyDescent="0.25">
      <c r="A309" s="58" t="s">
        <v>770</v>
      </c>
      <c r="B309" s="59"/>
      <c r="C309" s="60" t="s">
        <v>824</v>
      </c>
      <c r="D309" s="61" t="s">
        <v>1268</v>
      </c>
      <c r="E309" s="62" t="s">
        <v>965</v>
      </c>
      <c r="F309" s="61" t="s">
        <v>793</v>
      </c>
      <c r="G309" s="60" t="s">
        <v>213</v>
      </c>
      <c r="H309" s="63"/>
      <c r="I309" s="63"/>
      <c r="J309" s="60">
        <f t="shared" si="33"/>
        <v>0</v>
      </c>
      <c r="K309" s="60">
        <f t="shared" si="30"/>
        <v>0</v>
      </c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/>
      <c r="AD309" s="60"/>
      <c r="AE309" s="60"/>
      <c r="AF309" s="60"/>
      <c r="AG309" s="60"/>
      <c r="AH309" s="60"/>
      <c r="AI309" s="60"/>
      <c r="AJ309" s="60"/>
      <c r="AK309" s="64">
        <f t="shared" si="31"/>
        <v>0</v>
      </c>
    </row>
    <row r="310" spans="1:37" hidden="1" x14ac:dyDescent="0.25">
      <c r="A310" s="58" t="s">
        <v>770</v>
      </c>
      <c r="B310" s="59" t="str">
        <f t="shared" ref="B310:B373" ca="1" si="34">IF(H310&lt;$B$1,"VENCIDO","NA VALIDADE")</f>
        <v>VENCIDO</v>
      </c>
      <c r="C310" s="60" t="s">
        <v>824</v>
      </c>
      <c r="D310" s="61" t="s">
        <v>1269</v>
      </c>
      <c r="E310" s="62" t="s">
        <v>1176</v>
      </c>
      <c r="F310" s="61" t="s">
        <v>793</v>
      </c>
      <c r="G310" s="60" t="s">
        <v>213</v>
      </c>
      <c r="H310" s="63">
        <v>45323</v>
      </c>
      <c r="I310" s="63">
        <v>45323</v>
      </c>
      <c r="J310" s="60">
        <f t="shared" si="33"/>
        <v>1</v>
      </c>
      <c r="K310" s="60">
        <f t="shared" si="30"/>
        <v>0</v>
      </c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>
        <v>1</v>
      </c>
      <c r="AA310" s="60"/>
      <c r="AB310" s="60"/>
      <c r="AC310" s="60"/>
      <c r="AD310" s="60"/>
      <c r="AE310" s="60"/>
      <c r="AF310" s="60"/>
      <c r="AG310" s="60"/>
      <c r="AH310" s="60"/>
      <c r="AI310" s="60"/>
      <c r="AJ310" s="60"/>
      <c r="AK310" s="64">
        <f t="shared" si="31"/>
        <v>151.63</v>
      </c>
    </row>
    <row r="311" spans="1:37" x14ac:dyDescent="0.25">
      <c r="A311" s="58"/>
      <c r="B311" s="59" t="str">
        <f t="shared" ca="1" si="34"/>
        <v>VENCIDO</v>
      </c>
      <c r="C311" s="60" t="s">
        <v>869</v>
      </c>
      <c r="D311" s="61" t="s">
        <v>1270</v>
      </c>
      <c r="E311" s="62" t="s">
        <v>1058</v>
      </c>
      <c r="F311" s="61" t="s">
        <v>775</v>
      </c>
      <c r="G311" s="60" t="s">
        <v>213</v>
      </c>
      <c r="H311" s="63">
        <v>45536</v>
      </c>
      <c r="I311" s="63">
        <f t="shared" ref="I311:I316" si="35">H311-180</f>
        <v>45356</v>
      </c>
      <c r="J311" s="60">
        <f t="shared" si="33"/>
        <v>7</v>
      </c>
      <c r="K311" s="60">
        <f t="shared" si="30"/>
        <v>0</v>
      </c>
      <c r="L311" s="60"/>
      <c r="M311" s="60"/>
      <c r="N311" s="60"/>
      <c r="O311" s="60"/>
      <c r="P311" s="60"/>
      <c r="Q311" s="60">
        <v>5</v>
      </c>
      <c r="R311" s="60"/>
      <c r="S311" s="60"/>
      <c r="T311" s="60">
        <v>1</v>
      </c>
      <c r="U311" s="60"/>
      <c r="V311" s="60"/>
      <c r="W311" s="60"/>
      <c r="X311" s="60"/>
      <c r="Y311" s="60"/>
      <c r="Z311" s="60"/>
      <c r="AA311" s="60">
        <v>1</v>
      </c>
      <c r="AB311" s="60"/>
      <c r="AC311" s="60"/>
      <c r="AD311" s="60"/>
      <c r="AE311" s="60"/>
      <c r="AF311" s="60"/>
      <c r="AG311" s="60"/>
      <c r="AH311" s="60"/>
      <c r="AI311" s="60"/>
      <c r="AJ311" s="60"/>
      <c r="AK311" s="64">
        <f t="shared" si="31"/>
        <v>2342.0600000000004</v>
      </c>
    </row>
    <row r="312" spans="1:37" x14ac:dyDescent="0.25">
      <c r="A312" s="58" t="s">
        <v>770</v>
      </c>
      <c r="B312" s="59" t="str">
        <f t="shared" ca="1" si="34"/>
        <v>VENCIDO</v>
      </c>
      <c r="C312" s="60" t="s">
        <v>869</v>
      </c>
      <c r="D312" s="61" t="s">
        <v>1271</v>
      </c>
      <c r="E312" s="62" t="s">
        <v>1058</v>
      </c>
      <c r="F312" s="61" t="s">
        <v>775</v>
      </c>
      <c r="G312" s="60" t="s">
        <v>213</v>
      </c>
      <c r="H312" s="63">
        <v>45566</v>
      </c>
      <c r="I312" s="63">
        <f t="shared" si="35"/>
        <v>45386</v>
      </c>
      <c r="J312" s="60">
        <f t="shared" si="33"/>
        <v>9</v>
      </c>
      <c r="K312" s="60">
        <f t="shared" si="30"/>
        <v>0</v>
      </c>
      <c r="L312" s="60"/>
      <c r="M312" s="60"/>
      <c r="N312" s="60"/>
      <c r="O312" s="60">
        <v>6</v>
      </c>
      <c r="P312" s="60"/>
      <c r="Q312" s="60"/>
      <c r="R312" s="60"/>
      <c r="S312" s="60"/>
      <c r="T312" s="60">
        <v>1</v>
      </c>
      <c r="U312" s="60"/>
      <c r="V312" s="60"/>
      <c r="W312" s="60"/>
      <c r="X312" s="60"/>
      <c r="Y312" s="60"/>
      <c r="Z312" s="60"/>
      <c r="AA312" s="60">
        <v>2</v>
      </c>
      <c r="AB312" s="60"/>
      <c r="AC312" s="60"/>
      <c r="AD312" s="60"/>
      <c r="AE312" s="60"/>
      <c r="AF312" s="60"/>
      <c r="AG312" s="60"/>
      <c r="AH312" s="60"/>
      <c r="AI312" s="60"/>
      <c r="AJ312" s="60"/>
      <c r="AK312" s="64">
        <f t="shared" si="31"/>
        <v>2150.0700000000002</v>
      </c>
    </row>
    <row r="313" spans="1:37" x14ac:dyDescent="0.25">
      <c r="A313" s="58" t="s">
        <v>783</v>
      </c>
      <c r="B313" s="59" t="str">
        <f t="shared" ca="1" si="34"/>
        <v>VENCIDO</v>
      </c>
      <c r="C313" s="60" t="s">
        <v>869</v>
      </c>
      <c r="D313" s="61" t="s">
        <v>1272</v>
      </c>
      <c r="E313" s="62" t="s">
        <v>1058</v>
      </c>
      <c r="F313" s="61" t="s">
        <v>775</v>
      </c>
      <c r="G313" s="60" t="s">
        <v>213</v>
      </c>
      <c r="H313" s="63">
        <v>45536</v>
      </c>
      <c r="I313" s="63">
        <f t="shared" si="35"/>
        <v>45356</v>
      </c>
      <c r="J313" s="60">
        <f t="shared" si="33"/>
        <v>7</v>
      </c>
      <c r="K313" s="60">
        <f t="shared" si="30"/>
        <v>0</v>
      </c>
      <c r="L313" s="60"/>
      <c r="M313" s="60"/>
      <c r="N313" s="60"/>
      <c r="O313" s="60"/>
      <c r="P313" s="60"/>
      <c r="Q313" s="60"/>
      <c r="R313" s="60"/>
      <c r="S313" s="60"/>
      <c r="T313" s="60">
        <v>1</v>
      </c>
      <c r="U313" s="60"/>
      <c r="V313" s="60"/>
      <c r="W313" s="60"/>
      <c r="X313" s="60">
        <v>5</v>
      </c>
      <c r="Y313" s="60"/>
      <c r="Z313" s="60"/>
      <c r="AA313" s="60">
        <v>1</v>
      </c>
      <c r="AB313" s="60"/>
      <c r="AC313" s="60"/>
      <c r="AD313" s="60"/>
      <c r="AE313" s="60"/>
      <c r="AF313" s="60"/>
      <c r="AG313" s="60"/>
      <c r="AH313" s="60"/>
      <c r="AI313" s="60"/>
      <c r="AJ313" s="60"/>
      <c r="AK313" s="64">
        <f t="shared" si="31"/>
        <v>4273.76</v>
      </c>
    </row>
    <row r="314" spans="1:37" hidden="1" x14ac:dyDescent="0.25">
      <c r="A314" s="58" t="s">
        <v>811</v>
      </c>
      <c r="B314" s="59" t="str">
        <f t="shared" ca="1" si="34"/>
        <v>VENCIDO</v>
      </c>
      <c r="C314" s="60" t="s">
        <v>824</v>
      </c>
      <c r="D314" s="61" t="s">
        <v>1273</v>
      </c>
      <c r="E314" s="62" t="s">
        <v>428</v>
      </c>
      <c r="F314" s="61" t="s">
        <v>793</v>
      </c>
      <c r="G314" s="60" t="s">
        <v>213</v>
      </c>
      <c r="H314" s="63">
        <v>45323</v>
      </c>
      <c r="I314" s="63">
        <f t="shared" si="35"/>
        <v>45143</v>
      </c>
      <c r="J314" s="60">
        <f t="shared" si="33"/>
        <v>1</v>
      </c>
      <c r="K314" s="60">
        <f t="shared" si="30"/>
        <v>0</v>
      </c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>
        <v>1</v>
      </c>
      <c r="AA314" s="60"/>
      <c r="AB314" s="60"/>
      <c r="AC314" s="60"/>
      <c r="AD314" s="60"/>
      <c r="AE314" s="60"/>
      <c r="AF314" s="60"/>
      <c r="AG314" s="60"/>
      <c r="AH314" s="60"/>
      <c r="AI314" s="60"/>
      <c r="AJ314" s="60"/>
      <c r="AK314" s="64">
        <f t="shared" si="31"/>
        <v>151.63</v>
      </c>
    </row>
    <row r="315" spans="1:37" hidden="1" x14ac:dyDescent="0.25">
      <c r="A315" s="58" t="s">
        <v>770</v>
      </c>
      <c r="B315" s="59" t="str">
        <f t="shared" ca="1" si="34"/>
        <v>VENCIDO</v>
      </c>
      <c r="C315" s="60" t="s">
        <v>869</v>
      </c>
      <c r="D315" s="61" t="s">
        <v>1274</v>
      </c>
      <c r="E315" s="62" t="s">
        <v>196</v>
      </c>
      <c r="F315" s="61" t="s">
        <v>793</v>
      </c>
      <c r="G315" s="60" t="s">
        <v>213</v>
      </c>
      <c r="H315" s="63">
        <v>45413</v>
      </c>
      <c r="I315" s="63">
        <f t="shared" si="35"/>
        <v>45233</v>
      </c>
      <c r="J315" s="60">
        <f t="shared" si="33"/>
        <v>2</v>
      </c>
      <c r="K315" s="60">
        <f t="shared" si="30"/>
        <v>0</v>
      </c>
      <c r="L315" s="60"/>
      <c r="M315" s="60"/>
      <c r="N315" s="60"/>
      <c r="O315" s="60"/>
      <c r="P315" s="60"/>
      <c r="Q315" s="60"/>
      <c r="R315" s="60"/>
      <c r="S315" s="60"/>
      <c r="T315" s="60">
        <v>1</v>
      </c>
      <c r="U315" s="60"/>
      <c r="V315" s="60"/>
      <c r="W315" s="60"/>
      <c r="X315" s="60"/>
      <c r="Y315" s="60"/>
      <c r="Z315" s="60"/>
      <c r="AA315" s="60">
        <v>1</v>
      </c>
      <c r="AB315" s="60"/>
      <c r="AC315" s="60"/>
      <c r="AD315" s="60"/>
      <c r="AE315" s="60"/>
      <c r="AF315" s="60"/>
      <c r="AG315" s="60"/>
      <c r="AH315" s="60"/>
      <c r="AI315" s="60"/>
      <c r="AJ315" s="60"/>
      <c r="AK315" s="64">
        <f t="shared" si="31"/>
        <v>765.31000000000006</v>
      </c>
    </row>
    <row r="316" spans="1:37" hidden="1" x14ac:dyDescent="0.25">
      <c r="A316" s="58" t="s">
        <v>770</v>
      </c>
      <c r="B316" s="59" t="str">
        <f t="shared" ca="1" si="34"/>
        <v>VENCIDO</v>
      </c>
      <c r="C316" s="60" t="s">
        <v>869</v>
      </c>
      <c r="D316" s="61" t="s">
        <v>1275</v>
      </c>
      <c r="E316" s="62" t="s">
        <v>196</v>
      </c>
      <c r="F316" s="61" t="s">
        <v>793</v>
      </c>
      <c r="G316" s="60" t="s">
        <v>213</v>
      </c>
      <c r="H316" s="63">
        <v>45413</v>
      </c>
      <c r="I316" s="63">
        <f t="shared" si="35"/>
        <v>45233</v>
      </c>
      <c r="J316" s="60">
        <f t="shared" si="33"/>
        <v>3</v>
      </c>
      <c r="K316" s="60">
        <f t="shared" si="30"/>
        <v>0</v>
      </c>
      <c r="L316" s="60"/>
      <c r="M316" s="60"/>
      <c r="N316" s="60"/>
      <c r="O316" s="60">
        <v>1</v>
      </c>
      <c r="P316" s="60"/>
      <c r="Q316" s="60"/>
      <c r="R316" s="60"/>
      <c r="S316" s="60"/>
      <c r="T316" s="60">
        <v>1</v>
      </c>
      <c r="U316" s="60"/>
      <c r="V316" s="60"/>
      <c r="W316" s="60"/>
      <c r="X316" s="60"/>
      <c r="Y316" s="60"/>
      <c r="Z316" s="60"/>
      <c r="AA316" s="60">
        <v>1</v>
      </c>
      <c r="AB316" s="60"/>
      <c r="AC316" s="60"/>
      <c r="AD316" s="60"/>
      <c r="AE316" s="60"/>
      <c r="AF316" s="60"/>
      <c r="AG316" s="60"/>
      <c r="AH316" s="60"/>
      <c r="AI316" s="60"/>
      <c r="AJ316" s="60"/>
      <c r="AK316" s="64">
        <f t="shared" si="31"/>
        <v>963.13</v>
      </c>
    </row>
    <row r="317" spans="1:37" hidden="1" x14ac:dyDescent="0.25">
      <c r="A317" s="58" t="s">
        <v>770</v>
      </c>
      <c r="B317" s="59" t="str">
        <f t="shared" ca="1" si="34"/>
        <v>VENCIDO</v>
      </c>
      <c r="C317" s="60" t="s">
        <v>869</v>
      </c>
      <c r="D317" s="61" t="s">
        <v>1276</v>
      </c>
      <c r="E317" s="62" t="s">
        <v>1226</v>
      </c>
      <c r="F317" s="61" t="s">
        <v>793</v>
      </c>
      <c r="G317" s="60" t="s">
        <v>213</v>
      </c>
      <c r="H317" s="63">
        <v>45383</v>
      </c>
      <c r="I317" s="63">
        <v>45383</v>
      </c>
      <c r="J317" s="60">
        <f t="shared" si="33"/>
        <v>2</v>
      </c>
      <c r="K317" s="60">
        <f t="shared" si="30"/>
        <v>0</v>
      </c>
      <c r="L317" s="60"/>
      <c r="M317" s="60"/>
      <c r="N317" s="60"/>
      <c r="O317" s="60"/>
      <c r="P317" s="60"/>
      <c r="Q317" s="60">
        <v>1</v>
      </c>
      <c r="R317" s="60"/>
      <c r="S317" s="60"/>
      <c r="T317" s="60"/>
      <c r="U317" s="60"/>
      <c r="V317" s="60"/>
      <c r="W317" s="60"/>
      <c r="X317" s="60"/>
      <c r="Y317" s="60"/>
      <c r="Z317" s="60"/>
      <c r="AA317" s="60">
        <v>1</v>
      </c>
      <c r="AB317" s="60"/>
      <c r="AC317" s="60"/>
      <c r="AD317" s="60"/>
      <c r="AE317" s="60"/>
      <c r="AF317" s="60"/>
      <c r="AG317" s="60"/>
      <c r="AH317" s="60"/>
      <c r="AI317" s="60"/>
      <c r="AJ317" s="60"/>
      <c r="AK317" s="64">
        <f t="shared" si="31"/>
        <v>513.19000000000005</v>
      </c>
    </row>
    <row r="318" spans="1:37" hidden="1" x14ac:dyDescent="0.25">
      <c r="A318" s="58" t="s">
        <v>783</v>
      </c>
      <c r="B318" s="59" t="str">
        <f t="shared" ca="1" si="34"/>
        <v>VENCIDO</v>
      </c>
      <c r="C318" s="60" t="s">
        <v>869</v>
      </c>
      <c r="D318" s="61" t="s">
        <v>1277</v>
      </c>
      <c r="E318" s="62" t="s">
        <v>944</v>
      </c>
      <c r="F318" s="61" t="s">
        <v>793</v>
      </c>
      <c r="G318" s="60" t="s">
        <v>213</v>
      </c>
      <c r="H318" s="63">
        <v>45323</v>
      </c>
      <c r="I318" s="63">
        <v>45323</v>
      </c>
      <c r="J318" s="60">
        <f t="shared" si="33"/>
        <v>2</v>
      </c>
      <c r="K318" s="60">
        <f t="shared" si="30"/>
        <v>0</v>
      </c>
      <c r="L318" s="60"/>
      <c r="M318" s="60"/>
      <c r="N318" s="60"/>
      <c r="O318" s="60"/>
      <c r="P318" s="60"/>
      <c r="Q318" s="60">
        <v>1</v>
      </c>
      <c r="R318" s="60"/>
      <c r="S318" s="60"/>
      <c r="T318" s="60"/>
      <c r="U318" s="60"/>
      <c r="V318" s="60"/>
      <c r="W318" s="60"/>
      <c r="X318" s="60"/>
      <c r="Y318" s="60"/>
      <c r="Z318" s="60">
        <v>1</v>
      </c>
      <c r="AA318" s="60"/>
      <c r="AB318" s="60"/>
      <c r="AC318" s="60"/>
      <c r="AD318" s="60"/>
      <c r="AE318" s="60"/>
      <c r="AF318" s="60"/>
      <c r="AG318" s="60"/>
      <c r="AH318" s="60"/>
      <c r="AI318" s="60"/>
      <c r="AJ318" s="60"/>
      <c r="AK318" s="64">
        <f t="shared" si="31"/>
        <v>466.98</v>
      </c>
    </row>
    <row r="319" spans="1:37" hidden="1" x14ac:dyDescent="0.25">
      <c r="A319" s="58" t="s">
        <v>770</v>
      </c>
      <c r="B319" s="59" t="str">
        <f t="shared" ca="1" si="34"/>
        <v>VENCIDO</v>
      </c>
      <c r="C319" s="60" t="s">
        <v>869</v>
      </c>
      <c r="D319" s="61" t="s">
        <v>1278</v>
      </c>
      <c r="E319" s="62" t="s">
        <v>946</v>
      </c>
      <c r="F319" s="61" t="s">
        <v>778</v>
      </c>
      <c r="G319" s="60" t="s">
        <v>213</v>
      </c>
      <c r="H319" s="63">
        <v>45444</v>
      </c>
      <c r="I319" s="63">
        <v>45444</v>
      </c>
      <c r="J319" s="60">
        <f t="shared" si="33"/>
        <v>2</v>
      </c>
      <c r="K319" s="60">
        <f t="shared" si="30"/>
        <v>0</v>
      </c>
      <c r="L319" s="60"/>
      <c r="M319" s="60"/>
      <c r="N319" s="60"/>
      <c r="O319" s="60"/>
      <c r="P319" s="60"/>
      <c r="Q319" s="60">
        <v>1</v>
      </c>
      <c r="R319" s="60"/>
      <c r="S319" s="60"/>
      <c r="T319" s="60"/>
      <c r="U319" s="60"/>
      <c r="V319" s="60"/>
      <c r="W319" s="60"/>
      <c r="X319" s="60"/>
      <c r="Y319" s="60"/>
      <c r="Z319" s="60"/>
      <c r="AA319" s="60">
        <v>1</v>
      </c>
      <c r="AB319" s="60"/>
      <c r="AC319" s="60"/>
      <c r="AD319" s="60"/>
      <c r="AE319" s="60"/>
      <c r="AF319" s="60"/>
      <c r="AG319" s="60"/>
      <c r="AH319" s="60"/>
      <c r="AI319" s="60"/>
      <c r="AJ319" s="60"/>
      <c r="AK319" s="64">
        <f t="shared" si="31"/>
        <v>513.19000000000005</v>
      </c>
    </row>
    <row r="320" spans="1:37" x14ac:dyDescent="0.25">
      <c r="A320" s="58"/>
      <c r="B320" s="59" t="str">
        <f t="shared" ca="1" si="34"/>
        <v>VENCIDO</v>
      </c>
      <c r="C320" s="60" t="s">
        <v>869</v>
      </c>
      <c r="D320" s="61" t="s">
        <v>1279</v>
      </c>
      <c r="E320" s="62" t="s">
        <v>1280</v>
      </c>
      <c r="F320" s="61" t="s">
        <v>775</v>
      </c>
      <c r="G320" s="60" t="s">
        <v>213</v>
      </c>
      <c r="H320" s="63">
        <v>45536</v>
      </c>
      <c r="I320" s="63">
        <f>H320-180</f>
        <v>45356</v>
      </c>
      <c r="J320" s="60">
        <f t="shared" si="33"/>
        <v>2</v>
      </c>
      <c r="K320" s="60">
        <f t="shared" si="30"/>
        <v>0</v>
      </c>
      <c r="L320" s="60"/>
      <c r="M320" s="60"/>
      <c r="N320" s="60"/>
      <c r="O320" s="60"/>
      <c r="P320" s="60"/>
      <c r="Q320" s="60">
        <v>1</v>
      </c>
      <c r="R320" s="60"/>
      <c r="S320" s="60"/>
      <c r="T320" s="60"/>
      <c r="U320" s="60"/>
      <c r="V320" s="60"/>
      <c r="W320" s="60"/>
      <c r="X320" s="60"/>
      <c r="Y320" s="60"/>
      <c r="Z320" s="60"/>
      <c r="AA320" s="60">
        <v>1</v>
      </c>
      <c r="AB320" s="60"/>
      <c r="AC320" s="60"/>
      <c r="AD320" s="60"/>
      <c r="AE320" s="60"/>
      <c r="AF320" s="60"/>
      <c r="AG320" s="60"/>
      <c r="AH320" s="60"/>
      <c r="AI320" s="60"/>
      <c r="AJ320" s="60"/>
      <c r="AK320" s="64">
        <f t="shared" si="31"/>
        <v>513.19000000000005</v>
      </c>
    </row>
    <row r="321" spans="1:37" x14ac:dyDescent="0.25">
      <c r="A321" s="58" t="s">
        <v>938</v>
      </c>
      <c r="B321" s="59" t="str">
        <f t="shared" ca="1" si="34"/>
        <v>VENCIDO</v>
      </c>
      <c r="C321" s="60" t="s">
        <v>869</v>
      </c>
      <c r="D321" s="61" t="s">
        <v>1281</v>
      </c>
      <c r="E321" s="62" t="s">
        <v>223</v>
      </c>
      <c r="F321" s="61" t="s">
        <v>775</v>
      </c>
      <c r="G321" s="60" t="s">
        <v>213</v>
      </c>
      <c r="H321" s="63">
        <v>45444</v>
      </c>
      <c r="I321" s="63">
        <f>H321-180</f>
        <v>45264</v>
      </c>
      <c r="J321" s="60">
        <f t="shared" si="33"/>
        <v>2</v>
      </c>
      <c r="K321" s="60">
        <f t="shared" si="30"/>
        <v>0</v>
      </c>
      <c r="L321" s="60"/>
      <c r="M321" s="60"/>
      <c r="N321" s="60"/>
      <c r="O321" s="60">
        <v>2</v>
      </c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  <c r="AA321" s="60"/>
      <c r="AB321" s="60"/>
      <c r="AC321" s="60"/>
      <c r="AD321" s="60"/>
      <c r="AE321" s="60"/>
      <c r="AF321" s="60"/>
      <c r="AG321" s="60"/>
      <c r="AH321" s="60"/>
      <c r="AI321" s="60"/>
      <c r="AJ321" s="60"/>
      <c r="AK321" s="64">
        <f t="shared" si="31"/>
        <v>395.64</v>
      </c>
    </row>
    <row r="322" spans="1:37" hidden="1" x14ac:dyDescent="0.25">
      <c r="A322" s="58"/>
      <c r="B322" s="59" t="str">
        <f t="shared" ca="1" si="34"/>
        <v>VENCIDO</v>
      </c>
      <c r="C322" s="60" t="s">
        <v>869</v>
      </c>
      <c r="D322" s="61" t="s">
        <v>1282</v>
      </c>
      <c r="E322" s="62" t="s">
        <v>1181</v>
      </c>
      <c r="F322" s="61" t="s">
        <v>793</v>
      </c>
      <c r="G322" s="60" t="s">
        <v>213</v>
      </c>
      <c r="H322" s="63">
        <v>45413</v>
      </c>
      <c r="I322" s="63">
        <v>45413</v>
      </c>
      <c r="J322" s="60">
        <f t="shared" si="33"/>
        <v>2</v>
      </c>
      <c r="K322" s="60">
        <f t="shared" si="30"/>
        <v>0</v>
      </c>
      <c r="L322" s="60"/>
      <c r="M322" s="60"/>
      <c r="N322" s="60"/>
      <c r="O322" s="60">
        <v>1</v>
      </c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  <c r="AA322" s="60">
        <v>1</v>
      </c>
      <c r="AB322" s="60"/>
      <c r="AC322" s="60"/>
      <c r="AD322" s="60"/>
      <c r="AE322" s="60"/>
      <c r="AF322" s="60"/>
      <c r="AG322" s="60"/>
      <c r="AH322" s="60"/>
      <c r="AI322" s="60"/>
      <c r="AJ322" s="60"/>
      <c r="AK322" s="64">
        <f t="shared" si="31"/>
        <v>395.65999999999997</v>
      </c>
    </row>
    <row r="323" spans="1:37" hidden="1" x14ac:dyDescent="0.25">
      <c r="A323" s="58"/>
      <c r="B323" s="59" t="str">
        <f t="shared" ca="1" si="34"/>
        <v>VENCIDO</v>
      </c>
      <c r="C323" s="60" t="s">
        <v>869</v>
      </c>
      <c r="D323" s="61" t="s">
        <v>1283</v>
      </c>
      <c r="E323" s="62" t="s">
        <v>1181</v>
      </c>
      <c r="F323" s="61" t="s">
        <v>793</v>
      </c>
      <c r="G323" s="60" t="s">
        <v>213</v>
      </c>
      <c r="H323" s="63">
        <v>45505</v>
      </c>
      <c r="I323" s="63">
        <f>H323-180</f>
        <v>45325</v>
      </c>
      <c r="J323" s="60">
        <f t="shared" si="33"/>
        <v>8</v>
      </c>
      <c r="K323" s="60">
        <f t="shared" ref="K323:K386" si="36">SUM(AF323:AJ323)</f>
        <v>0</v>
      </c>
      <c r="L323" s="60"/>
      <c r="M323" s="60"/>
      <c r="N323" s="60"/>
      <c r="O323" s="60"/>
      <c r="P323" s="60"/>
      <c r="Q323" s="60">
        <v>4</v>
      </c>
      <c r="R323" s="60"/>
      <c r="S323" s="60"/>
      <c r="T323" s="60">
        <v>2</v>
      </c>
      <c r="U323" s="60"/>
      <c r="V323" s="60"/>
      <c r="W323" s="60"/>
      <c r="X323" s="60"/>
      <c r="Y323" s="60"/>
      <c r="Z323" s="60"/>
      <c r="AA323" s="60">
        <v>2</v>
      </c>
      <c r="AB323" s="60"/>
      <c r="AC323" s="60"/>
      <c r="AD323" s="60"/>
      <c r="AE323" s="60"/>
      <c r="AF323" s="60"/>
      <c r="AG323" s="60"/>
      <c r="AH323" s="60"/>
      <c r="AI323" s="60"/>
      <c r="AJ323" s="60"/>
      <c r="AK323" s="64">
        <f t="shared" ref="AK323:AK386" si="37">IF(L323&gt;0,L323*90.44,0)+IF(M323&gt;0,M323*348.12,0)+IF(N323&gt;0,N323*151.63,0)+IF(O323&gt;0,O323*197.82,0)+IF(P323&gt;0,P323*244.09,0)+IF(Q323&gt;0,Q323*315.35,0)+IF(R323&gt;0,R323*1067.3,0)+IF(T323&gt;0,T323*567.47,0)+IF(U323&gt;0,U323*151.63,0)+IF(V323&gt;0,V323*197.84,0)+IF(W323&gt;0,W323*470.51,0)+IF(X323&gt;0,X323*701.69,0)+IF(Z323&gt;0,Z323*151.63,0)+IF(AA323&gt;0,AA323*197.84)+IF(AB323&gt;0,AB323*308.4,0)+IF(AC323&gt;0,AC323*496.16,0)</f>
        <v>2792.02</v>
      </c>
    </row>
    <row r="324" spans="1:37" hidden="1" x14ac:dyDescent="0.25">
      <c r="A324" s="58" t="s">
        <v>849</v>
      </c>
      <c r="B324" s="59" t="str">
        <f t="shared" ca="1" si="34"/>
        <v>VENCIDO</v>
      </c>
      <c r="C324" s="60" t="s">
        <v>869</v>
      </c>
      <c r="D324" s="61" t="s">
        <v>1284</v>
      </c>
      <c r="E324" s="62" t="s">
        <v>1062</v>
      </c>
      <c r="F324" s="61" t="s">
        <v>778</v>
      </c>
      <c r="G324" s="60" t="s">
        <v>213</v>
      </c>
      <c r="H324" s="63">
        <v>45444</v>
      </c>
      <c r="I324" s="63">
        <v>45444</v>
      </c>
      <c r="J324" s="60">
        <f t="shared" si="33"/>
        <v>3</v>
      </c>
      <c r="K324" s="60">
        <f t="shared" si="36"/>
        <v>0</v>
      </c>
      <c r="L324" s="60"/>
      <c r="M324" s="60"/>
      <c r="N324" s="60"/>
      <c r="O324" s="60"/>
      <c r="P324" s="60">
        <v>1</v>
      </c>
      <c r="Q324" s="60"/>
      <c r="R324" s="60"/>
      <c r="S324" s="60"/>
      <c r="T324" s="60">
        <v>1</v>
      </c>
      <c r="U324" s="60"/>
      <c r="V324" s="60"/>
      <c r="W324" s="60"/>
      <c r="X324" s="60"/>
      <c r="Y324" s="60"/>
      <c r="Z324" s="60"/>
      <c r="AA324" s="60">
        <v>1</v>
      </c>
      <c r="AB324" s="60"/>
      <c r="AC324" s="60"/>
      <c r="AD324" s="60"/>
      <c r="AE324" s="60"/>
      <c r="AF324" s="60"/>
      <c r="AG324" s="60"/>
      <c r="AH324" s="60"/>
      <c r="AI324" s="60"/>
      <c r="AJ324" s="60"/>
      <c r="AK324" s="64">
        <f t="shared" si="37"/>
        <v>1009.4000000000001</v>
      </c>
    </row>
    <row r="325" spans="1:37" hidden="1" x14ac:dyDescent="0.25">
      <c r="A325" s="58" t="s">
        <v>770</v>
      </c>
      <c r="B325" s="59" t="str">
        <f t="shared" ca="1" si="34"/>
        <v>VENCIDO</v>
      </c>
      <c r="C325" s="60" t="s">
        <v>869</v>
      </c>
      <c r="D325" s="61" t="s">
        <v>1285</v>
      </c>
      <c r="E325" s="62" t="s">
        <v>1286</v>
      </c>
      <c r="F325" s="61" t="s">
        <v>778</v>
      </c>
      <c r="G325" s="60" t="s">
        <v>213</v>
      </c>
      <c r="H325" s="63">
        <v>45444</v>
      </c>
      <c r="I325" s="63">
        <v>45444</v>
      </c>
      <c r="J325" s="60">
        <f t="shared" si="33"/>
        <v>2</v>
      </c>
      <c r="K325" s="60">
        <f t="shared" si="36"/>
        <v>0</v>
      </c>
      <c r="L325" s="60"/>
      <c r="M325" s="60"/>
      <c r="N325" s="60"/>
      <c r="O325" s="60"/>
      <c r="P325" s="60"/>
      <c r="Q325" s="60">
        <v>1</v>
      </c>
      <c r="R325" s="60"/>
      <c r="S325" s="60"/>
      <c r="T325" s="60"/>
      <c r="U325" s="60"/>
      <c r="V325" s="60"/>
      <c r="W325" s="60"/>
      <c r="X325" s="60"/>
      <c r="Y325" s="60"/>
      <c r="Z325" s="60"/>
      <c r="AA325" s="60">
        <v>1</v>
      </c>
      <c r="AB325" s="60"/>
      <c r="AC325" s="60"/>
      <c r="AD325" s="60"/>
      <c r="AE325" s="60"/>
      <c r="AF325" s="60"/>
      <c r="AG325" s="60"/>
      <c r="AH325" s="60"/>
      <c r="AI325" s="60"/>
      <c r="AJ325" s="60"/>
      <c r="AK325" s="64">
        <f t="shared" si="37"/>
        <v>513.19000000000005</v>
      </c>
    </row>
    <row r="326" spans="1:37" x14ac:dyDescent="0.25">
      <c r="A326" s="58" t="s">
        <v>938</v>
      </c>
      <c r="B326" s="59" t="str">
        <f t="shared" ca="1" si="34"/>
        <v>VENCIDO</v>
      </c>
      <c r="C326" s="60" t="s">
        <v>869</v>
      </c>
      <c r="D326" s="61" t="s">
        <v>1287</v>
      </c>
      <c r="E326" s="62" t="s">
        <v>574</v>
      </c>
      <c r="F326" s="61" t="s">
        <v>775</v>
      </c>
      <c r="G326" s="60" t="s">
        <v>213</v>
      </c>
      <c r="H326" s="63">
        <v>45444</v>
      </c>
      <c r="I326" s="63">
        <v>45292</v>
      </c>
      <c r="J326" s="60">
        <f t="shared" si="33"/>
        <v>4</v>
      </c>
      <c r="K326" s="60">
        <f t="shared" si="36"/>
        <v>0</v>
      </c>
      <c r="L326" s="60"/>
      <c r="M326" s="60"/>
      <c r="N326" s="60"/>
      <c r="O326" s="60"/>
      <c r="P326" s="60"/>
      <c r="Q326" s="60">
        <v>2</v>
      </c>
      <c r="R326" s="60"/>
      <c r="S326" s="60"/>
      <c r="T326" s="60"/>
      <c r="U326" s="60"/>
      <c r="V326" s="60"/>
      <c r="W326" s="60"/>
      <c r="X326" s="60"/>
      <c r="Y326" s="60"/>
      <c r="Z326" s="60"/>
      <c r="AA326" s="60">
        <v>2</v>
      </c>
      <c r="AB326" s="60"/>
      <c r="AC326" s="60"/>
      <c r="AD326" s="60"/>
      <c r="AE326" s="60"/>
      <c r="AF326" s="60"/>
      <c r="AG326" s="60"/>
      <c r="AH326" s="60"/>
      <c r="AI326" s="60"/>
      <c r="AJ326" s="60"/>
      <c r="AK326" s="64">
        <f t="shared" si="37"/>
        <v>1026.3800000000001</v>
      </c>
    </row>
    <row r="327" spans="1:37" x14ac:dyDescent="0.25">
      <c r="A327" s="58" t="s">
        <v>770</v>
      </c>
      <c r="B327" s="59" t="str">
        <f t="shared" ca="1" si="34"/>
        <v>VENCIDO</v>
      </c>
      <c r="C327" s="60" t="s">
        <v>869</v>
      </c>
      <c r="D327" s="61" t="s">
        <v>1288</v>
      </c>
      <c r="E327" s="62" t="s">
        <v>1289</v>
      </c>
      <c r="F327" s="61" t="s">
        <v>775</v>
      </c>
      <c r="G327" s="60" t="s">
        <v>213</v>
      </c>
      <c r="H327" s="63">
        <v>45444</v>
      </c>
      <c r="I327" s="63">
        <v>45444</v>
      </c>
      <c r="J327" s="60">
        <f t="shared" si="33"/>
        <v>6</v>
      </c>
      <c r="K327" s="60">
        <f t="shared" si="36"/>
        <v>0</v>
      </c>
      <c r="L327" s="60"/>
      <c r="M327" s="60"/>
      <c r="N327" s="60"/>
      <c r="O327" s="60">
        <v>1</v>
      </c>
      <c r="P327" s="60"/>
      <c r="Q327" s="60">
        <v>3</v>
      </c>
      <c r="R327" s="60"/>
      <c r="S327" s="60"/>
      <c r="T327" s="60">
        <v>1</v>
      </c>
      <c r="U327" s="60"/>
      <c r="V327" s="60"/>
      <c r="W327" s="60"/>
      <c r="X327" s="60"/>
      <c r="Y327" s="60"/>
      <c r="Z327" s="60"/>
      <c r="AA327" s="60">
        <v>1</v>
      </c>
      <c r="AB327" s="60"/>
      <c r="AC327" s="60"/>
      <c r="AD327" s="60"/>
      <c r="AE327" s="60"/>
      <c r="AF327" s="60"/>
      <c r="AG327" s="60"/>
      <c r="AH327" s="60"/>
      <c r="AI327" s="60"/>
      <c r="AJ327" s="60"/>
      <c r="AK327" s="64">
        <f t="shared" si="37"/>
        <v>1909.18</v>
      </c>
    </row>
    <row r="328" spans="1:37" hidden="1" x14ac:dyDescent="0.25">
      <c r="A328" s="58" t="s">
        <v>1151</v>
      </c>
      <c r="B328" s="59" t="str">
        <f t="shared" ca="1" si="34"/>
        <v>VENCIDO</v>
      </c>
      <c r="C328" s="60" t="s">
        <v>869</v>
      </c>
      <c r="D328" s="61" t="s">
        <v>1290</v>
      </c>
      <c r="E328" s="62" t="s">
        <v>1291</v>
      </c>
      <c r="F328" s="61" t="s">
        <v>778</v>
      </c>
      <c r="G328" s="60" t="s">
        <v>213</v>
      </c>
      <c r="H328" s="63">
        <v>45292</v>
      </c>
      <c r="I328" s="63">
        <f>H328-180</f>
        <v>45112</v>
      </c>
      <c r="J328" s="60">
        <f t="shared" si="33"/>
        <v>4</v>
      </c>
      <c r="K328" s="60">
        <f t="shared" si="36"/>
        <v>0</v>
      </c>
      <c r="L328" s="60"/>
      <c r="M328" s="60"/>
      <c r="N328" s="60"/>
      <c r="O328" s="60"/>
      <c r="P328" s="60"/>
      <c r="Q328" s="60">
        <v>2</v>
      </c>
      <c r="R328" s="60"/>
      <c r="S328" s="60"/>
      <c r="T328" s="60"/>
      <c r="U328" s="60"/>
      <c r="V328" s="60"/>
      <c r="W328" s="60"/>
      <c r="X328" s="60"/>
      <c r="Y328" s="60"/>
      <c r="Z328" s="60"/>
      <c r="AA328" s="60">
        <v>2</v>
      </c>
      <c r="AB328" s="60"/>
      <c r="AC328" s="60"/>
      <c r="AD328" s="60"/>
      <c r="AE328" s="60"/>
      <c r="AF328" s="60"/>
      <c r="AG328" s="60"/>
      <c r="AH328" s="60"/>
      <c r="AI328" s="60"/>
      <c r="AJ328" s="60"/>
      <c r="AK328" s="64">
        <f t="shared" si="37"/>
        <v>1026.3800000000001</v>
      </c>
    </row>
    <row r="329" spans="1:37" x14ac:dyDescent="0.25">
      <c r="A329" s="58"/>
      <c r="B329" s="59" t="str">
        <f t="shared" ca="1" si="34"/>
        <v>VENCIDO</v>
      </c>
      <c r="C329" s="60" t="s">
        <v>869</v>
      </c>
      <c r="D329" s="61" t="s">
        <v>1292</v>
      </c>
      <c r="E329" s="62" t="s">
        <v>1293</v>
      </c>
      <c r="F329" s="61" t="s">
        <v>775</v>
      </c>
      <c r="G329" s="60" t="s">
        <v>213</v>
      </c>
      <c r="H329" s="63">
        <v>45444</v>
      </c>
      <c r="I329" s="63">
        <v>45444</v>
      </c>
      <c r="J329" s="60">
        <f t="shared" si="33"/>
        <v>4</v>
      </c>
      <c r="K329" s="60">
        <f t="shared" si="36"/>
        <v>0</v>
      </c>
      <c r="L329" s="60"/>
      <c r="M329" s="60"/>
      <c r="N329" s="60"/>
      <c r="O329" s="60"/>
      <c r="P329" s="60"/>
      <c r="Q329" s="60"/>
      <c r="R329" s="60">
        <v>1</v>
      </c>
      <c r="S329" s="60"/>
      <c r="T329" s="60"/>
      <c r="U329" s="60"/>
      <c r="V329" s="60"/>
      <c r="W329" s="60"/>
      <c r="X329" s="60"/>
      <c r="Y329" s="60"/>
      <c r="Z329" s="60"/>
      <c r="AA329" s="60">
        <v>3</v>
      </c>
      <c r="AB329" s="60"/>
      <c r="AC329" s="60"/>
      <c r="AD329" s="60"/>
      <c r="AE329" s="60"/>
      <c r="AF329" s="60"/>
      <c r="AG329" s="60"/>
      <c r="AH329" s="60"/>
      <c r="AI329" s="60"/>
      <c r="AJ329" s="60"/>
      <c r="AK329" s="64">
        <f t="shared" si="37"/>
        <v>1660.82</v>
      </c>
    </row>
    <row r="330" spans="1:37" x14ac:dyDescent="0.25">
      <c r="A330" s="58" t="s">
        <v>770</v>
      </c>
      <c r="B330" s="59" t="str">
        <f t="shared" ca="1" si="34"/>
        <v>VENCIDO</v>
      </c>
      <c r="C330" s="60" t="s">
        <v>869</v>
      </c>
      <c r="D330" s="61" t="s">
        <v>1294</v>
      </c>
      <c r="E330" s="62" t="s">
        <v>1289</v>
      </c>
      <c r="F330" s="61" t="s">
        <v>775</v>
      </c>
      <c r="G330" s="60" t="s">
        <v>213</v>
      </c>
      <c r="H330" s="63">
        <v>45078</v>
      </c>
      <c r="I330" s="63">
        <v>45078</v>
      </c>
      <c r="J330" s="60">
        <f t="shared" si="33"/>
        <v>2</v>
      </c>
      <c r="K330" s="60">
        <f t="shared" si="36"/>
        <v>0</v>
      </c>
      <c r="L330" s="60"/>
      <c r="M330" s="60"/>
      <c r="N330" s="60"/>
      <c r="O330" s="60"/>
      <c r="P330" s="60"/>
      <c r="Q330" s="60">
        <v>1</v>
      </c>
      <c r="R330" s="60"/>
      <c r="S330" s="60"/>
      <c r="T330" s="60"/>
      <c r="U330" s="60"/>
      <c r="V330" s="60"/>
      <c r="W330" s="60"/>
      <c r="X330" s="60"/>
      <c r="Y330" s="60"/>
      <c r="Z330" s="60"/>
      <c r="AA330" s="60">
        <v>1</v>
      </c>
      <c r="AB330" s="60"/>
      <c r="AC330" s="60"/>
      <c r="AD330" s="60"/>
      <c r="AE330" s="60"/>
      <c r="AF330" s="60"/>
      <c r="AG330" s="60"/>
      <c r="AH330" s="60"/>
      <c r="AI330" s="60"/>
      <c r="AJ330" s="60"/>
      <c r="AK330" s="64">
        <f t="shared" si="37"/>
        <v>513.19000000000005</v>
      </c>
    </row>
    <row r="331" spans="1:37" hidden="1" x14ac:dyDescent="0.25">
      <c r="A331" s="58" t="s">
        <v>1151</v>
      </c>
      <c r="B331" s="59" t="str">
        <f t="shared" ca="1" si="34"/>
        <v>VENCIDO</v>
      </c>
      <c r="C331" s="60" t="s">
        <v>869</v>
      </c>
      <c r="D331" s="61" t="s">
        <v>1295</v>
      </c>
      <c r="E331" s="62" t="s">
        <v>954</v>
      </c>
      <c r="F331" s="61" t="s">
        <v>778</v>
      </c>
      <c r="G331" s="60" t="s">
        <v>213</v>
      </c>
      <c r="H331" s="63">
        <v>45352</v>
      </c>
      <c r="I331" s="63">
        <f>H331-180</f>
        <v>45172</v>
      </c>
      <c r="J331" s="60">
        <f t="shared" si="33"/>
        <v>3</v>
      </c>
      <c r="K331" s="60">
        <f t="shared" si="36"/>
        <v>0</v>
      </c>
      <c r="L331" s="60"/>
      <c r="M331" s="60"/>
      <c r="N331" s="60"/>
      <c r="O331" s="60"/>
      <c r="P331" s="60"/>
      <c r="Q331" s="60">
        <v>2</v>
      </c>
      <c r="R331" s="60"/>
      <c r="S331" s="60"/>
      <c r="T331" s="60">
        <v>1</v>
      </c>
      <c r="U331" s="60"/>
      <c r="V331" s="60"/>
      <c r="W331" s="60"/>
      <c r="X331" s="60"/>
      <c r="Y331" s="60"/>
      <c r="Z331" s="60"/>
      <c r="AA331" s="60"/>
      <c r="AB331" s="60"/>
      <c r="AC331" s="60"/>
      <c r="AD331" s="60"/>
      <c r="AE331" s="60"/>
      <c r="AF331" s="60"/>
      <c r="AG331" s="60"/>
      <c r="AH331" s="60"/>
      <c r="AI331" s="60"/>
      <c r="AJ331" s="60"/>
      <c r="AK331" s="64">
        <f t="shared" si="37"/>
        <v>1198.17</v>
      </c>
    </row>
    <row r="332" spans="1:37" hidden="1" x14ac:dyDescent="0.25">
      <c r="A332" s="58" t="s">
        <v>783</v>
      </c>
      <c r="B332" s="59" t="str">
        <f t="shared" ca="1" si="34"/>
        <v>VENCIDO</v>
      </c>
      <c r="C332" s="60" t="s">
        <v>869</v>
      </c>
      <c r="D332" s="61" t="s">
        <v>1296</v>
      </c>
      <c r="E332" s="62" t="s">
        <v>799</v>
      </c>
      <c r="F332" s="61" t="s">
        <v>778</v>
      </c>
      <c r="G332" s="60" t="s">
        <v>213</v>
      </c>
      <c r="H332" s="63">
        <v>45566</v>
      </c>
      <c r="I332" s="63">
        <v>45566</v>
      </c>
      <c r="J332" s="60">
        <f t="shared" si="33"/>
        <v>5</v>
      </c>
      <c r="K332" s="60">
        <f t="shared" si="36"/>
        <v>0</v>
      </c>
      <c r="L332" s="60"/>
      <c r="M332" s="60"/>
      <c r="N332" s="60"/>
      <c r="O332" s="60"/>
      <c r="P332" s="60"/>
      <c r="Q332" s="60">
        <v>1</v>
      </c>
      <c r="R332" s="60"/>
      <c r="S332" s="60"/>
      <c r="T332" s="60"/>
      <c r="U332" s="60"/>
      <c r="V332" s="60"/>
      <c r="W332" s="60"/>
      <c r="X332" s="60"/>
      <c r="Y332" s="60"/>
      <c r="Z332" s="60"/>
      <c r="AA332" s="60">
        <v>4</v>
      </c>
      <c r="AB332" s="60"/>
      <c r="AC332" s="60"/>
      <c r="AD332" s="60"/>
      <c r="AE332" s="60"/>
      <c r="AF332" s="60"/>
      <c r="AG332" s="60"/>
      <c r="AH332" s="60"/>
      <c r="AI332" s="60"/>
      <c r="AJ332" s="60"/>
      <c r="AK332" s="64">
        <f t="shared" si="37"/>
        <v>1106.71</v>
      </c>
    </row>
    <row r="333" spans="1:37" hidden="1" x14ac:dyDescent="0.25">
      <c r="A333" s="58" t="s">
        <v>783</v>
      </c>
      <c r="B333" s="59" t="str">
        <f t="shared" ca="1" si="34"/>
        <v>VENCIDO</v>
      </c>
      <c r="C333" s="60" t="s">
        <v>869</v>
      </c>
      <c r="D333" s="61" t="s">
        <v>1297</v>
      </c>
      <c r="E333" s="62" t="s">
        <v>799</v>
      </c>
      <c r="F333" s="61" t="s">
        <v>778</v>
      </c>
      <c r="G333" s="60" t="s">
        <v>213</v>
      </c>
      <c r="H333" s="63">
        <v>45566</v>
      </c>
      <c r="I333" s="63">
        <v>45566</v>
      </c>
      <c r="J333" s="60">
        <f t="shared" si="33"/>
        <v>2</v>
      </c>
      <c r="K333" s="60">
        <f t="shared" si="36"/>
        <v>0</v>
      </c>
      <c r="L333" s="60"/>
      <c r="M333" s="60"/>
      <c r="N333" s="60"/>
      <c r="O333" s="60"/>
      <c r="P333" s="60"/>
      <c r="Q333" s="60">
        <v>1</v>
      </c>
      <c r="R333" s="60"/>
      <c r="S333" s="60"/>
      <c r="T333" s="60"/>
      <c r="U333" s="60"/>
      <c r="V333" s="60"/>
      <c r="W333" s="60"/>
      <c r="X333" s="60"/>
      <c r="Y333" s="60"/>
      <c r="Z333" s="60"/>
      <c r="AA333" s="60">
        <v>1</v>
      </c>
      <c r="AB333" s="60"/>
      <c r="AC333" s="60"/>
      <c r="AD333" s="60"/>
      <c r="AE333" s="60"/>
      <c r="AF333" s="60"/>
      <c r="AG333" s="60"/>
      <c r="AH333" s="60"/>
      <c r="AI333" s="60"/>
      <c r="AJ333" s="60"/>
      <c r="AK333" s="64">
        <f t="shared" si="37"/>
        <v>513.19000000000005</v>
      </c>
    </row>
    <row r="334" spans="1:37" x14ac:dyDescent="0.25">
      <c r="A334" s="58" t="s">
        <v>1151</v>
      </c>
      <c r="B334" s="59" t="str">
        <f t="shared" ca="1" si="34"/>
        <v>VENCIDO</v>
      </c>
      <c r="C334" s="60" t="s">
        <v>869</v>
      </c>
      <c r="D334" s="66" t="s">
        <v>1298</v>
      </c>
      <c r="E334" s="62" t="s">
        <v>956</v>
      </c>
      <c r="F334" s="61" t="s">
        <v>775</v>
      </c>
      <c r="G334" s="60" t="s">
        <v>213</v>
      </c>
      <c r="H334" s="63">
        <v>45323</v>
      </c>
      <c r="I334" s="63">
        <v>45323</v>
      </c>
      <c r="J334" s="60">
        <f t="shared" si="33"/>
        <v>6</v>
      </c>
      <c r="K334" s="60">
        <f t="shared" si="36"/>
        <v>0</v>
      </c>
      <c r="L334" s="60"/>
      <c r="M334" s="60"/>
      <c r="N334" s="60"/>
      <c r="O334" s="60"/>
      <c r="P334" s="60">
        <v>2</v>
      </c>
      <c r="Q334" s="60">
        <v>1</v>
      </c>
      <c r="R334" s="60"/>
      <c r="S334" s="60"/>
      <c r="T334" s="60">
        <v>2</v>
      </c>
      <c r="U334" s="60"/>
      <c r="V334" s="60"/>
      <c r="W334" s="60"/>
      <c r="X334" s="60"/>
      <c r="Y334" s="60"/>
      <c r="Z334" s="60"/>
      <c r="AA334" s="60">
        <v>1</v>
      </c>
      <c r="AB334" s="60"/>
      <c r="AC334" s="60"/>
      <c r="AD334" s="60"/>
      <c r="AE334" s="60"/>
      <c r="AF334" s="60"/>
      <c r="AG334" s="60"/>
      <c r="AH334" s="60"/>
      <c r="AI334" s="60"/>
      <c r="AJ334" s="60"/>
      <c r="AK334" s="64">
        <f t="shared" si="37"/>
        <v>2136.31</v>
      </c>
    </row>
    <row r="335" spans="1:37" x14ac:dyDescent="0.25">
      <c r="A335" s="58" t="s">
        <v>770</v>
      </c>
      <c r="B335" s="59" t="str">
        <f t="shared" ca="1" si="34"/>
        <v>VENCIDO</v>
      </c>
      <c r="C335" s="60" t="s">
        <v>869</v>
      </c>
      <c r="D335" s="61" t="s">
        <v>1299</v>
      </c>
      <c r="E335" s="62" t="s">
        <v>1300</v>
      </c>
      <c r="F335" s="61" t="s">
        <v>775</v>
      </c>
      <c r="G335" s="60" t="s">
        <v>213</v>
      </c>
      <c r="H335" s="63">
        <v>45597</v>
      </c>
      <c r="I335" s="63">
        <f>H335-180</f>
        <v>45417</v>
      </c>
      <c r="J335" s="60">
        <f t="shared" si="33"/>
        <v>6</v>
      </c>
      <c r="K335" s="60">
        <f t="shared" si="36"/>
        <v>0</v>
      </c>
      <c r="L335" s="60"/>
      <c r="M335" s="60"/>
      <c r="N335" s="60"/>
      <c r="O335" s="60"/>
      <c r="P335" s="60"/>
      <c r="Q335" s="60">
        <v>3</v>
      </c>
      <c r="R335" s="60"/>
      <c r="S335" s="60"/>
      <c r="T335" s="60">
        <v>1</v>
      </c>
      <c r="U335" s="60"/>
      <c r="V335" s="60"/>
      <c r="W335" s="60"/>
      <c r="X335" s="60"/>
      <c r="Y335" s="60"/>
      <c r="Z335" s="60"/>
      <c r="AA335" s="60">
        <v>2</v>
      </c>
      <c r="AB335" s="60"/>
      <c r="AC335" s="60"/>
      <c r="AD335" s="60"/>
      <c r="AE335" s="60"/>
      <c r="AF335" s="60"/>
      <c r="AG335" s="60"/>
      <c r="AH335" s="60"/>
      <c r="AI335" s="60"/>
      <c r="AJ335" s="60"/>
      <c r="AK335" s="64">
        <f t="shared" si="37"/>
        <v>1909.2</v>
      </c>
    </row>
    <row r="336" spans="1:37" x14ac:dyDescent="0.25">
      <c r="A336" s="58" t="s">
        <v>770</v>
      </c>
      <c r="B336" s="59" t="str">
        <f t="shared" ca="1" si="34"/>
        <v>VENCIDO</v>
      </c>
      <c r="C336" s="60" t="s">
        <v>869</v>
      </c>
      <c r="D336" s="61" t="s">
        <v>1301</v>
      </c>
      <c r="E336" s="62" t="s">
        <v>1229</v>
      </c>
      <c r="F336" s="61" t="s">
        <v>775</v>
      </c>
      <c r="G336" s="60" t="s">
        <v>213</v>
      </c>
      <c r="H336" s="63">
        <v>45474</v>
      </c>
      <c r="I336" s="63">
        <f>H336-180</f>
        <v>45294</v>
      </c>
      <c r="J336" s="60">
        <f t="shared" si="33"/>
        <v>2</v>
      </c>
      <c r="K336" s="60">
        <f t="shared" si="36"/>
        <v>0</v>
      </c>
      <c r="L336" s="60"/>
      <c r="M336" s="60"/>
      <c r="N336" s="60"/>
      <c r="O336" s="60"/>
      <c r="P336" s="60"/>
      <c r="Q336" s="60"/>
      <c r="R336" s="60"/>
      <c r="S336" s="60"/>
      <c r="T336" s="60"/>
      <c r="U336" s="60"/>
      <c r="V336" s="60">
        <v>1</v>
      </c>
      <c r="W336" s="60"/>
      <c r="X336" s="60"/>
      <c r="Y336" s="60"/>
      <c r="Z336" s="60"/>
      <c r="AA336" s="60">
        <v>1</v>
      </c>
      <c r="AB336" s="60"/>
      <c r="AC336" s="60"/>
      <c r="AD336" s="60"/>
      <c r="AE336" s="60"/>
      <c r="AF336" s="60"/>
      <c r="AG336" s="60"/>
      <c r="AH336" s="60"/>
      <c r="AI336" s="60"/>
      <c r="AJ336" s="60"/>
      <c r="AK336" s="64">
        <f t="shared" si="37"/>
        <v>395.68</v>
      </c>
    </row>
    <row r="337" spans="1:37" x14ac:dyDescent="0.25">
      <c r="A337" s="58" t="s">
        <v>938</v>
      </c>
      <c r="B337" s="59" t="str">
        <f t="shared" ca="1" si="34"/>
        <v>VENCIDO</v>
      </c>
      <c r="C337" s="60" t="s">
        <v>869</v>
      </c>
      <c r="D337" s="61" t="s">
        <v>1302</v>
      </c>
      <c r="E337" s="62" t="s">
        <v>1229</v>
      </c>
      <c r="F337" s="61" t="s">
        <v>775</v>
      </c>
      <c r="G337" s="60" t="s">
        <v>213</v>
      </c>
      <c r="H337" s="63">
        <v>45383</v>
      </c>
      <c r="I337" s="63">
        <v>45383</v>
      </c>
      <c r="J337" s="60">
        <f t="shared" si="33"/>
        <v>2</v>
      </c>
      <c r="K337" s="60">
        <f t="shared" si="36"/>
        <v>0</v>
      </c>
      <c r="L337" s="60"/>
      <c r="M337" s="60"/>
      <c r="N337" s="60"/>
      <c r="O337" s="60"/>
      <c r="P337" s="60"/>
      <c r="Q337" s="60">
        <v>1</v>
      </c>
      <c r="R337" s="60"/>
      <c r="S337" s="60"/>
      <c r="T337" s="60"/>
      <c r="U337" s="60"/>
      <c r="V337" s="60"/>
      <c r="W337" s="60"/>
      <c r="X337" s="60"/>
      <c r="Y337" s="60"/>
      <c r="Z337" s="60"/>
      <c r="AA337" s="60">
        <v>1</v>
      </c>
      <c r="AB337" s="60"/>
      <c r="AC337" s="60"/>
      <c r="AD337" s="60"/>
      <c r="AE337" s="60"/>
      <c r="AF337" s="60"/>
      <c r="AG337" s="60"/>
      <c r="AH337" s="60"/>
      <c r="AI337" s="60"/>
      <c r="AJ337" s="60"/>
      <c r="AK337" s="64">
        <f t="shared" si="37"/>
        <v>513.19000000000005</v>
      </c>
    </row>
    <row r="338" spans="1:37" hidden="1" x14ac:dyDescent="0.25">
      <c r="A338" s="58" t="s">
        <v>770</v>
      </c>
      <c r="B338" s="59" t="str">
        <f t="shared" ca="1" si="34"/>
        <v>VENCIDO</v>
      </c>
      <c r="C338" s="60" t="s">
        <v>869</v>
      </c>
      <c r="D338" s="61" t="s">
        <v>1303</v>
      </c>
      <c r="E338" s="62" t="s">
        <v>954</v>
      </c>
      <c r="F338" s="61" t="s">
        <v>778</v>
      </c>
      <c r="G338" s="60" t="s">
        <v>213</v>
      </c>
      <c r="H338" s="63">
        <v>45292</v>
      </c>
      <c r="I338" s="63">
        <v>45292</v>
      </c>
      <c r="J338" s="60">
        <f t="shared" si="33"/>
        <v>6</v>
      </c>
      <c r="K338" s="60">
        <f t="shared" si="36"/>
        <v>0</v>
      </c>
      <c r="L338" s="60"/>
      <c r="M338" s="60"/>
      <c r="N338" s="60"/>
      <c r="O338" s="60"/>
      <c r="P338" s="60"/>
      <c r="Q338" s="60">
        <v>2</v>
      </c>
      <c r="R338" s="60"/>
      <c r="S338" s="60"/>
      <c r="T338" s="60">
        <v>1</v>
      </c>
      <c r="U338" s="60"/>
      <c r="V338" s="60"/>
      <c r="W338" s="60"/>
      <c r="X338" s="60"/>
      <c r="Y338" s="60"/>
      <c r="Z338" s="60"/>
      <c r="AA338" s="60">
        <v>3</v>
      </c>
      <c r="AB338" s="60"/>
      <c r="AC338" s="60"/>
      <c r="AD338" s="60"/>
      <c r="AE338" s="60"/>
      <c r="AF338" s="60"/>
      <c r="AG338" s="60"/>
      <c r="AH338" s="60"/>
      <c r="AI338" s="60"/>
      <c r="AJ338" s="60"/>
      <c r="AK338" s="64">
        <f t="shared" si="37"/>
        <v>1791.69</v>
      </c>
    </row>
    <row r="339" spans="1:37" hidden="1" x14ac:dyDescent="0.25">
      <c r="A339" s="58" t="s">
        <v>860</v>
      </c>
      <c r="B339" s="59" t="str">
        <f t="shared" ca="1" si="34"/>
        <v>VENCIDO</v>
      </c>
      <c r="C339" s="60" t="s">
        <v>869</v>
      </c>
      <c r="D339" s="61" t="s">
        <v>1304</v>
      </c>
      <c r="E339" s="62" t="s">
        <v>859</v>
      </c>
      <c r="F339" s="61" t="s">
        <v>778</v>
      </c>
      <c r="G339" s="60" t="s">
        <v>213</v>
      </c>
      <c r="H339" s="63">
        <v>45444</v>
      </c>
      <c r="I339" s="63">
        <v>45444</v>
      </c>
      <c r="J339" s="60">
        <f t="shared" si="33"/>
        <v>3</v>
      </c>
      <c r="K339" s="60">
        <f t="shared" si="36"/>
        <v>0</v>
      </c>
      <c r="L339" s="60"/>
      <c r="M339" s="60"/>
      <c r="N339" s="60"/>
      <c r="O339" s="60"/>
      <c r="P339" s="60"/>
      <c r="Q339" s="60">
        <v>1</v>
      </c>
      <c r="R339" s="60"/>
      <c r="S339" s="60"/>
      <c r="T339" s="60">
        <v>1</v>
      </c>
      <c r="U339" s="60"/>
      <c r="V339" s="60"/>
      <c r="W339" s="60"/>
      <c r="X339" s="60"/>
      <c r="Y339" s="60"/>
      <c r="Z339" s="60"/>
      <c r="AA339" s="60">
        <v>1</v>
      </c>
      <c r="AB339" s="60"/>
      <c r="AC339" s="60"/>
      <c r="AD339" s="60"/>
      <c r="AE339" s="60"/>
      <c r="AF339" s="60"/>
      <c r="AG339" s="60"/>
      <c r="AH339" s="60"/>
      <c r="AI339" s="60"/>
      <c r="AJ339" s="60"/>
      <c r="AK339" s="64">
        <f t="shared" si="37"/>
        <v>1080.6600000000001</v>
      </c>
    </row>
    <row r="340" spans="1:37" x14ac:dyDescent="0.25">
      <c r="A340" s="58" t="s">
        <v>770</v>
      </c>
      <c r="B340" s="59" t="str">
        <f t="shared" ca="1" si="34"/>
        <v>VENCIDO</v>
      </c>
      <c r="C340" s="60" t="s">
        <v>869</v>
      </c>
      <c r="D340" s="61" t="s">
        <v>1305</v>
      </c>
      <c r="E340" s="62" t="s">
        <v>223</v>
      </c>
      <c r="F340" s="61" t="s">
        <v>775</v>
      </c>
      <c r="G340" s="60" t="s">
        <v>213</v>
      </c>
      <c r="H340" s="63">
        <v>45474</v>
      </c>
      <c r="I340" s="63">
        <f>H340-180</f>
        <v>45294</v>
      </c>
      <c r="J340" s="60">
        <f t="shared" si="33"/>
        <v>3</v>
      </c>
      <c r="K340" s="60">
        <f t="shared" si="36"/>
        <v>0</v>
      </c>
      <c r="L340" s="60"/>
      <c r="M340" s="60"/>
      <c r="N340" s="60"/>
      <c r="O340" s="60"/>
      <c r="P340" s="60"/>
      <c r="Q340" s="60">
        <v>1</v>
      </c>
      <c r="R340" s="60"/>
      <c r="S340" s="60"/>
      <c r="T340" s="60">
        <v>1</v>
      </c>
      <c r="U340" s="60"/>
      <c r="V340" s="60"/>
      <c r="W340" s="60"/>
      <c r="X340" s="60"/>
      <c r="Y340" s="60"/>
      <c r="Z340" s="60"/>
      <c r="AA340" s="60">
        <v>1</v>
      </c>
      <c r="AB340" s="60"/>
      <c r="AC340" s="60"/>
      <c r="AD340" s="60"/>
      <c r="AE340" s="60"/>
      <c r="AF340" s="60"/>
      <c r="AG340" s="60"/>
      <c r="AH340" s="60"/>
      <c r="AI340" s="60"/>
      <c r="AJ340" s="60"/>
      <c r="AK340" s="64">
        <f t="shared" si="37"/>
        <v>1080.6600000000001</v>
      </c>
    </row>
    <row r="341" spans="1:37" x14ac:dyDescent="0.25">
      <c r="A341" s="58" t="s">
        <v>770</v>
      </c>
      <c r="B341" s="59" t="str">
        <f t="shared" ca="1" si="34"/>
        <v>VENCIDO</v>
      </c>
      <c r="C341" s="60" t="s">
        <v>869</v>
      </c>
      <c r="D341" s="61" t="s">
        <v>1306</v>
      </c>
      <c r="E341" s="62" t="s">
        <v>574</v>
      </c>
      <c r="F341" s="61" t="s">
        <v>775</v>
      </c>
      <c r="G341" s="60" t="s">
        <v>213</v>
      </c>
      <c r="H341" s="63">
        <v>45352</v>
      </c>
      <c r="I341" s="63">
        <v>45352</v>
      </c>
      <c r="J341" s="60">
        <f t="shared" si="33"/>
        <v>5</v>
      </c>
      <c r="K341" s="60">
        <f t="shared" si="36"/>
        <v>0</v>
      </c>
      <c r="L341" s="60"/>
      <c r="M341" s="60"/>
      <c r="N341" s="60"/>
      <c r="O341" s="60"/>
      <c r="P341" s="60"/>
      <c r="Q341" s="60">
        <v>2</v>
      </c>
      <c r="R341" s="60"/>
      <c r="S341" s="60"/>
      <c r="T341" s="60">
        <v>1</v>
      </c>
      <c r="U341" s="60"/>
      <c r="V341" s="60"/>
      <c r="W341" s="60"/>
      <c r="X341" s="60"/>
      <c r="Y341" s="60"/>
      <c r="Z341" s="60"/>
      <c r="AA341" s="60">
        <v>2</v>
      </c>
      <c r="AB341" s="60"/>
      <c r="AC341" s="60"/>
      <c r="AD341" s="60"/>
      <c r="AE341" s="60"/>
      <c r="AF341" s="60"/>
      <c r="AG341" s="60"/>
      <c r="AH341" s="60"/>
      <c r="AI341" s="60"/>
      <c r="AJ341" s="60"/>
      <c r="AK341" s="64">
        <f t="shared" si="37"/>
        <v>1593.8500000000001</v>
      </c>
    </row>
    <row r="342" spans="1:37" hidden="1" x14ac:dyDescent="0.25">
      <c r="A342" s="58" t="s">
        <v>770</v>
      </c>
      <c r="B342" s="59" t="str">
        <f t="shared" ca="1" si="34"/>
        <v>VENCIDO</v>
      </c>
      <c r="C342" s="60" t="s">
        <v>869</v>
      </c>
      <c r="D342" s="61" t="s">
        <v>1307</v>
      </c>
      <c r="E342" s="62" t="s">
        <v>1308</v>
      </c>
      <c r="F342" s="61" t="s">
        <v>778</v>
      </c>
      <c r="G342" s="60" t="s">
        <v>213</v>
      </c>
      <c r="H342" s="63">
        <v>45292</v>
      </c>
      <c r="I342" s="63">
        <f>H342-180</f>
        <v>45112</v>
      </c>
      <c r="J342" s="60">
        <f t="shared" si="33"/>
        <v>9</v>
      </c>
      <c r="K342" s="60">
        <f t="shared" si="36"/>
        <v>0</v>
      </c>
      <c r="L342" s="60"/>
      <c r="M342" s="60"/>
      <c r="N342" s="60"/>
      <c r="O342" s="60"/>
      <c r="P342" s="60"/>
      <c r="Q342" s="60">
        <v>6</v>
      </c>
      <c r="R342" s="60"/>
      <c r="S342" s="60"/>
      <c r="T342" s="60">
        <v>2</v>
      </c>
      <c r="U342" s="60"/>
      <c r="V342" s="60">
        <v>1</v>
      </c>
      <c r="W342" s="60"/>
      <c r="X342" s="60"/>
      <c r="Y342" s="60"/>
      <c r="Z342" s="60"/>
      <c r="AA342" s="60"/>
      <c r="AB342" s="60"/>
      <c r="AC342" s="60"/>
      <c r="AD342" s="60"/>
      <c r="AE342" s="60"/>
      <c r="AF342" s="60"/>
      <c r="AG342" s="60"/>
      <c r="AH342" s="60"/>
      <c r="AI342" s="60"/>
      <c r="AJ342" s="60"/>
      <c r="AK342" s="64">
        <f t="shared" si="37"/>
        <v>3224.88</v>
      </c>
    </row>
    <row r="343" spans="1:37" hidden="1" x14ac:dyDescent="0.25">
      <c r="A343" s="58" t="s">
        <v>770</v>
      </c>
      <c r="B343" s="59" t="str">
        <f t="shared" ca="1" si="34"/>
        <v>VENCIDO</v>
      </c>
      <c r="C343" s="60" t="s">
        <v>869</v>
      </c>
      <c r="D343" s="61" t="s">
        <v>1309</v>
      </c>
      <c r="E343" s="62" t="s">
        <v>960</v>
      </c>
      <c r="F343" s="61" t="s">
        <v>778</v>
      </c>
      <c r="G343" s="60" t="s">
        <v>213</v>
      </c>
      <c r="H343" s="63">
        <v>45323</v>
      </c>
      <c r="I343" s="63">
        <v>45323</v>
      </c>
      <c r="J343" s="60">
        <f t="shared" si="33"/>
        <v>5</v>
      </c>
      <c r="K343" s="60">
        <f t="shared" si="36"/>
        <v>0</v>
      </c>
      <c r="L343" s="60"/>
      <c r="M343" s="60"/>
      <c r="N343" s="60"/>
      <c r="O343" s="60"/>
      <c r="P343" s="60"/>
      <c r="Q343" s="60">
        <v>3</v>
      </c>
      <c r="R343" s="60"/>
      <c r="S343" s="60"/>
      <c r="T343" s="60">
        <v>1</v>
      </c>
      <c r="U343" s="60"/>
      <c r="V343" s="60"/>
      <c r="W343" s="60"/>
      <c r="X343" s="60"/>
      <c r="Y343" s="60"/>
      <c r="Z343" s="60"/>
      <c r="AA343" s="60">
        <v>1</v>
      </c>
      <c r="AB343" s="60"/>
      <c r="AC343" s="60"/>
      <c r="AD343" s="60"/>
      <c r="AE343" s="60"/>
      <c r="AF343" s="60"/>
      <c r="AG343" s="60"/>
      <c r="AH343" s="60"/>
      <c r="AI343" s="60"/>
      <c r="AJ343" s="60"/>
      <c r="AK343" s="64">
        <f t="shared" si="37"/>
        <v>1711.36</v>
      </c>
    </row>
    <row r="344" spans="1:37" hidden="1" x14ac:dyDescent="0.25">
      <c r="A344" s="58"/>
      <c r="B344" s="59" t="str">
        <f t="shared" ca="1" si="34"/>
        <v>VENCIDO</v>
      </c>
      <c r="C344" s="60" t="s">
        <v>869</v>
      </c>
      <c r="D344" s="61" t="s">
        <v>1310</v>
      </c>
      <c r="E344" s="62" t="s">
        <v>1311</v>
      </c>
      <c r="F344" s="61" t="s">
        <v>778</v>
      </c>
      <c r="G344" s="60" t="s">
        <v>213</v>
      </c>
      <c r="H344" s="63">
        <v>45323</v>
      </c>
      <c r="I344" s="63">
        <v>45323</v>
      </c>
      <c r="J344" s="60">
        <f t="shared" si="33"/>
        <v>4</v>
      </c>
      <c r="K344" s="60">
        <f t="shared" si="36"/>
        <v>0</v>
      </c>
      <c r="L344" s="60"/>
      <c r="M344" s="60"/>
      <c r="N344" s="60"/>
      <c r="O344" s="60"/>
      <c r="P344" s="60"/>
      <c r="Q344" s="60">
        <v>2</v>
      </c>
      <c r="R344" s="60"/>
      <c r="S344" s="60"/>
      <c r="T344" s="60"/>
      <c r="U344" s="60"/>
      <c r="V344" s="60"/>
      <c r="W344" s="60"/>
      <c r="X344" s="60"/>
      <c r="Y344" s="60"/>
      <c r="Z344" s="60"/>
      <c r="AA344" s="60">
        <v>2</v>
      </c>
      <c r="AB344" s="60"/>
      <c r="AC344" s="60"/>
      <c r="AD344" s="60"/>
      <c r="AE344" s="60"/>
      <c r="AF344" s="60"/>
      <c r="AG344" s="60"/>
      <c r="AH344" s="60"/>
      <c r="AI344" s="60"/>
      <c r="AJ344" s="60"/>
      <c r="AK344" s="64">
        <f t="shared" si="37"/>
        <v>1026.3800000000001</v>
      </c>
    </row>
    <row r="345" spans="1:37" x14ac:dyDescent="0.25">
      <c r="A345" s="58" t="s">
        <v>770</v>
      </c>
      <c r="B345" s="59" t="str">
        <f t="shared" ca="1" si="34"/>
        <v>VENCIDO</v>
      </c>
      <c r="C345" s="60" t="s">
        <v>869</v>
      </c>
      <c r="D345" s="61" t="s">
        <v>1312</v>
      </c>
      <c r="E345" s="62" t="s">
        <v>223</v>
      </c>
      <c r="F345" s="61" t="s">
        <v>775</v>
      </c>
      <c r="G345" s="60" t="s">
        <v>213</v>
      </c>
      <c r="H345" s="63">
        <v>45413</v>
      </c>
      <c r="I345" s="63">
        <v>45413</v>
      </c>
      <c r="J345" s="60">
        <f t="shared" si="33"/>
        <v>5</v>
      </c>
      <c r="K345" s="60">
        <f t="shared" si="36"/>
        <v>0</v>
      </c>
      <c r="L345" s="60"/>
      <c r="M345" s="60"/>
      <c r="N345" s="60"/>
      <c r="O345" s="60"/>
      <c r="P345" s="60"/>
      <c r="Q345" s="60">
        <v>2</v>
      </c>
      <c r="R345" s="60"/>
      <c r="S345" s="60"/>
      <c r="T345" s="60">
        <v>1</v>
      </c>
      <c r="U345" s="60"/>
      <c r="V345" s="60"/>
      <c r="W345" s="60"/>
      <c r="X345" s="60"/>
      <c r="Y345" s="60"/>
      <c r="Z345" s="60"/>
      <c r="AA345" s="60">
        <v>2</v>
      </c>
      <c r="AB345" s="60"/>
      <c r="AC345" s="60"/>
      <c r="AD345" s="60"/>
      <c r="AE345" s="60"/>
      <c r="AF345" s="60"/>
      <c r="AG345" s="60"/>
      <c r="AH345" s="60"/>
      <c r="AI345" s="60"/>
      <c r="AJ345" s="60"/>
      <c r="AK345" s="64">
        <f t="shared" si="37"/>
        <v>1593.8500000000001</v>
      </c>
    </row>
    <row r="346" spans="1:37" hidden="1" x14ac:dyDescent="0.25">
      <c r="A346" s="58" t="s">
        <v>770</v>
      </c>
      <c r="B346" s="59" t="str">
        <f t="shared" ca="1" si="34"/>
        <v>VENCIDO</v>
      </c>
      <c r="C346" s="60" t="s">
        <v>869</v>
      </c>
      <c r="D346" s="66" t="s">
        <v>1313</v>
      </c>
      <c r="E346" s="62" t="s">
        <v>1314</v>
      </c>
      <c r="F346" s="61" t="s">
        <v>778</v>
      </c>
      <c r="G346" s="60" t="s">
        <v>213</v>
      </c>
      <c r="H346" s="63">
        <v>45566</v>
      </c>
      <c r="I346" s="63">
        <f>H346-180</f>
        <v>45386</v>
      </c>
      <c r="J346" s="60">
        <f t="shared" si="33"/>
        <v>2</v>
      </c>
      <c r="K346" s="60">
        <f t="shared" si="36"/>
        <v>0</v>
      </c>
      <c r="L346" s="60"/>
      <c r="M346" s="60"/>
      <c r="N346" s="60"/>
      <c r="O346" s="60"/>
      <c r="P346" s="60"/>
      <c r="Q346" s="60">
        <v>1</v>
      </c>
      <c r="R346" s="60"/>
      <c r="S346" s="60"/>
      <c r="T346" s="60"/>
      <c r="U346" s="60"/>
      <c r="V346" s="60"/>
      <c r="W346" s="60"/>
      <c r="X346" s="60"/>
      <c r="Y346" s="60"/>
      <c r="Z346" s="60"/>
      <c r="AA346" s="60">
        <v>1</v>
      </c>
      <c r="AB346" s="60"/>
      <c r="AC346" s="60"/>
      <c r="AD346" s="60"/>
      <c r="AE346" s="60"/>
      <c r="AF346" s="60"/>
      <c r="AG346" s="60"/>
      <c r="AH346" s="60"/>
      <c r="AI346" s="60"/>
      <c r="AJ346" s="60"/>
      <c r="AK346" s="64">
        <f t="shared" si="37"/>
        <v>513.19000000000005</v>
      </c>
    </row>
    <row r="347" spans="1:37" x14ac:dyDescent="0.25">
      <c r="A347" s="58"/>
      <c r="B347" s="59" t="str">
        <f t="shared" ca="1" si="34"/>
        <v>VENCIDO</v>
      </c>
      <c r="C347" s="60" t="s">
        <v>869</v>
      </c>
      <c r="D347" s="61" t="s">
        <v>1315</v>
      </c>
      <c r="E347" s="62" t="s">
        <v>1316</v>
      </c>
      <c r="F347" s="61" t="s">
        <v>775</v>
      </c>
      <c r="G347" s="60" t="s">
        <v>213</v>
      </c>
      <c r="H347" s="63">
        <v>45323</v>
      </c>
      <c r="I347" s="63">
        <v>45323</v>
      </c>
      <c r="J347" s="60">
        <f t="shared" si="33"/>
        <v>4</v>
      </c>
      <c r="K347" s="60">
        <f t="shared" si="36"/>
        <v>0</v>
      </c>
      <c r="L347" s="60"/>
      <c r="M347" s="60"/>
      <c r="N347" s="60"/>
      <c r="O347" s="60"/>
      <c r="P347" s="60">
        <v>1</v>
      </c>
      <c r="Q347" s="60">
        <v>1</v>
      </c>
      <c r="R347" s="60"/>
      <c r="S347" s="60"/>
      <c r="T347" s="60">
        <v>1</v>
      </c>
      <c r="U347" s="60"/>
      <c r="V347" s="60"/>
      <c r="W347" s="60"/>
      <c r="X347" s="60"/>
      <c r="Y347" s="60"/>
      <c r="Z347" s="60"/>
      <c r="AA347" s="60">
        <v>1</v>
      </c>
      <c r="AB347" s="60"/>
      <c r="AC347" s="60"/>
      <c r="AD347" s="60"/>
      <c r="AE347" s="60"/>
      <c r="AF347" s="60"/>
      <c r="AG347" s="60"/>
      <c r="AH347" s="60"/>
      <c r="AI347" s="60"/>
      <c r="AJ347" s="60"/>
      <c r="AK347" s="64">
        <f t="shared" si="37"/>
        <v>1324.75</v>
      </c>
    </row>
    <row r="348" spans="1:37" hidden="1" x14ac:dyDescent="0.25">
      <c r="A348" s="58" t="s">
        <v>770</v>
      </c>
      <c r="B348" s="59" t="str">
        <f t="shared" ca="1" si="34"/>
        <v>VENCIDO</v>
      </c>
      <c r="C348" s="60" t="s">
        <v>869</v>
      </c>
      <c r="D348" s="61" t="s">
        <v>1317</v>
      </c>
      <c r="E348" s="62" t="s">
        <v>1318</v>
      </c>
      <c r="F348" s="61" t="s">
        <v>778</v>
      </c>
      <c r="G348" s="60" t="s">
        <v>213</v>
      </c>
      <c r="H348" s="63">
        <v>45566</v>
      </c>
      <c r="I348" s="63">
        <f>H348-180</f>
        <v>45386</v>
      </c>
      <c r="J348" s="60">
        <f t="shared" si="33"/>
        <v>5</v>
      </c>
      <c r="K348" s="60">
        <f t="shared" si="36"/>
        <v>0</v>
      </c>
      <c r="L348" s="60"/>
      <c r="M348" s="60"/>
      <c r="N348" s="60"/>
      <c r="O348" s="60"/>
      <c r="P348" s="60"/>
      <c r="Q348" s="60">
        <v>3</v>
      </c>
      <c r="R348" s="60"/>
      <c r="S348" s="60"/>
      <c r="T348" s="60">
        <v>1</v>
      </c>
      <c r="U348" s="60"/>
      <c r="V348" s="60"/>
      <c r="W348" s="60"/>
      <c r="X348" s="60"/>
      <c r="Y348" s="60"/>
      <c r="Z348" s="60"/>
      <c r="AA348" s="60">
        <v>1</v>
      </c>
      <c r="AB348" s="60"/>
      <c r="AC348" s="60"/>
      <c r="AD348" s="60"/>
      <c r="AE348" s="60"/>
      <c r="AF348" s="60"/>
      <c r="AG348" s="60"/>
      <c r="AH348" s="60"/>
      <c r="AI348" s="60"/>
      <c r="AJ348" s="60"/>
      <c r="AK348" s="64">
        <f t="shared" si="37"/>
        <v>1711.36</v>
      </c>
    </row>
    <row r="349" spans="1:37" hidden="1" x14ac:dyDescent="0.25">
      <c r="A349" s="58"/>
      <c r="B349" s="59" t="str">
        <f t="shared" ca="1" si="34"/>
        <v>VENCIDO</v>
      </c>
      <c r="C349" s="60" t="s">
        <v>869</v>
      </c>
      <c r="D349" s="61" t="s">
        <v>1319</v>
      </c>
      <c r="E349" s="62" t="s">
        <v>1320</v>
      </c>
      <c r="F349" s="61" t="s">
        <v>778</v>
      </c>
      <c r="G349" s="60" t="s">
        <v>213</v>
      </c>
      <c r="H349" s="63">
        <v>45352</v>
      </c>
      <c r="I349" s="63">
        <v>45352</v>
      </c>
      <c r="J349" s="60">
        <f t="shared" si="33"/>
        <v>2</v>
      </c>
      <c r="K349" s="60">
        <f t="shared" si="36"/>
        <v>0</v>
      </c>
      <c r="L349" s="60"/>
      <c r="M349" s="60"/>
      <c r="N349" s="60"/>
      <c r="O349" s="60">
        <v>1</v>
      </c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  <c r="AA349" s="60">
        <v>1</v>
      </c>
      <c r="AB349" s="60"/>
      <c r="AC349" s="60"/>
      <c r="AD349" s="60"/>
      <c r="AE349" s="60"/>
      <c r="AF349" s="60"/>
      <c r="AG349" s="60"/>
      <c r="AH349" s="60"/>
      <c r="AI349" s="60"/>
      <c r="AJ349" s="60"/>
      <c r="AK349" s="64">
        <f t="shared" si="37"/>
        <v>395.65999999999997</v>
      </c>
    </row>
    <row r="350" spans="1:37" x14ac:dyDescent="0.25">
      <c r="A350" s="58"/>
      <c r="B350" s="59" t="str">
        <f t="shared" ca="1" si="34"/>
        <v>VENCIDO</v>
      </c>
      <c r="C350" s="60" t="s">
        <v>869</v>
      </c>
      <c r="D350" s="61" t="s">
        <v>1321</v>
      </c>
      <c r="E350" s="62" t="s">
        <v>1229</v>
      </c>
      <c r="F350" s="61" t="s">
        <v>775</v>
      </c>
      <c r="G350" s="60" t="s">
        <v>213</v>
      </c>
      <c r="H350" s="63">
        <v>45383</v>
      </c>
      <c r="I350" s="63">
        <v>45383</v>
      </c>
      <c r="J350" s="60">
        <f t="shared" si="33"/>
        <v>2</v>
      </c>
      <c r="K350" s="60">
        <f t="shared" si="36"/>
        <v>0</v>
      </c>
      <c r="L350" s="60"/>
      <c r="M350" s="60"/>
      <c r="N350" s="60"/>
      <c r="O350" s="60"/>
      <c r="P350" s="60"/>
      <c r="Q350" s="60">
        <v>1</v>
      </c>
      <c r="R350" s="60"/>
      <c r="S350" s="60"/>
      <c r="T350" s="60"/>
      <c r="U350" s="60"/>
      <c r="V350" s="60"/>
      <c r="W350" s="60"/>
      <c r="X350" s="60"/>
      <c r="Y350" s="60"/>
      <c r="Z350" s="60"/>
      <c r="AA350" s="60">
        <v>1</v>
      </c>
      <c r="AB350" s="60"/>
      <c r="AC350" s="60"/>
      <c r="AD350" s="60"/>
      <c r="AE350" s="60"/>
      <c r="AF350" s="60"/>
      <c r="AG350" s="60"/>
      <c r="AH350" s="60"/>
      <c r="AI350" s="60"/>
      <c r="AJ350" s="60"/>
      <c r="AK350" s="64">
        <f t="shared" si="37"/>
        <v>513.19000000000005</v>
      </c>
    </row>
    <row r="351" spans="1:37" hidden="1" x14ac:dyDescent="0.25">
      <c r="A351" s="58"/>
      <c r="B351" s="59" t="str">
        <f t="shared" ca="1" si="34"/>
        <v>VENCIDO</v>
      </c>
      <c r="C351" s="60" t="s">
        <v>869</v>
      </c>
      <c r="D351" s="61" t="s">
        <v>1322</v>
      </c>
      <c r="E351" s="62" t="s">
        <v>1323</v>
      </c>
      <c r="F351" s="61" t="s">
        <v>793</v>
      </c>
      <c r="G351" s="60" t="s">
        <v>213</v>
      </c>
      <c r="H351" s="63">
        <v>45474</v>
      </c>
      <c r="I351" s="63">
        <f>H351-180</f>
        <v>45294</v>
      </c>
      <c r="J351" s="60">
        <f t="shared" si="33"/>
        <v>4</v>
      </c>
      <c r="K351" s="60">
        <f t="shared" si="36"/>
        <v>0</v>
      </c>
      <c r="L351" s="60"/>
      <c r="M351" s="60"/>
      <c r="N351" s="60"/>
      <c r="O351" s="60"/>
      <c r="P351" s="60"/>
      <c r="Q351" s="60">
        <v>2</v>
      </c>
      <c r="R351" s="60"/>
      <c r="S351" s="60"/>
      <c r="T351" s="60">
        <v>1</v>
      </c>
      <c r="U351" s="60"/>
      <c r="V351" s="60"/>
      <c r="W351" s="60"/>
      <c r="X351" s="60"/>
      <c r="Y351" s="60"/>
      <c r="Z351" s="60"/>
      <c r="AA351" s="60">
        <v>1</v>
      </c>
      <c r="AB351" s="60"/>
      <c r="AC351" s="60"/>
      <c r="AD351" s="60"/>
      <c r="AE351" s="60"/>
      <c r="AF351" s="60"/>
      <c r="AG351" s="60"/>
      <c r="AH351" s="60"/>
      <c r="AI351" s="60"/>
      <c r="AJ351" s="60"/>
      <c r="AK351" s="64">
        <f t="shared" si="37"/>
        <v>1396.01</v>
      </c>
    </row>
    <row r="352" spans="1:37" hidden="1" x14ac:dyDescent="0.25">
      <c r="A352" s="58"/>
      <c r="B352" s="59" t="str">
        <f t="shared" ca="1" si="34"/>
        <v>VENCIDO</v>
      </c>
      <c r="C352" s="60" t="s">
        <v>869</v>
      </c>
      <c r="D352" s="61" t="s">
        <v>1324</v>
      </c>
      <c r="E352" s="62" t="s">
        <v>963</v>
      </c>
      <c r="F352" s="61" t="s">
        <v>778</v>
      </c>
      <c r="G352" s="60" t="s">
        <v>213</v>
      </c>
      <c r="H352" s="63">
        <v>45292</v>
      </c>
      <c r="I352" s="63">
        <f>H352-180</f>
        <v>45112</v>
      </c>
      <c r="J352" s="60">
        <f t="shared" si="33"/>
        <v>1</v>
      </c>
      <c r="K352" s="60">
        <f t="shared" si="36"/>
        <v>0</v>
      </c>
      <c r="L352" s="60"/>
      <c r="M352" s="60"/>
      <c r="N352" s="60"/>
      <c r="O352" s="60"/>
      <c r="P352" s="60"/>
      <c r="Q352" s="60">
        <v>1</v>
      </c>
      <c r="R352" s="60"/>
      <c r="S352" s="60"/>
      <c r="T352" s="60"/>
      <c r="U352" s="60"/>
      <c r="V352" s="60"/>
      <c r="W352" s="60"/>
      <c r="X352" s="60"/>
      <c r="Y352" s="60"/>
      <c r="Z352" s="60"/>
      <c r="AA352" s="60"/>
      <c r="AB352" s="60"/>
      <c r="AC352" s="60"/>
      <c r="AD352" s="60"/>
      <c r="AE352" s="60"/>
      <c r="AF352" s="60"/>
      <c r="AG352" s="60"/>
      <c r="AH352" s="60"/>
      <c r="AI352" s="60"/>
      <c r="AJ352" s="60"/>
      <c r="AK352" s="64">
        <f t="shared" si="37"/>
        <v>315.35000000000002</v>
      </c>
    </row>
    <row r="353" spans="1:37" x14ac:dyDescent="0.25">
      <c r="A353" s="58" t="s">
        <v>1139</v>
      </c>
      <c r="B353" s="59" t="str">
        <f t="shared" ca="1" si="34"/>
        <v>VENCIDO</v>
      </c>
      <c r="C353" s="60" t="s">
        <v>869</v>
      </c>
      <c r="D353" s="61" t="s">
        <v>1325</v>
      </c>
      <c r="E353" s="62" t="s">
        <v>1326</v>
      </c>
      <c r="F353" s="61" t="s">
        <v>775</v>
      </c>
      <c r="G353" s="60" t="s">
        <v>213</v>
      </c>
      <c r="H353" s="63">
        <v>45352</v>
      </c>
      <c r="I353" s="63">
        <v>45352</v>
      </c>
      <c r="J353" s="60">
        <f t="shared" si="33"/>
        <v>4</v>
      </c>
      <c r="K353" s="60">
        <f t="shared" si="36"/>
        <v>0</v>
      </c>
      <c r="L353" s="60"/>
      <c r="M353" s="60"/>
      <c r="N353" s="60"/>
      <c r="O353" s="60"/>
      <c r="P353" s="60"/>
      <c r="Q353" s="60">
        <v>2</v>
      </c>
      <c r="R353" s="60"/>
      <c r="S353" s="60"/>
      <c r="T353" s="60">
        <v>1</v>
      </c>
      <c r="U353" s="60"/>
      <c r="V353" s="60"/>
      <c r="W353" s="60"/>
      <c r="X353" s="60"/>
      <c r="Y353" s="60"/>
      <c r="Z353" s="60"/>
      <c r="AA353" s="60">
        <v>1</v>
      </c>
      <c r="AB353" s="60"/>
      <c r="AC353" s="60"/>
      <c r="AD353" s="60"/>
      <c r="AE353" s="60"/>
      <c r="AF353" s="60"/>
      <c r="AG353" s="60"/>
      <c r="AH353" s="60"/>
      <c r="AI353" s="60"/>
      <c r="AJ353" s="60"/>
      <c r="AK353" s="64">
        <f t="shared" si="37"/>
        <v>1396.01</v>
      </c>
    </row>
    <row r="354" spans="1:37" x14ac:dyDescent="0.25">
      <c r="A354" s="58" t="s">
        <v>770</v>
      </c>
      <c r="B354" s="59" t="str">
        <f t="shared" ca="1" si="34"/>
        <v>VENCIDO</v>
      </c>
      <c r="C354" s="60" t="s">
        <v>869</v>
      </c>
      <c r="D354" s="61" t="s">
        <v>1327</v>
      </c>
      <c r="E354" s="62" t="s">
        <v>1328</v>
      </c>
      <c r="F354" s="61" t="s">
        <v>775</v>
      </c>
      <c r="G354" s="60" t="s">
        <v>213</v>
      </c>
      <c r="H354" s="63">
        <v>45505</v>
      </c>
      <c r="I354" s="63">
        <f>H354-180</f>
        <v>45325</v>
      </c>
      <c r="J354" s="60">
        <f t="shared" si="33"/>
        <v>2</v>
      </c>
      <c r="K354" s="60">
        <f t="shared" si="36"/>
        <v>0</v>
      </c>
      <c r="L354" s="60"/>
      <c r="M354" s="60"/>
      <c r="N354" s="60"/>
      <c r="O354" s="60"/>
      <c r="P354" s="60"/>
      <c r="Q354" s="60">
        <v>1</v>
      </c>
      <c r="R354" s="60"/>
      <c r="S354" s="60"/>
      <c r="T354" s="60"/>
      <c r="U354" s="60"/>
      <c r="V354" s="60"/>
      <c r="W354" s="60"/>
      <c r="X354" s="60"/>
      <c r="Y354" s="60"/>
      <c r="Z354" s="60"/>
      <c r="AA354" s="60">
        <v>1</v>
      </c>
      <c r="AB354" s="60"/>
      <c r="AC354" s="60"/>
      <c r="AD354" s="60"/>
      <c r="AE354" s="60"/>
      <c r="AF354" s="60"/>
      <c r="AG354" s="60"/>
      <c r="AH354" s="60"/>
      <c r="AI354" s="60"/>
      <c r="AJ354" s="60"/>
      <c r="AK354" s="64">
        <f t="shared" si="37"/>
        <v>513.19000000000005</v>
      </c>
    </row>
    <row r="355" spans="1:37" x14ac:dyDescent="0.25">
      <c r="A355" s="58"/>
      <c r="B355" s="59" t="str">
        <f t="shared" ca="1" si="34"/>
        <v>VENCIDO</v>
      </c>
      <c r="C355" s="60" t="s">
        <v>869</v>
      </c>
      <c r="D355" s="61" t="s">
        <v>1329</v>
      </c>
      <c r="E355" s="62" t="s">
        <v>1330</v>
      </c>
      <c r="F355" s="61" t="s">
        <v>775</v>
      </c>
      <c r="G355" s="60" t="s">
        <v>213</v>
      </c>
      <c r="H355" s="63">
        <v>45444</v>
      </c>
      <c r="I355" s="63">
        <v>45444</v>
      </c>
      <c r="J355" s="60">
        <f t="shared" si="33"/>
        <v>4</v>
      </c>
      <c r="K355" s="60">
        <f t="shared" si="36"/>
        <v>0</v>
      </c>
      <c r="L355" s="60"/>
      <c r="M355" s="60"/>
      <c r="N355" s="60"/>
      <c r="O355" s="60"/>
      <c r="P355" s="60"/>
      <c r="Q355" s="60">
        <v>2</v>
      </c>
      <c r="R355" s="60"/>
      <c r="S355" s="60"/>
      <c r="T355" s="60">
        <v>1</v>
      </c>
      <c r="U355" s="60"/>
      <c r="V355" s="60"/>
      <c r="W355" s="60"/>
      <c r="X355" s="60"/>
      <c r="Y355" s="60"/>
      <c r="Z355" s="60"/>
      <c r="AA355" s="60">
        <v>1</v>
      </c>
      <c r="AB355" s="60"/>
      <c r="AC355" s="60"/>
      <c r="AD355" s="60"/>
      <c r="AE355" s="60"/>
      <c r="AF355" s="60"/>
      <c r="AG355" s="60"/>
      <c r="AH355" s="60"/>
      <c r="AI355" s="60"/>
      <c r="AJ355" s="60"/>
      <c r="AK355" s="64">
        <f t="shared" si="37"/>
        <v>1396.01</v>
      </c>
    </row>
    <row r="356" spans="1:37" x14ac:dyDescent="0.25">
      <c r="A356" s="58" t="s">
        <v>770</v>
      </c>
      <c r="B356" s="59" t="str">
        <f t="shared" ca="1" si="34"/>
        <v>VENCIDO</v>
      </c>
      <c r="C356" s="60" t="s">
        <v>869</v>
      </c>
      <c r="D356" s="61" t="s">
        <v>1331</v>
      </c>
      <c r="E356" s="62" t="s">
        <v>1332</v>
      </c>
      <c r="F356" s="61" t="s">
        <v>775</v>
      </c>
      <c r="G356" s="60" t="s">
        <v>213</v>
      </c>
      <c r="H356" s="63">
        <v>45474</v>
      </c>
      <c r="I356" s="63">
        <f>H356-180</f>
        <v>45294</v>
      </c>
      <c r="J356" s="60">
        <f t="shared" ref="J356:J419" si="38">SUM(L356:AE356)</f>
        <v>7</v>
      </c>
      <c r="K356" s="60">
        <f t="shared" si="36"/>
        <v>0</v>
      </c>
      <c r="L356" s="60"/>
      <c r="M356" s="60"/>
      <c r="N356" s="60"/>
      <c r="O356" s="60"/>
      <c r="P356" s="60"/>
      <c r="Q356" s="60">
        <v>5</v>
      </c>
      <c r="R356" s="60"/>
      <c r="S356" s="60"/>
      <c r="T356" s="60">
        <v>1</v>
      </c>
      <c r="U356" s="60"/>
      <c r="V356" s="60"/>
      <c r="W356" s="60"/>
      <c r="X356" s="60"/>
      <c r="Y356" s="60"/>
      <c r="Z356" s="60"/>
      <c r="AA356" s="60">
        <v>1</v>
      </c>
      <c r="AB356" s="60"/>
      <c r="AC356" s="60"/>
      <c r="AD356" s="60"/>
      <c r="AE356" s="60"/>
      <c r="AF356" s="60"/>
      <c r="AG356" s="60"/>
      <c r="AH356" s="60"/>
      <c r="AI356" s="60"/>
      <c r="AJ356" s="60"/>
      <c r="AK356" s="64">
        <f t="shared" si="37"/>
        <v>2342.0600000000004</v>
      </c>
    </row>
    <row r="357" spans="1:37" x14ac:dyDescent="0.25">
      <c r="A357" s="58" t="s">
        <v>770</v>
      </c>
      <c r="B357" s="59" t="str">
        <f t="shared" ca="1" si="34"/>
        <v>VENCIDO</v>
      </c>
      <c r="C357" s="60" t="s">
        <v>869</v>
      </c>
      <c r="D357" s="61" t="s">
        <v>1333</v>
      </c>
      <c r="E357" s="62" t="s">
        <v>1150</v>
      </c>
      <c r="F357" s="61" t="s">
        <v>775</v>
      </c>
      <c r="G357" s="60" t="s">
        <v>213</v>
      </c>
      <c r="H357" s="63">
        <v>45505</v>
      </c>
      <c r="I357" s="63">
        <f>H357-180</f>
        <v>45325</v>
      </c>
      <c r="J357" s="60">
        <f t="shared" si="38"/>
        <v>2</v>
      </c>
      <c r="K357" s="60">
        <f t="shared" si="36"/>
        <v>0</v>
      </c>
      <c r="L357" s="60"/>
      <c r="M357" s="60"/>
      <c r="N357" s="60"/>
      <c r="O357" s="60"/>
      <c r="P357" s="60"/>
      <c r="Q357" s="60">
        <v>1</v>
      </c>
      <c r="R357" s="60"/>
      <c r="S357" s="60"/>
      <c r="T357" s="60"/>
      <c r="U357" s="60"/>
      <c r="V357" s="60"/>
      <c r="W357" s="60"/>
      <c r="X357" s="60"/>
      <c r="Y357" s="60"/>
      <c r="Z357" s="60"/>
      <c r="AA357" s="60">
        <v>1</v>
      </c>
      <c r="AB357" s="60"/>
      <c r="AC357" s="60"/>
      <c r="AD357" s="60"/>
      <c r="AE357" s="60"/>
      <c r="AF357" s="60"/>
      <c r="AG357" s="60"/>
      <c r="AH357" s="60"/>
      <c r="AI357" s="60"/>
      <c r="AJ357" s="60"/>
      <c r="AK357" s="64">
        <f t="shared" si="37"/>
        <v>513.19000000000005</v>
      </c>
    </row>
    <row r="358" spans="1:37" x14ac:dyDescent="0.25">
      <c r="A358" s="58" t="s">
        <v>770</v>
      </c>
      <c r="B358" s="59" t="str">
        <f t="shared" ca="1" si="34"/>
        <v>VENCIDO</v>
      </c>
      <c r="C358" s="60" t="s">
        <v>869</v>
      </c>
      <c r="D358" s="61" t="s">
        <v>1334</v>
      </c>
      <c r="E358" s="62" t="s">
        <v>788</v>
      </c>
      <c r="F358" s="61" t="s">
        <v>775</v>
      </c>
      <c r="G358" s="60" t="s">
        <v>213</v>
      </c>
      <c r="H358" s="63">
        <v>45536</v>
      </c>
      <c r="I358" s="63">
        <f>H358-180</f>
        <v>45356</v>
      </c>
      <c r="J358" s="60">
        <f t="shared" si="38"/>
        <v>6</v>
      </c>
      <c r="K358" s="60">
        <f t="shared" si="36"/>
        <v>0</v>
      </c>
      <c r="L358" s="60"/>
      <c r="M358" s="60"/>
      <c r="N358" s="60"/>
      <c r="O358" s="60"/>
      <c r="P358" s="60"/>
      <c r="Q358" s="60">
        <v>2</v>
      </c>
      <c r="R358" s="60"/>
      <c r="S358" s="60"/>
      <c r="T358" s="60">
        <v>1</v>
      </c>
      <c r="U358" s="60"/>
      <c r="V358" s="60">
        <v>2</v>
      </c>
      <c r="W358" s="60"/>
      <c r="X358" s="60"/>
      <c r="Y358" s="60"/>
      <c r="Z358" s="60"/>
      <c r="AA358" s="60">
        <v>1</v>
      </c>
      <c r="AB358" s="60"/>
      <c r="AC358" s="60"/>
      <c r="AD358" s="60"/>
      <c r="AE358" s="60"/>
      <c r="AF358" s="60"/>
      <c r="AG358" s="60"/>
      <c r="AH358" s="60"/>
      <c r="AI358" s="60"/>
      <c r="AJ358" s="60"/>
      <c r="AK358" s="64">
        <f t="shared" si="37"/>
        <v>1791.69</v>
      </c>
    </row>
    <row r="359" spans="1:37" hidden="1" x14ac:dyDescent="0.25">
      <c r="A359" s="58" t="s">
        <v>770</v>
      </c>
      <c r="B359" s="59" t="str">
        <f t="shared" ca="1" si="34"/>
        <v>VENCIDO</v>
      </c>
      <c r="C359" s="60" t="s">
        <v>869</v>
      </c>
      <c r="D359" s="61" t="s">
        <v>1335</v>
      </c>
      <c r="E359" s="62" t="s">
        <v>1336</v>
      </c>
      <c r="F359" s="61" t="s">
        <v>793</v>
      </c>
      <c r="G359" s="60" t="s">
        <v>213</v>
      </c>
      <c r="H359" s="63">
        <v>45413</v>
      </c>
      <c r="I359" s="63">
        <v>45413</v>
      </c>
      <c r="J359" s="60">
        <f t="shared" si="38"/>
        <v>6</v>
      </c>
      <c r="K359" s="60">
        <f t="shared" si="36"/>
        <v>0</v>
      </c>
      <c r="L359" s="60"/>
      <c r="M359" s="60"/>
      <c r="N359" s="60"/>
      <c r="O359" s="60">
        <v>1</v>
      </c>
      <c r="P359" s="60"/>
      <c r="Q359" s="60">
        <v>3</v>
      </c>
      <c r="R359" s="60"/>
      <c r="S359" s="60"/>
      <c r="T359" s="60">
        <v>1</v>
      </c>
      <c r="U359" s="60"/>
      <c r="V359" s="60"/>
      <c r="W359" s="60"/>
      <c r="X359" s="60"/>
      <c r="Y359" s="60"/>
      <c r="Z359" s="60"/>
      <c r="AA359" s="60">
        <v>1</v>
      </c>
      <c r="AB359" s="60"/>
      <c r="AC359" s="60"/>
      <c r="AD359" s="60"/>
      <c r="AE359" s="60"/>
      <c r="AF359" s="60"/>
      <c r="AG359" s="60"/>
      <c r="AH359" s="60"/>
      <c r="AI359" s="60"/>
      <c r="AJ359" s="60"/>
      <c r="AK359" s="64">
        <f t="shared" si="37"/>
        <v>1909.18</v>
      </c>
    </row>
    <row r="360" spans="1:37" x14ac:dyDescent="0.25">
      <c r="A360" s="58" t="s">
        <v>770</v>
      </c>
      <c r="B360" s="59" t="str">
        <f t="shared" ca="1" si="34"/>
        <v>VENCIDO</v>
      </c>
      <c r="C360" s="60" t="s">
        <v>869</v>
      </c>
      <c r="D360" s="66" t="s">
        <v>1337</v>
      </c>
      <c r="E360" s="62" t="s">
        <v>1338</v>
      </c>
      <c r="F360" s="61" t="s">
        <v>775</v>
      </c>
      <c r="G360" s="60" t="s">
        <v>213</v>
      </c>
      <c r="H360" s="63">
        <v>45597</v>
      </c>
      <c r="I360" s="63">
        <f>H360-180</f>
        <v>45417</v>
      </c>
      <c r="J360" s="60">
        <f t="shared" si="38"/>
        <v>2</v>
      </c>
      <c r="K360" s="60">
        <f t="shared" si="36"/>
        <v>0</v>
      </c>
      <c r="L360" s="60"/>
      <c r="M360" s="60"/>
      <c r="N360" s="60"/>
      <c r="O360" s="60"/>
      <c r="P360" s="60"/>
      <c r="Q360" s="60">
        <v>2</v>
      </c>
      <c r="R360" s="60"/>
      <c r="S360" s="60"/>
      <c r="T360" s="60"/>
      <c r="U360" s="60"/>
      <c r="V360" s="60"/>
      <c r="W360" s="60"/>
      <c r="X360" s="60"/>
      <c r="Y360" s="60"/>
      <c r="Z360" s="60"/>
      <c r="AA360" s="60"/>
      <c r="AB360" s="60"/>
      <c r="AC360" s="60"/>
      <c r="AD360" s="60"/>
      <c r="AE360" s="60"/>
      <c r="AF360" s="60"/>
      <c r="AG360" s="60"/>
      <c r="AH360" s="60"/>
      <c r="AI360" s="60"/>
      <c r="AJ360" s="60"/>
      <c r="AK360" s="64">
        <f t="shared" si="37"/>
        <v>630.70000000000005</v>
      </c>
    </row>
    <row r="361" spans="1:37" x14ac:dyDescent="0.25">
      <c r="A361" s="58" t="s">
        <v>770</v>
      </c>
      <c r="B361" s="59" t="str">
        <f t="shared" ca="1" si="34"/>
        <v>VENCIDO</v>
      </c>
      <c r="C361" s="60" t="s">
        <v>869</v>
      </c>
      <c r="D361" s="61" t="s">
        <v>1339</v>
      </c>
      <c r="E361" s="62" t="s">
        <v>1340</v>
      </c>
      <c r="F361" s="61" t="s">
        <v>775</v>
      </c>
      <c r="G361" s="60" t="s">
        <v>213</v>
      </c>
      <c r="H361" s="63">
        <v>45566</v>
      </c>
      <c r="I361" s="63">
        <f>H361-180</f>
        <v>45386</v>
      </c>
      <c r="J361" s="60">
        <f t="shared" si="38"/>
        <v>6</v>
      </c>
      <c r="K361" s="60">
        <f t="shared" si="36"/>
        <v>0</v>
      </c>
      <c r="L361" s="60"/>
      <c r="M361" s="60"/>
      <c r="N361" s="60"/>
      <c r="O361" s="60"/>
      <c r="P361" s="60">
        <v>2</v>
      </c>
      <c r="Q361" s="60">
        <v>1</v>
      </c>
      <c r="R361" s="60"/>
      <c r="S361" s="60"/>
      <c r="T361" s="60">
        <v>2</v>
      </c>
      <c r="U361" s="60"/>
      <c r="V361" s="60"/>
      <c r="W361" s="60"/>
      <c r="X361" s="60"/>
      <c r="Y361" s="60"/>
      <c r="Z361" s="60"/>
      <c r="AA361" s="60">
        <v>1</v>
      </c>
      <c r="AB361" s="60"/>
      <c r="AC361" s="60"/>
      <c r="AD361" s="60"/>
      <c r="AE361" s="60"/>
      <c r="AF361" s="60"/>
      <c r="AG361" s="60"/>
      <c r="AH361" s="60"/>
      <c r="AI361" s="60"/>
      <c r="AJ361" s="60"/>
      <c r="AK361" s="64">
        <f t="shared" si="37"/>
        <v>2136.31</v>
      </c>
    </row>
    <row r="362" spans="1:37" x14ac:dyDescent="0.25">
      <c r="A362" s="58" t="s">
        <v>770</v>
      </c>
      <c r="B362" s="59" t="str">
        <f t="shared" ca="1" si="34"/>
        <v>VENCIDO</v>
      </c>
      <c r="C362" s="60" t="s">
        <v>869</v>
      </c>
      <c r="D362" s="66" t="s">
        <v>1341</v>
      </c>
      <c r="E362" s="62" t="s">
        <v>924</v>
      </c>
      <c r="F362" s="61" t="s">
        <v>775</v>
      </c>
      <c r="G362" s="60" t="s">
        <v>213</v>
      </c>
      <c r="H362" s="63">
        <v>45352</v>
      </c>
      <c r="I362" s="63">
        <f>H362-180</f>
        <v>45172</v>
      </c>
      <c r="J362" s="60">
        <f t="shared" si="38"/>
        <v>2</v>
      </c>
      <c r="K362" s="60">
        <f t="shared" si="36"/>
        <v>0</v>
      </c>
      <c r="L362" s="60"/>
      <c r="M362" s="60"/>
      <c r="N362" s="60"/>
      <c r="O362" s="60"/>
      <c r="P362" s="60"/>
      <c r="Q362" s="60">
        <v>1</v>
      </c>
      <c r="R362" s="60"/>
      <c r="S362" s="60"/>
      <c r="T362" s="60"/>
      <c r="U362" s="60"/>
      <c r="V362" s="60"/>
      <c r="W362" s="60">
        <v>1</v>
      </c>
      <c r="X362" s="60"/>
      <c r="Y362" s="60"/>
      <c r="Z362" s="60"/>
      <c r="AA362" s="60"/>
      <c r="AB362" s="60"/>
      <c r="AC362" s="60"/>
      <c r="AD362" s="60"/>
      <c r="AE362" s="60"/>
      <c r="AF362" s="60"/>
      <c r="AG362" s="60"/>
      <c r="AH362" s="60"/>
      <c r="AI362" s="60"/>
      <c r="AJ362" s="60"/>
      <c r="AK362" s="64">
        <f t="shared" si="37"/>
        <v>785.86</v>
      </c>
    </row>
    <row r="363" spans="1:37" hidden="1" x14ac:dyDescent="0.25">
      <c r="A363" s="58" t="s">
        <v>770</v>
      </c>
      <c r="B363" s="59" t="str">
        <f t="shared" ca="1" si="34"/>
        <v>VENCIDO</v>
      </c>
      <c r="C363" s="60" t="s">
        <v>869</v>
      </c>
      <c r="D363" s="61" t="s">
        <v>1342</v>
      </c>
      <c r="E363" s="62" t="s">
        <v>965</v>
      </c>
      <c r="F363" s="61" t="s">
        <v>793</v>
      </c>
      <c r="G363" s="60" t="s">
        <v>213</v>
      </c>
      <c r="H363" s="63">
        <v>45505</v>
      </c>
      <c r="I363" s="63">
        <f>H363-180</f>
        <v>45325</v>
      </c>
      <c r="J363" s="60">
        <f t="shared" si="38"/>
        <v>2</v>
      </c>
      <c r="K363" s="60">
        <f t="shared" si="36"/>
        <v>0</v>
      </c>
      <c r="L363" s="60"/>
      <c r="M363" s="60"/>
      <c r="N363" s="60"/>
      <c r="O363" s="60"/>
      <c r="P363" s="60"/>
      <c r="Q363" s="60">
        <v>1</v>
      </c>
      <c r="R363" s="60"/>
      <c r="S363" s="60"/>
      <c r="T363" s="60"/>
      <c r="U363" s="60"/>
      <c r="V363" s="60"/>
      <c r="W363" s="60"/>
      <c r="X363" s="60"/>
      <c r="Y363" s="60"/>
      <c r="Z363" s="60"/>
      <c r="AA363" s="60">
        <v>1</v>
      </c>
      <c r="AB363" s="60"/>
      <c r="AC363" s="60"/>
      <c r="AD363" s="60"/>
      <c r="AE363" s="60"/>
      <c r="AF363" s="60"/>
      <c r="AG363" s="60"/>
      <c r="AH363" s="60"/>
      <c r="AI363" s="60"/>
      <c r="AJ363" s="60"/>
      <c r="AK363" s="64">
        <f t="shared" si="37"/>
        <v>513.19000000000005</v>
      </c>
    </row>
    <row r="364" spans="1:37" hidden="1" x14ac:dyDescent="0.25">
      <c r="A364" s="58"/>
      <c r="B364" s="59" t="str">
        <f t="shared" ca="1" si="34"/>
        <v>VENCIDO</v>
      </c>
      <c r="C364" s="60" t="s">
        <v>869</v>
      </c>
      <c r="D364" s="61" t="s">
        <v>1343</v>
      </c>
      <c r="E364" s="62" t="s">
        <v>1262</v>
      </c>
      <c r="F364" s="61" t="s">
        <v>793</v>
      </c>
      <c r="G364" s="60" t="s">
        <v>213</v>
      </c>
      <c r="H364" s="63">
        <v>45444</v>
      </c>
      <c r="I364" s="63">
        <f>H364-180</f>
        <v>45264</v>
      </c>
      <c r="J364" s="60">
        <f t="shared" si="38"/>
        <v>1</v>
      </c>
      <c r="K364" s="60">
        <f t="shared" si="36"/>
        <v>0</v>
      </c>
      <c r="L364" s="60"/>
      <c r="M364" s="60"/>
      <c r="N364" s="60"/>
      <c r="O364" s="60">
        <v>1</v>
      </c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  <c r="AA364" s="60"/>
      <c r="AB364" s="60"/>
      <c r="AC364" s="60"/>
      <c r="AD364" s="60"/>
      <c r="AE364" s="60"/>
      <c r="AF364" s="60"/>
      <c r="AG364" s="60"/>
      <c r="AH364" s="60"/>
      <c r="AI364" s="60"/>
      <c r="AJ364" s="60"/>
      <c r="AK364" s="64">
        <f t="shared" si="37"/>
        <v>197.82</v>
      </c>
    </row>
    <row r="365" spans="1:37" x14ac:dyDescent="0.25">
      <c r="A365" s="58" t="s">
        <v>811</v>
      </c>
      <c r="B365" s="59" t="str">
        <f t="shared" ca="1" si="34"/>
        <v>VENCIDO</v>
      </c>
      <c r="C365" s="60" t="s">
        <v>869</v>
      </c>
      <c r="D365" s="61" t="s">
        <v>1344</v>
      </c>
      <c r="E365" s="62" t="s">
        <v>968</v>
      </c>
      <c r="F365" s="61" t="s">
        <v>775</v>
      </c>
      <c r="G365" s="60" t="s">
        <v>213</v>
      </c>
      <c r="H365" s="63">
        <v>45444</v>
      </c>
      <c r="I365" s="63">
        <v>45444</v>
      </c>
      <c r="J365" s="60">
        <f t="shared" si="38"/>
        <v>8</v>
      </c>
      <c r="K365" s="60">
        <f t="shared" si="36"/>
        <v>0</v>
      </c>
      <c r="L365" s="60"/>
      <c r="M365" s="60"/>
      <c r="N365" s="60"/>
      <c r="O365" s="60">
        <v>3</v>
      </c>
      <c r="P365" s="60"/>
      <c r="Q365" s="60"/>
      <c r="R365" s="60">
        <v>1</v>
      </c>
      <c r="S365" s="60"/>
      <c r="T365" s="60"/>
      <c r="U365" s="60"/>
      <c r="V365" s="60"/>
      <c r="W365" s="60"/>
      <c r="X365" s="60">
        <v>2</v>
      </c>
      <c r="Y365" s="60"/>
      <c r="Z365" s="60"/>
      <c r="AA365" s="60">
        <v>2</v>
      </c>
      <c r="AB365" s="60"/>
      <c r="AC365" s="60"/>
      <c r="AD365" s="60"/>
      <c r="AE365" s="60"/>
      <c r="AF365" s="60"/>
      <c r="AG365" s="60"/>
      <c r="AH365" s="60"/>
      <c r="AI365" s="60"/>
      <c r="AJ365" s="60"/>
      <c r="AK365" s="64">
        <f t="shared" si="37"/>
        <v>3459.82</v>
      </c>
    </row>
    <row r="366" spans="1:37" hidden="1" x14ac:dyDescent="0.25">
      <c r="A366" s="58" t="s">
        <v>770</v>
      </c>
      <c r="B366" s="59" t="str">
        <f t="shared" ca="1" si="34"/>
        <v>VENCIDO</v>
      </c>
      <c r="C366" s="60" t="s">
        <v>869</v>
      </c>
      <c r="D366" s="61" t="s">
        <v>1345</v>
      </c>
      <c r="E366" s="62" t="s">
        <v>1198</v>
      </c>
      <c r="F366" s="61" t="s">
        <v>778</v>
      </c>
      <c r="G366" s="60" t="s">
        <v>213</v>
      </c>
      <c r="H366" s="63">
        <v>45474</v>
      </c>
      <c r="I366" s="63">
        <f>H366-180</f>
        <v>45294</v>
      </c>
      <c r="J366" s="60">
        <f t="shared" si="38"/>
        <v>9</v>
      </c>
      <c r="K366" s="60">
        <f t="shared" si="36"/>
        <v>0</v>
      </c>
      <c r="L366" s="60"/>
      <c r="M366" s="60"/>
      <c r="N366" s="60"/>
      <c r="O366" s="60"/>
      <c r="P366" s="60"/>
      <c r="Q366" s="60">
        <v>6</v>
      </c>
      <c r="R366" s="60"/>
      <c r="S366" s="60"/>
      <c r="T366" s="60">
        <v>1</v>
      </c>
      <c r="U366" s="60"/>
      <c r="V366" s="60"/>
      <c r="W366" s="60"/>
      <c r="X366" s="60"/>
      <c r="Y366" s="60"/>
      <c r="Z366" s="60"/>
      <c r="AA366" s="60">
        <v>2</v>
      </c>
      <c r="AB366" s="60"/>
      <c r="AC366" s="60"/>
      <c r="AD366" s="60"/>
      <c r="AE366" s="60"/>
      <c r="AF366" s="60"/>
      <c r="AG366" s="60"/>
      <c r="AH366" s="60"/>
      <c r="AI366" s="60"/>
      <c r="AJ366" s="60"/>
      <c r="AK366" s="64">
        <f t="shared" si="37"/>
        <v>2855.25</v>
      </c>
    </row>
    <row r="367" spans="1:37" hidden="1" x14ac:dyDescent="0.25">
      <c r="A367" s="58" t="s">
        <v>770</v>
      </c>
      <c r="B367" s="59" t="str">
        <f t="shared" ca="1" si="34"/>
        <v>VENCIDO</v>
      </c>
      <c r="C367" s="60" t="s">
        <v>869</v>
      </c>
      <c r="D367" s="61" t="s">
        <v>1346</v>
      </c>
      <c r="E367" s="62" t="s">
        <v>1204</v>
      </c>
      <c r="F367" s="61" t="s">
        <v>793</v>
      </c>
      <c r="G367" s="60" t="s">
        <v>213</v>
      </c>
      <c r="H367" s="63">
        <v>45444</v>
      </c>
      <c r="I367" s="63">
        <v>45444</v>
      </c>
      <c r="J367" s="60">
        <f t="shared" si="38"/>
        <v>2</v>
      </c>
      <c r="K367" s="60">
        <f t="shared" si="36"/>
        <v>0</v>
      </c>
      <c r="L367" s="60"/>
      <c r="M367" s="60"/>
      <c r="N367" s="60"/>
      <c r="O367" s="60"/>
      <c r="P367" s="60"/>
      <c r="Q367" s="60">
        <v>1</v>
      </c>
      <c r="R367" s="60"/>
      <c r="S367" s="60"/>
      <c r="T367" s="60"/>
      <c r="U367" s="60"/>
      <c r="V367" s="60"/>
      <c r="W367" s="60"/>
      <c r="X367" s="60"/>
      <c r="Y367" s="60"/>
      <c r="Z367" s="60"/>
      <c r="AA367" s="60">
        <v>1</v>
      </c>
      <c r="AB367" s="60"/>
      <c r="AC367" s="60"/>
      <c r="AD367" s="60"/>
      <c r="AE367" s="60"/>
      <c r="AF367" s="60"/>
      <c r="AG367" s="60"/>
      <c r="AH367" s="60"/>
      <c r="AI367" s="60"/>
      <c r="AJ367" s="60"/>
      <c r="AK367" s="64">
        <f t="shared" si="37"/>
        <v>513.19000000000005</v>
      </c>
    </row>
    <row r="368" spans="1:37" x14ac:dyDescent="0.25">
      <c r="A368" s="58" t="s">
        <v>770</v>
      </c>
      <c r="B368" s="59" t="str">
        <f t="shared" ca="1" si="34"/>
        <v>VENCIDO</v>
      </c>
      <c r="C368" s="60" t="s">
        <v>869</v>
      </c>
      <c r="D368" s="61" t="s">
        <v>1347</v>
      </c>
      <c r="E368" s="62" t="s">
        <v>972</v>
      </c>
      <c r="F368" s="61" t="s">
        <v>775</v>
      </c>
      <c r="G368" s="60" t="s">
        <v>213</v>
      </c>
      <c r="H368" s="63">
        <v>45323</v>
      </c>
      <c r="I368" s="63">
        <v>45323</v>
      </c>
      <c r="J368" s="60">
        <f t="shared" si="38"/>
        <v>3</v>
      </c>
      <c r="K368" s="60">
        <f t="shared" si="36"/>
        <v>0</v>
      </c>
      <c r="L368" s="60"/>
      <c r="M368" s="60"/>
      <c r="N368" s="60"/>
      <c r="O368" s="60"/>
      <c r="P368" s="60"/>
      <c r="Q368" s="60">
        <v>2</v>
      </c>
      <c r="R368" s="60"/>
      <c r="S368" s="60"/>
      <c r="T368" s="60"/>
      <c r="U368" s="60"/>
      <c r="V368" s="60"/>
      <c r="W368" s="60"/>
      <c r="X368" s="60"/>
      <c r="Y368" s="60"/>
      <c r="Z368" s="60"/>
      <c r="AA368" s="60">
        <v>1</v>
      </c>
      <c r="AB368" s="60"/>
      <c r="AC368" s="60"/>
      <c r="AD368" s="60"/>
      <c r="AE368" s="60"/>
      <c r="AF368" s="60"/>
      <c r="AG368" s="60"/>
      <c r="AH368" s="60"/>
      <c r="AI368" s="60"/>
      <c r="AJ368" s="60"/>
      <c r="AK368" s="64">
        <f t="shared" si="37"/>
        <v>828.54000000000008</v>
      </c>
    </row>
    <row r="369" spans="1:37" hidden="1" x14ac:dyDescent="0.25">
      <c r="A369" s="58" t="s">
        <v>783</v>
      </c>
      <c r="B369" s="59" t="str">
        <f t="shared" ca="1" si="34"/>
        <v>VENCIDO</v>
      </c>
      <c r="C369" s="60" t="s">
        <v>869</v>
      </c>
      <c r="D369" s="61" t="s">
        <v>1348</v>
      </c>
      <c r="E369" s="62" t="s">
        <v>777</v>
      </c>
      <c r="F369" s="61" t="s">
        <v>778</v>
      </c>
      <c r="G369" s="60" t="s">
        <v>213</v>
      </c>
      <c r="H369" s="63">
        <v>45597</v>
      </c>
      <c r="I369" s="63">
        <f>H369-180</f>
        <v>45417</v>
      </c>
      <c r="J369" s="60">
        <f t="shared" si="38"/>
        <v>2</v>
      </c>
      <c r="K369" s="60">
        <f t="shared" si="36"/>
        <v>0</v>
      </c>
      <c r="L369" s="60"/>
      <c r="M369" s="60"/>
      <c r="N369" s="60"/>
      <c r="O369" s="60"/>
      <c r="P369" s="60"/>
      <c r="Q369" s="60">
        <v>1</v>
      </c>
      <c r="R369" s="60"/>
      <c r="S369" s="60"/>
      <c r="T369" s="60"/>
      <c r="U369" s="60"/>
      <c r="V369" s="60"/>
      <c r="W369" s="60"/>
      <c r="X369" s="60"/>
      <c r="Y369" s="60"/>
      <c r="Z369" s="60"/>
      <c r="AA369" s="60">
        <v>1</v>
      </c>
      <c r="AB369" s="60"/>
      <c r="AC369" s="60"/>
      <c r="AD369" s="60"/>
      <c r="AE369" s="60"/>
      <c r="AF369" s="60"/>
      <c r="AG369" s="60"/>
      <c r="AH369" s="60"/>
      <c r="AI369" s="60"/>
      <c r="AJ369" s="60"/>
      <c r="AK369" s="64">
        <f t="shared" si="37"/>
        <v>513.19000000000005</v>
      </c>
    </row>
    <row r="370" spans="1:37" x14ac:dyDescent="0.25">
      <c r="A370" s="58" t="s">
        <v>849</v>
      </c>
      <c r="B370" s="59" t="str">
        <f t="shared" ca="1" si="34"/>
        <v>VENCIDO</v>
      </c>
      <c r="C370" s="60" t="s">
        <v>869</v>
      </c>
      <c r="D370" s="61" t="s">
        <v>1349</v>
      </c>
      <c r="E370" s="62" t="s">
        <v>918</v>
      </c>
      <c r="F370" s="61" t="s">
        <v>775</v>
      </c>
      <c r="G370" s="60" t="s">
        <v>213</v>
      </c>
      <c r="H370" s="63">
        <v>45505</v>
      </c>
      <c r="I370" s="63">
        <f>H370-180</f>
        <v>45325</v>
      </c>
      <c r="J370" s="60">
        <f t="shared" si="38"/>
        <v>5</v>
      </c>
      <c r="K370" s="60">
        <f t="shared" si="36"/>
        <v>0</v>
      </c>
      <c r="L370" s="60"/>
      <c r="M370" s="60"/>
      <c r="N370" s="60"/>
      <c r="O370" s="60">
        <v>1</v>
      </c>
      <c r="P370" s="60"/>
      <c r="Q370" s="60">
        <v>2</v>
      </c>
      <c r="R370" s="60"/>
      <c r="S370" s="60"/>
      <c r="T370" s="60">
        <v>1</v>
      </c>
      <c r="U370" s="60"/>
      <c r="V370" s="60"/>
      <c r="W370" s="60"/>
      <c r="X370" s="60"/>
      <c r="Y370" s="60"/>
      <c r="Z370" s="60"/>
      <c r="AA370" s="60">
        <v>1</v>
      </c>
      <c r="AB370" s="60"/>
      <c r="AC370" s="60"/>
      <c r="AD370" s="60"/>
      <c r="AE370" s="60"/>
      <c r="AF370" s="60"/>
      <c r="AG370" s="60"/>
      <c r="AH370" s="60"/>
      <c r="AI370" s="60"/>
      <c r="AJ370" s="60"/>
      <c r="AK370" s="64">
        <f t="shared" si="37"/>
        <v>1593.83</v>
      </c>
    </row>
    <row r="371" spans="1:37" x14ac:dyDescent="0.25">
      <c r="A371" s="58" t="s">
        <v>770</v>
      </c>
      <c r="B371" s="59" t="str">
        <f t="shared" ca="1" si="34"/>
        <v>VENCIDO</v>
      </c>
      <c r="C371" s="60" t="s">
        <v>869</v>
      </c>
      <c r="D371" s="61" t="s">
        <v>1350</v>
      </c>
      <c r="E371" s="62" t="s">
        <v>976</v>
      </c>
      <c r="F371" s="61" t="s">
        <v>775</v>
      </c>
      <c r="G371" s="60" t="s">
        <v>213</v>
      </c>
      <c r="H371" s="63">
        <v>45536</v>
      </c>
      <c r="I371" s="63">
        <f>H371-180</f>
        <v>45356</v>
      </c>
      <c r="J371" s="60">
        <f t="shared" si="38"/>
        <v>2</v>
      </c>
      <c r="K371" s="60">
        <f t="shared" si="36"/>
        <v>0</v>
      </c>
      <c r="L371" s="60"/>
      <c r="M371" s="60"/>
      <c r="N371" s="60"/>
      <c r="O371" s="60"/>
      <c r="P371" s="60"/>
      <c r="Q371" s="60">
        <v>1</v>
      </c>
      <c r="R371" s="60"/>
      <c r="S371" s="60"/>
      <c r="T371" s="60"/>
      <c r="U371" s="60"/>
      <c r="V371" s="60"/>
      <c r="W371" s="60"/>
      <c r="X371" s="60"/>
      <c r="Y371" s="60"/>
      <c r="Z371" s="60"/>
      <c r="AA371" s="60">
        <v>1</v>
      </c>
      <c r="AB371" s="60"/>
      <c r="AC371" s="60"/>
      <c r="AD371" s="60"/>
      <c r="AE371" s="60"/>
      <c r="AF371" s="60"/>
      <c r="AG371" s="60"/>
      <c r="AH371" s="60"/>
      <c r="AI371" s="60"/>
      <c r="AJ371" s="60"/>
      <c r="AK371" s="64">
        <f t="shared" si="37"/>
        <v>513.19000000000005</v>
      </c>
    </row>
    <row r="372" spans="1:37" hidden="1" x14ac:dyDescent="0.25">
      <c r="A372" s="58" t="s">
        <v>783</v>
      </c>
      <c r="B372" s="59" t="str">
        <f t="shared" ca="1" si="34"/>
        <v>VENCIDO</v>
      </c>
      <c r="C372" s="60" t="s">
        <v>869</v>
      </c>
      <c r="D372" s="61" t="s">
        <v>1351</v>
      </c>
      <c r="E372" s="62" t="s">
        <v>1352</v>
      </c>
      <c r="F372" s="61" t="s">
        <v>793</v>
      </c>
      <c r="G372" s="60" t="s">
        <v>213</v>
      </c>
      <c r="H372" s="63">
        <v>45413</v>
      </c>
      <c r="I372" s="63">
        <f>H372-180</f>
        <v>45233</v>
      </c>
      <c r="J372" s="60">
        <f t="shared" si="38"/>
        <v>1</v>
      </c>
      <c r="K372" s="60">
        <f t="shared" si="36"/>
        <v>0</v>
      </c>
      <c r="L372" s="60"/>
      <c r="M372" s="60"/>
      <c r="N372" s="60"/>
      <c r="O372" s="60"/>
      <c r="P372" s="60"/>
      <c r="Q372" s="60">
        <v>1</v>
      </c>
      <c r="R372" s="60"/>
      <c r="S372" s="60"/>
      <c r="T372" s="60"/>
      <c r="U372" s="60"/>
      <c r="V372" s="60"/>
      <c r="W372" s="60"/>
      <c r="X372" s="60"/>
      <c r="Y372" s="60"/>
      <c r="Z372" s="60"/>
      <c r="AA372" s="60"/>
      <c r="AB372" s="60"/>
      <c r="AC372" s="60"/>
      <c r="AD372" s="60"/>
      <c r="AE372" s="60"/>
      <c r="AF372" s="60"/>
      <c r="AG372" s="60"/>
      <c r="AH372" s="60"/>
      <c r="AI372" s="60"/>
      <c r="AJ372" s="60"/>
      <c r="AK372" s="64">
        <f t="shared" si="37"/>
        <v>315.35000000000002</v>
      </c>
    </row>
    <row r="373" spans="1:37" x14ac:dyDescent="0.25">
      <c r="A373" s="58" t="s">
        <v>783</v>
      </c>
      <c r="B373" s="59" t="str">
        <f t="shared" ca="1" si="34"/>
        <v>VENCIDO</v>
      </c>
      <c r="C373" s="60" t="s">
        <v>869</v>
      </c>
      <c r="D373" s="61" t="s">
        <v>1353</v>
      </c>
      <c r="E373" s="62" t="s">
        <v>1354</v>
      </c>
      <c r="F373" s="61" t="s">
        <v>775</v>
      </c>
      <c r="G373" s="60" t="s">
        <v>213</v>
      </c>
      <c r="H373" s="63">
        <v>45323</v>
      </c>
      <c r="I373" s="63">
        <v>45323</v>
      </c>
      <c r="J373" s="60">
        <f t="shared" si="38"/>
        <v>4</v>
      </c>
      <c r="K373" s="60">
        <f t="shared" si="36"/>
        <v>0</v>
      </c>
      <c r="L373" s="60"/>
      <c r="M373" s="60"/>
      <c r="N373" s="60"/>
      <c r="O373" s="60"/>
      <c r="P373" s="60">
        <v>1</v>
      </c>
      <c r="Q373" s="60">
        <v>1</v>
      </c>
      <c r="R373" s="60"/>
      <c r="S373" s="60"/>
      <c r="T373" s="60">
        <v>1</v>
      </c>
      <c r="U373" s="60"/>
      <c r="V373" s="60"/>
      <c r="W373" s="60"/>
      <c r="X373" s="60"/>
      <c r="Y373" s="60"/>
      <c r="Z373" s="60"/>
      <c r="AA373" s="60">
        <v>1</v>
      </c>
      <c r="AB373" s="60"/>
      <c r="AC373" s="60"/>
      <c r="AD373" s="60"/>
      <c r="AE373" s="60"/>
      <c r="AF373" s="60"/>
      <c r="AG373" s="60"/>
      <c r="AH373" s="60"/>
      <c r="AI373" s="60"/>
      <c r="AJ373" s="60"/>
      <c r="AK373" s="64">
        <f t="shared" si="37"/>
        <v>1324.75</v>
      </c>
    </row>
    <row r="374" spans="1:37" hidden="1" x14ac:dyDescent="0.25">
      <c r="A374" s="58" t="s">
        <v>1151</v>
      </c>
      <c r="B374" s="59" t="str">
        <f t="shared" ref="B374:B437" ca="1" si="39">IF(H374&lt;$B$1,"VENCIDO","NA VALIDADE")</f>
        <v>VENCIDO</v>
      </c>
      <c r="C374" s="60" t="s">
        <v>869</v>
      </c>
      <c r="D374" s="61" t="s">
        <v>1355</v>
      </c>
      <c r="E374" s="62" t="s">
        <v>1356</v>
      </c>
      <c r="F374" s="61" t="s">
        <v>778</v>
      </c>
      <c r="G374" s="60" t="s">
        <v>213</v>
      </c>
      <c r="H374" s="63">
        <v>45566</v>
      </c>
      <c r="I374" s="63">
        <v>45566</v>
      </c>
      <c r="J374" s="60">
        <f t="shared" si="38"/>
        <v>4</v>
      </c>
      <c r="K374" s="60">
        <f t="shared" si="36"/>
        <v>0</v>
      </c>
      <c r="L374" s="60"/>
      <c r="M374" s="60"/>
      <c r="N374" s="60"/>
      <c r="O374" s="60">
        <v>1</v>
      </c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  <c r="AA374" s="60">
        <v>3</v>
      </c>
      <c r="AB374" s="60"/>
      <c r="AC374" s="60"/>
      <c r="AD374" s="60"/>
      <c r="AE374" s="60"/>
      <c r="AF374" s="60"/>
      <c r="AG374" s="60"/>
      <c r="AH374" s="60"/>
      <c r="AI374" s="60"/>
      <c r="AJ374" s="60"/>
      <c r="AK374" s="64">
        <f t="shared" si="37"/>
        <v>791.33999999999992</v>
      </c>
    </row>
    <row r="375" spans="1:37" hidden="1" x14ac:dyDescent="0.25">
      <c r="A375" s="58" t="s">
        <v>770</v>
      </c>
      <c r="B375" s="59" t="str">
        <f t="shared" ca="1" si="39"/>
        <v>VENCIDO</v>
      </c>
      <c r="C375" s="60" t="s">
        <v>869</v>
      </c>
      <c r="D375" s="66" t="s">
        <v>1357</v>
      </c>
      <c r="E375" s="62" t="s">
        <v>1076</v>
      </c>
      <c r="F375" s="61" t="s">
        <v>778</v>
      </c>
      <c r="G375" s="60" t="s">
        <v>213</v>
      </c>
      <c r="H375" s="63">
        <v>45566</v>
      </c>
      <c r="I375" s="63">
        <f>H375-180</f>
        <v>45386</v>
      </c>
      <c r="J375" s="60">
        <f t="shared" si="38"/>
        <v>2</v>
      </c>
      <c r="K375" s="60">
        <f t="shared" si="36"/>
        <v>0</v>
      </c>
      <c r="L375" s="60"/>
      <c r="M375" s="60"/>
      <c r="N375" s="60"/>
      <c r="O375" s="60"/>
      <c r="P375" s="60"/>
      <c r="Q375" s="60">
        <v>1</v>
      </c>
      <c r="R375" s="60"/>
      <c r="S375" s="60"/>
      <c r="T375" s="60"/>
      <c r="U375" s="60"/>
      <c r="V375" s="60"/>
      <c r="W375" s="60"/>
      <c r="X375" s="60"/>
      <c r="Y375" s="60"/>
      <c r="Z375" s="60"/>
      <c r="AA375" s="60">
        <v>1</v>
      </c>
      <c r="AB375" s="60"/>
      <c r="AC375" s="60"/>
      <c r="AD375" s="60"/>
      <c r="AE375" s="60"/>
      <c r="AF375" s="60"/>
      <c r="AG375" s="60"/>
      <c r="AH375" s="60"/>
      <c r="AI375" s="60"/>
      <c r="AJ375" s="60"/>
      <c r="AK375" s="64">
        <f t="shared" si="37"/>
        <v>513.19000000000005</v>
      </c>
    </row>
    <row r="376" spans="1:37" hidden="1" x14ac:dyDescent="0.25">
      <c r="A376" s="58" t="s">
        <v>849</v>
      </c>
      <c r="B376" s="59" t="str">
        <f t="shared" ca="1" si="39"/>
        <v>VENCIDO</v>
      </c>
      <c r="C376" s="60" t="s">
        <v>869</v>
      </c>
      <c r="D376" s="61" t="s">
        <v>981</v>
      </c>
      <c r="E376" s="62" t="s">
        <v>982</v>
      </c>
      <c r="F376" s="61" t="s">
        <v>778</v>
      </c>
      <c r="G376" s="60" t="s">
        <v>213</v>
      </c>
      <c r="H376" s="63">
        <v>45444</v>
      </c>
      <c r="I376" s="63">
        <v>45444</v>
      </c>
      <c r="J376" s="60">
        <f t="shared" si="38"/>
        <v>7</v>
      </c>
      <c r="K376" s="60">
        <f t="shared" si="36"/>
        <v>0</v>
      </c>
      <c r="L376" s="60"/>
      <c r="M376" s="60"/>
      <c r="N376" s="60"/>
      <c r="O376" s="60">
        <v>2</v>
      </c>
      <c r="P376" s="60"/>
      <c r="Q376" s="60">
        <v>3</v>
      </c>
      <c r="R376" s="60"/>
      <c r="S376" s="60"/>
      <c r="T376" s="60">
        <v>1</v>
      </c>
      <c r="U376" s="60"/>
      <c r="V376" s="60"/>
      <c r="W376" s="60"/>
      <c r="X376" s="60"/>
      <c r="Y376" s="60"/>
      <c r="Z376" s="60"/>
      <c r="AA376" s="60">
        <v>1</v>
      </c>
      <c r="AB376" s="60"/>
      <c r="AC376" s="60"/>
      <c r="AD376" s="60"/>
      <c r="AE376" s="60"/>
      <c r="AF376" s="60"/>
      <c r="AG376" s="60"/>
      <c r="AH376" s="60"/>
      <c r="AI376" s="60"/>
      <c r="AJ376" s="60"/>
      <c r="AK376" s="64">
        <f t="shared" si="37"/>
        <v>2107</v>
      </c>
    </row>
    <row r="377" spans="1:37" hidden="1" x14ac:dyDescent="0.25">
      <c r="A377" s="58" t="s">
        <v>770</v>
      </c>
      <c r="B377" s="59" t="str">
        <f t="shared" ca="1" si="39"/>
        <v>VENCIDO</v>
      </c>
      <c r="C377" s="60" t="s">
        <v>869</v>
      </c>
      <c r="D377" s="61" t="s">
        <v>1358</v>
      </c>
      <c r="E377" s="62" t="s">
        <v>1359</v>
      </c>
      <c r="F377" s="61" t="s">
        <v>778</v>
      </c>
      <c r="G377" s="60" t="s">
        <v>213</v>
      </c>
      <c r="H377" s="63">
        <v>45566</v>
      </c>
      <c r="I377" s="63">
        <f>H377-180</f>
        <v>45386</v>
      </c>
      <c r="J377" s="60">
        <f t="shared" si="38"/>
        <v>4</v>
      </c>
      <c r="K377" s="60">
        <f t="shared" si="36"/>
        <v>0</v>
      </c>
      <c r="L377" s="60"/>
      <c r="M377" s="60"/>
      <c r="N377" s="60"/>
      <c r="O377" s="60"/>
      <c r="P377" s="60">
        <v>2</v>
      </c>
      <c r="Q377" s="60"/>
      <c r="R377" s="60"/>
      <c r="S377" s="60"/>
      <c r="T377" s="60"/>
      <c r="U377" s="60"/>
      <c r="V377" s="60"/>
      <c r="W377" s="60"/>
      <c r="X377" s="60"/>
      <c r="Y377" s="60"/>
      <c r="Z377" s="60"/>
      <c r="AA377" s="60">
        <v>2</v>
      </c>
      <c r="AB377" s="60"/>
      <c r="AC377" s="60"/>
      <c r="AD377" s="60"/>
      <c r="AE377" s="60"/>
      <c r="AF377" s="60"/>
      <c r="AG377" s="60"/>
      <c r="AH377" s="60"/>
      <c r="AI377" s="60"/>
      <c r="AJ377" s="60"/>
      <c r="AK377" s="64">
        <f t="shared" si="37"/>
        <v>883.86</v>
      </c>
    </row>
    <row r="378" spans="1:37" x14ac:dyDescent="0.25">
      <c r="A378" s="58" t="s">
        <v>860</v>
      </c>
      <c r="B378" s="59" t="str">
        <f t="shared" ca="1" si="39"/>
        <v>VENCIDO</v>
      </c>
      <c r="C378" s="60" t="s">
        <v>869</v>
      </c>
      <c r="D378" s="61" t="s">
        <v>1360</v>
      </c>
      <c r="E378" s="62" t="s">
        <v>223</v>
      </c>
      <c r="F378" s="61" t="s">
        <v>775</v>
      </c>
      <c r="G378" s="60" t="s">
        <v>213</v>
      </c>
      <c r="H378" s="63">
        <v>45566</v>
      </c>
      <c r="I378" s="63">
        <f>H378-180</f>
        <v>45386</v>
      </c>
      <c r="J378" s="60">
        <f t="shared" si="38"/>
        <v>22</v>
      </c>
      <c r="K378" s="60">
        <f t="shared" si="36"/>
        <v>0</v>
      </c>
      <c r="L378" s="60"/>
      <c r="M378" s="60"/>
      <c r="N378" s="60"/>
      <c r="O378" s="60"/>
      <c r="P378" s="60"/>
      <c r="Q378" s="60">
        <v>16</v>
      </c>
      <c r="R378" s="60"/>
      <c r="S378" s="60"/>
      <c r="T378" s="60">
        <v>4</v>
      </c>
      <c r="U378" s="60"/>
      <c r="V378" s="60"/>
      <c r="W378" s="60"/>
      <c r="X378" s="60"/>
      <c r="Y378" s="60"/>
      <c r="Z378" s="60"/>
      <c r="AA378" s="60">
        <v>2</v>
      </c>
      <c r="AB378" s="60"/>
      <c r="AC378" s="60"/>
      <c r="AD378" s="60"/>
      <c r="AE378" s="60"/>
      <c r="AF378" s="60"/>
      <c r="AG378" s="60"/>
      <c r="AH378" s="60"/>
      <c r="AI378" s="60"/>
      <c r="AJ378" s="60"/>
      <c r="AK378" s="64">
        <f t="shared" si="37"/>
        <v>7711.1600000000008</v>
      </c>
    </row>
    <row r="379" spans="1:37" hidden="1" x14ac:dyDescent="0.25">
      <c r="A379" s="58" t="s">
        <v>1151</v>
      </c>
      <c r="B379" s="59" t="str">
        <f t="shared" ca="1" si="39"/>
        <v>VENCIDO</v>
      </c>
      <c r="C379" s="60" t="s">
        <v>869</v>
      </c>
      <c r="D379" s="61" t="s">
        <v>1361</v>
      </c>
      <c r="E379" s="62" t="s">
        <v>778</v>
      </c>
      <c r="F379" s="61" t="s">
        <v>778</v>
      </c>
      <c r="G379" s="60" t="s">
        <v>213</v>
      </c>
      <c r="H379" s="63">
        <v>45444</v>
      </c>
      <c r="I379" s="63">
        <v>45444</v>
      </c>
      <c r="J379" s="60">
        <f t="shared" si="38"/>
        <v>2</v>
      </c>
      <c r="K379" s="60">
        <f t="shared" si="36"/>
        <v>0</v>
      </c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>
        <v>1</v>
      </c>
      <c r="W379" s="60"/>
      <c r="X379" s="60"/>
      <c r="Y379" s="60"/>
      <c r="Z379" s="60"/>
      <c r="AA379" s="60">
        <v>1</v>
      </c>
      <c r="AB379" s="60"/>
      <c r="AC379" s="60"/>
      <c r="AD379" s="60"/>
      <c r="AE379" s="60"/>
      <c r="AF379" s="60"/>
      <c r="AG379" s="60"/>
      <c r="AH379" s="60"/>
      <c r="AI379" s="60"/>
      <c r="AJ379" s="60"/>
      <c r="AK379" s="64">
        <f t="shared" si="37"/>
        <v>395.68</v>
      </c>
    </row>
    <row r="380" spans="1:37" x14ac:dyDescent="0.25">
      <c r="A380" s="58" t="s">
        <v>770</v>
      </c>
      <c r="B380" s="59" t="str">
        <f t="shared" ca="1" si="39"/>
        <v>VENCIDO</v>
      </c>
      <c r="C380" s="60" t="s">
        <v>869</v>
      </c>
      <c r="D380" s="61" t="s">
        <v>1362</v>
      </c>
      <c r="E380" s="62" t="s">
        <v>223</v>
      </c>
      <c r="F380" s="61" t="s">
        <v>775</v>
      </c>
      <c r="G380" s="60" t="s">
        <v>213</v>
      </c>
      <c r="H380" s="63">
        <v>45413</v>
      </c>
      <c r="I380" s="63">
        <v>45413</v>
      </c>
      <c r="J380" s="60">
        <f t="shared" si="38"/>
        <v>13</v>
      </c>
      <c r="K380" s="60">
        <f t="shared" si="36"/>
        <v>0</v>
      </c>
      <c r="L380" s="60"/>
      <c r="M380" s="60"/>
      <c r="N380" s="60"/>
      <c r="O380" s="60"/>
      <c r="P380" s="60"/>
      <c r="Q380" s="60">
        <v>10</v>
      </c>
      <c r="R380" s="60"/>
      <c r="S380" s="60"/>
      <c r="T380" s="60">
        <v>2</v>
      </c>
      <c r="U380" s="60"/>
      <c r="V380" s="60"/>
      <c r="W380" s="60"/>
      <c r="X380" s="60"/>
      <c r="Y380" s="60"/>
      <c r="Z380" s="60"/>
      <c r="AA380" s="60">
        <v>1</v>
      </c>
      <c r="AB380" s="60"/>
      <c r="AC380" s="60"/>
      <c r="AD380" s="60"/>
      <c r="AE380" s="60"/>
      <c r="AF380" s="60"/>
      <c r="AG380" s="60"/>
      <c r="AH380" s="60"/>
      <c r="AI380" s="60"/>
      <c r="AJ380" s="60"/>
      <c r="AK380" s="64">
        <f t="shared" si="37"/>
        <v>4486.2800000000007</v>
      </c>
    </row>
    <row r="381" spans="1:37" x14ac:dyDescent="0.25">
      <c r="A381" s="58" t="s">
        <v>770</v>
      </c>
      <c r="B381" s="59" t="str">
        <f t="shared" ca="1" si="39"/>
        <v>VENCIDO</v>
      </c>
      <c r="C381" s="60" t="s">
        <v>869</v>
      </c>
      <c r="D381" s="61" t="s">
        <v>1363</v>
      </c>
      <c r="E381" s="62" t="s">
        <v>908</v>
      </c>
      <c r="F381" s="61" t="s">
        <v>775</v>
      </c>
      <c r="G381" s="60" t="s">
        <v>213</v>
      </c>
      <c r="H381" s="63">
        <v>45474</v>
      </c>
      <c r="I381" s="63">
        <f>H381-180</f>
        <v>45294</v>
      </c>
      <c r="J381" s="60">
        <f t="shared" si="38"/>
        <v>2</v>
      </c>
      <c r="K381" s="60">
        <f t="shared" si="36"/>
        <v>0</v>
      </c>
      <c r="L381" s="60"/>
      <c r="M381" s="60"/>
      <c r="N381" s="60"/>
      <c r="O381" s="60"/>
      <c r="P381" s="60"/>
      <c r="Q381" s="60">
        <v>1</v>
      </c>
      <c r="R381" s="60"/>
      <c r="S381" s="60"/>
      <c r="T381" s="60"/>
      <c r="U381" s="60"/>
      <c r="V381" s="60"/>
      <c r="W381" s="60"/>
      <c r="X381" s="60"/>
      <c r="Y381" s="60"/>
      <c r="Z381" s="60"/>
      <c r="AA381" s="60">
        <v>1</v>
      </c>
      <c r="AB381" s="60"/>
      <c r="AC381" s="60"/>
      <c r="AD381" s="60"/>
      <c r="AE381" s="60"/>
      <c r="AF381" s="60"/>
      <c r="AG381" s="60"/>
      <c r="AH381" s="60"/>
      <c r="AI381" s="60"/>
      <c r="AJ381" s="60"/>
      <c r="AK381" s="64">
        <f t="shared" si="37"/>
        <v>513.19000000000005</v>
      </c>
    </row>
    <row r="382" spans="1:37" hidden="1" x14ac:dyDescent="0.25">
      <c r="A382" s="58" t="s">
        <v>1151</v>
      </c>
      <c r="B382" s="59" t="str">
        <f t="shared" ca="1" si="39"/>
        <v>VENCIDO</v>
      </c>
      <c r="C382" s="60" t="s">
        <v>869</v>
      </c>
      <c r="D382" s="61" t="s">
        <v>1364</v>
      </c>
      <c r="E382" s="62" t="s">
        <v>1365</v>
      </c>
      <c r="F382" s="61" t="s">
        <v>793</v>
      </c>
      <c r="G382" s="60" t="s">
        <v>213</v>
      </c>
      <c r="H382" s="63">
        <v>45383</v>
      </c>
      <c r="I382" s="63">
        <v>45383</v>
      </c>
      <c r="J382" s="60">
        <f t="shared" si="38"/>
        <v>2</v>
      </c>
      <c r="K382" s="60">
        <f t="shared" si="36"/>
        <v>0</v>
      </c>
      <c r="L382" s="60"/>
      <c r="M382" s="60"/>
      <c r="N382" s="60"/>
      <c r="O382" s="60"/>
      <c r="P382" s="60"/>
      <c r="Q382" s="60">
        <v>1</v>
      </c>
      <c r="R382" s="60"/>
      <c r="S382" s="60"/>
      <c r="T382" s="60"/>
      <c r="U382" s="60"/>
      <c r="V382" s="60"/>
      <c r="W382" s="60"/>
      <c r="X382" s="60"/>
      <c r="Y382" s="60"/>
      <c r="Z382" s="60"/>
      <c r="AA382" s="60">
        <v>1</v>
      </c>
      <c r="AB382" s="60"/>
      <c r="AC382" s="60"/>
      <c r="AD382" s="60"/>
      <c r="AE382" s="60"/>
      <c r="AF382" s="60"/>
      <c r="AG382" s="60"/>
      <c r="AH382" s="60"/>
      <c r="AI382" s="60"/>
      <c r="AJ382" s="60"/>
      <c r="AK382" s="64">
        <f t="shared" si="37"/>
        <v>513.19000000000005</v>
      </c>
    </row>
    <row r="383" spans="1:37" x14ac:dyDescent="0.25">
      <c r="A383" s="58" t="s">
        <v>770</v>
      </c>
      <c r="B383" s="59" t="str">
        <f t="shared" ca="1" si="39"/>
        <v>VENCIDO</v>
      </c>
      <c r="C383" s="60" t="s">
        <v>869</v>
      </c>
      <c r="D383" s="66" t="s">
        <v>1366</v>
      </c>
      <c r="E383" s="62" t="s">
        <v>1367</v>
      </c>
      <c r="F383" s="61" t="s">
        <v>775</v>
      </c>
      <c r="G383" s="60" t="s">
        <v>213</v>
      </c>
      <c r="H383" s="63">
        <v>45505</v>
      </c>
      <c r="I383" s="63">
        <f>H383-180</f>
        <v>45325</v>
      </c>
      <c r="J383" s="60">
        <f t="shared" si="38"/>
        <v>2</v>
      </c>
      <c r="K383" s="60">
        <f t="shared" si="36"/>
        <v>0</v>
      </c>
      <c r="L383" s="60"/>
      <c r="M383" s="60"/>
      <c r="N383" s="60"/>
      <c r="O383" s="60"/>
      <c r="P383" s="60"/>
      <c r="Q383" s="60">
        <v>2</v>
      </c>
      <c r="R383" s="60"/>
      <c r="S383" s="60"/>
      <c r="T383" s="60"/>
      <c r="U383" s="60"/>
      <c r="V383" s="60"/>
      <c r="W383" s="60"/>
      <c r="X383" s="60"/>
      <c r="Y383" s="60"/>
      <c r="Z383" s="60"/>
      <c r="AA383" s="60"/>
      <c r="AB383" s="60"/>
      <c r="AC383" s="60"/>
      <c r="AD383" s="60"/>
      <c r="AE383" s="60"/>
      <c r="AF383" s="60"/>
      <c r="AG383" s="60"/>
      <c r="AH383" s="60"/>
      <c r="AI383" s="60"/>
      <c r="AJ383" s="60"/>
      <c r="AK383" s="64">
        <f t="shared" si="37"/>
        <v>630.70000000000005</v>
      </c>
    </row>
    <row r="384" spans="1:37" x14ac:dyDescent="0.25">
      <c r="A384" s="58" t="s">
        <v>783</v>
      </c>
      <c r="B384" s="59" t="str">
        <f t="shared" ca="1" si="39"/>
        <v>VENCIDO</v>
      </c>
      <c r="C384" s="60" t="s">
        <v>869</v>
      </c>
      <c r="D384" s="61" t="s">
        <v>1368</v>
      </c>
      <c r="E384" s="62" t="s">
        <v>223</v>
      </c>
      <c r="F384" s="61" t="s">
        <v>775</v>
      </c>
      <c r="G384" s="60" t="s">
        <v>213</v>
      </c>
      <c r="H384" s="63">
        <v>45444</v>
      </c>
      <c r="I384" s="63">
        <v>45444</v>
      </c>
      <c r="J384" s="60">
        <f t="shared" si="38"/>
        <v>7</v>
      </c>
      <c r="K384" s="60">
        <f t="shared" si="36"/>
        <v>0</v>
      </c>
      <c r="L384" s="60"/>
      <c r="M384" s="60"/>
      <c r="N384" s="60"/>
      <c r="O384" s="60"/>
      <c r="P384" s="60"/>
      <c r="Q384" s="60">
        <v>4</v>
      </c>
      <c r="R384" s="60"/>
      <c r="S384" s="60"/>
      <c r="T384" s="60">
        <v>1</v>
      </c>
      <c r="U384" s="60"/>
      <c r="V384" s="60"/>
      <c r="W384" s="60"/>
      <c r="X384" s="60"/>
      <c r="Y384" s="60"/>
      <c r="Z384" s="60"/>
      <c r="AA384" s="60">
        <v>2</v>
      </c>
      <c r="AB384" s="60"/>
      <c r="AC384" s="60"/>
      <c r="AD384" s="60"/>
      <c r="AE384" s="60"/>
      <c r="AF384" s="60"/>
      <c r="AG384" s="60"/>
      <c r="AH384" s="60"/>
      <c r="AI384" s="60"/>
      <c r="AJ384" s="60"/>
      <c r="AK384" s="64">
        <f t="shared" si="37"/>
        <v>2224.5500000000002</v>
      </c>
    </row>
    <row r="385" spans="1:37" x14ac:dyDescent="0.25">
      <c r="A385" s="58" t="s">
        <v>783</v>
      </c>
      <c r="B385" s="59" t="str">
        <f t="shared" ca="1" si="39"/>
        <v>VENCIDO</v>
      </c>
      <c r="C385" s="60" t="s">
        <v>869</v>
      </c>
      <c r="D385" s="61" t="s">
        <v>1369</v>
      </c>
      <c r="E385" s="62" t="s">
        <v>1370</v>
      </c>
      <c r="F385" s="61" t="s">
        <v>775</v>
      </c>
      <c r="G385" s="60" t="s">
        <v>213</v>
      </c>
      <c r="H385" s="63">
        <v>45323</v>
      </c>
      <c r="I385" s="63">
        <v>45323</v>
      </c>
      <c r="J385" s="60">
        <f t="shared" si="38"/>
        <v>2</v>
      </c>
      <c r="K385" s="60">
        <f t="shared" si="36"/>
        <v>0</v>
      </c>
      <c r="L385" s="60"/>
      <c r="M385" s="60"/>
      <c r="N385" s="60"/>
      <c r="O385" s="60"/>
      <c r="P385" s="60"/>
      <c r="Q385" s="60">
        <v>1</v>
      </c>
      <c r="R385" s="60"/>
      <c r="S385" s="60"/>
      <c r="T385" s="60"/>
      <c r="U385" s="60"/>
      <c r="V385" s="60"/>
      <c r="W385" s="60"/>
      <c r="X385" s="60"/>
      <c r="Y385" s="60"/>
      <c r="Z385" s="60"/>
      <c r="AA385" s="60">
        <v>1</v>
      </c>
      <c r="AB385" s="60"/>
      <c r="AC385" s="60"/>
      <c r="AD385" s="60"/>
      <c r="AE385" s="60"/>
      <c r="AF385" s="60"/>
      <c r="AG385" s="60"/>
      <c r="AH385" s="60"/>
      <c r="AI385" s="60"/>
      <c r="AJ385" s="60"/>
      <c r="AK385" s="64">
        <f t="shared" si="37"/>
        <v>513.19000000000005</v>
      </c>
    </row>
    <row r="386" spans="1:37" x14ac:dyDescent="0.25">
      <c r="A386" s="58" t="s">
        <v>783</v>
      </c>
      <c r="B386" s="59" t="str">
        <f t="shared" ca="1" si="39"/>
        <v>VENCIDO</v>
      </c>
      <c r="C386" s="60" t="s">
        <v>869</v>
      </c>
      <c r="D386" s="61" t="s">
        <v>1371</v>
      </c>
      <c r="E386" s="62" t="s">
        <v>223</v>
      </c>
      <c r="F386" s="61" t="s">
        <v>775</v>
      </c>
      <c r="G386" s="60" t="s">
        <v>213</v>
      </c>
      <c r="H386" s="63">
        <v>45292</v>
      </c>
      <c r="I386" s="63">
        <v>45292</v>
      </c>
      <c r="J386" s="60">
        <f t="shared" si="38"/>
        <v>5</v>
      </c>
      <c r="K386" s="60">
        <f t="shared" si="36"/>
        <v>0</v>
      </c>
      <c r="L386" s="60"/>
      <c r="M386" s="60"/>
      <c r="N386" s="60"/>
      <c r="O386" s="60"/>
      <c r="P386" s="60"/>
      <c r="Q386" s="60">
        <v>3</v>
      </c>
      <c r="R386" s="60"/>
      <c r="S386" s="60"/>
      <c r="T386" s="60">
        <v>1</v>
      </c>
      <c r="U386" s="60"/>
      <c r="V386" s="60"/>
      <c r="W386" s="60"/>
      <c r="X386" s="60"/>
      <c r="Y386" s="60"/>
      <c r="Z386" s="60"/>
      <c r="AA386" s="60">
        <v>1</v>
      </c>
      <c r="AB386" s="60"/>
      <c r="AC386" s="60"/>
      <c r="AD386" s="60"/>
      <c r="AE386" s="60"/>
      <c r="AF386" s="60"/>
      <c r="AG386" s="60"/>
      <c r="AH386" s="60"/>
      <c r="AI386" s="60"/>
      <c r="AJ386" s="60"/>
      <c r="AK386" s="64">
        <f t="shared" si="37"/>
        <v>1711.36</v>
      </c>
    </row>
    <row r="387" spans="1:37" x14ac:dyDescent="0.25">
      <c r="A387" s="58"/>
      <c r="B387" s="59" t="str">
        <f t="shared" ca="1" si="39"/>
        <v>VENCIDO</v>
      </c>
      <c r="C387" s="60" t="s">
        <v>869</v>
      </c>
      <c r="D387" s="61" t="s">
        <v>1372</v>
      </c>
      <c r="E387" s="62" t="s">
        <v>223</v>
      </c>
      <c r="F387" s="61" t="s">
        <v>775</v>
      </c>
      <c r="G387" s="60" t="s">
        <v>213</v>
      </c>
      <c r="H387" s="63">
        <v>45413</v>
      </c>
      <c r="I387" s="63">
        <v>45413</v>
      </c>
      <c r="J387" s="60">
        <f t="shared" si="38"/>
        <v>7</v>
      </c>
      <c r="K387" s="60">
        <f t="shared" ref="K387:K450" si="40">SUM(AF387:AJ387)</f>
        <v>0</v>
      </c>
      <c r="L387" s="60"/>
      <c r="M387" s="60"/>
      <c r="N387" s="60"/>
      <c r="O387" s="60"/>
      <c r="P387" s="60"/>
      <c r="Q387" s="60">
        <v>2</v>
      </c>
      <c r="R387" s="60"/>
      <c r="S387" s="60"/>
      <c r="T387" s="60">
        <v>2</v>
      </c>
      <c r="U387" s="60"/>
      <c r="V387" s="60"/>
      <c r="W387" s="60"/>
      <c r="X387" s="60">
        <v>1</v>
      </c>
      <c r="Y387" s="60"/>
      <c r="Z387" s="60"/>
      <c r="AA387" s="60">
        <v>2</v>
      </c>
      <c r="AB387" s="60"/>
      <c r="AC387" s="60"/>
      <c r="AD387" s="60"/>
      <c r="AE387" s="60"/>
      <c r="AF387" s="60"/>
      <c r="AG387" s="60"/>
      <c r="AH387" s="60"/>
      <c r="AI387" s="60"/>
      <c r="AJ387" s="60"/>
      <c r="AK387" s="64">
        <f t="shared" ref="AK387:AK450" si="41">IF(L387&gt;0,L387*90.44,0)+IF(M387&gt;0,M387*348.12,0)+IF(N387&gt;0,N387*151.63,0)+IF(O387&gt;0,O387*197.82,0)+IF(P387&gt;0,P387*244.09,0)+IF(Q387&gt;0,Q387*315.35,0)+IF(R387&gt;0,R387*1067.3,0)+IF(T387&gt;0,T387*567.47,0)+IF(U387&gt;0,U387*151.63,0)+IF(V387&gt;0,V387*197.84,0)+IF(W387&gt;0,W387*470.51,0)+IF(X387&gt;0,X387*701.69,0)+IF(Z387&gt;0,Z387*151.63,0)+IF(AA387&gt;0,AA387*197.84)+IF(AB387&gt;0,AB387*308.4,0)+IF(AC387&gt;0,AC387*496.16,0)</f>
        <v>2863.0099999999998</v>
      </c>
    </row>
    <row r="388" spans="1:37" hidden="1" x14ac:dyDescent="0.25">
      <c r="A388" s="58" t="s">
        <v>783</v>
      </c>
      <c r="B388" s="59" t="str">
        <f t="shared" ca="1" si="39"/>
        <v>VENCIDO</v>
      </c>
      <c r="C388" s="60" t="s">
        <v>869</v>
      </c>
      <c r="D388" s="61" t="s">
        <v>1373</v>
      </c>
      <c r="E388" s="62" t="s">
        <v>988</v>
      </c>
      <c r="F388" s="61" t="s">
        <v>778</v>
      </c>
      <c r="G388" s="60" t="s">
        <v>213</v>
      </c>
      <c r="H388" s="63">
        <v>45474</v>
      </c>
      <c r="I388" s="63">
        <f>H388-180</f>
        <v>45294</v>
      </c>
      <c r="J388" s="60">
        <f t="shared" si="38"/>
        <v>2</v>
      </c>
      <c r="K388" s="60">
        <f t="shared" si="40"/>
        <v>0</v>
      </c>
      <c r="L388" s="60"/>
      <c r="M388" s="60"/>
      <c r="N388" s="60"/>
      <c r="O388" s="60"/>
      <c r="P388" s="60"/>
      <c r="Q388" s="60">
        <v>1</v>
      </c>
      <c r="R388" s="60"/>
      <c r="S388" s="60"/>
      <c r="T388" s="60"/>
      <c r="U388" s="60"/>
      <c r="V388" s="60"/>
      <c r="W388" s="60"/>
      <c r="X388" s="60"/>
      <c r="Y388" s="60"/>
      <c r="Z388" s="60"/>
      <c r="AA388" s="60">
        <v>1</v>
      </c>
      <c r="AB388" s="60"/>
      <c r="AC388" s="60"/>
      <c r="AD388" s="60"/>
      <c r="AE388" s="60"/>
      <c r="AF388" s="60"/>
      <c r="AG388" s="60"/>
      <c r="AH388" s="60"/>
      <c r="AI388" s="60"/>
      <c r="AJ388" s="60"/>
      <c r="AK388" s="64">
        <f t="shared" si="41"/>
        <v>513.19000000000005</v>
      </c>
    </row>
    <row r="389" spans="1:37" hidden="1" x14ac:dyDescent="0.25">
      <c r="A389" s="58" t="s">
        <v>770</v>
      </c>
      <c r="B389" s="59" t="str">
        <f t="shared" ca="1" si="39"/>
        <v>VENCIDO</v>
      </c>
      <c r="C389" s="60" t="s">
        <v>869</v>
      </c>
      <c r="D389" s="61" t="s">
        <v>1374</v>
      </c>
      <c r="E389" s="62" t="s">
        <v>1375</v>
      </c>
      <c r="F389" s="61" t="s">
        <v>778</v>
      </c>
      <c r="G389" s="60" t="s">
        <v>213</v>
      </c>
      <c r="H389" s="63">
        <v>45352</v>
      </c>
      <c r="I389" s="63">
        <f>H389-180</f>
        <v>45172</v>
      </c>
      <c r="J389" s="60">
        <f t="shared" si="38"/>
        <v>8</v>
      </c>
      <c r="K389" s="60">
        <f t="shared" si="40"/>
        <v>0</v>
      </c>
      <c r="L389" s="60"/>
      <c r="M389" s="60"/>
      <c r="N389" s="60"/>
      <c r="O389" s="60"/>
      <c r="P389" s="60"/>
      <c r="Q389" s="60">
        <v>6</v>
      </c>
      <c r="R389" s="60"/>
      <c r="S389" s="60"/>
      <c r="T389" s="60">
        <v>2</v>
      </c>
      <c r="U389" s="60"/>
      <c r="V389" s="60"/>
      <c r="W389" s="60"/>
      <c r="X389" s="60"/>
      <c r="Y389" s="60"/>
      <c r="Z389" s="60"/>
      <c r="AA389" s="60"/>
      <c r="AB389" s="60"/>
      <c r="AC389" s="60"/>
      <c r="AD389" s="60"/>
      <c r="AE389" s="60"/>
      <c r="AF389" s="60"/>
      <c r="AG389" s="60"/>
      <c r="AH389" s="60"/>
      <c r="AI389" s="60"/>
      <c r="AJ389" s="60"/>
      <c r="AK389" s="64">
        <f t="shared" si="41"/>
        <v>3027.04</v>
      </c>
    </row>
    <row r="390" spans="1:37" x14ac:dyDescent="0.25">
      <c r="A390" s="58" t="s">
        <v>783</v>
      </c>
      <c r="B390" s="59" t="str">
        <f t="shared" ca="1" si="39"/>
        <v>VENCIDO</v>
      </c>
      <c r="C390" s="60" t="s">
        <v>869</v>
      </c>
      <c r="D390" s="61" t="s">
        <v>1376</v>
      </c>
      <c r="E390" s="62" t="s">
        <v>1377</v>
      </c>
      <c r="F390" s="61" t="s">
        <v>775</v>
      </c>
      <c r="G390" s="60" t="s">
        <v>213</v>
      </c>
      <c r="H390" s="63">
        <v>45566</v>
      </c>
      <c r="I390" s="63">
        <f>H390-180</f>
        <v>45386</v>
      </c>
      <c r="J390" s="60">
        <f t="shared" si="38"/>
        <v>8</v>
      </c>
      <c r="K390" s="60">
        <f t="shared" si="40"/>
        <v>0</v>
      </c>
      <c r="L390" s="60"/>
      <c r="M390" s="60"/>
      <c r="N390" s="60"/>
      <c r="O390" s="60"/>
      <c r="P390" s="60">
        <v>2</v>
      </c>
      <c r="Q390" s="60">
        <v>3</v>
      </c>
      <c r="R390" s="60"/>
      <c r="S390" s="60"/>
      <c r="T390" s="60">
        <v>2</v>
      </c>
      <c r="U390" s="60"/>
      <c r="V390" s="60"/>
      <c r="W390" s="60"/>
      <c r="X390" s="60"/>
      <c r="Y390" s="60"/>
      <c r="Z390" s="60"/>
      <c r="AA390" s="60">
        <v>1</v>
      </c>
      <c r="AB390" s="60"/>
      <c r="AC390" s="60"/>
      <c r="AD390" s="60"/>
      <c r="AE390" s="60"/>
      <c r="AF390" s="60"/>
      <c r="AG390" s="60"/>
      <c r="AH390" s="60"/>
      <c r="AI390" s="60"/>
      <c r="AJ390" s="60"/>
      <c r="AK390" s="64">
        <f t="shared" si="41"/>
        <v>2767.01</v>
      </c>
    </row>
    <row r="391" spans="1:37" x14ac:dyDescent="0.25">
      <c r="A391" s="58"/>
      <c r="B391" s="59" t="str">
        <f t="shared" ca="1" si="39"/>
        <v>VENCIDO</v>
      </c>
      <c r="C391" s="60" t="s">
        <v>869</v>
      </c>
      <c r="D391" s="61" t="s">
        <v>1378</v>
      </c>
      <c r="E391" s="62" t="s">
        <v>1332</v>
      </c>
      <c r="F391" s="61" t="s">
        <v>775</v>
      </c>
      <c r="G391" s="60" t="s">
        <v>213</v>
      </c>
      <c r="H391" s="63">
        <v>45413</v>
      </c>
      <c r="I391" s="63">
        <v>45413</v>
      </c>
      <c r="J391" s="60">
        <f t="shared" si="38"/>
        <v>6</v>
      </c>
      <c r="K391" s="60">
        <f t="shared" si="40"/>
        <v>0</v>
      </c>
      <c r="L391" s="60"/>
      <c r="M391" s="60"/>
      <c r="N391" s="60"/>
      <c r="O391" s="60">
        <v>1</v>
      </c>
      <c r="P391" s="60">
        <v>1</v>
      </c>
      <c r="Q391" s="60"/>
      <c r="R391" s="60"/>
      <c r="S391" s="60"/>
      <c r="T391" s="60">
        <v>2</v>
      </c>
      <c r="U391" s="60"/>
      <c r="V391" s="60"/>
      <c r="W391" s="60"/>
      <c r="X391" s="60"/>
      <c r="Y391" s="60"/>
      <c r="Z391" s="60"/>
      <c r="AA391" s="60">
        <v>2</v>
      </c>
      <c r="AB391" s="60"/>
      <c r="AC391" s="60"/>
      <c r="AD391" s="60"/>
      <c r="AE391" s="60"/>
      <c r="AF391" s="60"/>
      <c r="AG391" s="60"/>
      <c r="AH391" s="60"/>
      <c r="AI391" s="60"/>
      <c r="AJ391" s="60"/>
      <c r="AK391" s="64">
        <f t="shared" si="41"/>
        <v>1972.53</v>
      </c>
    </row>
    <row r="392" spans="1:37" hidden="1" x14ac:dyDescent="0.25">
      <c r="A392" s="58" t="s">
        <v>783</v>
      </c>
      <c r="B392" s="59" t="str">
        <f t="shared" ca="1" si="39"/>
        <v>VENCIDO</v>
      </c>
      <c r="C392" s="60" t="s">
        <v>869</v>
      </c>
      <c r="D392" s="61" t="s">
        <v>1379</v>
      </c>
      <c r="E392" s="62" t="s">
        <v>1176</v>
      </c>
      <c r="F392" s="61" t="s">
        <v>793</v>
      </c>
      <c r="G392" s="60" t="s">
        <v>213</v>
      </c>
      <c r="H392" s="63">
        <v>45352</v>
      </c>
      <c r="I392" s="63">
        <f>H392-180</f>
        <v>45172</v>
      </c>
      <c r="J392" s="60">
        <f t="shared" si="38"/>
        <v>8</v>
      </c>
      <c r="K392" s="60">
        <f t="shared" si="40"/>
        <v>0</v>
      </c>
      <c r="L392" s="60"/>
      <c r="M392" s="60"/>
      <c r="N392" s="60"/>
      <c r="O392" s="60"/>
      <c r="P392" s="60">
        <v>2</v>
      </c>
      <c r="Q392" s="60">
        <v>4</v>
      </c>
      <c r="R392" s="60"/>
      <c r="S392" s="60"/>
      <c r="T392" s="60">
        <v>2</v>
      </c>
      <c r="U392" s="60"/>
      <c r="V392" s="60"/>
      <c r="W392" s="60"/>
      <c r="X392" s="60"/>
      <c r="Y392" s="60"/>
      <c r="Z392" s="60"/>
      <c r="AA392" s="60"/>
      <c r="AB392" s="60"/>
      <c r="AC392" s="60"/>
      <c r="AD392" s="60"/>
      <c r="AE392" s="60"/>
      <c r="AF392" s="60"/>
      <c r="AG392" s="60"/>
      <c r="AH392" s="60"/>
      <c r="AI392" s="60"/>
      <c r="AJ392" s="60"/>
      <c r="AK392" s="64">
        <f t="shared" si="41"/>
        <v>2884.5200000000004</v>
      </c>
    </row>
    <row r="393" spans="1:37" hidden="1" x14ac:dyDescent="0.25">
      <c r="A393" s="58"/>
      <c r="B393" s="59" t="str">
        <f t="shared" ca="1" si="39"/>
        <v>VENCIDO</v>
      </c>
      <c r="C393" s="60" t="s">
        <v>869</v>
      </c>
      <c r="D393" s="61" t="s">
        <v>1380</v>
      </c>
      <c r="E393" s="62" t="s">
        <v>853</v>
      </c>
      <c r="F393" s="61" t="s">
        <v>793</v>
      </c>
      <c r="G393" s="60" t="s">
        <v>213</v>
      </c>
      <c r="H393" s="63">
        <v>45505</v>
      </c>
      <c r="I393" s="63">
        <f>H393-180</f>
        <v>45325</v>
      </c>
      <c r="J393" s="60">
        <f t="shared" si="38"/>
        <v>5</v>
      </c>
      <c r="K393" s="60">
        <f t="shared" si="40"/>
        <v>0</v>
      </c>
      <c r="L393" s="60"/>
      <c r="M393" s="60"/>
      <c r="N393" s="60"/>
      <c r="O393" s="60">
        <v>1</v>
      </c>
      <c r="P393" s="60"/>
      <c r="Q393" s="60"/>
      <c r="R393" s="60"/>
      <c r="S393" s="60"/>
      <c r="T393" s="60">
        <v>1</v>
      </c>
      <c r="U393" s="60"/>
      <c r="V393" s="60"/>
      <c r="W393" s="60"/>
      <c r="X393" s="60"/>
      <c r="Y393" s="60"/>
      <c r="Z393" s="60"/>
      <c r="AA393" s="60">
        <v>3</v>
      </c>
      <c r="AB393" s="60"/>
      <c r="AC393" s="60"/>
      <c r="AD393" s="60"/>
      <c r="AE393" s="60"/>
      <c r="AF393" s="60"/>
      <c r="AG393" s="60"/>
      <c r="AH393" s="60"/>
      <c r="AI393" s="60"/>
      <c r="AJ393" s="60"/>
      <c r="AK393" s="64">
        <f t="shared" si="41"/>
        <v>1358.81</v>
      </c>
    </row>
    <row r="394" spans="1:37" x14ac:dyDescent="0.25">
      <c r="A394" s="58" t="s">
        <v>770</v>
      </c>
      <c r="B394" s="59" t="str">
        <f t="shared" ca="1" si="39"/>
        <v>VENCIDO</v>
      </c>
      <c r="C394" s="60" t="s">
        <v>869</v>
      </c>
      <c r="D394" s="61" t="s">
        <v>1381</v>
      </c>
      <c r="E394" s="62" t="s">
        <v>1332</v>
      </c>
      <c r="F394" s="61" t="s">
        <v>775</v>
      </c>
      <c r="G394" s="60" t="s">
        <v>213</v>
      </c>
      <c r="H394" s="63">
        <v>45444</v>
      </c>
      <c r="I394" s="63">
        <v>45444</v>
      </c>
      <c r="J394" s="60">
        <f t="shared" si="38"/>
        <v>12</v>
      </c>
      <c r="K394" s="60">
        <f t="shared" si="40"/>
        <v>0</v>
      </c>
      <c r="L394" s="60"/>
      <c r="M394" s="60"/>
      <c r="N394" s="60"/>
      <c r="O394" s="60"/>
      <c r="P394" s="60"/>
      <c r="Q394" s="60">
        <v>9</v>
      </c>
      <c r="R394" s="60"/>
      <c r="S394" s="60"/>
      <c r="T394" s="60">
        <v>2</v>
      </c>
      <c r="U394" s="60"/>
      <c r="V394" s="60"/>
      <c r="W394" s="60"/>
      <c r="X394" s="60"/>
      <c r="Y394" s="60"/>
      <c r="Z394" s="60"/>
      <c r="AA394" s="60">
        <v>1</v>
      </c>
      <c r="AB394" s="60"/>
      <c r="AC394" s="60"/>
      <c r="AD394" s="60"/>
      <c r="AE394" s="60"/>
      <c r="AF394" s="60"/>
      <c r="AG394" s="60"/>
      <c r="AH394" s="60"/>
      <c r="AI394" s="60"/>
      <c r="AJ394" s="60"/>
      <c r="AK394" s="64">
        <f t="shared" si="41"/>
        <v>4170.93</v>
      </c>
    </row>
    <row r="395" spans="1:37" hidden="1" x14ac:dyDescent="0.25">
      <c r="A395" s="58" t="s">
        <v>770</v>
      </c>
      <c r="B395" s="59" t="str">
        <f t="shared" ca="1" si="39"/>
        <v>VENCIDO</v>
      </c>
      <c r="C395" s="60" t="s">
        <v>869</v>
      </c>
      <c r="D395" s="61" t="s">
        <v>1382</v>
      </c>
      <c r="E395" s="62" t="s">
        <v>1383</v>
      </c>
      <c r="F395" s="61" t="s">
        <v>778</v>
      </c>
      <c r="G395" s="60" t="s">
        <v>213</v>
      </c>
      <c r="H395" s="63">
        <v>45597</v>
      </c>
      <c r="I395" s="63">
        <f>H395-180</f>
        <v>45417</v>
      </c>
      <c r="J395" s="60">
        <f t="shared" si="38"/>
        <v>2</v>
      </c>
      <c r="K395" s="60">
        <f t="shared" si="40"/>
        <v>0</v>
      </c>
      <c r="L395" s="60"/>
      <c r="M395" s="60"/>
      <c r="N395" s="60"/>
      <c r="O395" s="60"/>
      <c r="P395" s="60"/>
      <c r="Q395" s="60"/>
      <c r="R395" s="60"/>
      <c r="S395" s="60"/>
      <c r="T395" s="60"/>
      <c r="U395" s="60"/>
      <c r="V395" s="60"/>
      <c r="W395" s="60"/>
      <c r="X395" s="60"/>
      <c r="Y395" s="60"/>
      <c r="Z395" s="60"/>
      <c r="AA395" s="60">
        <v>2</v>
      </c>
      <c r="AB395" s="60"/>
      <c r="AC395" s="60"/>
      <c r="AD395" s="60"/>
      <c r="AE395" s="60"/>
      <c r="AF395" s="60"/>
      <c r="AG395" s="60"/>
      <c r="AH395" s="60"/>
      <c r="AI395" s="60"/>
      <c r="AJ395" s="60"/>
      <c r="AK395" s="64">
        <f t="shared" si="41"/>
        <v>395.68</v>
      </c>
    </row>
    <row r="396" spans="1:37" hidden="1" x14ac:dyDescent="0.25">
      <c r="A396" s="58" t="s">
        <v>770</v>
      </c>
      <c r="B396" s="59" t="str">
        <f t="shared" ca="1" si="39"/>
        <v>VENCIDO</v>
      </c>
      <c r="C396" s="60" t="s">
        <v>869</v>
      </c>
      <c r="D396" s="61" t="s">
        <v>1384</v>
      </c>
      <c r="E396" s="62" t="s">
        <v>1385</v>
      </c>
      <c r="F396" s="61" t="s">
        <v>778</v>
      </c>
      <c r="G396" s="60" t="s">
        <v>213</v>
      </c>
      <c r="H396" s="63">
        <v>45505</v>
      </c>
      <c r="I396" s="63">
        <f>H396-180</f>
        <v>45325</v>
      </c>
      <c r="J396" s="60">
        <f t="shared" si="38"/>
        <v>2</v>
      </c>
      <c r="K396" s="60">
        <f t="shared" si="40"/>
        <v>0</v>
      </c>
      <c r="L396" s="60"/>
      <c r="M396" s="60"/>
      <c r="N396" s="60"/>
      <c r="O396" s="60"/>
      <c r="P396" s="60"/>
      <c r="Q396" s="60">
        <v>1</v>
      </c>
      <c r="R396" s="60"/>
      <c r="S396" s="60"/>
      <c r="T396" s="60"/>
      <c r="U396" s="60"/>
      <c r="V396" s="60"/>
      <c r="W396" s="60"/>
      <c r="X396" s="60"/>
      <c r="Y396" s="60"/>
      <c r="Z396" s="60"/>
      <c r="AA396" s="60">
        <v>1</v>
      </c>
      <c r="AB396" s="60"/>
      <c r="AC396" s="60"/>
      <c r="AD396" s="60"/>
      <c r="AE396" s="60"/>
      <c r="AF396" s="60"/>
      <c r="AG396" s="60"/>
      <c r="AH396" s="60"/>
      <c r="AI396" s="60"/>
      <c r="AJ396" s="60"/>
      <c r="AK396" s="64">
        <f t="shared" si="41"/>
        <v>513.19000000000005</v>
      </c>
    </row>
    <row r="397" spans="1:37" hidden="1" x14ac:dyDescent="0.25">
      <c r="A397" s="58" t="s">
        <v>770</v>
      </c>
      <c r="B397" s="59" t="str">
        <f t="shared" ca="1" si="39"/>
        <v>VENCIDO</v>
      </c>
      <c r="C397" s="60" t="s">
        <v>869</v>
      </c>
      <c r="D397" s="61" t="s">
        <v>1386</v>
      </c>
      <c r="E397" s="62" t="s">
        <v>428</v>
      </c>
      <c r="F397" s="61" t="s">
        <v>793</v>
      </c>
      <c r="G397" s="60" t="s">
        <v>213</v>
      </c>
      <c r="H397" s="63">
        <v>45505</v>
      </c>
      <c r="I397" s="63">
        <f>H397-180</f>
        <v>45325</v>
      </c>
      <c r="J397" s="60">
        <f t="shared" si="38"/>
        <v>14</v>
      </c>
      <c r="K397" s="60">
        <f t="shared" si="40"/>
        <v>0</v>
      </c>
      <c r="L397" s="60"/>
      <c r="M397" s="60"/>
      <c r="N397" s="60"/>
      <c r="O397" s="60"/>
      <c r="P397" s="60"/>
      <c r="Q397" s="60">
        <v>8</v>
      </c>
      <c r="R397" s="60"/>
      <c r="S397" s="60"/>
      <c r="T397" s="60">
        <v>2</v>
      </c>
      <c r="U397" s="60"/>
      <c r="V397" s="60">
        <v>1</v>
      </c>
      <c r="W397" s="60"/>
      <c r="X397" s="60"/>
      <c r="Y397" s="60"/>
      <c r="Z397" s="60"/>
      <c r="AA397" s="60">
        <v>3</v>
      </c>
      <c r="AB397" s="60"/>
      <c r="AC397" s="60"/>
      <c r="AD397" s="60"/>
      <c r="AE397" s="60"/>
      <c r="AF397" s="60"/>
      <c r="AG397" s="60"/>
      <c r="AH397" s="60"/>
      <c r="AI397" s="60"/>
      <c r="AJ397" s="60"/>
      <c r="AK397" s="64">
        <f t="shared" si="41"/>
        <v>4449.1000000000004</v>
      </c>
    </row>
    <row r="398" spans="1:37" x14ac:dyDescent="0.25">
      <c r="A398" s="58" t="s">
        <v>770</v>
      </c>
      <c r="B398" s="59" t="str">
        <f t="shared" ca="1" si="39"/>
        <v>VENCIDO</v>
      </c>
      <c r="C398" s="60" t="s">
        <v>869</v>
      </c>
      <c r="D398" s="61" t="s">
        <v>1387</v>
      </c>
      <c r="E398" s="62" t="s">
        <v>1388</v>
      </c>
      <c r="F398" s="61" t="s">
        <v>775</v>
      </c>
      <c r="G398" s="60" t="s">
        <v>213</v>
      </c>
      <c r="H398" s="63">
        <v>45352</v>
      </c>
      <c r="I398" s="63">
        <f>H398-180</f>
        <v>45172</v>
      </c>
      <c r="J398" s="60">
        <f t="shared" si="38"/>
        <v>3</v>
      </c>
      <c r="K398" s="60">
        <f t="shared" si="40"/>
        <v>0</v>
      </c>
      <c r="L398" s="60"/>
      <c r="M398" s="60"/>
      <c r="N398" s="60"/>
      <c r="O398" s="60"/>
      <c r="P398" s="60">
        <v>1</v>
      </c>
      <c r="Q398" s="60">
        <v>1</v>
      </c>
      <c r="R398" s="60"/>
      <c r="S398" s="60"/>
      <c r="T398" s="60">
        <v>1</v>
      </c>
      <c r="U398" s="60"/>
      <c r="V398" s="60"/>
      <c r="W398" s="60"/>
      <c r="X398" s="60"/>
      <c r="Y398" s="60"/>
      <c r="Z398" s="60"/>
      <c r="AA398" s="60"/>
      <c r="AB398" s="60"/>
      <c r="AC398" s="60"/>
      <c r="AD398" s="60"/>
      <c r="AE398" s="60"/>
      <c r="AF398" s="60"/>
      <c r="AG398" s="60"/>
      <c r="AH398" s="60"/>
      <c r="AI398" s="60"/>
      <c r="AJ398" s="60"/>
      <c r="AK398" s="64">
        <f t="shared" si="41"/>
        <v>1126.9100000000001</v>
      </c>
    </row>
    <row r="399" spans="1:37" x14ac:dyDescent="0.25">
      <c r="A399" s="58" t="s">
        <v>770</v>
      </c>
      <c r="B399" s="59" t="str">
        <f t="shared" ca="1" si="39"/>
        <v>VENCIDO</v>
      </c>
      <c r="C399" s="60" t="s">
        <v>869</v>
      </c>
      <c r="D399" s="61" t="s">
        <v>1389</v>
      </c>
      <c r="E399" s="62" t="s">
        <v>1388</v>
      </c>
      <c r="F399" s="61" t="s">
        <v>775</v>
      </c>
      <c r="G399" s="60" t="s">
        <v>213</v>
      </c>
      <c r="H399" s="63">
        <v>45597</v>
      </c>
      <c r="I399" s="63">
        <f>H399-180</f>
        <v>45417</v>
      </c>
      <c r="J399" s="60">
        <f t="shared" si="38"/>
        <v>5</v>
      </c>
      <c r="K399" s="60">
        <f t="shared" si="40"/>
        <v>0</v>
      </c>
      <c r="L399" s="60"/>
      <c r="M399" s="60"/>
      <c r="N399" s="60"/>
      <c r="O399" s="60"/>
      <c r="P399" s="60">
        <v>1</v>
      </c>
      <c r="Q399" s="60">
        <v>1</v>
      </c>
      <c r="R399" s="60"/>
      <c r="S399" s="60"/>
      <c r="T399" s="60">
        <v>1</v>
      </c>
      <c r="U399" s="60"/>
      <c r="V399" s="60"/>
      <c r="W399" s="60"/>
      <c r="X399" s="60"/>
      <c r="Y399" s="60"/>
      <c r="Z399" s="60"/>
      <c r="AA399" s="60">
        <v>2</v>
      </c>
      <c r="AB399" s="60"/>
      <c r="AC399" s="60"/>
      <c r="AD399" s="60"/>
      <c r="AE399" s="60"/>
      <c r="AF399" s="60"/>
      <c r="AG399" s="60"/>
      <c r="AH399" s="60"/>
      <c r="AI399" s="60"/>
      <c r="AJ399" s="60"/>
      <c r="AK399" s="64">
        <f t="shared" si="41"/>
        <v>1522.5900000000001</v>
      </c>
    </row>
    <row r="400" spans="1:37" x14ac:dyDescent="0.25">
      <c r="A400" s="58" t="s">
        <v>770</v>
      </c>
      <c r="B400" s="59" t="str">
        <f t="shared" ca="1" si="39"/>
        <v>VENCIDO</v>
      </c>
      <c r="C400" s="60" t="s">
        <v>869</v>
      </c>
      <c r="D400" s="61" t="s">
        <v>1390</v>
      </c>
      <c r="E400" s="62" t="s">
        <v>1391</v>
      </c>
      <c r="F400" s="61" t="s">
        <v>775</v>
      </c>
      <c r="G400" s="60" t="s">
        <v>213</v>
      </c>
      <c r="H400" s="63">
        <v>45383</v>
      </c>
      <c r="I400" s="63">
        <v>45383</v>
      </c>
      <c r="J400" s="60">
        <f t="shared" si="38"/>
        <v>2</v>
      </c>
      <c r="K400" s="60">
        <f t="shared" si="40"/>
        <v>0</v>
      </c>
      <c r="L400" s="60"/>
      <c r="M400" s="60"/>
      <c r="N400" s="60"/>
      <c r="O400" s="60"/>
      <c r="P400" s="60"/>
      <c r="Q400" s="60">
        <v>1</v>
      </c>
      <c r="R400" s="60"/>
      <c r="S400" s="60"/>
      <c r="T400" s="60"/>
      <c r="U400" s="60"/>
      <c r="V400" s="60"/>
      <c r="W400" s="60"/>
      <c r="X400" s="60"/>
      <c r="Y400" s="60"/>
      <c r="Z400" s="60"/>
      <c r="AA400" s="60">
        <v>1</v>
      </c>
      <c r="AB400" s="60"/>
      <c r="AC400" s="60"/>
      <c r="AD400" s="60"/>
      <c r="AE400" s="60"/>
      <c r="AF400" s="60"/>
      <c r="AG400" s="60"/>
      <c r="AH400" s="60"/>
      <c r="AI400" s="60"/>
      <c r="AJ400" s="60"/>
      <c r="AK400" s="64">
        <f t="shared" si="41"/>
        <v>513.19000000000005</v>
      </c>
    </row>
    <row r="401" spans="1:37" x14ac:dyDescent="0.25">
      <c r="A401" s="58" t="s">
        <v>770</v>
      </c>
      <c r="B401" s="59" t="str">
        <f t="shared" ca="1" si="39"/>
        <v>VENCIDO</v>
      </c>
      <c r="C401" s="60" t="s">
        <v>869</v>
      </c>
      <c r="D401" s="61" t="s">
        <v>1392</v>
      </c>
      <c r="E401" s="62" t="s">
        <v>1393</v>
      </c>
      <c r="F401" s="61" t="s">
        <v>775</v>
      </c>
      <c r="G401" s="60" t="s">
        <v>213</v>
      </c>
      <c r="H401" s="63">
        <v>45352</v>
      </c>
      <c r="I401" s="63">
        <v>45352</v>
      </c>
      <c r="J401" s="60">
        <f t="shared" si="38"/>
        <v>2</v>
      </c>
      <c r="K401" s="60">
        <f t="shared" si="40"/>
        <v>0</v>
      </c>
      <c r="L401" s="60"/>
      <c r="M401" s="60"/>
      <c r="N401" s="60"/>
      <c r="O401" s="60"/>
      <c r="P401" s="60">
        <v>1</v>
      </c>
      <c r="Q401" s="60"/>
      <c r="R401" s="60"/>
      <c r="S401" s="60"/>
      <c r="T401" s="60"/>
      <c r="U401" s="60"/>
      <c r="V401" s="60"/>
      <c r="W401" s="60"/>
      <c r="X401" s="60"/>
      <c r="Y401" s="60"/>
      <c r="Z401" s="60"/>
      <c r="AA401" s="60">
        <v>1</v>
      </c>
      <c r="AB401" s="60"/>
      <c r="AC401" s="60"/>
      <c r="AD401" s="60"/>
      <c r="AE401" s="60"/>
      <c r="AF401" s="60"/>
      <c r="AG401" s="60"/>
      <c r="AH401" s="60"/>
      <c r="AI401" s="60"/>
      <c r="AJ401" s="60"/>
      <c r="AK401" s="64">
        <f t="shared" si="41"/>
        <v>441.93</v>
      </c>
    </row>
    <row r="402" spans="1:37" x14ac:dyDescent="0.25">
      <c r="A402" s="58" t="s">
        <v>770</v>
      </c>
      <c r="B402" s="59" t="str">
        <f t="shared" ca="1" si="39"/>
        <v>VENCIDO</v>
      </c>
      <c r="C402" s="60" t="s">
        <v>869</v>
      </c>
      <c r="D402" s="61" t="s">
        <v>1394</v>
      </c>
      <c r="E402" s="62" t="s">
        <v>994</v>
      </c>
      <c r="F402" s="61" t="s">
        <v>775</v>
      </c>
      <c r="G402" s="60" t="s">
        <v>213</v>
      </c>
      <c r="H402" s="63">
        <v>45474</v>
      </c>
      <c r="I402" s="63">
        <f t="shared" ref="I402:I411" si="42">H402-180</f>
        <v>45294</v>
      </c>
      <c r="J402" s="60">
        <f t="shared" si="38"/>
        <v>10</v>
      </c>
      <c r="K402" s="60">
        <f t="shared" si="40"/>
        <v>0</v>
      </c>
      <c r="L402" s="60"/>
      <c r="M402" s="60"/>
      <c r="N402" s="60"/>
      <c r="O402" s="60"/>
      <c r="P402" s="60"/>
      <c r="Q402" s="60">
        <v>7</v>
      </c>
      <c r="R402" s="60"/>
      <c r="S402" s="60"/>
      <c r="T402" s="60">
        <v>2</v>
      </c>
      <c r="U402" s="60"/>
      <c r="V402" s="60"/>
      <c r="W402" s="60"/>
      <c r="X402" s="60"/>
      <c r="Y402" s="60"/>
      <c r="Z402" s="60"/>
      <c r="AA402" s="60">
        <v>1</v>
      </c>
      <c r="AB402" s="60"/>
      <c r="AC402" s="60"/>
      <c r="AD402" s="60"/>
      <c r="AE402" s="60"/>
      <c r="AF402" s="60"/>
      <c r="AG402" s="60"/>
      <c r="AH402" s="60"/>
      <c r="AI402" s="60"/>
      <c r="AJ402" s="60"/>
      <c r="AK402" s="64">
        <f t="shared" si="41"/>
        <v>3540.2300000000005</v>
      </c>
    </row>
    <row r="403" spans="1:37" x14ac:dyDescent="0.25">
      <c r="A403" s="58"/>
      <c r="B403" s="59" t="str">
        <f t="shared" ca="1" si="39"/>
        <v>VENCIDO</v>
      </c>
      <c r="C403" s="60" t="s">
        <v>869</v>
      </c>
      <c r="D403" s="61" t="s">
        <v>1395</v>
      </c>
      <c r="E403" s="62" t="s">
        <v>223</v>
      </c>
      <c r="F403" s="61" t="s">
        <v>775</v>
      </c>
      <c r="G403" s="60" t="s">
        <v>213</v>
      </c>
      <c r="H403" s="63">
        <v>45474</v>
      </c>
      <c r="I403" s="63">
        <f t="shared" si="42"/>
        <v>45294</v>
      </c>
      <c r="J403" s="60">
        <f t="shared" si="38"/>
        <v>5</v>
      </c>
      <c r="K403" s="60">
        <f t="shared" si="40"/>
        <v>0</v>
      </c>
      <c r="L403" s="60"/>
      <c r="M403" s="60"/>
      <c r="N403" s="60"/>
      <c r="O403" s="60">
        <v>2</v>
      </c>
      <c r="P403" s="60"/>
      <c r="Q403" s="60"/>
      <c r="R403" s="60"/>
      <c r="S403" s="60"/>
      <c r="T403" s="60"/>
      <c r="U403" s="60"/>
      <c r="V403" s="60"/>
      <c r="W403" s="60"/>
      <c r="X403" s="60">
        <v>1</v>
      </c>
      <c r="Y403" s="60"/>
      <c r="Z403" s="60"/>
      <c r="AA403" s="60">
        <v>2</v>
      </c>
      <c r="AB403" s="60"/>
      <c r="AC403" s="60"/>
      <c r="AD403" s="60"/>
      <c r="AE403" s="60"/>
      <c r="AF403" s="60"/>
      <c r="AG403" s="60"/>
      <c r="AH403" s="60"/>
      <c r="AI403" s="60"/>
      <c r="AJ403" s="60"/>
      <c r="AK403" s="64">
        <f t="shared" si="41"/>
        <v>1493.01</v>
      </c>
    </row>
    <row r="404" spans="1:37" hidden="1" x14ac:dyDescent="0.25">
      <c r="A404" s="58" t="s">
        <v>783</v>
      </c>
      <c r="B404" s="59" t="str">
        <f t="shared" ca="1" si="39"/>
        <v>VENCIDO</v>
      </c>
      <c r="C404" s="60" t="s">
        <v>869</v>
      </c>
      <c r="D404" s="61" t="s">
        <v>1396</v>
      </c>
      <c r="E404" s="62" t="s">
        <v>996</v>
      </c>
      <c r="F404" s="61" t="s">
        <v>778</v>
      </c>
      <c r="G404" s="60" t="s">
        <v>213</v>
      </c>
      <c r="H404" s="63">
        <v>45597</v>
      </c>
      <c r="I404" s="63">
        <f t="shared" si="42"/>
        <v>45417</v>
      </c>
      <c r="J404" s="60">
        <f t="shared" si="38"/>
        <v>4</v>
      </c>
      <c r="K404" s="60">
        <f t="shared" si="40"/>
        <v>0</v>
      </c>
      <c r="L404" s="60"/>
      <c r="M404" s="60"/>
      <c r="N404" s="60"/>
      <c r="O404" s="60"/>
      <c r="P404" s="60"/>
      <c r="Q404" s="60">
        <v>2</v>
      </c>
      <c r="R404" s="60"/>
      <c r="S404" s="60"/>
      <c r="T404" s="60">
        <v>1</v>
      </c>
      <c r="U404" s="60"/>
      <c r="V404" s="60"/>
      <c r="W404" s="60"/>
      <c r="X404" s="60"/>
      <c r="Y404" s="60"/>
      <c r="Z404" s="60"/>
      <c r="AA404" s="60">
        <v>1</v>
      </c>
      <c r="AB404" s="60"/>
      <c r="AC404" s="60"/>
      <c r="AD404" s="60"/>
      <c r="AE404" s="60"/>
      <c r="AF404" s="60"/>
      <c r="AG404" s="60"/>
      <c r="AH404" s="60"/>
      <c r="AI404" s="60"/>
      <c r="AJ404" s="60"/>
      <c r="AK404" s="64">
        <f t="shared" si="41"/>
        <v>1396.01</v>
      </c>
    </row>
    <row r="405" spans="1:37" x14ac:dyDescent="0.25">
      <c r="A405" s="58" t="s">
        <v>770</v>
      </c>
      <c r="B405" s="59" t="str">
        <f t="shared" ca="1" si="39"/>
        <v>VENCIDO</v>
      </c>
      <c r="C405" s="60" t="s">
        <v>869</v>
      </c>
      <c r="D405" s="61" t="s">
        <v>1397</v>
      </c>
      <c r="E405" s="62" t="s">
        <v>998</v>
      </c>
      <c r="F405" s="61" t="s">
        <v>775</v>
      </c>
      <c r="G405" s="60" t="s">
        <v>213</v>
      </c>
      <c r="H405" s="63">
        <v>45566</v>
      </c>
      <c r="I405" s="63">
        <f t="shared" si="42"/>
        <v>45386</v>
      </c>
      <c r="J405" s="60">
        <f t="shared" si="38"/>
        <v>5</v>
      </c>
      <c r="K405" s="60">
        <f t="shared" si="40"/>
        <v>0</v>
      </c>
      <c r="L405" s="60"/>
      <c r="M405" s="60"/>
      <c r="N405" s="60"/>
      <c r="O405" s="60"/>
      <c r="P405" s="60"/>
      <c r="Q405" s="60">
        <v>3</v>
      </c>
      <c r="R405" s="60"/>
      <c r="S405" s="60"/>
      <c r="T405" s="60">
        <v>1</v>
      </c>
      <c r="U405" s="60"/>
      <c r="V405" s="60"/>
      <c r="W405" s="60"/>
      <c r="X405" s="60"/>
      <c r="Y405" s="60"/>
      <c r="Z405" s="60"/>
      <c r="AA405" s="60">
        <v>1</v>
      </c>
      <c r="AB405" s="60"/>
      <c r="AC405" s="60"/>
      <c r="AD405" s="60"/>
      <c r="AE405" s="60"/>
      <c r="AF405" s="60"/>
      <c r="AG405" s="60"/>
      <c r="AH405" s="60"/>
      <c r="AI405" s="60"/>
      <c r="AJ405" s="60"/>
      <c r="AK405" s="64">
        <f t="shared" si="41"/>
        <v>1711.36</v>
      </c>
    </row>
    <row r="406" spans="1:37" hidden="1" x14ac:dyDescent="0.25">
      <c r="A406" s="58"/>
      <c r="B406" s="59" t="str">
        <f t="shared" ca="1" si="39"/>
        <v>VENCIDO</v>
      </c>
      <c r="C406" s="60" t="s">
        <v>869</v>
      </c>
      <c r="D406" s="61" t="s">
        <v>1398</v>
      </c>
      <c r="E406" s="62" t="s">
        <v>1090</v>
      </c>
      <c r="F406" s="61" t="s">
        <v>778</v>
      </c>
      <c r="G406" s="60" t="s">
        <v>213</v>
      </c>
      <c r="H406" s="63">
        <v>45536</v>
      </c>
      <c r="I406" s="63">
        <f t="shared" si="42"/>
        <v>45356</v>
      </c>
      <c r="J406" s="60">
        <f t="shared" si="38"/>
        <v>2</v>
      </c>
      <c r="K406" s="60">
        <f t="shared" si="40"/>
        <v>0</v>
      </c>
      <c r="L406" s="60"/>
      <c r="M406" s="60"/>
      <c r="N406" s="60"/>
      <c r="O406" s="60"/>
      <c r="P406" s="60"/>
      <c r="Q406" s="60">
        <v>1</v>
      </c>
      <c r="R406" s="60"/>
      <c r="S406" s="60"/>
      <c r="T406" s="60"/>
      <c r="U406" s="60"/>
      <c r="V406" s="60"/>
      <c r="W406" s="60"/>
      <c r="X406" s="60"/>
      <c r="Y406" s="60"/>
      <c r="Z406" s="60"/>
      <c r="AA406" s="60">
        <v>1</v>
      </c>
      <c r="AB406" s="60"/>
      <c r="AC406" s="60"/>
      <c r="AD406" s="60"/>
      <c r="AE406" s="60"/>
      <c r="AF406" s="60"/>
      <c r="AG406" s="60"/>
      <c r="AH406" s="60"/>
      <c r="AI406" s="60"/>
      <c r="AJ406" s="60"/>
      <c r="AK406" s="64">
        <f t="shared" si="41"/>
        <v>513.19000000000005</v>
      </c>
    </row>
    <row r="407" spans="1:37" x14ac:dyDescent="0.25">
      <c r="A407" s="58"/>
      <c r="B407" s="59" t="str">
        <f t="shared" ca="1" si="39"/>
        <v>VENCIDO</v>
      </c>
      <c r="C407" s="60" t="s">
        <v>869</v>
      </c>
      <c r="D407" s="66" t="s">
        <v>1399</v>
      </c>
      <c r="E407" s="62" t="s">
        <v>813</v>
      </c>
      <c r="F407" s="61" t="s">
        <v>775</v>
      </c>
      <c r="G407" s="60" t="s">
        <v>213</v>
      </c>
      <c r="H407" s="63">
        <v>45444</v>
      </c>
      <c r="I407" s="63">
        <f t="shared" si="42"/>
        <v>45264</v>
      </c>
      <c r="J407" s="60">
        <f t="shared" si="38"/>
        <v>4</v>
      </c>
      <c r="K407" s="60">
        <f t="shared" si="40"/>
        <v>0</v>
      </c>
      <c r="L407" s="60"/>
      <c r="M407" s="60"/>
      <c r="N407" s="60"/>
      <c r="O407" s="60"/>
      <c r="P407" s="60"/>
      <c r="Q407" s="60">
        <v>3</v>
      </c>
      <c r="R407" s="60"/>
      <c r="S407" s="60"/>
      <c r="T407" s="60">
        <v>1</v>
      </c>
      <c r="U407" s="60"/>
      <c r="V407" s="60"/>
      <c r="W407" s="60"/>
      <c r="X407" s="60"/>
      <c r="Y407" s="60"/>
      <c r="Z407" s="60"/>
      <c r="AA407" s="60"/>
      <c r="AB407" s="60"/>
      <c r="AC407" s="60"/>
      <c r="AD407" s="60"/>
      <c r="AE407" s="60"/>
      <c r="AF407" s="60"/>
      <c r="AG407" s="60"/>
      <c r="AH407" s="60"/>
      <c r="AI407" s="60"/>
      <c r="AJ407" s="60"/>
      <c r="AK407" s="64">
        <f t="shared" si="41"/>
        <v>1513.52</v>
      </c>
    </row>
    <row r="408" spans="1:37" hidden="1" x14ac:dyDescent="0.25">
      <c r="A408" s="58" t="s">
        <v>770</v>
      </c>
      <c r="B408" s="59" t="str">
        <f t="shared" ca="1" si="39"/>
        <v>VENCIDO</v>
      </c>
      <c r="C408" s="60" t="s">
        <v>869</v>
      </c>
      <c r="D408" s="61" t="s">
        <v>1400</v>
      </c>
      <c r="E408" s="62" t="s">
        <v>777</v>
      </c>
      <c r="F408" s="61" t="s">
        <v>778</v>
      </c>
      <c r="G408" s="60" t="s">
        <v>213</v>
      </c>
      <c r="H408" s="63">
        <v>45566</v>
      </c>
      <c r="I408" s="63">
        <f t="shared" si="42"/>
        <v>45386</v>
      </c>
      <c r="J408" s="60">
        <f t="shared" si="38"/>
        <v>3</v>
      </c>
      <c r="K408" s="60">
        <f t="shared" si="40"/>
        <v>0</v>
      </c>
      <c r="L408" s="60"/>
      <c r="M408" s="60"/>
      <c r="N408" s="60"/>
      <c r="O408" s="60"/>
      <c r="P408" s="60"/>
      <c r="Q408" s="60">
        <v>2</v>
      </c>
      <c r="R408" s="60"/>
      <c r="S408" s="60"/>
      <c r="T408" s="60"/>
      <c r="U408" s="60"/>
      <c r="V408" s="60"/>
      <c r="W408" s="60"/>
      <c r="X408" s="60"/>
      <c r="Y408" s="60"/>
      <c r="Z408" s="60"/>
      <c r="AA408" s="60">
        <v>1</v>
      </c>
      <c r="AB408" s="60"/>
      <c r="AC408" s="60"/>
      <c r="AD408" s="60"/>
      <c r="AE408" s="60"/>
      <c r="AF408" s="60"/>
      <c r="AG408" s="60"/>
      <c r="AH408" s="60"/>
      <c r="AI408" s="60"/>
      <c r="AJ408" s="60"/>
      <c r="AK408" s="64">
        <f t="shared" si="41"/>
        <v>828.54000000000008</v>
      </c>
    </row>
    <row r="409" spans="1:37" hidden="1" x14ac:dyDescent="0.25">
      <c r="A409" s="58" t="s">
        <v>783</v>
      </c>
      <c r="B409" s="59" t="str">
        <f t="shared" ca="1" si="39"/>
        <v>VENCIDO</v>
      </c>
      <c r="C409" s="60" t="s">
        <v>869</v>
      </c>
      <c r="D409" s="61" t="s">
        <v>1401</v>
      </c>
      <c r="E409" s="62" t="s">
        <v>1193</v>
      </c>
      <c r="F409" s="61" t="s">
        <v>778</v>
      </c>
      <c r="G409" s="60" t="s">
        <v>213</v>
      </c>
      <c r="H409" s="63">
        <v>45566</v>
      </c>
      <c r="I409" s="63">
        <f t="shared" si="42"/>
        <v>45386</v>
      </c>
      <c r="J409" s="60">
        <f t="shared" si="38"/>
        <v>3</v>
      </c>
      <c r="K409" s="60">
        <f t="shared" si="40"/>
        <v>0</v>
      </c>
      <c r="L409" s="60"/>
      <c r="M409" s="60"/>
      <c r="N409" s="60"/>
      <c r="O409" s="60"/>
      <c r="P409" s="60"/>
      <c r="Q409" s="60">
        <v>1</v>
      </c>
      <c r="R409" s="60"/>
      <c r="S409" s="60"/>
      <c r="T409" s="60"/>
      <c r="U409" s="60"/>
      <c r="V409" s="60"/>
      <c r="W409" s="60"/>
      <c r="X409" s="60"/>
      <c r="Y409" s="60"/>
      <c r="Z409" s="60"/>
      <c r="AA409" s="60">
        <v>2</v>
      </c>
      <c r="AB409" s="60"/>
      <c r="AC409" s="60"/>
      <c r="AD409" s="60"/>
      <c r="AE409" s="60"/>
      <c r="AF409" s="60"/>
      <c r="AG409" s="60"/>
      <c r="AH409" s="60"/>
      <c r="AI409" s="60"/>
      <c r="AJ409" s="60"/>
      <c r="AK409" s="64">
        <f t="shared" si="41"/>
        <v>711.03</v>
      </c>
    </row>
    <row r="410" spans="1:37" hidden="1" x14ac:dyDescent="0.25">
      <c r="A410" s="58" t="s">
        <v>811</v>
      </c>
      <c r="B410" s="59" t="str">
        <f t="shared" ca="1" si="39"/>
        <v>VENCIDO</v>
      </c>
      <c r="C410" s="60" t="s">
        <v>869</v>
      </c>
      <c r="D410" s="61" t="s">
        <v>1402</v>
      </c>
      <c r="E410" s="62" t="s">
        <v>902</v>
      </c>
      <c r="F410" s="61" t="s">
        <v>778</v>
      </c>
      <c r="G410" s="60" t="s">
        <v>213</v>
      </c>
      <c r="H410" s="63">
        <v>45566</v>
      </c>
      <c r="I410" s="63">
        <f t="shared" si="42"/>
        <v>45386</v>
      </c>
      <c r="J410" s="60">
        <f t="shared" si="38"/>
        <v>2</v>
      </c>
      <c r="K410" s="60">
        <f t="shared" si="40"/>
        <v>0</v>
      </c>
      <c r="L410" s="60"/>
      <c r="M410" s="60"/>
      <c r="N410" s="60"/>
      <c r="O410" s="60"/>
      <c r="P410" s="60"/>
      <c r="Q410" s="60">
        <v>1</v>
      </c>
      <c r="R410" s="60"/>
      <c r="S410" s="60"/>
      <c r="T410" s="60"/>
      <c r="U410" s="60"/>
      <c r="V410" s="60"/>
      <c r="W410" s="60"/>
      <c r="X410" s="60"/>
      <c r="Y410" s="60"/>
      <c r="Z410" s="60"/>
      <c r="AA410" s="60">
        <v>1</v>
      </c>
      <c r="AB410" s="60"/>
      <c r="AC410" s="60"/>
      <c r="AD410" s="60"/>
      <c r="AE410" s="60"/>
      <c r="AF410" s="60"/>
      <c r="AG410" s="60"/>
      <c r="AH410" s="60"/>
      <c r="AI410" s="60"/>
      <c r="AJ410" s="60"/>
      <c r="AK410" s="64">
        <f t="shared" si="41"/>
        <v>513.19000000000005</v>
      </c>
    </row>
    <row r="411" spans="1:37" hidden="1" x14ac:dyDescent="0.25">
      <c r="A411" s="58" t="s">
        <v>1151</v>
      </c>
      <c r="B411" s="59" t="str">
        <f t="shared" ca="1" si="39"/>
        <v>VENCIDO</v>
      </c>
      <c r="C411" s="60" t="s">
        <v>869</v>
      </c>
      <c r="D411" s="61" t="s">
        <v>1403</v>
      </c>
      <c r="E411" s="62" t="s">
        <v>806</v>
      </c>
      <c r="F411" s="61" t="s">
        <v>778</v>
      </c>
      <c r="G411" s="60" t="s">
        <v>213</v>
      </c>
      <c r="H411" s="63">
        <v>45566</v>
      </c>
      <c r="I411" s="63">
        <f t="shared" si="42"/>
        <v>45386</v>
      </c>
      <c r="J411" s="60">
        <f t="shared" si="38"/>
        <v>3</v>
      </c>
      <c r="K411" s="60">
        <f t="shared" si="40"/>
        <v>0</v>
      </c>
      <c r="L411" s="60"/>
      <c r="M411" s="60"/>
      <c r="N411" s="60"/>
      <c r="O411" s="60"/>
      <c r="P411" s="60"/>
      <c r="Q411" s="60">
        <v>2</v>
      </c>
      <c r="R411" s="60"/>
      <c r="S411" s="60"/>
      <c r="T411" s="60"/>
      <c r="U411" s="60"/>
      <c r="V411" s="60"/>
      <c r="W411" s="60"/>
      <c r="X411" s="60"/>
      <c r="Y411" s="60"/>
      <c r="Z411" s="60"/>
      <c r="AA411" s="60">
        <v>1</v>
      </c>
      <c r="AB411" s="60"/>
      <c r="AC411" s="60"/>
      <c r="AD411" s="60"/>
      <c r="AE411" s="60"/>
      <c r="AF411" s="60"/>
      <c r="AG411" s="60"/>
      <c r="AH411" s="60"/>
      <c r="AI411" s="60"/>
      <c r="AJ411" s="60"/>
      <c r="AK411" s="64">
        <f t="shared" si="41"/>
        <v>828.54000000000008</v>
      </c>
    </row>
    <row r="412" spans="1:37" hidden="1" x14ac:dyDescent="0.25">
      <c r="A412" s="58"/>
      <c r="B412" s="59" t="str">
        <f t="shared" ca="1" si="39"/>
        <v>VENCIDO</v>
      </c>
      <c r="C412" s="60" t="s">
        <v>869</v>
      </c>
      <c r="D412" s="61" t="s">
        <v>1404</v>
      </c>
      <c r="E412" s="62" t="s">
        <v>797</v>
      </c>
      <c r="F412" s="61" t="s">
        <v>778</v>
      </c>
      <c r="G412" s="60" t="s">
        <v>213</v>
      </c>
      <c r="H412" s="63">
        <v>45352</v>
      </c>
      <c r="I412" s="63">
        <v>45352</v>
      </c>
      <c r="J412" s="60">
        <f t="shared" si="38"/>
        <v>4</v>
      </c>
      <c r="K412" s="60">
        <f t="shared" si="40"/>
        <v>0</v>
      </c>
      <c r="L412" s="60"/>
      <c r="M412" s="60"/>
      <c r="N412" s="60"/>
      <c r="O412" s="60"/>
      <c r="P412" s="60"/>
      <c r="Q412" s="60">
        <v>3</v>
      </c>
      <c r="R412" s="60"/>
      <c r="S412" s="60"/>
      <c r="T412" s="60"/>
      <c r="U412" s="60"/>
      <c r="V412" s="60"/>
      <c r="W412" s="60"/>
      <c r="X412" s="60"/>
      <c r="Y412" s="60"/>
      <c r="Z412" s="60"/>
      <c r="AA412" s="60">
        <v>1</v>
      </c>
      <c r="AB412" s="60"/>
      <c r="AC412" s="60"/>
      <c r="AD412" s="60"/>
      <c r="AE412" s="60"/>
      <c r="AF412" s="60"/>
      <c r="AG412" s="60"/>
      <c r="AH412" s="60"/>
      <c r="AI412" s="60"/>
      <c r="AJ412" s="60"/>
      <c r="AK412" s="64">
        <f t="shared" si="41"/>
        <v>1143.8900000000001</v>
      </c>
    </row>
    <row r="413" spans="1:37" hidden="1" x14ac:dyDescent="0.25">
      <c r="A413" s="58"/>
      <c r="B413" s="59" t="str">
        <f t="shared" ca="1" si="39"/>
        <v>VENCIDO</v>
      </c>
      <c r="C413" s="60" t="s">
        <v>869</v>
      </c>
      <c r="D413" s="61" t="s">
        <v>1405</v>
      </c>
      <c r="E413" s="62" t="s">
        <v>1406</v>
      </c>
      <c r="F413" s="61" t="s">
        <v>778</v>
      </c>
      <c r="G413" s="60" t="s">
        <v>213</v>
      </c>
      <c r="H413" s="63">
        <v>45352</v>
      </c>
      <c r="I413" s="63">
        <v>45352</v>
      </c>
      <c r="J413" s="60">
        <f t="shared" si="38"/>
        <v>12</v>
      </c>
      <c r="K413" s="60">
        <f t="shared" si="40"/>
        <v>0</v>
      </c>
      <c r="L413" s="60"/>
      <c r="M413" s="60"/>
      <c r="N413" s="60"/>
      <c r="O413" s="60"/>
      <c r="P413" s="60"/>
      <c r="Q413" s="60">
        <v>8</v>
      </c>
      <c r="R413" s="60"/>
      <c r="S413" s="60"/>
      <c r="T413" s="60">
        <v>2</v>
      </c>
      <c r="U413" s="60"/>
      <c r="V413" s="60"/>
      <c r="W413" s="60"/>
      <c r="X413" s="60"/>
      <c r="Y413" s="60"/>
      <c r="Z413" s="60"/>
      <c r="AA413" s="60">
        <v>2</v>
      </c>
      <c r="AB413" s="60"/>
      <c r="AC413" s="60"/>
      <c r="AD413" s="60"/>
      <c r="AE413" s="60"/>
      <c r="AF413" s="60"/>
      <c r="AG413" s="60"/>
      <c r="AH413" s="60"/>
      <c r="AI413" s="60"/>
      <c r="AJ413" s="60"/>
      <c r="AK413" s="64">
        <f t="shared" si="41"/>
        <v>4053.42</v>
      </c>
    </row>
    <row r="414" spans="1:37" hidden="1" x14ac:dyDescent="0.25">
      <c r="A414" s="58" t="s">
        <v>770</v>
      </c>
      <c r="B414" s="59" t="str">
        <f t="shared" ca="1" si="39"/>
        <v>VENCIDO</v>
      </c>
      <c r="C414" s="60" t="s">
        <v>869</v>
      </c>
      <c r="D414" s="61" t="s">
        <v>1407</v>
      </c>
      <c r="E414" s="62" t="s">
        <v>902</v>
      </c>
      <c r="F414" s="61" t="s">
        <v>778</v>
      </c>
      <c r="G414" s="60" t="s">
        <v>213</v>
      </c>
      <c r="H414" s="63">
        <v>45597</v>
      </c>
      <c r="I414" s="63">
        <f t="shared" ref="I414:I419" si="43">H414-180</f>
        <v>45417</v>
      </c>
      <c r="J414" s="60">
        <f t="shared" si="38"/>
        <v>2</v>
      </c>
      <c r="K414" s="60">
        <f t="shared" si="40"/>
        <v>0</v>
      </c>
      <c r="L414" s="60"/>
      <c r="M414" s="60"/>
      <c r="N414" s="60"/>
      <c r="O414" s="60"/>
      <c r="P414" s="60"/>
      <c r="Q414" s="60">
        <v>1</v>
      </c>
      <c r="R414" s="60"/>
      <c r="S414" s="60"/>
      <c r="T414" s="60"/>
      <c r="U414" s="60"/>
      <c r="V414" s="60"/>
      <c r="W414" s="60"/>
      <c r="X414" s="60"/>
      <c r="Y414" s="60"/>
      <c r="Z414" s="60"/>
      <c r="AA414" s="60">
        <v>1</v>
      </c>
      <c r="AB414" s="60"/>
      <c r="AC414" s="60"/>
      <c r="AD414" s="60"/>
      <c r="AE414" s="60"/>
      <c r="AF414" s="60"/>
      <c r="AG414" s="60"/>
      <c r="AH414" s="60"/>
      <c r="AI414" s="60"/>
      <c r="AJ414" s="60"/>
      <c r="AK414" s="64">
        <f t="shared" si="41"/>
        <v>513.19000000000005</v>
      </c>
    </row>
    <row r="415" spans="1:37" hidden="1" x14ac:dyDescent="0.25">
      <c r="A415" s="58"/>
      <c r="B415" s="59" t="str">
        <f t="shared" ca="1" si="39"/>
        <v>VENCIDO</v>
      </c>
      <c r="C415" s="60" t="s">
        <v>869</v>
      </c>
      <c r="D415" s="61" t="s">
        <v>1408</v>
      </c>
      <c r="E415" s="62" t="s">
        <v>1127</v>
      </c>
      <c r="F415" s="61" t="s">
        <v>778</v>
      </c>
      <c r="G415" s="60" t="s">
        <v>213</v>
      </c>
      <c r="H415" s="63">
        <v>45536</v>
      </c>
      <c r="I415" s="63">
        <f t="shared" si="43"/>
        <v>45356</v>
      </c>
      <c r="J415" s="60">
        <f t="shared" si="38"/>
        <v>3</v>
      </c>
      <c r="K415" s="60">
        <f t="shared" si="40"/>
        <v>0</v>
      </c>
      <c r="L415" s="60"/>
      <c r="M415" s="60"/>
      <c r="N415" s="60"/>
      <c r="O415" s="60"/>
      <c r="P415" s="60"/>
      <c r="Q415" s="60">
        <v>2</v>
      </c>
      <c r="R415" s="60"/>
      <c r="S415" s="60"/>
      <c r="T415" s="60"/>
      <c r="U415" s="60"/>
      <c r="V415" s="60"/>
      <c r="W415" s="60"/>
      <c r="X415" s="60"/>
      <c r="Y415" s="60"/>
      <c r="Z415" s="60"/>
      <c r="AA415" s="60">
        <v>1</v>
      </c>
      <c r="AB415" s="60"/>
      <c r="AC415" s="60"/>
      <c r="AD415" s="60"/>
      <c r="AE415" s="60"/>
      <c r="AF415" s="60"/>
      <c r="AG415" s="60"/>
      <c r="AH415" s="60"/>
      <c r="AI415" s="60"/>
      <c r="AJ415" s="60"/>
      <c r="AK415" s="64">
        <f t="shared" si="41"/>
        <v>828.54000000000008</v>
      </c>
    </row>
    <row r="416" spans="1:37" x14ac:dyDescent="0.25">
      <c r="A416" s="58" t="s">
        <v>770</v>
      </c>
      <c r="B416" s="59" t="str">
        <f t="shared" ca="1" si="39"/>
        <v>VENCIDO</v>
      </c>
      <c r="C416" s="60" t="s">
        <v>869</v>
      </c>
      <c r="D416" s="61" t="s">
        <v>1409</v>
      </c>
      <c r="E416" s="62" t="s">
        <v>1032</v>
      </c>
      <c r="F416" s="61" t="s">
        <v>775</v>
      </c>
      <c r="G416" s="60" t="s">
        <v>213</v>
      </c>
      <c r="H416" s="63">
        <v>45444</v>
      </c>
      <c r="I416" s="63">
        <f t="shared" si="43"/>
        <v>45264</v>
      </c>
      <c r="J416" s="60">
        <f t="shared" si="38"/>
        <v>1</v>
      </c>
      <c r="K416" s="60">
        <f t="shared" si="40"/>
        <v>0</v>
      </c>
      <c r="L416" s="60"/>
      <c r="M416" s="60"/>
      <c r="N416" s="60"/>
      <c r="O416" s="60"/>
      <c r="P416" s="60"/>
      <c r="Q416" s="60">
        <v>1</v>
      </c>
      <c r="R416" s="60"/>
      <c r="S416" s="60"/>
      <c r="T416" s="60"/>
      <c r="U416" s="60"/>
      <c r="V416" s="60"/>
      <c r="W416" s="60"/>
      <c r="X416" s="60"/>
      <c r="Y416" s="60"/>
      <c r="Z416" s="60"/>
      <c r="AA416" s="60"/>
      <c r="AB416" s="60"/>
      <c r="AC416" s="60"/>
      <c r="AD416" s="60"/>
      <c r="AE416" s="60"/>
      <c r="AF416" s="60"/>
      <c r="AG416" s="60"/>
      <c r="AH416" s="60"/>
      <c r="AI416" s="60"/>
      <c r="AJ416" s="60"/>
      <c r="AK416" s="64">
        <f t="shared" si="41"/>
        <v>315.35000000000002</v>
      </c>
    </row>
    <row r="417" spans="1:37" hidden="1" x14ac:dyDescent="0.25">
      <c r="A417" s="58" t="s">
        <v>770</v>
      </c>
      <c r="B417" s="59" t="str">
        <f t="shared" ca="1" si="39"/>
        <v>VENCIDO</v>
      </c>
      <c r="C417" s="60" t="s">
        <v>869</v>
      </c>
      <c r="D417" s="61" t="s">
        <v>1410</v>
      </c>
      <c r="E417" s="62" t="s">
        <v>1127</v>
      </c>
      <c r="F417" s="61" t="s">
        <v>778</v>
      </c>
      <c r="G417" s="60" t="s">
        <v>213</v>
      </c>
      <c r="H417" s="63">
        <v>45566</v>
      </c>
      <c r="I417" s="63">
        <f t="shared" si="43"/>
        <v>45386</v>
      </c>
      <c r="J417" s="60">
        <f t="shared" si="38"/>
        <v>5</v>
      </c>
      <c r="K417" s="60">
        <f t="shared" si="40"/>
        <v>0</v>
      </c>
      <c r="L417" s="60">
        <v>1</v>
      </c>
      <c r="M417" s="60"/>
      <c r="N417" s="60"/>
      <c r="O417" s="60"/>
      <c r="P417" s="60"/>
      <c r="Q417" s="60">
        <v>1</v>
      </c>
      <c r="R417" s="60"/>
      <c r="S417" s="60"/>
      <c r="T417" s="60">
        <v>1</v>
      </c>
      <c r="U417" s="60"/>
      <c r="V417" s="60">
        <v>1</v>
      </c>
      <c r="W417" s="60"/>
      <c r="X417" s="60"/>
      <c r="Y417" s="60"/>
      <c r="Z417" s="60"/>
      <c r="AA417" s="60">
        <v>1</v>
      </c>
      <c r="AB417" s="60"/>
      <c r="AC417" s="60"/>
      <c r="AD417" s="60"/>
      <c r="AE417" s="60"/>
      <c r="AF417" s="60"/>
      <c r="AG417" s="60"/>
      <c r="AH417" s="60"/>
      <c r="AI417" s="60"/>
      <c r="AJ417" s="60"/>
      <c r="AK417" s="64">
        <f t="shared" si="41"/>
        <v>1368.9399999999998</v>
      </c>
    </row>
    <row r="418" spans="1:37" x14ac:dyDescent="0.25">
      <c r="A418" s="58" t="s">
        <v>783</v>
      </c>
      <c r="B418" s="59" t="str">
        <f t="shared" ca="1" si="39"/>
        <v>VENCIDO</v>
      </c>
      <c r="C418" s="60" t="s">
        <v>869</v>
      </c>
      <c r="D418" s="61" t="s">
        <v>1411</v>
      </c>
      <c r="E418" s="62" t="s">
        <v>1412</v>
      </c>
      <c r="F418" s="61" t="s">
        <v>775</v>
      </c>
      <c r="G418" s="60" t="s">
        <v>213</v>
      </c>
      <c r="H418" s="63">
        <v>45444</v>
      </c>
      <c r="I418" s="63">
        <f t="shared" si="43"/>
        <v>45264</v>
      </c>
      <c r="J418" s="60">
        <f t="shared" si="38"/>
        <v>3</v>
      </c>
      <c r="K418" s="60">
        <f t="shared" si="40"/>
        <v>0</v>
      </c>
      <c r="L418" s="60"/>
      <c r="M418" s="60"/>
      <c r="N418" s="60"/>
      <c r="O418" s="60"/>
      <c r="P418" s="60"/>
      <c r="Q418" s="60">
        <v>2</v>
      </c>
      <c r="R418" s="60"/>
      <c r="S418" s="60"/>
      <c r="T418" s="60">
        <v>1</v>
      </c>
      <c r="U418" s="60"/>
      <c r="V418" s="60"/>
      <c r="W418" s="60"/>
      <c r="X418" s="60"/>
      <c r="Y418" s="60"/>
      <c r="Z418" s="60"/>
      <c r="AA418" s="60"/>
      <c r="AB418" s="60"/>
      <c r="AC418" s="60"/>
      <c r="AD418" s="60"/>
      <c r="AE418" s="60"/>
      <c r="AF418" s="60"/>
      <c r="AG418" s="60"/>
      <c r="AH418" s="60"/>
      <c r="AI418" s="60"/>
      <c r="AJ418" s="60"/>
      <c r="AK418" s="64">
        <f t="shared" si="41"/>
        <v>1198.17</v>
      </c>
    </row>
    <row r="419" spans="1:37" x14ac:dyDescent="0.25">
      <c r="A419" s="58" t="s">
        <v>938</v>
      </c>
      <c r="B419" s="59" t="str">
        <f t="shared" ca="1" si="39"/>
        <v>VENCIDO</v>
      </c>
      <c r="C419" s="60" t="s">
        <v>869</v>
      </c>
      <c r="D419" s="61" t="s">
        <v>1413</v>
      </c>
      <c r="E419" s="62" t="s">
        <v>1414</v>
      </c>
      <c r="F419" s="61" t="s">
        <v>775</v>
      </c>
      <c r="G419" s="60" t="s">
        <v>213</v>
      </c>
      <c r="H419" s="63">
        <v>45597</v>
      </c>
      <c r="I419" s="63">
        <f t="shared" si="43"/>
        <v>45417</v>
      </c>
      <c r="J419" s="60">
        <f t="shared" si="38"/>
        <v>4</v>
      </c>
      <c r="K419" s="60">
        <f t="shared" si="40"/>
        <v>0</v>
      </c>
      <c r="L419" s="60"/>
      <c r="M419" s="60"/>
      <c r="N419" s="60"/>
      <c r="O419" s="60"/>
      <c r="P419" s="60"/>
      <c r="Q419" s="60">
        <v>2</v>
      </c>
      <c r="R419" s="60"/>
      <c r="S419" s="60"/>
      <c r="T419" s="60">
        <v>1</v>
      </c>
      <c r="U419" s="60"/>
      <c r="V419" s="60"/>
      <c r="W419" s="60"/>
      <c r="X419" s="60"/>
      <c r="Y419" s="60"/>
      <c r="Z419" s="60"/>
      <c r="AA419" s="60">
        <v>1</v>
      </c>
      <c r="AB419" s="60"/>
      <c r="AC419" s="60"/>
      <c r="AD419" s="60"/>
      <c r="AE419" s="60"/>
      <c r="AF419" s="60"/>
      <c r="AG419" s="60"/>
      <c r="AH419" s="60"/>
      <c r="AI419" s="60"/>
      <c r="AJ419" s="60"/>
      <c r="AK419" s="64">
        <f t="shared" si="41"/>
        <v>1396.01</v>
      </c>
    </row>
    <row r="420" spans="1:37" x14ac:dyDescent="0.25">
      <c r="A420" s="58" t="s">
        <v>783</v>
      </c>
      <c r="B420" s="59" t="str">
        <f t="shared" ca="1" si="39"/>
        <v>VENCIDO</v>
      </c>
      <c r="C420" s="60" t="s">
        <v>869</v>
      </c>
      <c r="D420" s="61" t="s">
        <v>1415</v>
      </c>
      <c r="E420" s="62" t="s">
        <v>1416</v>
      </c>
      <c r="F420" s="61" t="s">
        <v>775</v>
      </c>
      <c r="G420" s="60" t="s">
        <v>213</v>
      </c>
      <c r="H420" s="63">
        <v>45444</v>
      </c>
      <c r="I420" s="63">
        <v>45444</v>
      </c>
      <c r="J420" s="60">
        <f t="shared" ref="J420:J483" si="44">SUM(L420:AE420)</f>
        <v>2</v>
      </c>
      <c r="K420" s="60">
        <f t="shared" si="40"/>
        <v>0</v>
      </c>
      <c r="L420" s="60"/>
      <c r="M420" s="60"/>
      <c r="N420" s="60"/>
      <c r="O420" s="60"/>
      <c r="P420" s="60"/>
      <c r="Q420" s="60">
        <v>1</v>
      </c>
      <c r="R420" s="60"/>
      <c r="S420" s="60"/>
      <c r="T420" s="60"/>
      <c r="U420" s="60"/>
      <c r="V420" s="60"/>
      <c r="W420" s="60"/>
      <c r="X420" s="60"/>
      <c r="Y420" s="60"/>
      <c r="Z420" s="60"/>
      <c r="AA420" s="60">
        <v>1</v>
      </c>
      <c r="AB420" s="60"/>
      <c r="AC420" s="60"/>
      <c r="AD420" s="60"/>
      <c r="AE420" s="60"/>
      <c r="AF420" s="60"/>
      <c r="AG420" s="60"/>
      <c r="AH420" s="60"/>
      <c r="AI420" s="60"/>
      <c r="AJ420" s="60"/>
      <c r="AK420" s="64">
        <f t="shared" si="41"/>
        <v>513.19000000000005</v>
      </c>
    </row>
    <row r="421" spans="1:37" x14ac:dyDescent="0.25">
      <c r="A421" s="58" t="s">
        <v>770</v>
      </c>
      <c r="B421" s="59" t="str">
        <f t="shared" ca="1" si="39"/>
        <v>VENCIDO</v>
      </c>
      <c r="C421" s="60" t="s">
        <v>869</v>
      </c>
      <c r="D421" s="61" t="s">
        <v>1417</v>
      </c>
      <c r="E421" s="62" t="s">
        <v>1229</v>
      </c>
      <c r="F421" s="61" t="s">
        <v>775</v>
      </c>
      <c r="G421" s="60" t="s">
        <v>213</v>
      </c>
      <c r="H421" s="63">
        <v>45474</v>
      </c>
      <c r="I421" s="63">
        <f>H421-180</f>
        <v>45294</v>
      </c>
      <c r="J421" s="60">
        <f t="shared" si="44"/>
        <v>4</v>
      </c>
      <c r="K421" s="60">
        <f t="shared" si="40"/>
        <v>0</v>
      </c>
      <c r="L421" s="60"/>
      <c r="M421" s="60"/>
      <c r="N421" s="60"/>
      <c r="O421" s="60"/>
      <c r="P421" s="60"/>
      <c r="Q421" s="60">
        <v>2</v>
      </c>
      <c r="R421" s="60"/>
      <c r="S421" s="60"/>
      <c r="T421" s="60">
        <v>1</v>
      </c>
      <c r="U421" s="60"/>
      <c r="V421" s="60"/>
      <c r="W421" s="60"/>
      <c r="X421" s="60"/>
      <c r="Y421" s="60"/>
      <c r="Z421" s="60"/>
      <c r="AA421" s="60">
        <v>1</v>
      </c>
      <c r="AB421" s="60"/>
      <c r="AC421" s="60"/>
      <c r="AD421" s="60"/>
      <c r="AE421" s="60"/>
      <c r="AF421" s="60"/>
      <c r="AG421" s="60"/>
      <c r="AH421" s="60"/>
      <c r="AI421" s="60"/>
      <c r="AJ421" s="60"/>
      <c r="AK421" s="64">
        <f t="shared" si="41"/>
        <v>1396.01</v>
      </c>
    </row>
    <row r="422" spans="1:37" x14ac:dyDescent="0.25">
      <c r="A422" s="58" t="s">
        <v>783</v>
      </c>
      <c r="B422" s="59" t="str">
        <f t="shared" ca="1" si="39"/>
        <v>VENCIDO</v>
      </c>
      <c r="C422" s="60" t="s">
        <v>869</v>
      </c>
      <c r="D422" s="61" t="s">
        <v>1418</v>
      </c>
      <c r="E422" s="62" t="s">
        <v>1229</v>
      </c>
      <c r="F422" s="61" t="s">
        <v>775</v>
      </c>
      <c r="G422" s="60" t="s">
        <v>213</v>
      </c>
      <c r="H422" s="63">
        <v>45383</v>
      </c>
      <c r="I422" s="63">
        <v>45383</v>
      </c>
      <c r="J422" s="60">
        <f t="shared" si="44"/>
        <v>2</v>
      </c>
      <c r="K422" s="60">
        <f t="shared" si="40"/>
        <v>0</v>
      </c>
      <c r="L422" s="60"/>
      <c r="M422" s="60"/>
      <c r="N422" s="60"/>
      <c r="O422" s="60"/>
      <c r="P422" s="60"/>
      <c r="Q422" s="60">
        <v>1</v>
      </c>
      <c r="R422" s="60"/>
      <c r="S422" s="60"/>
      <c r="T422" s="60"/>
      <c r="U422" s="60"/>
      <c r="V422" s="60"/>
      <c r="W422" s="60"/>
      <c r="X422" s="60"/>
      <c r="Y422" s="60"/>
      <c r="Z422" s="60"/>
      <c r="AA422" s="60">
        <v>1</v>
      </c>
      <c r="AB422" s="60"/>
      <c r="AC422" s="60"/>
      <c r="AD422" s="60"/>
      <c r="AE422" s="60"/>
      <c r="AF422" s="60"/>
      <c r="AG422" s="60"/>
      <c r="AH422" s="60"/>
      <c r="AI422" s="60"/>
      <c r="AJ422" s="60"/>
      <c r="AK422" s="64">
        <f t="shared" si="41"/>
        <v>513.19000000000005</v>
      </c>
    </row>
    <row r="423" spans="1:37" x14ac:dyDescent="0.25">
      <c r="A423" s="58" t="s">
        <v>783</v>
      </c>
      <c r="B423" s="59" t="str">
        <f t="shared" ca="1" si="39"/>
        <v>VENCIDO</v>
      </c>
      <c r="C423" s="60" t="s">
        <v>869</v>
      </c>
      <c r="D423" s="61" t="s">
        <v>1419</v>
      </c>
      <c r="E423" s="62" t="s">
        <v>1229</v>
      </c>
      <c r="F423" s="61" t="s">
        <v>775</v>
      </c>
      <c r="G423" s="60" t="s">
        <v>213</v>
      </c>
      <c r="H423" s="63">
        <v>45505</v>
      </c>
      <c r="I423" s="63">
        <f>H423-180</f>
        <v>45325</v>
      </c>
      <c r="J423" s="60">
        <f t="shared" si="44"/>
        <v>10</v>
      </c>
      <c r="K423" s="60">
        <f t="shared" si="40"/>
        <v>0</v>
      </c>
      <c r="L423" s="60"/>
      <c r="M423" s="60"/>
      <c r="N423" s="60"/>
      <c r="O423" s="60"/>
      <c r="P423" s="60"/>
      <c r="Q423" s="60">
        <v>4</v>
      </c>
      <c r="R423" s="60"/>
      <c r="S423" s="60"/>
      <c r="T423" s="60">
        <v>2</v>
      </c>
      <c r="U423" s="60"/>
      <c r="V423" s="60"/>
      <c r="W423" s="60"/>
      <c r="X423" s="60">
        <v>2</v>
      </c>
      <c r="Y423" s="60"/>
      <c r="Z423" s="60"/>
      <c r="AA423" s="60">
        <v>2</v>
      </c>
      <c r="AB423" s="60"/>
      <c r="AC423" s="60"/>
      <c r="AD423" s="60"/>
      <c r="AE423" s="60"/>
      <c r="AF423" s="60"/>
      <c r="AG423" s="60"/>
      <c r="AH423" s="60"/>
      <c r="AI423" s="60"/>
      <c r="AJ423" s="60"/>
      <c r="AK423" s="64">
        <f t="shared" si="41"/>
        <v>4195.4000000000005</v>
      </c>
    </row>
    <row r="424" spans="1:37" x14ac:dyDescent="0.25">
      <c r="A424" s="58" t="s">
        <v>783</v>
      </c>
      <c r="B424" s="59" t="str">
        <f t="shared" ca="1" si="39"/>
        <v>VENCIDO</v>
      </c>
      <c r="C424" s="60" t="s">
        <v>869</v>
      </c>
      <c r="D424" s="61" t="s">
        <v>1420</v>
      </c>
      <c r="E424" s="62" t="s">
        <v>1229</v>
      </c>
      <c r="F424" s="61" t="s">
        <v>775</v>
      </c>
      <c r="G424" s="60" t="s">
        <v>213</v>
      </c>
      <c r="H424" s="63">
        <v>45474</v>
      </c>
      <c r="I424" s="63">
        <f>H424-180</f>
        <v>45294</v>
      </c>
      <c r="J424" s="60">
        <f t="shared" si="44"/>
        <v>2</v>
      </c>
      <c r="K424" s="60">
        <f t="shared" si="40"/>
        <v>0</v>
      </c>
      <c r="L424" s="60"/>
      <c r="M424" s="60"/>
      <c r="N424" s="60"/>
      <c r="O424" s="60"/>
      <c r="P424" s="60"/>
      <c r="Q424" s="60">
        <v>1</v>
      </c>
      <c r="R424" s="60"/>
      <c r="S424" s="60"/>
      <c r="T424" s="60"/>
      <c r="U424" s="60"/>
      <c r="V424" s="60"/>
      <c r="W424" s="60"/>
      <c r="X424" s="60"/>
      <c r="Y424" s="60"/>
      <c r="Z424" s="60"/>
      <c r="AA424" s="60">
        <v>1</v>
      </c>
      <c r="AB424" s="60"/>
      <c r="AC424" s="60"/>
      <c r="AD424" s="60"/>
      <c r="AE424" s="60"/>
      <c r="AF424" s="60"/>
      <c r="AG424" s="60"/>
      <c r="AH424" s="60"/>
      <c r="AI424" s="60"/>
      <c r="AJ424" s="60"/>
      <c r="AK424" s="64">
        <f t="shared" si="41"/>
        <v>513.19000000000005</v>
      </c>
    </row>
    <row r="425" spans="1:37" x14ac:dyDescent="0.25">
      <c r="A425" s="58" t="s">
        <v>783</v>
      </c>
      <c r="B425" s="59" t="str">
        <f t="shared" ca="1" si="39"/>
        <v>VENCIDO</v>
      </c>
      <c r="C425" s="60" t="s">
        <v>869</v>
      </c>
      <c r="D425" s="61" t="s">
        <v>1421</v>
      </c>
      <c r="E425" s="62" t="s">
        <v>1422</v>
      </c>
      <c r="F425" s="61" t="s">
        <v>775</v>
      </c>
      <c r="G425" s="60" t="s">
        <v>213</v>
      </c>
      <c r="H425" s="63">
        <v>45444</v>
      </c>
      <c r="I425" s="63">
        <v>45292</v>
      </c>
      <c r="J425" s="60">
        <f t="shared" si="44"/>
        <v>2</v>
      </c>
      <c r="K425" s="60">
        <f t="shared" si="40"/>
        <v>0</v>
      </c>
      <c r="L425" s="60"/>
      <c r="M425" s="60"/>
      <c r="N425" s="60"/>
      <c r="O425" s="60"/>
      <c r="P425" s="60"/>
      <c r="Q425" s="60">
        <v>1</v>
      </c>
      <c r="R425" s="60"/>
      <c r="S425" s="60"/>
      <c r="T425" s="60"/>
      <c r="U425" s="60"/>
      <c r="V425" s="60"/>
      <c r="W425" s="60"/>
      <c r="X425" s="60"/>
      <c r="Y425" s="60"/>
      <c r="Z425" s="60"/>
      <c r="AA425" s="60">
        <v>1</v>
      </c>
      <c r="AB425" s="60"/>
      <c r="AC425" s="60"/>
      <c r="AD425" s="60"/>
      <c r="AE425" s="60"/>
      <c r="AF425" s="60"/>
      <c r="AG425" s="60"/>
      <c r="AH425" s="60"/>
      <c r="AI425" s="60"/>
      <c r="AJ425" s="60"/>
      <c r="AK425" s="64">
        <f t="shared" si="41"/>
        <v>513.19000000000005</v>
      </c>
    </row>
    <row r="426" spans="1:37" hidden="1" x14ac:dyDescent="0.25">
      <c r="A426" s="58" t="s">
        <v>770</v>
      </c>
      <c r="B426" s="59" t="str">
        <f t="shared" ca="1" si="39"/>
        <v>VENCIDO</v>
      </c>
      <c r="C426" s="60" t="s">
        <v>869</v>
      </c>
      <c r="D426" s="61" t="s">
        <v>1423</v>
      </c>
      <c r="E426" s="62" t="s">
        <v>428</v>
      </c>
      <c r="F426" s="61" t="s">
        <v>793</v>
      </c>
      <c r="G426" s="60" t="s">
        <v>213</v>
      </c>
      <c r="H426" s="63">
        <v>45383</v>
      </c>
      <c r="I426" s="63">
        <f>H426-180</f>
        <v>45203</v>
      </c>
      <c r="J426" s="60">
        <f t="shared" si="44"/>
        <v>6</v>
      </c>
      <c r="K426" s="60">
        <f t="shared" si="40"/>
        <v>0</v>
      </c>
      <c r="L426" s="60"/>
      <c r="M426" s="60"/>
      <c r="N426" s="60"/>
      <c r="O426" s="60"/>
      <c r="P426" s="60"/>
      <c r="Q426" s="60">
        <v>4</v>
      </c>
      <c r="R426" s="60"/>
      <c r="S426" s="60"/>
      <c r="T426" s="60">
        <v>2</v>
      </c>
      <c r="U426" s="60"/>
      <c r="V426" s="60"/>
      <c r="W426" s="60"/>
      <c r="X426" s="60"/>
      <c r="Y426" s="60"/>
      <c r="Z426" s="60"/>
      <c r="AA426" s="60"/>
      <c r="AB426" s="60"/>
      <c r="AC426" s="60"/>
      <c r="AD426" s="60"/>
      <c r="AE426" s="60"/>
      <c r="AF426" s="60"/>
      <c r="AG426" s="60"/>
      <c r="AH426" s="60"/>
      <c r="AI426" s="60"/>
      <c r="AJ426" s="60"/>
      <c r="AK426" s="64">
        <f t="shared" si="41"/>
        <v>2396.34</v>
      </c>
    </row>
    <row r="427" spans="1:37" x14ac:dyDescent="0.25">
      <c r="A427" s="58" t="s">
        <v>783</v>
      </c>
      <c r="B427" s="59" t="str">
        <f t="shared" ca="1" si="39"/>
        <v>VENCIDO</v>
      </c>
      <c r="C427" s="60" t="s">
        <v>869</v>
      </c>
      <c r="D427" s="61" t="s">
        <v>1424</v>
      </c>
      <c r="E427" s="62" t="s">
        <v>1425</v>
      </c>
      <c r="F427" s="61" t="s">
        <v>775</v>
      </c>
      <c r="G427" s="60" t="s">
        <v>213</v>
      </c>
      <c r="H427" s="63">
        <v>45597</v>
      </c>
      <c r="I427" s="63">
        <f>H427-180</f>
        <v>45417</v>
      </c>
      <c r="J427" s="60">
        <f t="shared" si="44"/>
        <v>3</v>
      </c>
      <c r="K427" s="60">
        <f t="shared" si="40"/>
        <v>0</v>
      </c>
      <c r="L427" s="60"/>
      <c r="M427" s="60"/>
      <c r="N427" s="60"/>
      <c r="O427" s="60"/>
      <c r="P427" s="60"/>
      <c r="Q427" s="60">
        <v>2</v>
      </c>
      <c r="R427" s="60"/>
      <c r="S427" s="60"/>
      <c r="T427" s="60">
        <v>1</v>
      </c>
      <c r="U427" s="60"/>
      <c r="V427" s="60"/>
      <c r="W427" s="60"/>
      <c r="X427" s="60"/>
      <c r="Y427" s="60"/>
      <c r="Z427" s="60"/>
      <c r="AA427" s="60"/>
      <c r="AB427" s="60"/>
      <c r="AC427" s="60"/>
      <c r="AD427" s="60"/>
      <c r="AE427" s="60"/>
      <c r="AF427" s="60"/>
      <c r="AG427" s="60"/>
      <c r="AH427" s="60"/>
      <c r="AI427" s="60"/>
      <c r="AJ427" s="60"/>
      <c r="AK427" s="64">
        <f t="shared" si="41"/>
        <v>1198.17</v>
      </c>
    </row>
    <row r="428" spans="1:37" x14ac:dyDescent="0.25">
      <c r="A428" s="58" t="s">
        <v>783</v>
      </c>
      <c r="B428" s="59" t="str">
        <f t="shared" ca="1" si="39"/>
        <v>VENCIDO</v>
      </c>
      <c r="C428" s="60" t="s">
        <v>869</v>
      </c>
      <c r="D428" s="61" t="s">
        <v>1426</v>
      </c>
      <c r="E428" s="62" t="s">
        <v>212</v>
      </c>
      <c r="F428" s="61" t="s">
        <v>775</v>
      </c>
      <c r="G428" s="60" t="s">
        <v>213</v>
      </c>
      <c r="H428" s="63">
        <v>45474</v>
      </c>
      <c r="I428" s="63">
        <f>H428-180</f>
        <v>45294</v>
      </c>
      <c r="J428" s="60">
        <f t="shared" si="44"/>
        <v>9</v>
      </c>
      <c r="K428" s="60">
        <f t="shared" si="40"/>
        <v>0</v>
      </c>
      <c r="L428" s="60"/>
      <c r="M428" s="60"/>
      <c r="N428" s="60"/>
      <c r="O428" s="60"/>
      <c r="P428" s="60"/>
      <c r="Q428" s="60">
        <v>6</v>
      </c>
      <c r="R428" s="60"/>
      <c r="S428" s="60"/>
      <c r="T428" s="60">
        <v>2</v>
      </c>
      <c r="U428" s="60"/>
      <c r="V428" s="60"/>
      <c r="W428" s="60"/>
      <c r="X428" s="60"/>
      <c r="Y428" s="60"/>
      <c r="Z428" s="60"/>
      <c r="AA428" s="60">
        <v>1</v>
      </c>
      <c r="AB428" s="60"/>
      <c r="AC428" s="60"/>
      <c r="AD428" s="60"/>
      <c r="AE428" s="60"/>
      <c r="AF428" s="60"/>
      <c r="AG428" s="60"/>
      <c r="AH428" s="60"/>
      <c r="AI428" s="60"/>
      <c r="AJ428" s="60"/>
      <c r="AK428" s="64">
        <f t="shared" si="41"/>
        <v>3224.88</v>
      </c>
    </row>
    <row r="429" spans="1:37" hidden="1" x14ac:dyDescent="0.25">
      <c r="A429" s="58" t="s">
        <v>770</v>
      </c>
      <c r="B429" s="59" t="str">
        <f t="shared" ca="1" si="39"/>
        <v>VENCIDO</v>
      </c>
      <c r="C429" s="60" t="s">
        <v>869</v>
      </c>
      <c r="D429" s="61" t="s">
        <v>1427</v>
      </c>
      <c r="E429" s="62" t="s">
        <v>1010</v>
      </c>
      <c r="F429" s="61" t="s">
        <v>778</v>
      </c>
      <c r="G429" s="60" t="s">
        <v>213</v>
      </c>
      <c r="H429" s="63">
        <v>45566</v>
      </c>
      <c r="I429" s="63">
        <f>H429-180</f>
        <v>45386</v>
      </c>
      <c r="J429" s="60">
        <f t="shared" si="44"/>
        <v>2</v>
      </c>
      <c r="K429" s="60">
        <f t="shared" si="40"/>
        <v>0</v>
      </c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>
        <v>1</v>
      </c>
      <c r="W429" s="60"/>
      <c r="X429" s="60"/>
      <c r="Y429" s="60"/>
      <c r="Z429" s="60"/>
      <c r="AA429" s="60">
        <v>1</v>
      </c>
      <c r="AB429" s="60"/>
      <c r="AC429" s="60"/>
      <c r="AD429" s="60"/>
      <c r="AE429" s="60"/>
      <c r="AF429" s="60"/>
      <c r="AG429" s="60"/>
      <c r="AH429" s="60"/>
      <c r="AI429" s="60"/>
      <c r="AJ429" s="60"/>
      <c r="AK429" s="64">
        <f t="shared" si="41"/>
        <v>395.68</v>
      </c>
    </row>
    <row r="430" spans="1:37" x14ac:dyDescent="0.25">
      <c r="A430" s="58" t="s">
        <v>783</v>
      </c>
      <c r="B430" s="59" t="str">
        <f t="shared" ca="1" si="39"/>
        <v>VENCIDO</v>
      </c>
      <c r="C430" s="60" t="s">
        <v>869</v>
      </c>
      <c r="D430" s="61" t="s">
        <v>1428</v>
      </c>
      <c r="E430" s="62" t="s">
        <v>1429</v>
      </c>
      <c r="F430" s="61" t="s">
        <v>775</v>
      </c>
      <c r="G430" s="60" t="s">
        <v>213</v>
      </c>
      <c r="H430" s="63">
        <v>45352</v>
      </c>
      <c r="I430" s="63">
        <v>45352</v>
      </c>
      <c r="J430" s="60">
        <f t="shared" si="44"/>
        <v>5</v>
      </c>
      <c r="K430" s="60">
        <f t="shared" si="40"/>
        <v>0</v>
      </c>
      <c r="L430" s="60"/>
      <c r="M430" s="60"/>
      <c r="N430" s="60"/>
      <c r="O430" s="60"/>
      <c r="P430" s="60"/>
      <c r="Q430" s="60">
        <v>3</v>
      </c>
      <c r="R430" s="60"/>
      <c r="S430" s="60"/>
      <c r="T430" s="60">
        <v>1</v>
      </c>
      <c r="U430" s="60"/>
      <c r="V430" s="60"/>
      <c r="W430" s="60"/>
      <c r="X430" s="60"/>
      <c r="Y430" s="60"/>
      <c r="Z430" s="60"/>
      <c r="AA430" s="60">
        <v>1</v>
      </c>
      <c r="AB430" s="60"/>
      <c r="AC430" s="60"/>
      <c r="AD430" s="60"/>
      <c r="AE430" s="60"/>
      <c r="AF430" s="60"/>
      <c r="AG430" s="60"/>
      <c r="AH430" s="60"/>
      <c r="AI430" s="60"/>
      <c r="AJ430" s="60"/>
      <c r="AK430" s="64">
        <f t="shared" si="41"/>
        <v>1711.36</v>
      </c>
    </row>
    <row r="431" spans="1:37" x14ac:dyDescent="0.25">
      <c r="A431" s="58"/>
      <c r="B431" s="59" t="str">
        <f t="shared" ca="1" si="39"/>
        <v>VENCIDO</v>
      </c>
      <c r="C431" s="60" t="s">
        <v>869</v>
      </c>
      <c r="D431" s="61" t="s">
        <v>1430</v>
      </c>
      <c r="E431" s="62" t="s">
        <v>815</v>
      </c>
      <c r="F431" s="61" t="s">
        <v>775</v>
      </c>
      <c r="G431" s="60" t="s">
        <v>213</v>
      </c>
      <c r="H431" s="63">
        <v>45444</v>
      </c>
      <c r="I431" s="63">
        <v>45444</v>
      </c>
      <c r="J431" s="60">
        <f t="shared" si="44"/>
        <v>2</v>
      </c>
      <c r="K431" s="60">
        <f t="shared" si="40"/>
        <v>0</v>
      </c>
      <c r="L431" s="60"/>
      <c r="M431" s="60"/>
      <c r="N431" s="60"/>
      <c r="O431" s="60"/>
      <c r="P431" s="60"/>
      <c r="Q431" s="60">
        <v>1</v>
      </c>
      <c r="R431" s="60"/>
      <c r="S431" s="60"/>
      <c r="T431" s="60"/>
      <c r="U431" s="60"/>
      <c r="V431" s="60"/>
      <c r="W431" s="60"/>
      <c r="X431" s="60"/>
      <c r="Y431" s="60"/>
      <c r="Z431" s="60"/>
      <c r="AA431" s="60">
        <v>1</v>
      </c>
      <c r="AB431" s="60"/>
      <c r="AC431" s="60"/>
      <c r="AD431" s="60"/>
      <c r="AE431" s="60"/>
      <c r="AF431" s="60"/>
      <c r="AG431" s="60"/>
      <c r="AH431" s="60"/>
      <c r="AI431" s="60"/>
      <c r="AJ431" s="60"/>
      <c r="AK431" s="64">
        <f t="shared" si="41"/>
        <v>513.19000000000005</v>
      </c>
    </row>
    <row r="432" spans="1:37" x14ac:dyDescent="0.25">
      <c r="A432" s="58" t="s">
        <v>770</v>
      </c>
      <c r="B432" s="59" t="str">
        <f t="shared" ca="1" si="39"/>
        <v>VENCIDO</v>
      </c>
      <c r="C432" s="60" t="s">
        <v>869</v>
      </c>
      <c r="D432" s="61" t="s">
        <v>1431</v>
      </c>
      <c r="E432" s="62" t="s">
        <v>815</v>
      </c>
      <c r="F432" s="61" t="s">
        <v>775</v>
      </c>
      <c r="G432" s="60" t="s">
        <v>213</v>
      </c>
      <c r="H432" s="63">
        <v>45505</v>
      </c>
      <c r="I432" s="63">
        <f>H432-180</f>
        <v>45325</v>
      </c>
      <c r="J432" s="60">
        <f t="shared" si="44"/>
        <v>9</v>
      </c>
      <c r="K432" s="60">
        <f t="shared" si="40"/>
        <v>0</v>
      </c>
      <c r="L432" s="60"/>
      <c r="M432" s="60"/>
      <c r="N432" s="60"/>
      <c r="O432" s="60">
        <v>2</v>
      </c>
      <c r="P432" s="60"/>
      <c r="Q432" s="60">
        <v>6</v>
      </c>
      <c r="R432" s="60"/>
      <c r="S432" s="60"/>
      <c r="T432" s="60">
        <v>1</v>
      </c>
      <c r="U432" s="60"/>
      <c r="V432" s="60"/>
      <c r="W432" s="60"/>
      <c r="X432" s="60"/>
      <c r="Y432" s="60"/>
      <c r="Z432" s="60"/>
      <c r="AA432" s="60"/>
      <c r="AB432" s="60"/>
      <c r="AC432" s="60"/>
      <c r="AD432" s="60"/>
      <c r="AE432" s="60"/>
      <c r="AF432" s="60"/>
      <c r="AG432" s="60"/>
      <c r="AH432" s="60"/>
      <c r="AI432" s="60"/>
      <c r="AJ432" s="60"/>
      <c r="AK432" s="64">
        <f t="shared" si="41"/>
        <v>2855.21</v>
      </c>
    </row>
    <row r="433" spans="1:37" x14ac:dyDescent="0.25">
      <c r="A433" s="58" t="s">
        <v>770</v>
      </c>
      <c r="B433" s="59" t="str">
        <f t="shared" ca="1" si="39"/>
        <v>VENCIDO</v>
      </c>
      <c r="C433" s="60" t="s">
        <v>869</v>
      </c>
      <c r="D433" s="61" t="s">
        <v>1432</v>
      </c>
      <c r="E433" s="62" t="s">
        <v>1012</v>
      </c>
      <c r="F433" s="61" t="s">
        <v>775</v>
      </c>
      <c r="G433" s="60" t="s">
        <v>213</v>
      </c>
      <c r="H433" s="63">
        <v>45536</v>
      </c>
      <c r="I433" s="63">
        <f>H433-180</f>
        <v>45356</v>
      </c>
      <c r="J433" s="60">
        <f t="shared" si="44"/>
        <v>3</v>
      </c>
      <c r="K433" s="60">
        <f t="shared" si="40"/>
        <v>0</v>
      </c>
      <c r="L433" s="60"/>
      <c r="M433" s="60"/>
      <c r="N433" s="60"/>
      <c r="O433" s="60"/>
      <c r="P433" s="60"/>
      <c r="Q433" s="60"/>
      <c r="R433" s="60"/>
      <c r="S433" s="60"/>
      <c r="T433" s="60"/>
      <c r="U433" s="60"/>
      <c r="V433" s="60"/>
      <c r="W433" s="60"/>
      <c r="X433" s="60">
        <v>1</v>
      </c>
      <c r="Y433" s="60"/>
      <c r="Z433" s="60"/>
      <c r="AA433" s="60">
        <v>2</v>
      </c>
      <c r="AB433" s="60"/>
      <c r="AC433" s="60"/>
      <c r="AD433" s="60"/>
      <c r="AE433" s="60"/>
      <c r="AF433" s="60"/>
      <c r="AG433" s="60"/>
      <c r="AH433" s="60"/>
      <c r="AI433" s="60"/>
      <c r="AJ433" s="60"/>
      <c r="AK433" s="64">
        <f t="shared" si="41"/>
        <v>1097.3700000000001</v>
      </c>
    </row>
    <row r="434" spans="1:37" x14ac:dyDescent="0.25">
      <c r="A434" s="58" t="s">
        <v>770</v>
      </c>
      <c r="B434" s="59" t="str">
        <f t="shared" ca="1" si="39"/>
        <v>VENCIDO</v>
      </c>
      <c r="C434" s="60" t="s">
        <v>869</v>
      </c>
      <c r="D434" s="61" t="s">
        <v>1433</v>
      </c>
      <c r="E434" s="62" t="s">
        <v>223</v>
      </c>
      <c r="F434" s="61" t="s">
        <v>775</v>
      </c>
      <c r="G434" s="60" t="s">
        <v>213</v>
      </c>
      <c r="H434" s="63">
        <v>45352</v>
      </c>
      <c r="I434" s="63">
        <v>45352</v>
      </c>
      <c r="J434" s="60">
        <f t="shared" si="44"/>
        <v>11</v>
      </c>
      <c r="K434" s="60">
        <f t="shared" si="40"/>
        <v>0</v>
      </c>
      <c r="L434" s="60"/>
      <c r="M434" s="60"/>
      <c r="N434" s="60"/>
      <c r="O434" s="60"/>
      <c r="P434" s="60"/>
      <c r="Q434" s="60">
        <v>7</v>
      </c>
      <c r="R434" s="60"/>
      <c r="S434" s="60"/>
      <c r="T434" s="60">
        <v>2</v>
      </c>
      <c r="U434" s="60"/>
      <c r="V434" s="60"/>
      <c r="W434" s="60"/>
      <c r="X434" s="60"/>
      <c r="Y434" s="60"/>
      <c r="Z434" s="60"/>
      <c r="AA434" s="60">
        <v>2</v>
      </c>
      <c r="AB434" s="60"/>
      <c r="AC434" s="60"/>
      <c r="AD434" s="60"/>
      <c r="AE434" s="60"/>
      <c r="AF434" s="60"/>
      <c r="AG434" s="60"/>
      <c r="AH434" s="60"/>
      <c r="AI434" s="60"/>
      <c r="AJ434" s="60"/>
      <c r="AK434" s="64">
        <f t="shared" si="41"/>
        <v>3738.07</v>
      </c>
    </row>
    <row r="435" spans="1:37" hidden="1" x14ac:dyDescent="0.25">
      <c r="A435" s="58" t="s">
        <v>1139</v>
      </c>
      <c r="B435" s="59" t="str">
        <f t="shared" ca="1" si="39"/>
        <v>VENCIDO</v>
      </c>
      <c r="C435" s="60" t="s">
        <v>869</v>
      </c>
      <c r="D435" s="61" t="s">
        <v>1434</v>
      </c>
      <c r="E435" s="62" t="s">
        <v>1127</v>
      </c>
      <c r="F435" s="61" t="s">
        <v>778</v>
      </c>
      <c r="G435" s="60" t="s">
        <v>213</v>
      </c>
      <c r="H435" s="63">
        <v>45536</v>
      </c>
      <c r="I435" s="63">
        <f>H435-180</f>
        <v>45356</v>
      </c>
      <c r="J435" s="60">
        <f t="shared" si="44"/>
        <v>5</v>
      </c>
      <c r="K435" s="60">
        <f t="shared" si="40"/>
        <v>0</v>
      </c>
      <c r="L435" s="60"/>
      <c r="M435" s="60"/>
      <c r="N435" s="60"/>
      <c r="O435" s="60"/>
      <c r="P435" s="60">
        <v>1</v>
      </c>
      <c r="Q435" s="60">
        <v>2</v>
      </c>
      <c r="R435" s="60"/>
      <c r="S435" s="60"/>
      <c r="T435" s="60">
        <v>1</v>
      </c>
      <c r="U435" s="60"/>
      <c r="V435" s="60"/>
      <c r="W435" s="60"/>
      <c r="X435" s="60"/>
      <c r="Y435" s="60"/>
      <c r="Z435" s="60"/>
      <c r="AA435" s="60">
        <v>1</v>
      </c>
      <c r="AB435" s="60"/>
      <c r="AC435" s="60"/>
      <c r="AD435" s="60"/>
      <c r="AE435" s="60"/>
      <c r="AF435" s="60"/>
      <c r="AG435" s="60"/>
      <c r="AH435" s="60"/>
      <c r="AI435" s="60"/>
      <c r="AJ435" s="60"/>
      <c r="AK435" s="64">
        <f t="shared" si="41"/>
        <v>1640.1000000000001</v>
      </c>
    </row>
    <row r="436" spans="1:37" x14ac:dyDescent="0.25">
      <c r="A436" s="58" t="s">
        <v>770</v>
      </c>
      <c r="B436" s="59" t="str">
        <f t="shared" ca="1" si="39"/>
        <v>VENCIDO</v>
      </c>
      <c r="C436" s="60" t="s">
        <v>869</v>
      </c>
      <c r="D436" s="61" t="s">
        <v>1435</v>
      </c>
      <c r="E436" s="62" t="s">
        <v>1436</v>
      </c>
      <c r="F436" s="61" t="s">
        <v>775</v>
      </c>
      <c r="G436" s="60" t="s">
        <v>213</v>
      </c>
      <c r="H436" s="63">
        <v>45474</v>
      </c>
      <c r="I436" s="63">
        <f>H436-180</f>
        <v>45294</v>
      </c>
      <c r="J436" s="60">
        <f t="shared" si="44"/>
        <v>8</v>
      </c>
      <c r="K436" s="60">
        <f t="shared" si="40"/>
        <v>0</v>
      </c>
      <c r="L436" s="60"/>
      <c r="M436" s="60"/>
      <c r="N436" s="60"/>
      <c r="O436" s="60"/>
      <c r="P436" s="60"/>
      <c r="Q436" s="60">
        <v>5</v>
      </c>
      <c r="R436" s="60"/>
      <c r="S436" s="60"/>
      <c r="T436" s="60">
        <v>2</v>
      </c>
      <c r="U436" s="60"/>
      <c r="V436" s="60"/>
      <c r="W436" s="60"/>
      <c r="X436" s="60"/>
      <c r="Y436" s="60"/>
      <c r="Z436" s="60"/>
      <c r="AA436" s="60">
        <v>1</v>
      </c>
      <c r="AB436" s="60"/>
      <c r="AC436" s="60"/>
      <c r="AD436" s="60"/>
      <c r="AE436" s="60"/>
      <c r="AF436" s="60"/>
      <c r="AG436" s="60"/>
      <c r="AH436" s="60"/>
      <c r="AI436" s="60"/>
      <c r="AJ436" s="60"/>
      <c r="AK436" s="64">
        <f t="shared" si="41"/>
        <v>2909.53</v>
      </c>
    </row>
    <row r="437" spans="1:37" x14ac:dyDescent="0.25">
      <c r="A437" s="58" t="s">
        <v>770</v>
      </c>
      <c r="B437" s="59" t="str">
        <f t="shared" ca="1" si="39"/>
        <v>VENCIDO</v>
      </c>
      <c r="C437" s="60" t="s">
        <v>869</v>
      </c>
      <c r="D437" s="61" t="s">
        <v>1437</v>
      </c>
      <c r="E437" s="62" t="s">
        <v>1123</v>
      </c>
      <c r="F437" s="61" t="s">
        <v>775</v>
      </c>
      <c r="G437" s="60" t="s">
        <v>213</v>
      </c>
      <c r="H437" s="63">
        <v>45536</v>
      </c>
      <c r="I437" s="63">
        <f>H437-180</f>
        <v>45356</v>
      </c>
      <c r="J437" s="60">
        <f t="shared" si="44"/>
        <v>2</v>
      </c>
      <c r="K437" s="60">
        <f t="shared" si="40"/>
        <v>0</v>
      </c>
      <c r="L437" s="60"/>
      <c r="M437" s="60"/>
      <c r="N437" s="60"/>
      <c r="O437" s="60"/>
      <c r="P437" s="60"/>
      <c r="Q437" s="60">
        <v>1</v>
      </c>
      <c r="R437" s="60"/>
      <c r="S437" s="60"/>
      <c r="T437" s="60"/>
      <c r="U437" s="60"/>
      <c r="V437" s="60"/>
      <c r="W437" s="60"/>
      <c r="X437" s="60"/>
      <c r="Y437" s="60"/>
      <c r="Z437" s="60"/>
      <c r="AA437" s="60">
        <v>1</v>
      </c>
      <c r="AB437" s="60"/>
      <c r="AC437" s="60"/>
      <c r="AD437" s="60"/>
      <c r="AE437" s="60"/>
      <c r="AF437" s="60"/>
      <c r="AG437" s="60"/>
      <c r="AH437" s="60"/>
      <c r="AI437" s="60"/>
      <c r="AJ437" s="60"/>
      <c r="AK437" s="64">
        <f t="shared" si="41"/>
        <v>513.19000000000005</v>
      </c>
    </row>
    <row r="438" spans="1:37" hidden="1" x14ac:dyDescent="0.25">
      <c r="A438" s="58" t="s">
        <v>783</v>
      </c>
      <c r="B438" s="59" t="str">
        <f t="shared" ref="B438:B501" ca="1" si="45">IF(H438&lt;$B$1,"VENCIDO","NA VALIDADE")</f>
        <v>VENCIDO</v>
      </c>
      <c r="C438" s="60" t="s">
        <v>1110</v>
      </c>
      <c r="D438" s="61" t="s">
        <v>1438</v>
      </c>
      <c r="E438" s="62" t="s">
        <v>1181</v>
      </c>
      <c r="F438" s="61" t="s">
        <v>793</v>
      </c>
      <c r="G438" s="60" t="s">
        <v>213</v>
      </c>
      <c r="H438" s="63">
        <v>45323</v>
      </c>
      <c r="I438" s="63">
        <f>H438-180</f>
        <v>45143</v>
      </c>
      <c r="J438" s="60">
        <f t="shared" si="44"/>
        <v>6</v>
      </c>
      <c r="K438" s="60">
        <f t="shared" si="40"/>
        <v>0</v>
      </c>
      <c r="L438" s="60">
        <v>1</v>
      </c>
      <c r="M438" s="60"/>
      <c r="N438" s="60"/>
      <c r="O438" s="60"/>
      <c r="P438" s="60"/>
      <c r="Q438" s="60"/>
      <c r="R438" s="60"/>
      <c r="S438" s="60"/>
      <c r="T438" s="60"/>
      <c r="U438" s="60"/>
      <c r="V438" s="60">
        <v>5</v>
      </c>
      <c r="W438" s="60"/>
      <c r="X438" s="60"/>
      <c r="Y438" s="60"/>
      <c r="Z438" s="60"/>
      <c r="AA438" s="60"/>
      <c r="AB438" s="60"/>
      <c r="AC438" s="60"/>
      <c r="AD438" s="60"/>
      <c r="AE438" s="60"/>
      <c r="AF438" s="60"/>
      <c r="AG438" s="60"/>
      <c r="AH438" s="60"/>
      <c r="AI438" s="60"/>
      <c r="AJ438" s="60"/>
      <c r="AK438" s="64">
        <f t="shared" si="41"/>
        <v>1079.6400000000001</v>
      </c>
    </row>
    <row r="439" spans="1:37" x14ac:dyDescent="0.25">
      <c r="A439" s="58" t="s">
        <v>770</v>
      </c>
      <c r="B439" s="59" t="str">
        <f t="shared" ca="1" si="45"/>
        <v>VENCIDO</v>
      </c>
      <c r="C439" s="60" t="s">
        <v>869</v>
      </c>
      <c r="D439" s="61" t="s">
        <v>1439</v>
      </c>
      <c r="E439" s="62" t="s">
        <v>1440</v>
      </c>
      <c r="F439" s="61" t="s">
        <v>775</v>
      </c>
      <c r="G439" s="60" t="s">
        <v>213</v>
      </c>
      <c r="H439" s="63">
        <v>45413</v>
      </c>
      <c r="I439" s="63">
        <v>45413</v>
      </c>
      <c r="J439" s="60">
        <f t="shared" si="44"/>
        <v>7</v>
      </c>
      <c r="K439" s="60">
        <f t="shared" si="40"/>
        <v>0</v>
      </c>
      <c r="L439" s="60"/>
      <c r="M439" s="60"/>
      <c r="N439" s="60"/>
      <c r="O439" s="60"/>
      <c r="P439" s="60"/>
      <c r="Q439" s="60">
        <v>5</v>
      </c>
      <c r="R439" s="60"/>
      <c r="S439" s="60"/>
      <c r="T439" s="60">
        <v>1</v>
      </c>
      <c r="U439" s="60"/>
      <c r="V439" s="60"/>
      <c r="W439" s="60"/>
      <c r="X439" s="60"/>
      <c r="Y439" s="60"/>
      <c r="Z439" s="60"/>
      <c r="AA439" s="60">
        <v>1</v>
      </c>
      <c r="AB439" s="60"/>
      <c r="AC439" s="60"/>
      <c r="AD439" s="60"/>
      <c r="AE439" s="60"/>
      <c r="AF439" s="60"/>
      <c r="AG439" s="60"/>
      <c r="AH439" s="60"/>
      <c r="AI439" s="60"/>
      <c r="AJ439" s="60"/>
      <c r="AK439" s="64">
        <f t="shared" si="41"/>
        <v>2342.0600000000004</v>
      </c>
    </row>
    <row r="440" spans="1:37" x14ac:dyDescent="0.25">
      <c r="A440" s="58" t="s">
        <v>783</v>
      </c>
      <c r="B440" s="59" t="str">
        <f t="shared" ca="1" si="45"/>
        <v>VENCIDO</v>
      </c>
      <c r="C440" s="60" t="s">
        <v>869</v>
      </c>
      <c r="D440" s="61" t="s">
        <v>1441</v>
      </c>
      <c r="E440" s="62" t="s">
        <v>1326</v>
      </c>
      <c r="F440" s="61" t="s">
        <v>775</v>
      </c>
      <c r="G440" s="60" t="s">
        <v>213</v>
      </c>
      <c r="H440" s="63">
        <v>45597</v>
      </c>
      <c r="I440" s="63">
        <f>H440-180</f>
        <v>45417</v>
      </c>
      <c r="J440" s="60">
        <f t="shared" si="44"/>
        <v>5</v>
      </c>
      <c r="K440" s="60">
        <f t="shared" si="40"/>
        <v>0</v>
      </c>
      <c r="L440" s="60"/>
      <c r="M440" s="60"/>
      <c r="N440" s="60"/>
      <c r="O440" s="60"/>
      <c r="P440" s="60">
        <v>1</v>
      </c>
      <c r="Q440" s="60">
        <v>2</v>
      </c>
      <c r="R440" s="60"/>
      <c r="S440" s="60"/>
      <c r="T440" s="60">
        <v>1</v>
      </c>
      <c r="U440" s="60"/>
      <c r="V440" s="60"/>
      <c r="W440" s="60"/>
      <c r="X440" s="60"/>
      <c r="Y440" s="60"/>
      <c r="Z440" s="60"/>
      <c r="AA440" s="60">
        <v>1</v>
      </c>
      <c r="AB440" s="60"/>
      <c r="AC440" s="60"/>
      <c r="AD440" s="60"/>
      <c r="AE440" s="60"/>
      <c r="AF440" s="60"/>
      <c r="AG440" s="60"/>
      <c r="AH440" s="60"/>
      <c r="AI440" s="60"/>
      <c r="AJ440" s="60"/>
      <c r="AK440" s="64">
        <f t="shared" si="41"/>
        <v>1640.1000000000001</v>
      </c>
    </row>
    <row r="441" spans="1:37" hidden="1" x14ac:dyDescent="0.25">
      <c r="A441" s="58" t="s">
        <v>770</v>
      </c>
      <c r="B441" s="59" t="str">
        <f t="shared" ca="1" si="45"/>
        <v>VENCIDO</v>
      </c>
      <c r="C441" s="60" t="s">
        <v>869</v>
      </c>
      <c r="D441" s="61" t="s">
        <v>1442</v>
      </c>
      <c r="E441" s="62" t="s">
        <v>780</v>
      </c>
      <c r="F441" s="61" t="s">
        <v>778</v>
      </c>
      <c r="G441" s="60" t="s">
        <v>213</v>
      </c>
      <c r="H441" s="63">
        <v>45352</v>
      </c>
      <c r="I441" s="63">
        <v>45352</v>
      </c>
      <c r="J441" s="60">
        <f t="shared" si="44"/>
        <v>4</v>
      </c>
      <c r="K441" s="60">
        <f t="shared" si="40"/>
        <v>0</v>
      </c>
      <c r="L441" s="60"/>
      <c r="M441" s="60"/>
      <c r="N441" s="60"/>
      <c r="O441" s="60"/>
      <c r="P441" s="60"/>
      <c r="Q441" s="60">
        <v>2</v>
      </c>
      <c r="R441" s="60"/>
      <c r="S441" s="60"/>
      <c r="T441" s="60"/>
      <c r="U441" s="60"/>
      <c r="V441" s="60"/>
      <c r="W441" s="60"/>
      <c r="X441" s="60"/>
      <c r="Y441" s="60"/>
      <c r="Z441" s="60">
        <v>2</v>
      </c>
      <c r="AA441" s="60"/>
      <c r="AB441" s="60"/>
      <c r="AC441" s="60"/>
      <c r="AD441" s="60"/>
      <c r="AE441" s="60"/>
      <c r="AF441" s="60"/>
      <c r="AG441" s="60"/>
      <c r="AH441" s="60"/>
      <c r="AI441" s="60"/>
      <c r="AJ441" s="60"/>
      <c r="AK441" s="64">
        <f t="shared" si="41"/>
        <v>933.96</v>
      </c>
    </row>
    <row r="442" spans="1:37" hidden="1" x14ac:dyDescent="0.25">
      <c r="A442" s="58" t="s">
        <v>783</v>
      </c>
      <c r="B442" s="59" t="str">
        <f t="shared" ca="1" si="45"/>
        <v>VENCIDO</v>
      </c>
      <c r="C442" s="60" t="s">
        <v>869</v>
      </c>
      <c r="D442" s="66" t="s">
        <v>1443</v>
      </c>
      <c r="E442" s="62" t="s">
        <v>1444</v>
      </c>
      <c r="F442" s="61" t="s">
        <v>778</v>
      </c>
      <c r="G442" s="60" t="s">
        <v>213</v>
      </c>
      <c r="H442" s="63">
        <v>45444</v>
      </c>
      <c r="I442" s="63">
        <v>45444</v>
      </c>
      <c r="J442" s="60">
        <f t="shared" si="44"/>
        <v>2</v>
      </c>
      <c r="K442" s="60">
        <f t="shared" si="40"/>
        <v>0</v>
      </c>
      <c r="L442" s="60"/>
      <c r="M442" s="60"/>
      <c r="N442" s="60"/>
      <c r="O442" s="60"/>
      <c r="P442" s="60"/>
      <c r="Q442" s="60">
        <v>1</v>
      </c>
      <c r="R442" s="60"/>
      <c r="S442" s="60"/>
      <c r="T442" s="60"/>
      <c r="U442" s="60"/>
      <c r="V442" s="60"/>
      <c r="W442" s="60"/>
      <c r="X442" s="60"/>
      <c r="Y442" s="60"/>
      <c r="Z442" s="60"/>
      <c r="AA442" s="60">
        <v>1</v>
      </c>
      <c r="AB442" s="60"/>
      <c r="AC442" s="60"/>
      <c r="AD442" s="60"/>
      <c r="AE442" s="60"/>
      <c r="AF442" s="60"/>
      <c r="AG442" s="60"/>
      <c r="AH442" s="60"/>
      <c r="AI442" s="60"/>
      <c r="AJ442" s="60"/>
      <c r="AK442" s="64">
        <f t="shared" si="41"/>
        <v>513.19000000000005</v>
      </c>
    </row>
    <row r="443" spans="1:37" x14ac:dyDescent="0.25">
      <c r="A443" s="58" t="s">
        <v>783</v>
      </c>
      <c r="B443" s="59" t="str">
        <f t="shared" ca="1" si="45"/>
        <v>VENCIDO</v>
      </c>
      <c r="C443" s="60" t="s">
        <v>869</v>
      </c>
      <c r="D443" s="61" t="s">
        <v>1445</v>
      </c>
      <c r="E443" s="62" t="s">
        <v>817</v>
      </c>
      <c r="F443" s="61" t="s">
        <v>775</v>
      </c>
      <c r="G443" s="60" t="s">
        <v>213</v>
      </c>
      <c r="H443" s="63">
        <v>45505</v>
      </c>
      <c r="I443" s="63">
        <f>H443-180</f>
        <v>45325</v>
      </c>
      <c r="J443" s="60">
        <f t="shared" si="44"/>
        <v>3</v>
      </c>
      <c r="K443" s="60">
        <f t="shared" si="40"/>
        <v>0</v>
      </c>
      <c r="L443" s="60"/>
      <c r="M443" s="60"/>
      <c r="N443" s="60"/>
      <c r="O443" s="60"/>
      <c r="P443" s="60"/>
      <c r="Q443" s="60">
        <v>1</v>
      </c>
      <c r="R443" s="60"/>
      <c r="S443" s="60"/>
      <c r="T443" s="60">
        <v>1</v>
      </c>
      <c r="U443" s="60"/>
      <c r="V443" s="60"/>
      <c r="W443" s="60"/>
      <c r="X443" s="60"/>
      <c r="Y443" s="60"/>
      <c r="Z443" s="60"/>
      <c r="AA443" s="60">
        <v>1</v>
      </c>
      <c r="AB443" s="60"/>
      <c r="AC443" s="60"/>
      <c r="AD443" s="60"/>
      <c r="AE443" s="60"/>
      <c r="AF443" s="60"/>
      <c r="AG443" s="60"/>
      <c r="AH443" s="60"/>
      <c r="AI443" s="60"/>
      <c r="AJ443" s="60"/>
      <c r="AK443" s="64">
        <f t="shared" si="41"/>
        <v>1080.6600000000001</v>
      </c>
    </row>
    <row r="444" spans="1:37" x14ac:dyDescent="0.25">
      <c r="A444" s="58" t="s">
        <v>783</v>
      </c>
      <c r="B444" s="59" t="str">
        <f t="shared" ca="1" si="45"/>
        <v>VENCIDO</v>
      </c>
      <c r="C444" s="60" t="s">
        <v>869</v>
      </c>
      <c r="D444" s="61" t="s">
        <v>1446</v>
      </c>
      <c r="E444" s="62" t="s">
        <v>1014</v>
      </c>
      <c r="F444" s="61" t="s">
        <v>775</v>
      </c>
      <c r="G444" s="60" t="s">
        <v>213</v>
      </c>
      <c r="H444" s="63">
        <v>45536</v>
      </c>
      <c r="I444" s="63">
        <f>H444-180</f>
        <v>45356</v>
      </c>
      <c r="J444" s="60">
        <f t="shared" si="44"/>
        <v>3</v>
      </c>
      <c r="K444" s="60">
        <f t="shared" si="40"/>
        <v>0</v>
      </c>
      <c r="L444" s="60"/>
      <c r="M444" s="60"/>
      <c r="N444" s="60"/>
      <c r="O444" s="60"/>
      <c r="P444" s="60"/>
      <c r="Q444" s="60">
        <v>1</v>
      </c>
      <c r="R444" s="60"/>
      <c r="S444" s="60"/>
      <c r="T444" s="60"/>
      <c r="U444" s="60"/>
      <c r="V444" s="60"/>
      <c r="W444" s="60"/>
      <c r="X444" s="60"/>
      <c r="Y444" s="60"/>
      <c r="Z444" s="60"/>
      <c r="AA444" s="60">
        <v>2</v>
      </c>
      <c r="AB444" s="60"/>
      <c r="AC444" s="60"/>
      <c r="AD444" s="60"/>
      <c r="AE444" s="60"/>
      <c r="AF444" s="60"/>
      <c r="AG444" s="60"/>
      <c r="AH444" s="60"/>
      <c r="AI444" s="60"/>
      <c r="AJ444" s="60"/>
      <c r="AK444" s="64">
        <f t="shared" si="41"/>
        <v>711.03</v>
      </c>
    </row>
    <row r="445" spans="1:37" x14ac:dyDescent="0.25">
      <c r="A445" s="58" t="s">
        <v>783</v>
      </c>
      <c r="B445" s="59" t="str">
        <f t="shared" ca="1" si="45"/>
        <v>VENCIDO</v>
      </c>
      <c r="C445" s="60" t="s">
        <v>869</v>
      </c>
      <c r="D445" s="61" t="s">
        <v>1447</v>
      </c>
      <c r="E445" s="62" t="s">
        <v>1448</v>
      </c>
      <c r="F445" s="61" t="s">
        <v>775</v>
      </c>
      <c r="G445" s="60" t="s">
        <v>213</v>
      </c>
      <c r="H445" s="63">
        <v>45505</v>
      </c>
      <c r="I445" s="63">
        <v>45323</v>
      </c>
      <c r="J445" s="60">
        <f t="shared" si="44"/>
        <v>12</v>
      </c>
      <c r="K445" s="60">
        <f t="shared" si="40"/>
        <v>0</v>
      </c>
      <c r="L445" s="60"/>
      <c r="M445" s="60"/>
      <c r="N445" s="60"/>
      <c r="O445" s="60"/>
      <c r="P445" s="60"/>
      <c r="Q445" s="60">
        <v>9</v>
      </c>
      <c r="R445" s="60"/>
      <c r="S445" s="60"/>
      <c r="T445" s="60">
        <v>2</v>
      </c>
      <c r="U445" s="60"/>
      <c r="V445" s="60"/>
      <c r="W445" s="60"/>
      <c r="X445" s="60"/>
      <c r="Y445" s="60"/>
      <c r="Z445" s="60"/>
      <c r="AA445" s="60">
        <v>1</v>
      </c>
      <c r="AB445" s="60"/>
      <c r="AC445" s="60"/>
      <c r="AD445" s="60"/>
      <c r="AE445" s="60"/>
      <c r="AF445" s="60"/>
      <c r="AG445" s="60"/>
      <c r="AH445" s="60"/>
      <c r="AI445" s="60"/>
      <c r="AJ445" s="60"/>
      <c r="AK445" s="64">
        <f t="shared" si="41"/>
        <v>4170.93</v>
      </c>
    </row>
    <row r="446" spans="1:37" x14ac:dyDescent="0.25">
      <c r="A446" s="58" t="s">
        <v>770</v>
      </c>
      <c r="B446" s="59" t="str">
        <f t="shared" ca="1" si="45"/>
        <v>VENCIDO</v>
      </c>
      <c r="C446" s="60" t="s">
        <v>869</v>
      </c>
      <c r="D446" s="61" t="s">
        <v>1449</v>
      </c>
      <c r="E446" s="62" t="s">
        <v>887</v>
      </c>
      <c r="F446" s="61" t="s">
        <v>775</v>
      </c>
      <c r="G446" s="60" t="s">
        <v>213</v>
      </c>
      <c r="H446" s="63">
        <v>45505</v>
      </c>
      <c r="I446" s="63">
        <f>H446-180</f>
        <v>45325</v>
      </c>
      <c r="J446" s="60">
        <f t="shared" si="44"/>
        <v>3</v>
      </c>
      <c r="K446" s="60">
        <f t="shared" si="40"/>
        <v>0</v>
      </c>
      <c r="L446" s="60"/>
      <c r="M446" s="60"/>
      <c r="N446" s="60"/>
      <c r="O446" s="60"/>
      <c r="P446" s="60"/>
      <c r="Q446" s="60">
        <v>1</v>
      </c>
      <c r="R446" s="60"/>
      <c r="S446" s="60"/>
      <c r="T446" s="60">
        <v>1</v>
      </c>
      <c r="U446" s="60"/>
      <c r="V446" s="60"/>
      <c r="W446" s="60"/>
      <c r="X446" s="60"/>
      <c r="Y446" s="60"/>
      <c r="Z446" s="60"/>
      <c r="AA446" s="60">
        <v>1</v>
      </c>
      <c r="AB446" s="60"/>
      <c r="AC446" s="60"/>
      <c r="AD446" s="60"/>
      <c r="AE446" s="60"/>
      <c r="AF446" s="60"/>
      <c r="AG446" s="60"/>
      <c r="AH446" s="60"/>
      <c r="AI446" s="60"/>
      <c r="AJ446" s="60"/>
      <c r="AK446" s="64">
        <f t="shared" si="41"/>
        <v>1080.6600000000001</v>
      </c>
    </row>
    <row r="447" spans="1:37" x14ac:dyDescent="0.25">
      <c r="A447" s="58" t="s">
        <v>783</v>
      </c>
      <c r="B447" s="59" t="str">
        <f t="shared" ca="1" si="45"/>
        <v>VENCIDO</v>
      </c>
      <c r="C447" s="60" t="s">
        <v>869</v>
      </c>
      <c r="D447" s="61" t="s">
        <v>1450</v>
      </c>
      <c r="E447" s="62" t="s">
        <v>820</v>
      </c>
      <c r="F447" s="61" t="s">
        <v>775</v>
      </c>
      <c r="G447" s="60" t="s">
        <v>213</v>
      </c>
      <c r="H447" s="63">
        <v>45536</v>
      </c>
      <c r="I447" s="63">
        <f>H447-180</f>
        <v>45356</v>
      </c>
      <c r="J447" s="60">
        <f t="shared" si="44"/>
        <v>2</v>
      </c>
      <c r="K447" s="60">
        <f t="shared" si="40"/>
        <v>0</v>
      </c>
      <c r="L447" s="60"/>
      <c r="M447" s="60"/>
      <c r="N447" s="60"/>
      <c r="O447" s="60"/>
      <c r="P447" s="60"/>
      <c r="Q447" s="60">
        <v>1</v>
      </c>
      <c r="R447" s="60"/>
      <c r="S447" s="60"/>
      <c r="T447" s="60"/>
      <c r="U447" s="60"/>
      <c r="V447" s="60"/>
      <c r="W447" s="60"/>
      <c r="X447" s="60"/>
      <c r="Y447" s="60"/>
      <c r="Z447" s="60"/>
      <c r="AA447" s="60">
        <v>1</v>
      </c>
      <c r="AB447" s="60"/>
      <c r="AC447" s="60"/>
      <c r="AD447" s="60"/>
      <c r="AE447" s="60"/>
      <c r="AF447" s="60"/>
      <c r="AG447" s="60"/>
      <c r="AH447" s="60"/>
      <c r="AI447" s="60"/>
      <c r="AJ447" s="60"/>
      <c r="AK447" s="64">
        <f t="shared" si="41"/>
        <v>513.19000000000005</v>
      </c>
    </row>
    <row r="448" spans="1:37" x14ac:dyDescent="0.25">
      <c r="A448" s="58" t="s">
        <v>783</v>
      </c>
      <c r="B448" s="59" t="str">
        <f t="shared" ca="1" si="45"/>
        <v>VENCIDO</v>
      </c>
      <c r="C448" s="60" t="s">
        <v>869</v>
      </c>
      <c r="D448" s="66" t="s">
        <v>1451</v>
      </c>
      <c r="E448" s="62" t="s">
        <v>820</v>
      </c>
      <c r="F448" s="61" t="s">
        <v>775</v>
      </c>
      <c r="G448" s="60" t="s">
        <v>213</v>
      </c>
      <c r="H448" s="63">
        <v>45536</v>
      </c>
      <c r="I448" s="63">
        <f>H448-180</f>
        <v>45356</v>
      </c>
      <c r="J448" s="60">
        <f t="shared" si="44"/>
        <v>2</v>
      </c>
      <c r="K448" s="60">
        <f t="shared" si="40"/>
        <v>0</v>
      </c>
      <c r="L448" s="60"/>
      <c r="M448" s="60"/>
      <c r="N448" s="60"/>
      <c r="O448" s="60">
        <v>1</v>
      </c>
      <c r="P448" s="60"/>
      <c r="Q448" s="60">
        <v>1</v>
      </c>
      <c r="R448" s="60"/>
      <c r="S448" s="60"/>
      <c r="T448" s="60"/>
      <c r="U448" s="60"/>
      <c r="V448" s="60"/>
      <c r="W448" s="60"/>
      <c r="X448" s="60"/>
      <c r="Y448" s="60"/>
      <c r="Z448" s="60"/>
      <c r="AA448" s="60"/>
      <c r="AB448" s="60"/>
      <c r="AC448" s="60"/>
      <c r="AD448" s="60"/>
      <c r="AE448" s="60"/>
      <c r="AF448" s="60"/>
      <c r="AG448" s="60"/>
      <c r="AH448" s="60"/>
      <c r="AI448" s="60"/>
      <c r="AJ448" s="60"/>
      <c r="AK448" s="64">
        <f t="shared" si="41"/>
        <v>513.17000000000007</v>
      </c>
    </row>
    <row r="449" spans="1:37" x14ac:dyDescent="0.25">
      <c r="A449" s="58" t="s">
        <v>783</v>
      </c>
      <c r="B449" s="59" t="str">
        <f t="shared" ca="1" si="45"/>
        <v>VENCIDO</v>
      </c>
      <c r="C449" s="60" t="s">
        <v>869</v>
      </c>
      <c r="D449" s="61" t="s">
        <v>1452</v>
      </c>
      <c r="E449" s="62" t="s">
        <v>1328</v>
      </c>
      <c r="F449" s="61" t="s">
        <v>775</v>
      </c>
      <c r="G449" s="60" t="s">
        <v>213</v>
      </c>
      <c r="H449" s="63">
        <v>45536</v>
      </c>
      <c r="I449" s="63">
        <f>H449-180</f>
        <v>45356</v>
      </c>
      <c r="J449" s="60">
        <f t="shared" si="44"/>
        <v>6</v>
      </c>
      <c r="K449" s="60">
        <f t="shared" si="40"/>
        <v>0</v>
      </c>
      <c r="L449" s="60"/>
      <c r="M449" s="60"/>
      <c r="N449" s="60"/>
      <c r="O449" s="60"/>
      <c r="P449" s="60"/>
      <c r="Q449" s="60">
        <v>2</v>
      </c>
      <c r="R449" s="60"/>
      <c r="S449" s="60"/>
      <c r="T449" s="60">
        <v>2</v>
      </c>
      <c r="U449" s="60"/>
      <c r="V449" s="60"/>
      <c r="W449" s="60"/>
      <c r="X449" s="60"/>
      <c r="Y449" s="60"/>
      <c r="Z449" s="60"/>
      <c r="AA449" s="60">
        <v>2</v>
      </c>
      <c r="AB449" s="60"/>
      <c r="AC449" s="60"/>
      <c r="AD449" s="60"/>
      <c r="AE449" s="60"/>
      <c r="AF449" s="60"/>
      <c r="AG449" s="60"/>
      <c r="AH449" s="60"/>
      <c r="AI449" s="60"/>
      <c r="AJ449" s="60"/>
      <c r="AK449" s="64">
        <f t="shared" si="41"/>
        <v>2161.3200000000002</v>
      </c>
    </row>
    <row r="450" spans="1:37" x14ac:dyDescent="0.25">
      <c r="A450" s="58"/>
      <c r="B450" s="59" t="str">
        <f t="shared" ca="1" si="45"/>
        <v>VENCIDO</v>
      </c>
      <c r="C450" s="60" t="s">
        <v>869</v>
      </c>
      <c r="D450" s="61" t="s">
        <v>1453</v>
      </c>
      <c r="E450" s="62" t="s">
        <v>212</v>
      </c>
      <c r="F450" s="61" t="s">
        <v>775</v>
      </c>
      <c r="G450" s="60" t="s">
        <v>213</v>
      </c>
      <c r="H450" s="63">
        <v>45474</v>
      </c>
      <c r="I450" s="63">
        <f>H450-180</f>
        <v>45294</v>
      </c>
      <c r="J450" s="60">
        <f t="shared" si="44"/>
        <v>2</v>
      </c>
      <c r="K450" s="60">
        <f t="shared" si="40"/>
        <v>0</v>
      </c>
      <c r="L450" s="60"/>
      <c r="M450" s="60"/>
      <c r="N450" s="60"/>
      <c r="O450" s="60"/>
      <c r="P450" s="60"/>
      <c r="Q450" s="60">
        <v>1</v>
      </c>
      <c r="R450" s="60"/>
      <c r="S450" s="60"/>
      <c r="T450" s="60"/>
      <c r="U450" s="60"/>
      <c r="V450" s="60"/>
      <c r="W450" s="60"/>
      <c r="X450" s="60"/>
      <c r="Y450" s="60"/>
      <c r="Z450" s="60"/>
      <c r="AA450" s="60">
        <v>1</v>
      </c>
      <c r="AB450" s="60"/>
      <c r="AC450" s="60"/>
      <c r="AD450" s="60"/>
      <c r="AE450" s="60"/>
      <c r="AF450" s="60"/>
      <c r="AG450" s="60"/>
      <c r="AH450" s="60"/>
      <c r="AI450" s="60"/>
      <c r="AJ450" s="60"/>
      <c r="AK450" s="64">
        <f t="shared" si="41"/>
        <v>513.19000000000005</v>
      </c>
    </row>
    <row r="451" spans="1:37" hidden="1" x14ac:dyDescent="0.25">
      <c r="A451" s="58" t="s">
        <v>770</v>
      </c>
      <c r="B451" s="59" t="str">
        <f t="shared" ca="1" si="45"/>
        <v>VENCIDO</v>
      </c>
      <c r="C451" s="60" t="s">
        <v>869</v>
      </c>
      <c r="D451" s="61" t="s">
        <v>1454</v>
      </c>
      <c r="E451" s="62" t="s">
        <v>1018</v>
      </c>
      <c r="F451" s="61" t="s">
        <v>778</v>
      </c>
      <c r="G451" s="60" t="s">
        <v>213</v>
      </c>
      <c r="H451" s="63">
        <v>45323</v>
      </c>
      <c r="I451" s="63">
        <v>45323</v>
      </c>
      <c r="J451" s="60">
        <f t="shared" si="44"/>
        <v>8</v>
      </c>
      <c r="K451" s="60">
        <f t="shared" ref="K451:K518" si="46">SUM(AF451:AJ451)</f>
        <v>0</v>
      </c>
      <c r="L451" s="60"/>
      <c r="M451" s="60"/>
      <c r="N451" s="60"/>
      <c r="O451" s="60"/>
      <c r="P451" s="60"/>
      <c r="Q451" s="60">
        <v>4</v>
      </c>
      <c r="R451" s="60"/>
      <c r="S451" s="60"/>
      <c r="T451" s="60">
        <v>2</v>
      </c>
      <c r="U451" s="60"/>
      <c r="V451" s="60"/>
      <c r="W451" s="60"/>
      <c r="X451" s="60"/>
      <c r="Y451" s="60"/>
      <c r="Z451" s="60"/>
      <c r="AA451" s="60">
        <v>2</v>
      </c>
      <c r="AB451" s="60"/>
      <c r="AC451" s="60"/>
      <c r="AD451" s="60"/>
      <c r="AE451" s="60"/>
      <c r="AF451" s="60"/>
      <c r="AG451" s="60"/>
      <c r="AH451" s="60"/>
      <c r="AI451" s="60"/>
      <c r="AJ451" s="60"/>
      <c r="AK451" s="64">
        <f t="shared" ref="AK451:AK518" si="47">IF(L451&gt;0,L451*90.44,0)+IF(M451&gt;0,M451*348.12,0)+IF(N451&gt;0,N451*151.63,0)+IF(O451&gt;0,O451*197.82,0)+IF(P451&gt;0,P451*244.09,0)+IF(Q451&gt;0,Q451*315.35,0)+IF(R451&gt;0,R451*1067.3,0)+IF(T451&gt;0,T451*567.47,0)+IF(U451&gt;0,U451*151.63,0)+IF(V451&gt;0,V451*197.84,0)+IF(W451&gt;0,W451*470.51,0)+IF(X451&gt;0,X451*701.69,0)+IF(Z451&gt;0,Z451*151.63,0)+IF(AA451&gt;0,AA451*197.84)+IF(AB451&gt;0,AB451*308.4,0)+IF(AC451&gt;0,AC451*496.16,0)</f>
        <v>2792.02</v>
      </c>
    </row>
    <row r="452" spans="1:37" hidden="1" x14ac:dyDescent="0.25">
      <c r="A452" s="58" t="s">
        <v>783</v>
      </c>
      <c r="B452" s="59" t="str">
        <f t="shared" ca="1" si="45"/>
        <v>VENCIDO</v>
      </c>
      <c r="C452" s="60" t="s">
        <v>869</v>
      </c>
      <c r="D452" s="61" t="s">
        <v>1455</v>
      </c>
      <c r="E452" s="62" t="s">
        <v>1456</v>
      </c>
      <c r="F452" s="61" t="s">
        <v>793</v>
      </c>
      <c r="G452" s="60" t="s">
        <v>213</v>
      </c>
      <c r="H452" s="63">
        <v>45444</v>
      </c>
      <c r="I452" s="63">
        <f>H452-180</f>
        <v>45264</v>
      </c>
      <c r="J452" s="60">
        <f t="shared" si="44"/>
        <v>5</v>
      </c>
      <c r="K452" s="60">
        <f t="shared" si="46"/>
        <v>0</v>
      </c>
      <c r="L452" s="60"/>
      <c r="M452" s="60"/>
      <c r="N452" s="60"/>
      <c r="O452" s="60"/>
      <c r="P452" s="60"/>
      <c r="Q452" s="60">
        <v>3</v>
      </c>
      <c r="R452" s="60"/>
      <c r="S452" s="60"/>
      <c r="T452" s="60">
        <v>1</v>
      </c>
      <c r="U452" s="60"/>
      <c r="V452" s="60"/>
      <c r="W452" s="60"/>
      <c r="X452" s="60"/>
      <c r="Y452" s="60"/>
      <c r="Z452" s="60"/>
      <c r="AA452" s="60">
        <v>1</v>
      </c>
      <c r="AB452" s="60"/>
      <c r="AC452" s="60"/>
      <c r="AD452" s="60"/>
      <c r="AE452" s="60"/>
      <c r="AF452" s="60"/>
      <c r="AG452" s="60"/>
      <c r="AH452" s="60"/>
      <c r="AI452" s="60"/>
      <c r="AJ452" s="60"/>
      <c r="AK452" s="64">
        <f t="shared" si="47"/>
        <v>1711.36</v>
      </c>
    </row>
    <row r="453" spans="1:37" x14ac:dyDescent="0.25">
      <c r="A453" s="58"/>
      <c r="B453" s="59" t="str">
        <f t="shared" ca="1" si="45"/>
        <v>VENCIDO</v>
      </c>
      <c r="C453" s="60" t="s">
        <v>869</v>
      </c>
      <c r="D453" s="61" t="s">
        <v>1457</v>
      </c>
      <c r="E453" s="62" t="s">
        <v>1458</v>
      </c>
      <c r="F453" s="61" t="s">
        <v>775</v>
      </c>
      <c r="G453" s="60" t="s">
        <v>213</v>
      </c>
      <c r="H453" s="63">
        <v>45323</v>
      </c>
      <c r="I453" s="63">
        <v>45323</v>
      </c>
      <c r="J453" s="60">
        <f t="shared" si="44"/>
        <v>2</v>
      </c>
      <c r="K453" s="60">
        <f t="shared" si="46"/>
        <v>0</v>
      </c>
      <c r="L453" s="60"/>
      <c r="M453" s="60"/>
      <c r="N453" s="60"/>
      <c r="O453" s="60"/>
      <c r="P453" s="60"/>
      <c r="Q453" s="60">
        <v>1</v>
      </c>
      <c r="R453" s="60"/>
      <c r="S453" s="60"/>
      <c r="T453" s="60"/>
      <c r="U453" s="60"/>
      <c r="V453" s="60"/>
      <c r="W453" s="60"/>
      <c r="X453" s="60"/>
      <c r="Y453" s="60"/>
      <c r="Z453" s="60"/>
      <c r="AA453" s="60">
        <v>1</v>
      </c>
      <c r="AB453" s="60"/>
      <c r="AC453" s="60"/>
      <c r="AD453" s="60"/>
      <c r="AE453" s="60"/>
      <c r="AF453" s="60"/>
      <c r="AG453" s="60"/>
      <c r="AH453" s="60"/>
      <c r="AI453" s="60"/>
      <c r="AJ453" s="60"/>
      <c r="AK453" s="64">
        <f t="shared" si="47"/>
        <v>513.19000000000005</v>
      </c>
    </row>
    <row r="454" spans="1:37" x14ac:dyDescent="0.25">
      <c r="A454" s="58" t="s">
        <v>770</v>
      </c>
      <c r="B454" s="59" t="str">
        <f t="shared" ca="1" si="45"/>
        <v>VENCIDO</v>
      </c>
      <c r="C454" s="60" t="s">
        <v>869</v>
      </c>
      <c r="D454" s="61" t="s">
        <v>1459</v>
      </c>
      <c r="E454" s="62" t="s">
        <v>1460</v>
      </c>
      <c r="F454" s="61" t="s">
        <v>775</v>
      </c>
      <c r="G454" s="60" t="s">
        <v>213</v>
      </c>
      <c r="H454" s="63">
        <v>45536</v>
      </c>
      <c r="I454" s="63">
        <f>H454-180</f>
        <v>45356</v>
      </c>
      <c r="J454" s="60">
        <f t="shared" si="44"/>
        <v>1</v>
      </c>
      <c r="K454" s="60">
        <f t="shared" si="46"/>
        <v>0</v>
      </c>
      <c r="L454" s="60"/>
      <c r="M454" s="60"/>
      <c r="N454" s="60"/>
      <c r="O454" s="60"/>
      <c r="P454" s="60"/>
      <c r="Q454" s="60"/>
      <c r="R454" s="60"/>
      <c r="S454" s="60"/>
      <c r="T454" s="60"/>
      <c r="U454" s="60"/>
      <c r="V454" s="60"/>
      <c r="W454" s="60"/>
      <c r="X454" s="60"/>
      <c r="Y454" s="60"/>
      <c r="Z454" s="60"/>
      <c r="AA454" s="60">
        <v>1</v>
      </c>
      <c r="AB454" s="60"/>
      <c r="AC454" s="60"/>
      <c r="AD454" s="60"/>
      <c r="AE454" s="60"/>
      <c r="AF454" s="60"/>
      <c r="AG454" s="60"/>
      <c r="AH454" s="60"/>
      <c r="AI454" s="60"/>
      <c r="AJ454" s="60"/>
      <c r="AK454" s="64">
        <f t="shared" si="47"/>
        <v>197.84</v>
      </c>
    </row>
    <row r="455" spans="1:37" hidden="1" x14ac:dyDescent="0.25">
      <c r="A455" s="58" t="s">
        <v>770</v>
      </c>
      <c r="B455" s="59" t="str">
        <f t="shared" ca="1" si="45"/>
        <v>VENCIDO</v>
      </c>
      <c r="C455" s="60" t="s">
        <v>1110</v>
      </c>
      <c r="D455" s="61" t="s">
        <v>1461</v>
      </c>
      <c r="E455" s="62" t="s">
        <v>1176</v>
      </c>
      <c r="F455" s="61" t="s">
        <v>793</v>
      </c>
      <c r="G455" s="60" t="s">
        <v>213</v>
      </c>
      <c r="H455" s="63">
        <v>45323</v>
      </c>
      <c r="I455" s="63">
        <v>45323</v>
      </c>
      <c r="J455" s="60">
        <f t="shared" si="44"/>
        <v>8</v>
      </c>
      <c r="K455" s="60">
        <f t="shared" si="46"/>
        <v>0</v>
      </c>
      <c r="L455" s="60"/>
      <c r="M455" s="60"/>
      <c r="N455" s="60"/>
      <c r="O455" s="60"/>
      <c r="P455" s="60"/>
      <c r="Q455" s="60">
        <v>5</v>
      </c>
      <c r="R455" s="60"/>
      <c r="S455" s="60"/>
      <c r="T455" s="60"/>
      <c r="U455" s="60"/>
      <c r="V455" s="60"/>
      <c r="W455" s="60"/>
      <c r="X455" s="60"/>
      <c r="Y455" s="60"/>
      <c r="Z455" s="60">
        <v>2</v>
      </c>
      <c r="AA455" s="60">
        <v>1</v>
      </c>
      <c r="AB455" s="60"/>
      <c r="AC455" s="60"/>
      <c r="AD455" s="60"/>
      <c r="AE455" s="60"/>
      <c r="AF455" s="60"/>
      <c r="AG455" s="60"/>
      <c r="AH455" s="60"/>
      <c r="AI455" s="60"/>
      <c r="AJ455" s="60"/>
      <c r="AK455" s="64">
        <f t="shared" si="47"/>
        <v>2077.85</v>
      </c>
    </row>
    <row r="456" spans="1:37" x14ac:dyDescent="0.25">
      <c r="A456" s="58" t="s">
        <v>770</v>
      </c>
      <c r="B456" s="59" t="str">
        <f t="shared" ca="1" si="45"/>
        <v>VENCIDO</v>
      </c>
      <c r="C456" s="60" t="s">
        <v>869</v>
      </c>
      <c r="D456" s="61" t="s">
        <v>1462</v>
      </c>
      <c r="E456" s="62" t="s">
        <v>1463</v>
      </c>
      <c r="F456" s="61" t="s">
        <v>775</v>
      </c>
      <c r="G456" s="60" t="s">
        <v>213</v>
      </c>
      <c r="H456" s="63">
        <v>45323</v>
      </c>
      <c r="I456" s="63">
        <v>45323</v>
      </c>
      <c r="J456" s="60">
        <f t="shared" si="44"/>
        <v>8</v>
      </c>
      <c r="K456" s="60">
        <f t="shared" si="46"/>
        <v>0</v>
      </c>
      <c r="L456" s="60"/>
      <c r="M456" s="60"/>
      <c r="N456" s="60"/>
      <c r="O456" s="60"/>
      <c r="P456" s="60">
        <v>2</v>
      </c>
      <c r="Q456" s="60">
        <v>3</v>
      </c>
      <c r="R456" s="60"/>
      <c r="S456" s="60"/>
      <c r="T456" s="60">
        <v>2</v>
      </c>
      <c r="U456" s="60"/>
      <c r="V456" s="60"/>
      <c r="W456" s="60"/>
      <c r="X456" s="60"/>
      <c r="Y456" s="60"/>
      <c r="Z456" s="60"/>
      <c r="AA456" s="60">
        <v>1</v>
      </c>
      <c r="AB456" s="60"/>
      <c r="AC456" s="60"/>
      <c r="AD456" s="60"/>
      <c r="AE456" s="60"/>
      <c r="AF456" s="60"/>
      <c r="AG456" s="60"/>
      <c r="AH456" s="60"/>
      <c r="AI456" s="60"/>
      <c r="AJ456" s="60"/>
      <c r="AK456" s="64">
        <f t="shared" si="47"/>
        <v>2767.01</v>
      </c>
    </row>
    <row r="457" spans="1:37" x14ac:dyDescent="0.25">
      <c r="A457" s="58" t="s">
        <v>783</v>
      </c>
      <c r="B457" s="59" t="str">
        <f t="shared" ca="1" si="45"/>
        <v>VENCIDO</v>
      </c>
      <c r="C457" s="60" t="s">
        <v>869</v>
      </c>
      <c r="D457" s="61" t="s">
        <v>1464</v>
      </c>
      <c r="E457" s="62" t="s">
        <v>1465</v>
      </c>
      <c r="F457" s="61" t="s">
        <v>775</v>
      </c>
      <c r="G457" s="60" t="s">
        <v>213</v>
      </c>
      <c r="H457" s="63">
        <v>45536</v>
      </c>
      <c r="I457" s="63">
        <f>H457-180</f>
        <v>45356</v>
      </c>
      <c r="J457" s="60">
        <f t="shared" si="44"/>
        <v>2</v>
      </c>
      <c r="K457" s="60">
        <f t="shared" si="46"/>
        <v>0</v>
      </c>
      <c r="L457" s="60"/>
      <c r="M457" s="60"/>
      <c r="N457" s="60"/>
      <c r="O457" s="60"/>
      <c r="P457" s="60"/>
      <c r="Q457" s="60">
        <v>1</v>
      </c>
      <c r="R457" s="60"/>
      <c r="S457" s="60"/>
      <c r="T457" s="60"/>
      <c r="U457" s="60"/>
      <c r="V457" s="60"/>
      <c r="W457" s="60"/>
      <c r="X457" s="60"/>
      <c r="Y457" s="60"/>
      <c r="Z457" s="60"/>
      <c r="AA457" s="60">
        <v>1</v>
      </c>
      <c r="AB457" s="60"/>
      <c r="AC457" s="60"/>
      <c r="AD457" s="60"/>
      <c r="AE457" s="60"/>
      <c r="AF457" s="60"/>
      <c r="AG457" s="60"/>
      <c r="AH457" s="60"/>
      <c r="AI457" s="60"/>
      <c r="AJ457" s="60"/>
      <c r="AK457" s="64">
        <f t="shared" si="47"/>
        <v>513.19000000000005</v>
      </c>
    </row>
    <row r="458" spans="1:37" x14ac:dyDescent="0.25">
      <c r="A458" s="58" t="s">
        <v>770</v>
      </c>
      <c r="B458" s="59" t="str">
        <f t="shared" ca="1" si="45"/>
        <v>VENCIDO</v>
      </c>
      <c r="C458" s="60" t="s">
        <v>869</v>
      </c>
      <c r="D458" s="61" t="s">
        <v>1466</v>
      </c>
      <c r="E458" s="62" t="s">
        <v>212</v>
      </c>
      <c r="F458" s="61" t="s">
        <v>775</v>
      </c>
      <c r="G458" s="60" t="s">
        <v>213</v>
      </c>
      <c r="H458" s="63">
        <v>45413</v>
      </c>
      <c r="I458" s="63">
        <v>45413</v>
      </c>
      <c r="J458" s="60">
        <f t="shared" si="44"/>
        <v>18</v>
      </c>
      <c r="K458" s="60">
        <f t="shared" si="46"/>
        <v>0</v>
      </c>
      <c r="L458" s="60"/>
      <c r="M458" s="60"/>
      <c r="N458" s="60"/>
      <c r="O458" s="60">
        <v>3</v>
      </c>
      <c r="P458" s="60"/>
      <c r="Q458" s="60">
        <v>3</v>
      </c>
      <c r="R458" s="60"/>
      <c r="S458" s="60"/>
      <c r="T458" s="60"/>
      <c r="U458" s="60"/>
      <c r="V458" s="60">
        <v>2</v>
      </c>
      <c r="W458" s="60"/>
      <c r="X458" s="60"/>
      <c r="Y458" s="60"/>
      <c r="Z458" s="60"/>
      <c r="AA458" s="60">
        <v>10</v>
      </c>
      <c r="AB458" s="60"/>
      <c r="AC458" s="60"/>
      <c r="AD458" s="60"/>
      <c r="AE458" s="60"/>
      <c r="AF458" s="60"/>
      <c r="AG458" s="60"/>
      <c r="AH458" s="60"/>
      <c r="AI458" s="60"/>
      <c r="AJ458" s="60"/>
      <c r="AK458" s="64">
        <f t="shared" si="47"/>
        <v>3913.59</v>
      </c>
    </row>
    <row r="459" spans="1:37" x14ac:dyDescent="0.25">
      <c r="A459" s="58" t="s">
        <v>938</v>
      </c>
      <c r="B459" s="59" t="str">
        <f t="shared" ca="1" si="45"/>
        <v>VENCIDO</v>
      </c>
      <c r="C459" s="60" t="s">
        <v>869</v>
      </c>
      <c r="D459" s="61" t="s">
        <v>1467</v>
      </c>
      <c r="E459" s="62" t="s">
        <v>1229</v>
      </c>
      <c r="F459" s="61" t="s">
        <v>775</v>
      </c>
      <c r="G459" s="60" t="s">
        <v>213</v>
      </c>
      <c r="H459" s="63">
        <v>45474</v>
      </c>
      <c r="I459" s="63">
        <f>H459-180</f>
        <v>45294</v>
      </c>
      <c r="J459" s="60">
        <f t="shared" si="44"/>
        <v>2</v>
      </c>
      <c r="K459" s="60">
        <f t="shared" si="46"/>
        <v>0</v>
      </c>
      <c r="L459" s="60"/>
      <c r="M459" s="60"/>
      <c r="N459" s="60"/>
      <c r="O459" s="60"/>
      <c r="P459" s="60"/>
      <c r="Q459" s="60">
        <v>1</v>
      </c>
      <c r="R459" s="60"/>
      <c r="S459" s="60"/>
      <c r="T459" s="60"/>
      <c r="U459" s="60"/>
      <c r="V459" s="60"/>
      <c r="W459" s="60"/>
      <c r="X459" s="60"/>
      <c r="Y459" s="60"/>
      <c r="Z459" s="60"/>
      <c r="AA459" s="60">
        <v>1</v>
      </c>
      <c r="AB459" s="60"/>
      <c r="AC459" s="60"/>
      <c r="AD459" s="60"/>
      <c r="AE459" s="60"/>
      <c r="AF459" s="60"/>
      <c r="AG459" s="60"/>
      <c r="AH459" s="60"/>
      <c r="AI459" s="60"/>
      <c r="AJ459" s="60"/>
      <c r="AK459" s="64">
        <f t="shared" si="47"/>
        <v>513.19000000000005</v>
      </c>
    </row>
    <row r="460" spans="1:37" hidden="1" x14ac:dyDescent="0.25">
      <c r="A460" s="58" t="s">
        <v>938</v>
      </c>
      <c r="B460" s="59" t="str">
        <f t="shared" ca="1" si="45"/>
        <v>VENCIDO</v>
      </c>
      <c r="C460" s="60" t="s">
        <v>869</v>
      </c>
      <c r="D460" s="61" t="s">
        <v>1468</v>
      </c>
      <c r="E460" s="62" t="s">
        <v>1176</v>
      </c>
      <c r="F460" s="61" t="s">
        <v>793</v>
      </c>
      <c r="G460" s="60" t="s">
        <v>213</v>
      </c>
      <c r="H460" s="63">
        <v>45323</v>
      </c>
      <c r="I460" s="63">
        <f>H460-180</f>
        <v>45143</v>
      </c>
      <c r="J460" s="60">
        <f t="shared" si="44"/>
        <v>2</v>
      </c>
      <c r="K460" s="60">
        <f t="shared" si="46"/>
        <v>0</v>
      </c>
      <c r="L460" s="60"/>
      <c r="M460" s="60"/>
      <c r="N460" s="60"/>
      <c r="O460" s="60"/>
      <c r="P460" s="60"/>
      <c r="Q460" s="60"/>
      <c r="R460" s="60"/>
      <c r="S460" s="60"/>
      <c r="T460" s="60"/>
      <c r="U460" s="60"/>
      <c r="V460" s="60">
        <v>2</v>
      </c>
      <c r="W460" s="60"/>
      <c r="X460" s="60"/>
      <c r="Y460" s="60"/>
      <c r="Z460" s="60"/>
      <c r="AA460" s="60"/>
      <c r="AB460" s="60"/>
      <c r="AC460" s="60"/>
      <c r="AD460" s="60"/>
      <c r="AE460" s="60"/>
      <c r="AF460" s="60"/>
      <c r="AG460" s="60"/>
      <c r="AH460" s="60"/>
      <c r="AI460" s="60"/>
      <c r="AJ460" s="60"/>
      <c r="AK460" s="64">
        <f t="shared" si="47"/>
        <v>395.68</v>
      </c>
    </row>
    <row r="461" spans="1:37" x14ac:dyDescent="0.25">
      <c r="A461" s="58" t="s">
        <v>770</v>
      </c>
      <c r="B461" s="59" t="str">
        <f t="shared" ca="1" si="45"/>
        <v>VENCIDO</v>
      </c>
      <c r="C461" s="60" t="s">
        <v>869</v>
      </c>
      <c r="D461" s="61" t="s">
        <v>1469</v>
      </c>
      <c r="E461" s="62" t="s">
        <v>1020</v>
      </c>
      <c r="F461" s="61" t="s">
        <v>775</v>
      </c>
      <c r="G461" s="60" t="s">
        <v>213</v>
      </c>
      <c r="H461" s="63">
        <v>45474</v>
      </c>
      <c r="I461" s="63">
        <f>H461-180</f>
        <v>45294</v>
      </c>
      <c r="J461" s="60">
        <f t="shared" si="44"/>
        <v>3</v>
      </c>
      <c r="K461" s="60">
        <f t="shared" si="46"/>
        <v>0</v>
      </c>
      <c r="L461" s="60"/>
      <c r="M461" s="60"/>
      <c r="N461" s="60"/>
      <c r="O461" s="60"/>
      <c r="P461" s="60"/>
      <c r="Q461" s="60">
        <v>2</v>
      </c>
      <c r="R461" s="60"/>
      <c r="S461" s="60"/>
      <c r="T461" s="60">
        <v>1</v>
      </c>
      <c r="U461" s="60"/>
      <c r="V461" s="60"/>
      <c r="W461" s="60"/>
      <c r="X461" s="60"/>
      <c r="Y461" s="60"/>
      <c r="Z461" s="60"/>
      <c r="AA461" s="60"/>
      <c r="AB461" s="60"/>
      <c r="AC461" s="60"/>
      <c r="AD461" s="60"/>
      <c r="AE461" s="60"/>
      <c r="AF461" s="60"/>
      <c r="AG461" s="60"/>
      <c r="AH461" s="60"/>
      <c r="AI461" s="60"/>
      <c r="AJ461" s="60"/>
      <c r="AK461" s="64">
        <f t="shared" si="47"/>
        <v>1198.17</v>
      </c>
    </row>
    <row r="462" spans="1:37" hidden="1" x14ac:dyDescent="0.25">
      <c r="A462" s="58" t="s">
        <v>783</v>
      </c>
      <c r="B462" s="59" t="str">
        <f t="shared" ca="1" si="45"/>
        <v>VENCIDO</v>
      </c>
      <c r="C462" s="60" t="s">
        <v>869</v>
      </c>
      <c r="D462" s="61" t="s">
        <v>1470</v>
      </c>
      <c r="E462" s="62" t="s">
        <v>1471</v>
      </c>
      <c r="F462" s="61" t="s">
        <v>778</v>
      </c>
      <c r="G462" s="60" t="s">
        <v>213</v>
      </c>
      <c r="H462" s="63">
        <v>45323</v>
      </c>
      <c r="I462" s="63">
        <v>45323</v>
      </c>
      <c r="J462" s="60">
        <f t="shared" si="44"/>
        <v>2</v>
      </c>
      <c r="K462" s="60">
        <f t="shared" si="46"/>
        <v>0</v>
      </c>
      <c r="L462" s="60"/>
      <c r="M462" s="60"/>
      <c r="N462" s="60"/>
      <c r="O462" s="60"/>
      <c r="P462" s="60"/>
      <c r="Q462" s="60">
        <v>1</v>
      </c>
      <c r="R462" s="60"/>
      <c r="S462" s="60"/>
      <c r="T462" s="60"/>
      <c r="U462" s="60"/>
      <c r="V462" s="60"/>
      <c r="W462" s="60"/>
      <c r="X462" s="60"/>
      <c r="Y462" s="60"/>
      <c r="Z462" s="60"/>
      <c r="AA462" s="60">
        <v>1</v>
      </c>
      <c r="AB462" s="60"/>
      <c r="AC462" s="60"/>
      <c r="AD462" s="60"/>
      <c r="AE462" s="60"/>
      <c r="AF462" s="60"/>
      <c r="AG462" s="60"/>
      <c r="AH462" s="60"/>
      <c r="AI462" s="60"/>
      <c r="AJ462" s="60"/>
      <c r="AK462" s="64">
        <f t="shared" si="47"/>
        <v>513.19000000000005</v>
      </c>
    </row>
    <row r="463" spans="1:37" hidden="1" x14ac:dyDescent="0.25">
      <c r="A463" s="58" t="s">
        <v>770</v>
      </c>
      <c r="B463" s="59" t="str">
        <f t="shared" ca="1" si="45"/>
        <v>VENCIDO</v>
      </c>
      <c r="C463" s="60" t="s">
        <v>869</v>
      </c>
      <c r="D463" s="66" t="s">
        <v>1472</v>
      </c>
      <c r="E463" s="62" t="s">
        <v>1026</v>
      </c>
      <c r="F463" s="61" t="s">
        <v>793</v>
      </c>
      <c r="G463" s="60" t="s">
        <v>213</v>
      </c>
      <c r="H463" s="63">
        <v>45505</v>
      </c>
      <c r="I463" s="63">
        <f>H463-180</f>
        <v>45325</v>
      </c>
      <c r="J463" s="60">
        <f t="shared" si="44"/>
        <v>2</v>
      </c>
      <c r="K463" s="60">
        <f t="shared" si="46"/>
        <v>0</v>
      </c>
      <c r="L463" s="60"/>
      <c r="M463" s="60"/>
      <c r="N463" s="60"/>
      <c r="O463" s="60"/>
      <c r="P463" s="60"/>
      <c r="Q463" s="60">
        <v>2</v>
      </c>
      <c r="R463" s="60"/>
      <c r="S463" s="60"/>
      <c r="T463" s="60"/>
      <c r="U463" s="60"/>
      <c r="V463" s="60"/>
      <c r="W463" s="60"/>
      <c r="X463" s="60"/>
      <c r="Y463" s="60"/>
      <c r="Z463" s="60"/>
      <c r="AA463" s="60"/>
      <c r="AB463" s="60"/>
      <c r="AC463" s="60"/>
      <c r="AD463" s="60"/>
      <c r="AE463" s="60"/>
      <c r="AF463" s="60"/>
      <c r="AG463" s="60"/>
      <c r="AH463" s="60"/>
      <c r="AI463" s="60"/>
      <c r="AJ463" s="60"/>
      <c r="AK463" s="64">
        <f t="shared" si="47"/>
        <v>630.70000000000005</v>
      </c>
    </row>
    <row r="464" spans="1:37" hidden="1" x14ac:dyDescent="0.25">
      <c r="A464" s="58"/>
      <c r="B464" s="59" t="str">
        <f t="shared" ca="1" si="45"/>
        <v>VENCIDO</v>
      </c>
      <c r="C464" s="60" t="s">
        <v>790</v>
      </c>
      <c r="D464" s="61" t="s">
        <v>1473</v>
      </c>
      <c r="E464" s="62" t="s">
        <v>1474</v>
      </c>
      <c r="F464" s="61" t="s">
        <v>793</v>
      </c>
      <c r="G464" s="60" t="s">
        <v>213</v>
      </c>
      <c r="H464" s="63">
        <v>45566</v>
      </c>
      <c r="I464" s="63">
        <f>H464-180</f>
        <v>45386</v>
      </c>
      <c r="J464" s="60">
        <f t="shared" si="44"/>
        <v>1</v>
      </c>
      <c r="K464" s="60">
        <f t="shared" si="46"/>
        <v>0</v>
      </c>
      <c r="L464" s="60"/>
      <c r="M464" s="60"/>
      <c r="N464" s="60"/>
      <c r="O464" s="60">
        <v>1</v>
      </c>
      <c r="P464" s="60"/>
      <c r="Q464" s="60"/>
      <c r="R464" s="60"/>
      <c r="S464" s="60"/>
      <c r="T464" s="60"/>
      <c r="U464" s="60"/>
      <c r="V464" s="60"/>
      <c r="W464" s="60"/>
      <c r="X464" s="60"/>
      <c r="Y464" s="60"/>
      <c r="Z464" s="60"/>
      <c r="AA464" s="60"/>
      <c r="AB464" s="60"/>
      <c r="AC464" s="60"/>
      <c r="AD464" s="60"/>
      <c r="AE464" s="60"/>
      <c r="AF464" s="60"/>
      <c r="AG464" s="60"/>
      <c r="AH464" s="60"/>
      <c r="AI464" s="60"/>
      <c r="AJ464" s="60"/>
      <c r="AK464" s="64">
        <f t="shared" si="47"/>
        <v>197.82</v>
      </c>
    </row>
    <row r="465" spans="1:37" x14ac:dyDescent="0.25">
      <c r="A465" s="58" t="s">
        <v>770</v>
      </c>
      <c r="B465" s="59" t="str">
        <f t="shared" ca="1" si="45"/>
        <v>VENCIDO</v>
      </c>
      <c r="C465" s="60" t="s">
        <v>869</v>
      </c>
      <c r="D465" s="61" t="s">
        <v>1475</v>
      </c>
      <c r="E465" s="62" t="s">
        <v>1030</v>
      </c>
      <c r="F465" s="61" t="s">
        <v>775</v>
      </c>
      <c r="G465" s="60" t="s">
        <v>213</v>
      </c>
      <c r="H465" s="63">
        <v>45505</v>
      </c>
      <c r="I465" s="63">
        <f>H465-180</f>
        <v>45325</v>
      </c>
      <c r="J465" s="60">
        <f t="shared" si="44"/>
        <v>2</v>
      </c>
      <c r="K465" s="60">
        <f t="shared" si="46"/>
        <v>0</v>
      </c>
      <c r="L465" s="60"/>
      <c r="M465" s="60"/>
      <c r="N465" s="60"/>
      <c r="O465" s="60"/>
      <c r="P465" s="60"/>
      <c r="Q465" s="60">
        <v>1</v>
      </c>
      <c r="R465" s="60"/>
      <c r="S465" s="60"/>
      <c r="T465" s="60"/>
      <c r="U465" s="60"/>
      <c r="V465" s="60"/>
      <c r="W465" s="60"/>
      <c r="X465" s="60"/>
      <c r="Y465" s="60"/>
      <c r="Z465" s="60"/>
      <c r="AA465" s="60">
        <v>1</v>
      </c>
      <c r="AB465" s="60"/>
      <c r="AC465" s="60"/>
      <c r="AD465" s="60"/>
      <c r="AE465" s="60"/>
      <c r="AF465" s="60"/>
      <c r="AG465" s="60"/>
      <c r="AH465" s="60"/>
      <c r="AI465" s="60"/>
      <c r="AJ465" s="60"/>
      <c r="AK465" s="64">
        <f t="shared" si="47"/>
        <v>513.19000000000005</v>
      </c>
    </row>
    <row r="466" spans="1:37" hidden="1" x14ac:dyDescent="0.25">
      <c r="A466" s="58" t="s">
        <v>783</v>
      </c>
      <c r="B466" s="59" t="str">
        <f t="shared" ca="1" si="45"/>
        <v>VENCIDO</v>
      </c>
      <c r="C466" s="60" t="s">
        <v>869</v>
      </c>
      <c r="D466" s="61" t="s">
        <v>1476</v>
      </c>
      <c r="E466" s="62" t="s">
        <v>778</v>
      </c>
      <c r="F466" s="61" t="s">
        <v>778</v>
      </c>
      <c r="G466" s="60" t="s">
        <v>213</v>
      </c>
      <c r="H466" s="63">
        <v>45474</v>
      </c>
      <c r="I466" s="63">
        <f>H466-180</f>
        <v>45294</v>
      </c>
      <c r="J466" s="60">
        <f t="shared" si="44"/>
        <v>2</v>
      </c>
      <c r="K466" s="60">
        <f t="shared" si="46"/>
        <v>0</v>
      </c>
      <c r="L466" s="60"/>
      <c r="M466" s="60"/>
      <c r="N466" s="60"/>
      <c r="O466" s="60"/>
      <c r="P466" s="60"/>
      <c r="Q466" s="60">
        <v>1</v>
      </c>
      <c r="R466" s="60"/>
      <c r="S466" s="60"/>
      <c r="T466" s="60"/>
      <c r="U466" s="60"/>
      <c r="V466" s="60"/>
      <c r="W466" s="60"/>
      <c r="X466" s="60"/>
      <c r="Y466" s="60"/>
      <c r="Z466" s="60"/>
      <c r="AA466" s="60">
        <v>1</v>
      </c>
      <c r="AB466" s="60"/>
      <c r="AC466" s="60"/>
      <c r="AD466" s="60"/>
      <c r="AE466" s="60"/>
      <c r="AF466" s="60"/>
      <c r="AG466" s="60"/>
      <c r="AH466" s="60"/>
      <c r="AI466" s="60"/>
      <c r="AJ466" s="60"/>
      <c r="AK466" s="64">
        <f t="shared" si="47"/>
        <v>513.19000000000005</v>
      </c>
    </row>
    <row r="467" spans="1:37" x14ac:dyDescent="0.25">
      <c r="A467" s="58" t="s">
        <v>770</v>
      </c>
      <c r="B467" s="59" t="str">
        <f t="shared" ca="1" si="45"/>
        <v>VENCIDO</v>
      </c>
      <c r="C467" s="60" t="s">
        <v>869</v>
      </c>
      <c r="D467" s="61" t="s">
        <v>1477</v>
      </c>
      <c r="E467" s="62" t="s">
        <v>1478</v>
      </c>
      <c r="F467" s="61" t="s">
        <v>775</v>
      </c>
      <c r="G467" s="60" t="s">
        <v>213</v>
      </c>
      <c r="H467" s="63">
        <v>45413</v>
      </c>
      <c r="I467" s="63">
        <v>45413</v>
      </c>
      <c r="J467" s="60">
        <f t="shared" si="44"/>
        <v>5</v>
      </c>
      <c r="K467" s="60">
        <f t="shared" si="46"/>
        <v>0</v>
      </c>
      <c r="L467" s="60"/>
      <c r="M467" s="60"/>
      <c r="N467" s="60"/>
      <c r="O467" s="60"/>
      <c r="P467" s="60"/>
      <c r="Q467" s="60">
        <v>2</v>
      </c>
      <c r="R467" s="60"/>
      <c r="S467" s="60"/>
      <c r="T467" s="60">
        <v>1</v>
      </c>
      <c r="U467" s="60"/>
      <c r="V467" s="60"/>
      <c r="W467" s="60"/>
      <c r="X467" s="60"/>
      <c r="Y467" s="60"/>
      <c r="Z467" s="60"/>
      <c r="AA467" s="60">
        <v>2</v>
      </c>
      <c r="AB467" s="60"/>
      <c r="AC467" s="60"/>
      <c r="AD467" s="60"/>
      <c r="AE467" s="60"/>
      <c r="AF467" s="60"/>
      <c r="AG467" s="60"/>
      <c r="AH467" s="60"/>
      <c r="AI467" s="60"/>
      <c r="AJ467" s="60"/>
      <c r="AK467" s="64">
        <f t="shared" si="47"/>
        <v>1593.8500000000001</v>
      </c>
    </row>
    <row r="468" spans="1:37" x14ac:dyDescent="0.25">
      <c r="A468" s="58" t="s">
        <v>770</v>
      </c>
      <c r="B468" s="59" t="str">
        <f t="shared" ca="1" si="45"/>
        <v>VENCIDO</v>
      </c>
      <c r="C468" s="60" t="s">
        <v>869</v>
      </c>
      <c r="D468" s="61" t="s">
        <v>1479</v>
      </c>
      <c r="E468" s="62" t="s">
        <v>1032</v>
      </c>
      <c r="F468" s="61" t="s">
        <v>775</v>
      </c>
      <c r="G468" s="60" t="s">
        <v>213</v>
      </c>
      <c r="H468" s="63">
        <v>45323</v>
      </c>
      <c r="I468" s="63">
        <v>45323</v>
      </c>
      <c r="J468" s="60">
        <f t="shared" si="44"/>
        <v>12</v>
      </c>
      <c r="K468" s="60">
        <f t="shared" si="46"/>
        <v>0</v>
      </c>
      <c r="L468" s="60"/>
      <c r="M468" s="60"/>
      <c r="N468" s="60"/>
      <c r="O468" s="60">
        <v>2</v>
      </c>
      <c r="P468" s="60"/>
      <c r="Q468" s="60">
        <v>6</v>
      </c>
      <c r="R468" s="60"/>
      <c r="S468" s="60"/>
      <c r="T468" s="60">
        <v>2</v>
      </c>
      <c r="U468" s="60"/>
      <c r="V468" s="60"/>
      <c r="W468" s="60"/>
      <c r="X468" s="60"/>
      <c r="Y468" s="60"/>
      <c r="Z468" s="60"/>
      <c r="AA468" s="60">
        <v>2</v>
      </c>
      <c r="AB468" s="60"/>
      <c r="AC468" s="60"/>
      <c r="AD468" s="60"/>
      <c r="AE468" s="60"/>
      <c r="AF468" s="60"/>
      <c r="AG468" s="60"/>
      <c r="AH468" s="60"/>
      <c r="AI468" s="60"/>
      <c r="AJ468" s="60"/>
      <c r="AK468" s="64">
        <f t="shared" si="47"/>
        <v>3818.36</v>
      </c>
    </row>
    <row r="469" spans="1:37" hidden="1" x14ac:dyDescent="0.25">
      <c r="A469" s="58" t="s">
        <v>783</v>
      </c>
      <c r="B469" s="59" t="str">
        <f t="shared" ca="1" si="45"/>
        <v>VENCIDO</v>
      </c>
      <c r="C469" s="60" t="s">
        <v>869</v>
      </c>
      <c r="D469" s="61" t="s">
        <v>1480</v>
      </c>
      <c r="E469" s="62" t="s">
        <v>782</v>
      </c>
      <c r="F469" s="61" t="s">
        <v>778</v>
      </c>
      <c r="G469" s="60" t="s">
        <v>213</v>
      </c>
      <c r="H469" s="63">
        <v>45536</v>
      </c>
      <c r="I469" s="63">
        <f>H469-180</f>
        <v>45356</v>
      </c>
      <c r="J469" s="60">
        <f t="shared" si="44"/>
        <v>4</v>
      </c>
      <c r="K469" s="60">
        <f t="shared" si="46"/>
        <v>0</v>
      </c>
      <c r="L469" s="60"/>
      <c r="M469" s="60"/>
      <c r="N469" s="60"/>
      <c r="O469" s="60"/>
      <c r="P469" s="60"/>
      <c r="Q469" s="60">
        <v>2</v>
      </c>
      <c r="R469" s="60"/>
      <c r="S469" s="60"/>
      <c r="T469" s="60"/>
      <c r="U469" s="60"/>
      <c r="V469" s="60"/>
      <c r="W469" s="60"/>
      <c r="X469" s="60"/>
      <c r="Y469" s="60"/>
      <c r="Z469" s="60"/>
      <c r="AA469" s="60">
        <v>2</v>
      </c>
      <c r="AB469" s="60"/>
      <c r="AC469" s="60"/>
      <c r="AD469" s="60"/>
      <c r="AE469" s="60"/>
      <c r="AF469" s="60"/>
      <c r="AG469" s="60"/>
      <c r="AH469" s="60"/>
      <c r="AI469" s="60"/>
      <c r="AJ469" s="60"/>
      <c r="AK469" s="64">
        <f t="shared" si="47"/>
        <v>1026.3800000000001</v>
      </c>
    </row>
    <row r="470" spans="1:37" x14ac:dyDescent="0.25">
      <c r="A470" s="58" t="s">
        <v>783</v>
      </c>
      <c r="B470" s="59" t="str">
        <f t="shared" ca="1" si="45"/>
        <v>VENCIDO</v>
      </c>
      <c r="C470" s="60" t="s">
        <v>869</v>
      </c>
      <c r="D470" s="61" t="s">
        <v>1481</v>
      </c>
      <c r="E470" s="62" t="s">
        <v>223</v>
      </c>
      <c r="F470" s="61" t="s">
        <v>775</v>
      </c>
      <c r="G470" s="60" t="s">
        <v>213</v>
      </c>
      <c r="H470" s="63">
        <v>45474</v>
      </c>
      <c r="I470" s="63">
        <f>H470-180</f>
        <v>45294</v>
      </c>
      <c r="J470" s="60">
        <f t="shared" si="44"/>
        <v>2</v>
      </c>
      <c r="K470" s="60">
        <f t="shared" si="46"/>
        <v>0</v>
      </c>
      <c r="L470" s="60"/>
      <c r="M470" s="60"/>
      <c r="N470" s="60"/>
      <c r="O470" s="60"/>
      <c r="P470" s="60"/>
      <c r="Q470" s="60"/>
      <c r="R470" s="60"/>
      <c r="S470" s="60"/>
      <c r="T470" s="60"/>
      <c r="U470" s="60"/>
      <c r="V470" s="60"/>
      <c r="W470" s="60"/>
      <c r="X470" s="60"/>
      <c r="Y470" s="60"/>
      <c r="Z470" s="60"/>
      <c r="AA470" s="60">
        <v>2</v>
      </c>
      <c r="AB470" s="60"/>
      <c r="AC470" s="60"/>
      <c r="AD470" s="60"/>
      <c r="AE470" s="60"/>
      <c r="AF470" s="60"/>
      <c r="AG470" s="60"/>
      <c r="AH470" s="60"/>
      <c r="AI470" s="60"/>
      <c r="AJ470" s="60"/>
      <c r="AK470" s="64">
        <f t="shared" si="47"/>
        <v>395.68</v>
      </c>
    </row>
    <row r="471" spans="1:37" x14ac:dyDescent="0.25">
      <c r="A471" s="58" t="s">
        <v>770</v>
      </c>
      <c r="B471" s="59" t="str">
        <f t="shared" ca="1" si="45"/>
        <v>VENCIDO</v>
      </c>
      <c r="C471" s="60" t="s">
        <v>869</v>
      </c>
      <c r="D471" s="61" t="s">
        <v>1482</v>
      </c>
      <c r="E471" s="62" t="s">
        <v>1219</v>
      </c>
      <c r="F471" s="61" t="s">
        <v>775</v>
      </c>
      <c r="G471" s="60" t="s">
        <v>213</v>
      </c>
      <c r="H471" s="63">
        <v>45413</v>
      </c>
      <c r="I471" s="63">
        <v>45413</v>
      </c>
      <c r="J471" s="60">
        <f t="shared" si="44"/>
        <v>9</v>
      </c>
      <c r="K471" s="60">
        <f t="shared" si="46"/>
        <v>0</v>
      </c>
      <c r="L471" s="60"/>
      <c r="M471" s="60"/>
      <c r="N471" s="60"/>
      <c r="O471" s="60"/>
      <c r="P471" s="60"/>
      <c r="Q471" s="60">
        <v>2</v>
      </c>
      <c r="R471" s="60"/>
      <c r="S471" s="60"/>
      <c r="T471" s="60">
        <v>1</v>
      </c>
      <c r="U471" s="60"/>
      <c r="V471" s="60"/>
      <c r="W471" s="60"/>
      <c r="X471" s="60"/>
      <c r="Y471" s="60"/>
      <c r="Z471" s="60"/>
      <c r="AA471" s="60">
        <v>6</v>
      </c>
      <c r="AB471" s="60"/>
      <c r="AC471" s="60"/>
      <c r="AD471" s="60"/>
      <c r="AE471" s="60"/>
      <c r="AF471" s="60"/>
      <c r="AG471" s="60"/>
      <c r="AH471" s="60"/>
      <c r="AI471" s="60"/>
      <c r="AJ471" s="60"/>
      <c r="AK471" s="64">
        <f t="shared" si="47"/>
        <v>2385.21</v>
      </c>
    </row>
    <row r="472" spans="1:37" hidden="1" x14ac:dyDescent="0.25">
      <c r="A472" s="58" t="s">
        <v>770</v>
      </c>
      <c r="B472" s="59" t="str">
        <f t="shared" ca="1" si="45"/>
        <v>VENCIDO</v>
      </c>
      <c r="C472" s="60" t="s">
        <v>869</v>
      </c>
      <c r="D472" s="66" t="s">
        <v>1483</v>
      </c>
      <c r="E472" s="62" t="s">
        <v>1484</v>
      </c>
      <c r="F472" s="61" t="s">
        <v>793</v>
      </c>
      <c r="G472" s="60" t="s">
        <v>213</v>
      </c>
      <c r="H472" s="63">
        <v>45474</v>
      </c>
      <c r="I472" s="63">
        <f>H472-180</f>
        <v>45294</v>
      </c>
      <c r="J472" s="60">
        <f t="shared" si="44"/>
        <v>3</v>
      </c>
      <c r="K472" s="60">
        <f t="shared" si="46"/>
        <v>0</v>
      </c>
      <c r="L472" s="60"/>
      <c r="M472" s="60"/>
      <c r="N472" s="60"/>
      <c r="O472" s="60">
        <v>1</v>
      </c>
      <c r="P472" s="60"/>
      <c r="Q472" s="60">
        <v>2</v>
      </c>
      <c r="R472" s="60"/>
      <c r="S472" s="60"/>
      <c r="T472" s="60"/>
      <c r="U472" s="60"/>
      <c r="V472" s="60"/>
      <c r="W472" s="60"/>
      <c r="X472" s="60"/>
      <c r="Y472" s="60"/>
      <c r="Z472" s="60"/>
      <c r="AA472" s="60"/>
      <c r="AB472" s="60"/>
      <c r="AC472" s="60"/>
      <c r="AD472" s="60"/>
      <c r="AE472" s="60"/>
      <c r="AF472" s="60"/>
      <c r="AG472" s="60"/>
      <c r="AH472" s="60"/>
      <c r="AI472" s="60"/>
      <c r="AJ472" s="60"/>
      <c r="AK472" s="64">
        <f t="shared" si="47"/>
        <v>828.52</v>
      </c>
    </row>
    <row r="473" spans="1:37" hidden="1" x14ac:dyDescent="0.25">
      <c r="A473" s="58" t="s">
        <v>770</v>
      </c>
      <c r="B473" s="59" t="str">
        <f t="shared" ca="1" si="45"/>
        <v>VENCIDO</v>
      </c>
      <c r="C473" s="60" t="s">
        <v>869</v>
      </c>
      <c r="D473" s="66" t="s">
        <v>1485</v>
      </c>
      <c r="E473" s="62" t="s">
        <v>793</v>
      </c>
      <c r="F473" s="61" t="s">
        <v>793</v>
      </c>
      <c r="G473" s="60" t="s">
        <v>213</v>
      </c>
      <c r="H473" s="63">
        <v>45536</v>
      </c>
      <c r="I473" s="63">
        <f>H473-180</f>
        <v>45356</v>
      </c>
      <c r="J473" s="60">
        <f t="shared" si="44"/>
        <v>10</v>
      </c>
      <c r="K473" s="60">
        <f t="shared" si="46"/>
        <v>0</v>
      </c>
      <c r="L473" s="60"/>
      <c r="M473" s="60"/>
      <c r="N473" s="60"/>
      <c r="O473" s="60"/>
      <c r="P473" s="60"/>
      <c r="Q473" s="60">
        <v>7</v>
      </c>
      <c r="R473" s="60"/>
      <c r="S473" s="60"/>
      <c r="T473" s="60">
        <v>3</v>
      </c>
      <c r="U473" s="60"/>
      <c r="V473" s="60"/>
      <c r="W473" s="60"/>
      <c r="X473" s="60"/>
      <c r="Y473" s="60"/>
      <c r="Z473" s="60"/>
      <c r="AA473" s="60"/>
      <c r="AB473" s="60"/>
      <c r="AC473" s="60"/>
      <c r="AD473" s="60"/>
      <c r="AE473" s="60"/>
      <c r="AF473" s="60"/>
      <c r="AG473" s="60"/>
      <c r="AH473" s="60"/>
      <c r="AI473" s="60"/>
      <c r="AJ473" s="60"/>
      <c r="AK473" s="64">
        <f t="shared" si="47"/>
        <v>3909.8600000000006</v>
      </c>
    </row>
    <row r="474" spans="1:37" x14ac:dyDescent="0.25">
      <c r="A474" s="58" t="s">
        <v>770</v>
      </c>
      <c r="B474" s="59" t="str">
        <f t="shared" ca="1" si="45"/>
        <v>VENCIDO</v>
      </c>
      <c r="C474" s="60" t="s">
        <v>1110</v>
      </c>
      <c r="D474" s="61" t="s">
        <v>1486</v>
      </c>
      <c r="E474" s="62" t="s">
        <v>774</v>
      </c>
      <c r="F474" s="61" t="s">
        <v>775</v>
      </c>
      <c r="G474" s="60" t="s">
        <v>213</v>
      </c>
      <c r="H474" s="63">
        <v>45474</v>
      </c>
      <c r="I474" s="63">
        <f>H474-180</f>
        <v>45294</v>
      </c>
      <c r="J474" s="60">
        <f t="shared" si="44"/>
        <v>14</v>
      </c>
      <c r="K474" s="60">
        <f t="shared" si="46"/>
        <v>8</v>
      </c>
      <c r="L474" s="60"/>
      <c r="M474" s="60"/>
      <c r="N474" s="60"/>
      <c r="O474" s="60"/>
      <c r="P474" s="60"/>
      <c r="Q474" s="60"/>
      <c r="R474" s="60"/>
      <c r="S474" s="60"/>
      <c r="T474" s="60"/>
      <c r="U474" s="60"/>
      <c r="V474" s="60">
        <v>8</v>
      </c>
      <c r="W474" s="60"/>
      <c r="X474" s="60"/>
      <c r="Y474" s="60">
        <v>1</v>
      </c>
      <c r="Z474" s="60"/>
      <c r="AA474" s="60">
        <v>5</v>
      </c>
      <c r="AB474" s="60"/>
      <c r="AC474" s="60"/>
      <c r="AD474" s="60"/>
      <c r="AE474" s="60"/>
      <c r="AF474" s="60">
        <v>8</v>
      </c>
      <c r="AG474" s="60"/>
      <c r="AH474" s="60"/>
      <c r="AI474" s="60"/>
      <c r="AJ474" s="60"/>
      <c r="AK474" s="64">
        <f t="shared" si="47"/>
        <v>2571.92</v>
      </c>
    </row>
    <row r="475" spans="1:37" hidden="1" x14ac:dyDescent="0.25">
      <c r="A475" s="58" t="s">
        <v>783</v>
      </c>
      <c r="B475" s="59" t="str">
        <f t="shared" ca="1" si="45"/>
        <v>VENCIDO</v>
      </c>
      <c r="C475" s="60" t="s">
        <v>1110</v>
      </c>
      <c r="D475" s="61" t="s">
        <v>1487</v>
      </c>
      <c r="E475" s="62" t="s">
        <v>777</v>
      </c>
      <c r="F475" s="61" t="s">
        <v>778</v>
      </c>
      <c r="G475" s="60" t="s">
        <v>213</v>
      </c>
      <c r="H475" s="63">
        <v>45566</v>
      </c>
      <c r="I475" s="63">
        <v>45566</v>
      </c>
      <c r="J475" s="60">
        <f t="shared" si="44"/>
        <v>19</v>
      </c>
      <c r="K475" s="60">
        <f t="shared" si="46"/>
        <v>0</v>
      </c>
      <c r="L475" s="60">
        <v>2</v>
      </c>
      <c r="M475" s="60"/>
      <c r="N475" s="60"/>
      <c r="O475" s="60">
        <v>4</v>
      </c>
      <c r="P475" s="60">
        <v>1</v>
      </c>
      <c r="Q475" s="60">
        <v>5</v>
      </c>
      <c r="R475" s="60"/>
      <c r="S475" s="60"/>
      <c r="T475" s="60"/>
      <c r="U475" s="60"/>
      <c r="V475" s="60">
        <v>1</v>
      </c>
      <c r="W475" s="60"/>
      <c r="X475" s="60"/>
      <c r="Y475" s="60"/>
      <c r="Z475" s="60"/>
      <c r="AA475" s="60">
        <v>5</v>
      </c>
      <c r="AB475" s="60">
        <v>1</v>
      </c>
      <c r="AC475" s="60"/>
      <c r="AD475" s="60"/>
      <c r="AE475" s="60"/>
      <c r="AF475" s="60"/>
      <c r="AG475" s="60"/>
      <c r="AH475" s="60"/>
      <c r="AI475" s="60"/>
      <c r="AJ475" s="60"/>
      <c r="AK475" s="64">
        <f t="shared" si="47"/>
        <v>4288.4399999999996</v>
      </c>
    </row>
    <row r="476" spans="1:37" hidden="1" x14ac:dyDescent="0.25">
      <c r="A476" s="58" t="s">
        <v>849</v>
      </c>
      <c r="B476" s="59" t="str">
        <f t="shared" ca="1" si="45"/>
        <v>VENCIDO</v>
      </c>
      <c r="C476" s="60" t="s">
        <v>1110</v>
      </c>
      <c r="D476" s="61" t="s">
        <v>1488</v>
      </c>
      <c r="E476" s="62" t="s">
        <v>1489</v>
      </c>
      <c r="F476" s="61" t="s">
        <v>778</v>
      </c>
      <c r="G476" s="60" t="s">
        <v>213</v>
      </c>
      <c r="H476" s="63">
        <v>45323</v>
      </c>
      <c r="I476" s="63">
        <v>45323</v>
      </c>
      <c r="J476" s="60">
        <f t="shared" si="44"/>
        <v>11</v>
      </c>
      <c r="K476" s="60">
        <f t="shared" si="46"/>
        <v>8</v>
      </c>
      <c r="L476" s="60">
        <v>2</v>
      </c>
      <c r="M476" s="60"/>
      <c r="N476" s="60"/>
      <c r="O476" s="60"/>
      <c r="P476" s="60"/>
      <c r="Q476" s="60">
        <v>1</v>
      </c>
      <c r="R476" s="60"/>
      <c r="S476" s="60"/>
      <c r="T476" s="60"/>
      <c r="U476" s="60"/>
      <c r="V476" s="60">
        <v>7</v>
      </c>
      <c r="W476" s="60"/>
      <c r="X476" s="60"/>
      <c r="Y476" s="60"/>
      <c r="Z476" s="60"/>
      <c r="AA476" s="60">
        <v>1</v>
      </c>
      <c r="AB476" s="60"/>
      <c r="AC476" s="60"/>
      <c r="AD476" s="60"/>
      <c r="AE476" s="60"/>
      <c r="AF476" s="60">
        <v>8</v>
      </c>
      <c r="AG476" s="60"/>
      <c r="AH476" s="60"/>
      <c r="AI476" s="60"/>
      <c r="AJ476" s="60"/>
      <c r="AK476" s="64">
        <f t="shared" si="47"/>
        <v>2078.9500000000003</v>
      </c>
    </row>
    <row r="477" spans="1:37" hidden="1" x14ac:dyDescent="0.25">
      <c r="A477" s="58" t="s">
        <v>938</v>
      </c>
      <c r="B477" s="59" t="str">
        <f t="shared" ca="1" si="45"/>
        <v>VENCIDO</v>
      </c>
      <c r="C477" s="60" t="s">
        <v>1110</v>
      </c>
      <c r="D477" s="61" t="s">
        <v>1490</v>
      </c>
      <c r="E477" s="62" t="s">
        <v>782</v>
      </c>
      <c r="F477" s="61" t="s">
        <v>778</v>
      </c>
      <c r="G477" s="60" t="s">
        <v>213</v>
      </c>
      <c r="H477" s="63">
        <v>45383</v>
      </c>
      <c r="I477" s="63">
        <v>45383</v>
      </c>
      <c r="J477" s="60">
        <f t="shared" si="44"/>
        <v>7</v>
      </c>
      <c r="K477" s="60">
        <f t="shared" si="46"/>
        <v>0</v>
      </c>
      <c r="L477" s="60">
        <v>1</v>
      </c>
      <c r="M477" s="60"/>
      <c r="N477" s="60"/>
      <c r="O477" s="60"/>
      <c r="P477" s="60"/>
      <c r="Q477" s="60">
        <v>4</v>
      </c>
      <c r="R477" s="60"/>
      <c r="S477" s="60"/>
      <c r="T477" s="60"/>
      <c r="U477" s="60"/>
      <c r="V477" s="60"/>
      <c r="W477" s="60"/>
      <c r="X477" s="60"/>
      <c r="Y477" s="60"/>
      <c r="Z477" s="60"/>
      <c r="AA477" s="60">
        <v>2</v>
      </c>
      <c r="AB477" s="60"/>
      <c r="AC477" s="60"/>
      <c r="AD477" s="60"/>
      <c r="AE477" s="60"/>
      <c r="AF477" s="60"/>
      <c r="AG477" s="60"/>
      <c r="AH477" s="60"/>
      <c r="AI477" s="60"/>
      <c r="AJ477" s="60"/>
      <c r="AK477" s="64">
        <f t="shared" si="47"/>
        <v>1747.5200000000002</v>
      </c>
    </row>
    <row r="478" spans="1:37" x14ac:dyDescent="0.25">
      <c r="A478" s="58" t="s">
        <v>770</v>
      </c>
      <c r="B478" s="59" t="str">
        <f t="shared" ca="1" si="45"/>
        <v>VENCIDO</v>
      </c>
      <c r="C478" s="60" t="s">
        <v>1110</v>
      </c>
      <c r="D478" s="61" t="s">
        <v>1491</v>
      </c>
      <c r="E478" s="62" t="s">
        <v>785</v>
      </c>
      <c r="F478" s="61" t="s">
        <v>775</v>
      </c>
      <c r="G478" s="60" t="s">
        <v>213</v>
      </c>
      <c r="H478" s="63">
        <v>45536</v>
      </c>
      <c r="I478" s="63">
        <v>45017</v>
      </c>
      <c r="J478" s="60">
        <f t="shared" si="44"/>
        <v>15</v>
      </c>
      <c r="K478" s="60">
        <f t="shared" si="46"/>
        <v>0</v>
      </c>
      <c r="L478" s="60">
        <v>8</v>
      </c>
      <c r="M478" s="60"/>
      <c r="N478" s="60"/>
      <c r="O478" s="60"/>
      <c r="P478" s="60"/>
      <c r="Q478" s="60">
        <v>2</v>
      </c>
      <c r="R478" s="60"/>
      <c r="S478" s="60"/>
      <c r="T478" s="60"/>
      <c r="U478" s="60"/>
      <c r="V478" s="60"/>
      <c r="W478" s="60"/>
      <c r="X478" s="60"/>
      <c r="Y478" s="60"/>
      <c r="Z478" s="60"/>
      <c r="AA478" s="60">
        <v>5</v>
      </c>
      <c r="AB478" s="60"/>
      <c r="AC478" s="60"/>
      <c r="AD478" s="60"/>
      <c r="AE478" s="60"/>
      <c r="AF478" s="60"/>
      <c r="AG478" s="60"/>
      <c r="AH478" s="60"/>
      <c r="AI478" s="60"/>
      <c r="AJ478" s="60"/>
      <c r="AK478" s="64">
        <f t="shared" si="47"/>
        <v>2343.42</v>
      </c>
    </row>
    <row r="479" spans="1:37" x14ac:dyDescent="0.25">
      <c r="A479" s="58" t="s">
        <v>770</v>
      </c>
      <c r="B479" s="59" t="str">
        <f t="shared" ca="1" si="45"/>
        <v>VENCIDO</v>
      </c>
      <c r="C479" s="60" t="s">
        <v>1110</v>
      </c>
      <c r="D479" s="61" t="s">
        <v>1492</v>
      </c>
      <c r="E479" s="62" t="s">
        <v>1493</v>
      </c>
      <c r="F479" s="61" t="s">
        <v>775</v>
      </c>
      <c r="G479" s="60" t="s">
        <v>213</v>
      </c>
      <c r="H479" s="63">
        <v>45292</v>
      </c>
      <c r="I479" s="63">
        <f t="shared" ref="I479:I495" si="48">H479-180</f>
        <v>45112</v>
      </c>
      <c r="J479" s="60">
        <f t="shared" si="44"/>
        <v>4</v>
      </c>
      <c r="K479" s="60">
        <f t="shared" si="46"/>
        <v>0</v>
      </c>
      <c r="L479" s="60"/>
      <c r="M479" s="60"/>
      <c r="N479" s="60"/>
      <c r="O479" s="60">
        <v>4</v>
      </c>
      <c r="P479" s="60"/>
      <c r="Q479" s="60"/>
      <c r="R479" s="60"/>
      <c r="S479" s="60"/>
      <c r="T479" s="60"/>
      <c r="U479" s="60"/>
      <c r="V479" s="60"/>
      <c r="W479" s="60"/>
      <c r="X479" s="60"/>
      <c r="Y479" s="60"/>
      <c r="Z479" s="60"/>
      <c r="AA479" s="60"/>
      <c r="AB479" s="60"/>
      <c r="AC479" s="60"/>
      <c r="AD479" s="60"/>
      <c r="AE479" s="60"/>
      <c r="AF479" s="60"/>
      <c r="AG479" s="60"/>
      <c r="AH479" s="60"/>
      <c r="AI479" s="60"/>
      <c r="AJ479" s="60"/>
      <c r="AK479" s="64">
        <f t="shared" si="47"/>
        <v>791.28</v>
      </c>
    </row>
    <row r="480" spans="1:37" x14ac:dyDescent="0.25">
      <c r="A480" s="58"/>
      <c r="B480" s="59" t="str">
        <f t="shared" ca="1" si="45"/>
        <v>VENCIDO</v>
      </c>
      <c r="C480" s="60" t="s">
        <v>1110</v>
      </c>
      <c r="D480" s="61" t="s">
        <v>1494</v>
      </c>
      <c r="E480" s="62" t="s">
        <v>1234</v>
      </c>
      <c r="F480" s="61" t="s">
        <v>775</v>
      </c>
      <c r="G480" s="60" t="s">
        <v>213</v>
      </c>
      <c r="H480" s="63">
        <v>45536</v>
      </c>
      <c r="I480" s="63">
        <f t="shared" si="48"/>
        <v>45356</v>
      </c>
      <c r="J480" s="60">
        <f t="shared" si="44"/>
        <v>5</v>
      </c>
      <c r="K480" s="60">
        <f t="shared" si="46"/>
        <v>0</v>
      </c>
      <c r="L480" s="60"/>
      <c r="M480" s="60"/>
      <c r="N480" s="60"/>
      <c r="O480" s="60"/>
      <c r="P480" s="60"/>
      <c r="Q480" s="60">
        <v>1</v>
      </c>
      <c r="R480" s="60"/>
      <c r="S480" s="60"/>
      <c r="T480" s="60"/>
      <c r="U480" s="60"/>
      <c r="V480" s="60">
        <v>4</v>
      </c>
      <c r="W480" s="60"/>
      <c r="X480" s="60"/>
      <c r="Y480" s="60"/>
      <c r="Z480" s="60"/>
      <c r="AA480" s="60"/>
      <c r="AB480" s="60"/>
      <c r="AC480" s="60"/>
      <c r="AD480" s="60"/>
      <c r="AE480" s="60"/>
      <c r="AF480" s="60"/>
      <c r="AG480" s="60"/>
      <c r="AH480" s="60"/>
      <c r="AI480" s="60"/>
      <c r="AJ480" s="60"/>
      <c r="AK480" s="64">
        <f t="shared" si="47"/>
        <v>1106.71</v>
      </c>
    </row>
    <row r="481" spans="1:37" hidden="1" x14ac:dyDescent="0.25">
      <c r="A481" s="58" t="s">
        <v>770</v>
      </c>
      <c r="B481" s="59" t="str">
        <f t="shared" ca="1" si="45"/>
        <v>VENCIDO</v>
      </c>
      <c r="C481" s="60" t="s">
        <v>869</v>
      </c>
      <c r="D481" s="61" t="s">
        <v>1495</v>
      </c>
      <c r="E481" s="62" t="s">
        <v>1496</v>
      </c>
      <c r="F481" s="61" t="s">
        <v>793</v>
      </c>
      <c r="G481" s="60" t="s">
        <v>213</v>
      </c>
      <c r="H481" s="63">
        <v>45505</v>
      </c>
      <c r="I481" s="63">
        <f t="shared" si="48"/>
        <v>45325</v>
      </c>
      <c r="J481" s="60">
        <f t="shared" si="44"/>
        <v>6</v>
      </c>
      <c r="K481" s="60">
        <f t="shared" si="46"/>
        <v>0</v>
      </c>
      <c r="L481" s="60"/>
      <c r="M481" s="60"/>
      <c r="N481" s="60"/>
      <c r="O481" s="60"/>
      <c r="P481" s="60"/>
      <c r="Q481" s="60">
        <v>2</v>
      </c>
      <c r="R481" s="60"/>
      <c r="S481" s="60"/>
      <c r="T481" s="60">
        <v>2</v>
      </c>
      <c r="U481" s="60"/>
      <c r="V481" s="60"/>
      <c r="W481" s="60"/>
      <c r="X481" s="60"/>
      <c r="Y481" s="60"/>
      <c r="Z481" s="60"/>
      <c r="AA481" s="60">
        <v>2</v>
      </c>
      <c r="AB481" s="60"/>
      <c r="AC481" s="60"/>
      <c r="AD481" s="60"/>
      <c r="AE481" s="60"/>
      <c r="AF481" s="60"/>
      <c r="AG481" s="60"/>
      <c r="AH481" s="60"/>
      <c r="AI481" s="60"/>
      <c r="AJ481" s="60"/>
      <c r="AK481" s="64">
        <f t="shared" si="47"/>
        <v>2161.3200000000002</v>
      </c>
    </row>
    <row r="482" spans="1:37" hidden="1" x14ac:dyDescent="0.25">
      <c r="A482" s="58" t="s">
        <v>770</v>
      </c>
      <c r="B482" s="59" t="str">
        <f t="shared" ca="1" si="45"/>
        <v>VENCIDO</v>
      </c>
      <c r="C482" s="60" t="s">
        <v>790</v>
      </c>
      <c r="D482" s="61" t="s">
        <v>1497</v>
      </c>
      <c r="E482" s="62" t="s">
        <v>1496</v>
      </c>
      <c r="F482" s="61" t="s">
        <v>793</v>
      </c>
      <c r="G482" s="60" t="s">
        <v>213</v>
      </c>
      <c r="H482" s="63">
        <v>45505</v>
      </c>
      <c r="I482" s="63">
        <f t="shared" si="48"/>
        <v>45325</v>
      </c>
      <c r="J482" s="60">
        <f t="shared" si="44"/>
        <v>2</v>
      </c>
      <c r="K482" s="60">
        <f t="shared" si="46"/>
        <v>0</v>
      </c>
      <c r="L482" s="60"/>
      <c r="M482" s="60"/>
      <c r="N482" s="60"/>
      <c r="O482" s="60"/>
      <c r="P482" s="60"/>
      <c r="Q482" s="60">
        <v>2</v>
      </c>
      <c r="R482" s="60"/>
      <c r="S482" s="60"/>
      <c r="T482" s="60"/>
      <c r="U482" s="60"/>
      <c r="V482" s="60"/>
      <c r="W482" s="60"/>
      <c r="X482" s="60"/>
      <c r="Y482" s="60"/>
      <c r="Z482" s="60"/>
      <c r="AA482" s="60"/>
      <c r="AB482" s="60"/>
      <c r="AC482" s="60"/>
      <c r="AD482" s="60"/>
      <c r="AE482" s="60"/>
      <c r="AF482" s="60"/>
      <c r="AG482" s="60"/>
      <c r="AH482" s="60"/>
      <c r="AI482" s="60"/>
      <c r="AJ482" s="60"/>
      <c r="AK482" s="64">
        <f t="shared" si="47"/>
        <v>630.70000000000005</v>
      </c>
    </row>
    <row r="483" spans="1:37" hidden="1" x14ac:dyDescent="0.25">
      <c r="A483" s="58" t="s">
        <v>770</v>
      </c>
      <c r="B483" s="59" t="str">
        <f t="shared" ca="1" si="45"/>
        <v>VENCIDO</v>
      </c>
      <c r="C483" s="60" t="s">
        <v>790</v>
      </c>
      <c r="D483" s="61" t="s">
        <v>1498</v>
      </c>
      <c r="E483" s="62" t="s">
        <v>1336</v>
      </c>
      <c r="F483" s="61" t="s">
        <v>793</v>
      </c>
      <c r="G483" s="60" t="s">
        <v>213</v>
      </c>
      <c r="H483" s="63">
        <v>45413</v>
      </c>
      <c r="I483" s="63">
        <f t="shared" si="48"/>
        <v>45233</v>
      </c>
      <c r="J483" s="60">
        <f t="shared" si="44"/>
        <v>2</v>
      </c>
      <c r="K483" s="60">
        <f t="shared" si="46"/>
        <v>0</v>
      </c>
      <c r="L483" s="60">
        <v>1</v>
      </c>
      <c r="M483" s="60"/>
      <c r="N483" s="60"/>
      <c r="O483" s="60"/>
      <c r="P483" s="60"/>
      <c r="Q483" s="60">
        <v>1</v>
      </c>
      <c r="R483" s="60"/>
      <c r="S483" s="60"/>
      <c r="T483" s="60"/>
      <c r="U483" s="60"/>
      <c r="V483" s="60"/>
      <c r="W483" s="60"/>
      <c r="X483" s="60"/>
      <c r="Y483" s="60"/>
      <c r="Z483" s="60"/>
      <c r="AA483" s="60"/>
      <c r="AB483" s="60"/>
      <c r="AC483" s="60"/>
      <c r="AD483" s="60"/>
      <c r="AE483" s="60"/>
      <c r="AF483" s="60"/>
      <c r="AG483" s="60"/>
      <c r="AH483" s="60"/>
      <c r="AI483" s="60"/>
      <c r="AJ483" s="60"/>
      <c r="AK483" s="64">
        <f t="shared" si="47"/>
        <v>405.79</v>
      </c>
    </row>
    <row r="484" spans="1:37" x14ac:dyDescent="0.25">
      <c r="A484" s="58" t="s">
        <v>783</v>
      </c>
      <c r="B484" s="59" t="str">
        <f t="shared" ca="1" si="45"/>
        <v>VENCIDO</v>
      </c>
      <c r="C484" s="60" t="s">
        <v>1110</v>
      </c>
      <c r="D484" s="61" t="s">
        <v>1499</v>
      </c>
      <c r="E484" s="62" t="s">
        <v>212</v>
      </c>
      <c r="F484" s="61" t="s">
        <v>775</v>
      </c>
      <c r="G484" s="60" t="s">
        <v>213</v>
      </c>
      <c r="H484" s="63">
        <v>45474</v>
      </c>
      <c r="I484" s="63">
        <f t="shared" si="48"/>
        <v>45294</v>
      </c>
      <c r="J484" s="60">
        <f t="shared" ref="J484:J518" si="49">SUM(L484:AE484)</f>
        <v>23</v>
      </c>
      <c r="K484" s="60">
        <f t="shared" si="46"/>
        <v>0</v>
      </c>
      <c r="L484" s="60">
        <v>3</v>
      </c>
      <c r="M484" s="60"/>
      <c r="N484" s="60"/>
      <c r="O484" s="60">
        <v>3</v>
      </c>
      <c r="P484" s="60"/>
      <c r="Q484" s="60">
        <v>3</v>
      </c>
      <c r="R484" s="60"/>
      <c r="S484" s="60"/>
      <c r="T484" s="60"/>
      <c r="U484" s="60"/>
      <c r="V484" s="60">
        <v>3</v>
      </c>
      <c r="W484" s="60"/>
      <c r="X484" s="60"/>
      <c r="Y484" s="60"/>
      <c r="Z484" s="60"/>
      <c r="AA484" s="60">
        <v>11</v>
      </c>
      <c r="AB484" s="60"/>
      <c r="AC484" s="60"/>
      <c r="AD484" s="60"/>
      <c r="AE484" s="60"/>
      <c r="AF484" s="60"/>
      <c r="AG484" s="60"/>
      <c r="AH484" s="60"/>
      <c r="AI484" s="60"/>
      <c r="AJ484" s="60"/>
      <c r="AK484" s="64">
        <f t="shared" si="47"/>
        <v>4580.59</v>
      </c>
    </row>
    <row r="485" spans="1:37" x14ac:dyDescent="0.25">
      <c r="A485" s="58" t="s">
        <v>938</v>
      </c>
      <c r="B485" s="59" t="str">
        <f t="shared" ca="1" si="45"/>
        <v>VENCIDO</v>
      </c>
      <c r="C485" s="60" t="s">
        <v>1110</v>
      </c>
      <c r="D485" s="61" t="s">
        <v>1500</v>
      </c>
      <c r="E485" s="62" t="s">
        <v>212</v>
      </c>
      <c r="F485" s="61" t="s">
        <v>775</v>
      </c>
      <c r="G485" s="60" t="s">
        <v>213</v>
      </c>
      <c r="H485" s="63">
        <v>45444</v>
      </c>
      <c r="I485" s="63">
        <f t="shared" si="48"/>
        <v>45264</v>
      </c>
      <c r="J485" s="60">
        <f t="shared" si="49"/>
        <v>12</v>
      </c>
      <c r="K485" s="60">
        <f t="shared" si="46"/>
        <v>0</v>
      </c>
      <c r="L485" s="60"/>
      <c r="M485" s="60"/>
      <c r="N485" s="60"/>
      <c r="O485" s="60">
        <v>2</v>
      </c>
      <c r="P485" s="60">
        <v>1</v>
      </c>
      <c r="Q485" s="60"/>
      <c r="R485" s="60"/>
      <c r="S485" s="60"/>
      <c r="T485" s="60"/>
      <c r="U485" s="60"/>
      <c r="V485" s="60">
        <v>9</v>
      </c>
      <c r="W485" s="60"/>
      <c r="X485" s="60"/>
      <c r="Y485" s="60"/>
      <c r="Z485" s="60"/>
      <c r="AA485" s="60"/>
      <c r="AB485" s="60"/>
      <c r="AC485" s="60"/>
      <c r="AD485" s="60"/>
      <c r="AE485" s="60"/>
      <c r="AF485" s="60"/>
      <c r="AG485" s="60"/>
      <c r="AH485" s="60"/>
      <c r="AI485" s="60"/>
      <c r="AJ485" s="60"/>
      <c r="AK485" s="64">
        <f t="shared" si="47"/>
        <v>2420.29</v>
      </c>
    </row>
    <row r="486" spans="1:37" hidden="1" x14ac:dyDescent="0.25">
      <c r="A486" s="58" t="s">
        <v>770</v>
      </c>
      <c r="B486" s="59" t="str">
        <f t="shared" ca="1" si="45"/>
        <v>VENCIDO</v>
      </c>
      <c r="C486" s="60" t="s">
        <v>1110</v>
      </c>
      <c r="D486" s="61" t="s">
        <v>1501</v>
      </c>
      <c r="E486" s="62" t="s">
        <v>797</v>
      </c>
      <c r="F486" s="61" t="s">
        <v>778</v>
      </c>
      <c r="G486" s="60" t="s">
        <v>213</v>
      </c>
      <c r="H486" s="63">
        <v>45352</v>
      </c>
      <c r="I486" s="63">
        <f t="shared" si="48"/>
        <v>45172</v>
      </c>
      <c r="J486" s="60">
        <f t="shared" si="49"/>
        <v>11</v>
      </c>
      <c r="K486" s="60">
        <f t="shared" si="46"/>
        <v>0</v>
      </c>
      <c r="L486" s="60"/>
      <c r="M486" s="60"/>
      <c r="N486" s="60"/>
      <c r="O486" s="60"/>
      <c r="P486" s="60"/>
      <c r="Q486" s="60"/>
      <c r="R486" s="60"/>
      <c r="S486" s="60"/>
      <c r="T486" s="60"/>
      <c r="U486" s="60"/>
      <c r="V486" s="60">
        <v>11</v>
      </c>
      <c r="W486" s="60"/>
      <c r="X486" s="60"/>
      <c r="Y486" s="60"/>
      <c r="Z486" s="60"/>
      <c r="AA486" s="60"/>
      <c r="AB486" s="60"/>
      <c r="AC486" s="60"/>
      <c r="AD486" s="60"/>
      <c r="AE486" s="60"/>
      <c r="AF486" s="60"/>
      <c r="AG486" s="60"/>
      <c r="AH486" s="60"/>
      <c r="AI486" s="60"/>
      <c r="AJ486" s="60"/>
      <c r="AK486" s="64">
        <f t="shared" si="47"/>
        <v>2176.2400000000002</v>
      </c>
    </row>
    <row r="487" spans="1:37" x14ac:dyDescent="0.25">
      <c r="A487" s="58" t="s">
        <v>783</v>
      </c>
      <c r="B487" s="59" t="str">
        <f t="shared" ca="1" si="45"/>
        <v>VENCIDO</v>
      </c>
      <c r="C487" s="60" t="s">
        <v>1110</v>
      </c>
      <c r="D487" s="61" t="s">
        <v>1502</v>
      </c>
      <c r="E487" s="62" t="s">
        <v>1254</v>
      </c>
      <c r="F487" s="61" t="s">
        <v>775</v>
      </c>
      <c r="G487" s="60" t="s">
        <v>213</v>
      </c>
      <c r="H487" s="63">
        <v>45566</v>
      </c>
      <c r="I487" s="63">
        <f t="shared" si="48"/>
        <v>45386</v>
      </c>
      <c r="J487" s="60">
        <f t="shared" si="49"/>
        <v>5</v>
      </c>
      <c r="K487" s="60">
        <f t="shared" si="46"/>
        <v>0</v>
      </c>
      <c r="L487" s="60"/>
      <c r="M487" s="60"/>
      <c r="N487" s="60"/>
      <c r="O487" s="60"/>
      <c r="P487" s="60"/>
      <c r="Q487" s="60"/>
      <c r="R487" s="60"/>
      <c r="S487" s="60"/>
      <c r="T487" s="60"/>
      <c r="U487" s="60"/>
      <c r="V487" s="60">
        <v>4</v>
      </c>
      <c r="W487" s="60"/>
      <c r="X487" s="60"/>
      <c r="Y487" s="60"/>
      <c r="Z487" s="60"/>
      <c r="AA487" s="60">
        <v>1</v>
      </c>
      <c r="AB487" s="60"/>
      <c r="AC487" s="60"/>
      <c r="AD487" s="60"/>
      <c r="AE487" s="60"/>
      <c r="AF487" s="60"/>
      <c r="AG487" s="60"/>
      <c r="AH487" s="60"/>
      <c r="AI487" s="60"/>
      <c r="AJ487" s="60"/>
      <c r="AK487" s="64">
        <f t="shared" si="47"/>
        <v>989.2</v>
      </c>
    </row>
    <row r="488" spans="1:37" hidden="1" x14ac:dyDescent="0.25">
      <c r="A488" s="58" t="s">
        <v>770</v>
      </c>
      <c r="B488" s="59" t="str">
        <f t="shared" ca="1" si="45"/>
        <v>VENCIDO</v>
      </c>
      <c r="C488" s="60" t="s">
        <v>1110</v>
      </c>
      <c r="D488" s="61" t="s">
        <v>1503</v>
      </c>
      <c r="E488" s="62" t="s">
        <v>1504</v>
      </c>
      <c r="F488" s="61" t="s">
        <v>793</v>
      </c>
      <c r="G488" s="60" t="s">
        <v>213</v>
      </c>
      <c r="H488" s="63">
        <v>45383</v>
      </c>
      <c r="I488" s="63">
        <f t="shared" si="48"/>
        <v>45203</v>
      </c>
      <c r="J488" s="60">
        <f t="shared" si="49"/>
        <v>6</v>
      </c>
      <c r="K488" s="60">
        <f t="shared" si="46"/>
        <v>0</v>
      </c>
      <c r="L488" s="60">
        <v>2</v>
      </c>
      <c r="M488" s="60"/>
      <c r="N488" s="60"/>
      <c r="O488" s="60"/>
      <c r="P488" s="60"/>
      <c r="Q488" s="60"/>
      <c r="R488" s="60"/>
      <c r="S488" s="60"/>
      <c r="T488" s="60"/>
      <c r="U488" s="60"/>
      <c r="V488" s="60">
        <v>2</v>
      </c>
      <c r="W488" s="60"/>
      <c r="X488" s="60"/>
      <c r="Y488" s="60"/>
      <c r="Z488" s="60"/>
      <c r="AA488" s="60">
        <v>2</v>
      </c>
      <c r="AB488" s="60"/>
      <c r="AC488" s="60"/>
      <c r="AD488" s="60"/>
      <c r="AE488" s="60"/>
      <c r="AF488" s="60"/>
      <c r="AG488" s="60"/>
      <c r="AH488" s="60"/>
      <c r="AI488" s="60"/>
      <c r="AJ488" s="60"/>
      <c r="AK488" s="64">
        <f t="shared" si="47"/>
        <v>972.24</v>
      </c>
    </row>
    <row r="489" spans="1:37" hidden="1" x14ac:dyDescent="0.25">
      <c r="A489" s="58" t="s">
        <v>783</v>
      </c>
      <c r="B489" s="59" t="str">
        <f t="shared" ca="1" si="45"/>
        <v>VENCIDO</v>
      </c>
      <c r="C489" s="60" t="s">
        <v>1110</v>
      </c>
      <c r="D489" s="61" t="s">
        <v>1505</v>
      </c>
      <c r="E489" s="62" t="s">
        <v>1506</v>
      </c>
      <c r="F489" s="61" t="s">
        <v>793</v>
      </c>
      <c r="G489" s="60" t="s">
        <v>213</v>
      </c>
      <c r="H489" s="63">
        <v>45474</v>
      </c>
      <c r="I489" s="63">
        <f t="shared" si="48"/>
        <v>45294</v>
      </c>
      <c r="J489" s="60">
        <f t="shared" si="49"/>
        <v>4</v>
      </c>
      <c r="K489" s="60">
        <f t="shared" si="46"/>
        <v>0</v>
      </c>
      <c r="L489" s="60"/>
      <c r="M489" s="60"/>
      <c r="N489" s="60"/>
      <c r="O489" s="60"/>
      <c r="P489" s="60"/>
      <c r="Q489" s="60"/>
      <c r="R489" s="60"/>
      <c r="S489" s="60"/>
      <c r="T489" s="60"/>
      <c r="U489" s="60"/>
      <c r="V489" s="60">
        <v>4</v>
      </c>
      <c r="W489" s="60"/>
      <c r="X489" s="60"/>
      <c r="Y489" s="60"/>
      <c r="Z489" s="60"/>
      <c r="AA489" s="60"/>
      <c r="AB489" s="60"/>
      <c r="AC489" s="60"/>
      <c r="AD489" s="60"/>
      <c r="AE489" s="60"/>
      <c r="AF489" s="60"/>
      <c r="AG489" s="60"/>
      <c r="AH489" s="60"/>
      <c r="AI489" s="60"/>
      <c r="AJ489" s="60"/>
      <c r="AK489" s="64">
        <f t="shared" si="47"/>
        <v>791.36</v>
      </c>
    </row>
    <row r="490" spans="1:37" x14ac:dyDescent="0.25">
      <c r="A490" s="58" t="s">
        <v>770</v>
      </c>
      <c r="B490" s="59" t="str">
        <f t="shared" ca="1" si="45"/>
        <v>VENCIDO</v>
      </c>
      <c r="C490" s="60" t="s">
        <v>1110</v>
      </c>
      <c r="D490" s="61" t="s">
        <v>1507</v>
      </c>
      <c r="E490" s="62" t="s">
        <v>802</v>
      </c>
      <c r="F490" s="61" t="s">
        <v>775</v>
      </c>
      <c r="G490" s="60" t="s">
        <v>213</v>
      </c>
      <c r="H490" s="63">
        <v>45323</v>
      </c>
      <c r="I490" s="63">
        <f t="shared" si="48"/>
        <v>45143</v>
      </c>
      <c r="J490" s="60">
        <f t="shared" si="49"/>
        <v>9</v>
      </c>
      <c r="K490" s="60">
        <f t="shared" si="46"/>
        <v>0</v>
      </c>
      <c r="L490" s="60"/>
      <c r="M490" s="60"/>
      <c r="N490" s="60"/>
      <c r="O490" s="60"/>
      <c r="P490" s="60"/>
      <c r="Q490" s="60">
        <v>1</v>
      </c>
      <c r="R490" s="60"/>
      <c r="S490" s="60"/>
      <c r="T490" s="60"/>
      <c r="U490" s="60"/>
      <c r="V490" s="60"/>
      <c r="W490" s="60"/>
      <c r="X490" s="60">
        <v>8</v>
      </c>
      <c r="Y490" s="60"/>
      <c r="Z490" s="60"/>
      <c r="AA490" s="60"/>
      <c r="AB490" s="60"/>
      <c r="AC490" s="60"/>
      <c r="AD490" s="60"/>
      <c r="AE490" s="60"/>
      <c r="AF490" s="60"/>
      <c r="AG490" s="60"/>
      <c r="AH490" s="60"/>
      <c r="AI490" s="60"/>
      <c r="AJ490" s="60"/>
      <c r="AK490" s="64">
        <f t="shared" si="47"/>
        <v>5928.8700000000008</v>
      </c>
    </row>
    <row r="491" spans="1:37" x14ac:dyDescent="0.25">
      <c r="A491" s="58" t="s">
        <v>938</v>
      </c>
      <c r="B491" s="59" t="str">
        <f t="shared" ca="1" si="45"/>
        <v>VENCIDO</v>
      </c>
      <c r="C491" s="60" t="s">
        <v>1110</v>
      </c>
      <c r="D491" s="61" t="s">
        <v>1508</v>
      </c>
      <c r="E491" s="62" t="s">
        <v>1058</v>
      </c>
      <c r="F491" s="61" t="s">
        <v>775</v>
      </c>
      <c r="G491" s="60" t="s">
        <v>213</v>
      </c>
      <c r="H491" s="63">
        <v>45536</v>
      </c>
      <c r="I491" s="63">
        <f t="shared" si="48"/>
        <v>45356</v>
      </c>
      <c r="J491" s="60">
        <f t="shared" si="49"/>
        <v>10</v>
      </c>
      <c r="K491" s="60">
        <f t="shared" si="46"/>
        <v>0</v>
      </c>
      <c r="L491" s="60">
        <v>5</v>
      </c>
      <c r="M491" s="60"/>
      <c r="N491" s="60"/>
      <c r="O491" s="60"/>
      <c r="P491" s="60"/>
      <c r="Q491" s="60">
        <v>1</v>
      </c>
      <c r="R491" s="60"/>
      <c r="S491" s="60"/>
      <c r="T491" s="60"/>
      <c r="U491" s="60"/>
      <c r="V491" s="60"/>
      <c r="W491" s="60"/>
      <c r="X491" s="60"/>
      <c r="Y491" s="60"/>
      <c r="Z491" s="60"/>
      <c r="AA491" s="60">
        <v>4</v>
      </c>
      <c r="AB491" s="60"/>
      <c r="AC491" s="60"/>
      <c r="AD491" s="60"/>
      <c r="AE491" s="60"/>
      <c r="AF491" s="60"/>
      <c r="AG491" s="60"/>
      <c r="AH491" s="60"/>
      <c r="AI491" s="60"/>
      <c r="AJ491" s="60"/>
      <c r="AK491" s="64">
        <f t="shared" si="47"/>
        <v>1558.9099999999999</v>
      </c>
    </row>
    <row r="492" spans="1:37" hidden="1" x14ac:dyDescent="0.25">
      <c r="A492" s="58" t="s">
        <v>1151</v>
      </c>
      <c r="B492" s="59" t="str">
        <f t="shared" ca="1" si="45"/>
        <v>VENCIDO</v>
      </c>
      <c r="C492" s="60" t="s">
        <v>1110</v>
      </c>
      <c r="D492" s="61" t="s">
        <v>1509</v>
      </c>
      <c r="E492" s="62" t="s">
        <v>196</v>
      </c>
      <c r="F492" s="61" t="s">
        <v>793</v>
      </c>
      <c r="G492" s="60" t="s">
        <v>213</v>
      </c>
      <c r="H492" s="63">
        <v>45413</v>
      </c>
      <c r="I492" s="63">
        <f t="shared" si="48"/>
        <v>45233</v>
      </c>
      <c r="J492" s="60">
        <f t="shared" si="49"/>
        <v>25</v>
      </c>
      <c r="K492" s="60">
        <f t="shared" si="46"/>
        <v>16</v>
      </c>
      <c r="L492" s="60">
        <v>11</v>
      </c>
      <c r="M492" s="60"/>
      <c r="N492" s="60"/>
      <c r="O492" s="60">
        <v>1</v>
      </c>
      <c r="P492" s="60"/>
      <c r="Q492" s="60">
        <v>3</v>
      </c>
      <c r="R492" s="60"/>
      <c r="S492" s="60"/>
      <c r="T492" s="60"/>
      <c r="U492" s="60"/>
      <c r="V492" s="60"/>
      <c r="W492" s="60"/>
      <c r="X492" s="60"/>
      <c r="Y492" s="60"/>
      <c r="Z492" s="60">
        <v>1</v>
      </c>
      <c r="AA492" s="60">
        <v>9</v>
      </c>
      <c r="AB492" s="60"/>
      <c r="AC492" s="60"/>
      <c r="AD492" s="60"/>
      <c r="AE492" s="60"/>
      <c r="AF492" s="60"/>
      <c r="AG492" s="60"/>
      <c r="AH492" s="60">
        <v>16</v>
      </c>
      <c r="AI492" s="60"/>
      <c r="AJ492" s="60"/>
      <c r="AK492" s="64">
        <f t="shared" si="47"/>
        <v>4070.9</v>
      </c>
    </row>
    <row r="493" spans="1:37" hidden="1" x14ac:dyDescent="0.25">
      <c r="A493" s="58" t="s">
        <v>783</v>
      </c>
      <c r="B493" s="59" t="str">
        <f t="shared" ca="1" si="45"/>
        <v>VENCIDO</v>
      </c>
      <c r="C493" s="60" t="s">
        <v>1110</v>
      </c>
      <c r="D493" s="61" t="s">
        <v>1510</v>
      </c>
      <c r="E493" s="62" t="s">
        <v>1062</v>
      </c>
      <c r="F493" s="61" t="s">
        <v>778</v>
      </c>
      <c r="G493" s="60" t="s">
        <v>213</v>
      </c>
      <c r="H493" s="63">
        <v>45323</v>
      </c>
      <c r="I493" s="63">
        <f t="shared" si="48"/>
        <v>45143</v>
      </c>
      <c r="J493" s="60">
        <f t="shared" si="49"/>
        <v>5</v>
      </c>
      <c r="K493" s="60">
        <f t="shared" si="46"/>
        <v>0</v>
      </c>
      <c r="L493" s="60"/>
      <c r="M493" s="60"/>
      <c r="N493" s="60"/>
      <c r="O493" s="60"/>
      <c r="P493" s="60"/>
      <c r="Q493" s="60">
        <v>1</v>
      </c>
      <c r="R493" s="60"/>
      <c r="S493" s="60"/>
      <c r="T493" s="60"/>
      <c r="U493" s="60"/>
      <c r="V493" s="60">
        <v>4</v>
      </c>
      <c r="W493" s="60"/>
      <c r="X493" s="60"/>
      <c r="Y493" s="60"/>
      <c r="Z493" s="60"/>
      <c r="AA493" s="60"/>
      <c r="AB493" s="60"/>
      <c r="AC493" s="60"/>
      <c r="AD493" s="60"/>
      <c r="AE493" s="60"/>
      <c r="AF493" s="60"/>
      <c r="AG493" s="60"/>
      <c r="AH493" s="60"/>
      <c r="AI493" s="60"/>
      <c r="AJ493" s="60"/>
      <c r="AK493" s="64">
        <f t="shared" si="47"/>
        <v>1106.71</v>
      </c>
    </row>
    <row r="494" spans="1:37" x14ac:dyDescent="0.25">
      <c r="A494" s="58" t="s">
        <v>770</v>
      </c>
      <c r="B494" s="59" t="str">
        <f t="shared" ca="1" si="45"/>
        <v>VENCIDO</v>
      </c>
      <c r="C494" s="60" t="s">
        <v>790</v>
      </c>
      <c r="D494" s="61" t="s">
        <v>1511</v>
      </c>
      <c r="E494" s="62" t="s">
        <v>1293</v>
      </c>
      <c r="F494" s="61" t="s">
        <v>775</v>
      </c>
      <c r="G494" s="60" t="s">
        <v>213</v>
      </c>
      <c r="H494" s="63">
        <v>45474</v>
      </c>
      <c r="I494" s="63">
        <f t="shared" si="48"/>
        <v>45294</v>
      </c>
      <c r="J494" s="60">
        <f t="shared" si="49"/>
        <v>2</v>
      </c>
      <c r="K494" s="60">
        <f t="shared" si="46"/>
        <v>0</v>
      </c>
      <c r="L494" s="60"/>
      <c r="M494" s="60"/>
      <c r="N494" s="60"/>
      <c r="O494" s="60">
        <v>2</v>
      </c>
      <c r="P494" s="60"/>
      <c r="Q494" s="60"/>
      <c r="R494" s="60"/>
      <c r="S494" s="60"/>
      <c r="T494" s="60"/>
      <c r="U494" s="60"/>
      <c r="V494" s="60"/>
      <c r="W494" s="60"/>
      <c r="X494" s="60"/>
      <c r="Y494" s="60"/>
      <c r="Z494" s="60"/>
      <c r="AA494" s="60"/>
      <c r="AB494" s="60"/>
      <c r="AC494" s="60"/>
      <c r="AD494" s="60"/>
      <c r="AE494" s="60"/>
      <c r="AF494" s="60"/>
      <c r="AG494" s="60"/>
      <c r="AH494" s="60"/>
      <c r="AI494" s="60"/>
      <c r="AJ494" s="60"/>
      <c r="AK494" s="64">
        <f t="shared" si="47"/>
        <v>395.64</v>
      </c>
    </row>
    <row r="495" spans="1:37" x14ac:dyDescent="0.25">
      <c r="A495" s="58" t="s">
        <v>770</v>
      </c>
      <c r="B495" s="59" t="str">
        <f t="shared" ca="1" si="45"/>
        <v>VENCIDO</v>
      </c>
      <c r="C495" s="60" t="s">
        <v>1110</v>
      </c>
      <c r="D495" s="61" t="s">
        <v>1512</v>
      </c>
      <c r="E495" s="62" t="s">
        <v>1293</v>
      </c>
      <c r="F495" s="61" t="s">
        <v>775</v>
      </c>
      <c r="G495" s="60" t="s">
        <v>213</v>
      </c>
      <c r="H495" s="63">
        <v>45474</v>
      </c>
      <c r="I495" s="63">
        <f t="shared" si="48"/>
        <v>45294</v>
      </c>
      <c r="J495" s="60">
        <f t="shared" si="49"/>
        <v>5</v>
      </c>
      <c r="K495" s="60">
        <f t="shared" si="46"/>
        <v>0</v>
      </c>
      <c r="L495" s="60">
        <v>2</v>
      </c>
      <c r="M495" s="60"/>
      <c r="N495" s="60"/>
      <c r="O495" s="60">
        <v>1</v>
      </c>
      <c r="P495" s="60"/>
      <c r="Q495" s="60"/>
      <c r="R495" s="60"/>
      <c r="S495" s="60"/>
      <c r="T495" s="60"/>
      <c r="U495" s="60"/>
      <c r="V495" s="60"/>
      <c r="W495" s="60"/>
      <c r="X495" s="60"/>
      <c r="Y495" s="60"/>
      <c r="Z495" s="60"/>
      <c r="AA495" s="60">
        <v>2</v>
      </c>
      <c r="AB495" s="60"/>
      <c r="AC495" s="60"/>
      <c r="AD495" s="60"/>
      <c r="AE495" s="60"/>
      <c r="AF495" s="60"/>
      <c r="AG495" s="60"/>
      <c r="AH495" s="60"/>
      <c r="AI495" s="60"/>
      <c r="AJ495" s="60"/>
      <c r="AK495" s="64">
        <f t="shared" si="47"/>
        <v>774.38</v>
      </c>
    </row>
    <row r="496" spans="1:37" hidden="1" x14ac:dyDescent="0.25">
      <c r="A496" s="58" t="s">
        <v>770</v>
      </c>
      <c r="B496" s="59" t="str">
        <f t="shared" ca="1" si="45"/>
        <v>VENCIDO</v>
      </c>
      <c r="C496" s="60" t="s">
        <v>1110</v>
      </c>
      <c r="D496" s="61" t="s">
        <v>1513</v>
      </c>
      <c r="E496" s="62" t="s">
        <v>799</v>
      </c>
      <c r="F496" s="61" t="s">
        <v>778</v>
      </c>
      <c r="G496" s="60" t="s">
        <v>213</v>
      </c>
      <c r="H496" s="63">
        <v>45292</v>
      </c>
      <c r="I496" s="63">
        <v>45108</v>
      </c>
      <c r="J496" s="60">
        <f t="shared" si="49"/>
        <v>9</v>
      </c>
      <c r="K496" s="60">
        <f t="shared" si="46"/>
        <v>8</v>
      </c>
      <c r="L496" s="60"/>
      <c r="M496" s="60"/>
      <c r="N496" s="60"/>
      <c r="O496" s="60"/>
      <c r="P496" s="60"/>
      <c r="Q496" s="60"/>
      <c r="R496" s="60"/>
      <c r="S496" s="60"/>
      <c r="T496" s="60"/>
      <c r="U496" s="60"/>
      <c r="V496" s="60">
        <v>9</v>
      </c>
      <c r="W496" s="60"/>
      <c r="X496" s="60"/>
      <c r="Y496" s="60"/>
      <c r="Z496" s="60"/>
      <c r="AA496" s="60"/>
      <c r="AB496" s="60"/>
      <c r="AC496" s="60"/>
      <c r="AD496" s="60"/>
      <c r="AE496" s="60"/>
      <c r="AF496" s="60"/>
      <c r="AG496" s="60"/>
      <c r="AH496" s="60">
        <v>8</v>
      </c>
      <c r="AI496" s="60"/>
      <c r="AJ496" s="60"/>
      <c r="AK496" s="64">
        <f t="shared" si="47"/>
        <v>1780.56</v>
      </c>
    </row>
    <row r="497" spans="1:37" x14ac:dyDescent="0.25">
      <c r="A497" s="58" t="s">
        <v>770</v>
      </c>
      <c r="B497" s="59" t="str">
        <f t="shared" ca="1" si="45"/>
        <v>VENCIDO</v>
      </c>
      <c r="C497" s="60" t="s">
        <v>869</v>
      </c>
      <c r="D497" s="61" t="s">
        <v>1514</v>
      </c>
      <c r="E497" s="62" t="s">
        <v>1229</v>
      </c>
      <c r="F497" s="61" t="s">
        <v>775</v>
      </c>
      <c r="G497" s="60" t="s">
        <v>213</v>
      </c>
      <c r="H497" s="63">
        <v>45505</v>
      </c>
      <c r="I497" s="63">
        <f>H497-180</f>
        <v>45325</v>
      </c>
      <c r="J497" s="60">
        <f t="shared" si="49"/>
        <v>9</v>
      </c>
      <c r="K497" s="60">
        <f t="shared" si="46"/>
        <v>0</v>
      </c>
      <c r="L497" s="60"/>
      <c r="M497" s="60"/>
      <c r="N497" s="60"/>
      <c r="O497" s="60"/>
      <c r="P497" s="60"/>
      <c r="Q497" s="60">
        <v>5</v>
      </c>
      <c r="R497" s="60"/>
      <c r="S497" s="60"/>
      <c r="T497" s="60">
        <v>2</v>
      </c>
      <c r="U497" s="60"/>
      <c r="V497" s="60"/>
      <c r="W497" s="60"/>
      <c r="X497" s="60"/>
      <c r="Y497" s="60"/>
      <c r="Z497" s="60"/>
      <c r="AA497" s="60">
        <v>2</v>
      </c>
      <c r="AB497" s="60"/>
      <c r="AC497" s="60"/>
      <c r="AD497" s="60"/>
      <c r="AE497" s="60"/>
      <c r="AF497" s="60"/>
      <c r="AG497" s="60"/>
      <c r="AH497" s="60"/>
      <c r="AI497" s="60"/>
      <c r="AJ497" s="60"/>
      <c r="AK497" s="64">
        <f t="shared" si="47"/>
        <v>3107.37</v>
      </c>
    </row>
    <row r="498" spans="1:37" x14ac:dyDescent="0.25">
      <c r="A498" s="58" t="s">
        <v>770</v>
      </c>
      <c r="B498" s="59" t="str">
        <f t="shared" ca="1" si="45"/>
        <v>VENCIDO</v>
      </c>
      <c r="C498" s="60" t="s">
        <v>1110</v>
      </c>
      <c r="D498" s="61" t="s">
        <v>1515</v>
      </c>
      <c r="E498" s="62" t="s">
        <v>1229</v>
      </c>
      <c r="F498" s="61" t="s">
        <v>775</v>
      </c>
      <c r="G498" s="60" t="s">
        <v>213</v>
      </c>
      <c r="H498" s="63">
        <v>45474</v>
      </c>
      <c r="I498" s="63">
        <f>H498-180</f>
        <v>45294</v>
      </c>
      <c r="J498" s="60">
        <f t="shared" si="49"/>
        <v>10</v>
      </c>
      <c r="K498" s="60">
        <f t="shared" si="46"/>
        <v>0</v>
      </c>
      <c r="L498" s="60">
        <v>2</v>
      </c>
      <c r="M498" s="60"/>
      <c r="N498" s="60"/>
      <c r="O498" s="60"/>
      <c r="P498" s="60"/>
      <c r="Q498" s="60">
        <v>1</v>
      </c>
      <c r="R498" s="60"/>
      <c r="S498" s="60"/>
      <c r="T498" s="60"/>
      <c r="U498" s="60"/>
      <c r="V498" s="60"/>
      <c r="W498" s="60"/>
      <c r="X498" s="60"/>
      <c r="Y498" s="60"/>
      <c r="Z498" s="60"/>
      <c r="AA498" s="60">
        <v>7</v>
      </c>
      <c r="AB498" s="60"/>
      <c r="AC498" s="60"/>
      <c r="AD498" s="60"/>
      <c r="AE498" s="60"/>
      <c r="AF498" s="60"/>
      <c r="AG498" s="60"/>
      <c r="AH498" s="60"/>
      <c r="AI498" s="60"/>
      <c r="AJ498" s="60"/>
      <c r="AK498" s="64">
        <f t="shared" si="47"/>
        <v>1881.1100000000001</v>
      </c>
    </row>
    <row r="499" spans="1:37" x14ac:dyDescent="0.25">
      <c r="A499" s="58"/>
      <c r="B499" s="59" t="str">
        <f t="shared" ca="1" si="45"/>
        <v>VENCIDO</v>
      </c>
      <c r="C499" s="60" t="s">
        <v>1110</v>
      </c>
      <c r="D499" s="61" t="s">
        <v>1516</v>
      </c>
      <c r="E499" s="62" t="s">
        <v>223</v>
      </c>
      <c r="F499" s="61" t="s">
        <v>775</v>
      </c>
      <c r="G499" s="60" t="s">
        <v>213</v>
      </c>
      <c r="H499" s="63">
        <v>45536</v>
      </c>
      <c r="I499" s="63">
        <f>H499-180</f>
        <v>45356</v>
      </c>
      <c r="J499" s="60">
        <f t="shared" si="49"/>
        <v>13</v>
      </c>
      <c r="K499" s="60">
        <f t="shared" si="46"/>
        <v>0</v>
      </c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>
        <v>13</v>
      </c>
      <c r="W499" s="60"/>
      <c r="X499" s="60"/>
      <c r="Y499" s="60"/>
      <c r="Z499" s="60"/>
      <c r="AA499" s="60"/>
      <c r="AB499" s="60"/>
      <c r="AC499" s="60"/>
      <c r="AD499" s="60"/>
      <c r="AE499" s="60"/>
      <c r="AF499" s="60"/>
      <c r="AG499" s="60"/>
      <c r="AH499" s="60"/>
      <c r="AI499" s="60"/>
      <c r="AJ499" s="60"/>
      <c r="AK499" s="64">
        <f t="shared" si="47"/>
        <v>2571.92</v>
      </c>
    </row>
    <row r="500" spans="1:37" hidden="1" x14ac:dyDescent="0.25">
      <c r="A500" s="58"/>
      <c r="B500" s="59" t="str">
        <f t="shared" ca="1" si="45"/>
        <v>VENCIDO</v>
      </c>
      <c r="C500" s="60" t="s">
        <v>1110</v>
      </c>
      <c r="D500" s="61" t="s">
        <v>1517</v>
      </c>
      <c r="E500" s="62" t="s">
        <v>782</v>
      </c>
      <c r="F500" s="61" t="s">
        <v>778</v>
      </c>
      <c r="G500" s="60" t="s">
        <v>213</v>
      </c>
      <c r="H500" s="63">
        <v>45292</v>
      </c>
      <c r="I500" s="63">
        <v>45292</v>
      </c>
      <c r="J500" s="60">
        <f t="shared" si="49"/>
        <v>3</v>
      </c>
      <c r="K500" s="60">
        <f t="shared" si="46"/>
        <v>0</v>
      </c>
      <c r="L500" s="60"/>
      <c r="M500" s="60"/>
      <c r="N500" s="60"/>
      <c r="O500" s="60"/>
      <c r="P500" s="60"/>
      <c r="Q500" s="60">
        <v>2</v>
      </c>
      <c r="R500" s="60"/>
      <c r="S500" s="60"/>
      <c r="T500" s="60"/>
      <c r="U500" s="60"/>
      <c r="V500" s="60">
        <v>1</v>
      </c>
      <c r="W500" s="60"/>
      <c r="X500" s="60"/>
      <c r="Y500" s="60"/>
      <c r="Z500" s="60"/>
      <c r="AA500" s="60"/>
      <c r="AB500" s="60"/>
      <c r="AC500" s="60"/>
      <c r="AD500" s="60"/>
      <c r="AE500" s="60"/>
      <c r="AF500" s="60"/>
      <c r="AG500" s="60"/>
      <c r="AH500" s="60"/>
      <c r="AI500" s="60"/>
      <c r="AJ500" s="60"/>
      <c r="AK500" s="64">
        <f t="shared" si="47"/>
        <v>828.54000000000008</v>
      </c>
    </row>
    <row r="501" spans="1:37" x14ac:dyDescent="0.25">
      <c r="A501" s="58" t="s">
        <v>770</v>
      </c>
      <c r="B501" s="59" t="str">
        <f t="shared" ca="1" si="45"/>
        <v>VENCIDO</v>
      </c>
      <c r="C501" s="60" t="s">
        <v>1110</v>
      </c>
      <c r="D501" s="61" t="s">
        <v>1518</v>
      </c>
      <c r="E501" s="62" t="s">
        <v>808</v>
      </c>
      <c r="F501" s="61" t="s">
        <v>775</v>
      </c>
      <c r="G501" s="60" t="s">
        <v>213</v>
      </c>
      <c r="H501" s="63">
        <v>45444</v>
      </c>
      <c r="I501" s="63">
        <v>45444</v>
      </c>
      <c r="J501" s="60">
        <f t="shared" si="49"/>
        <v>9</v>
      </c>
      <c r="K501" s="60">
        <f t="shared" si="46"/>
        <v>0</v>
      </c>
      <c r="L501" s="60">
        <v>1</v>
      </c>
      <c r="M501" s="60"/>
      <c r="N501" s="60"/>
      <c r="O501" s="60"/>
      <c r="P501" s="60"/>
      <c r="Q501" s="60">
        <v>2</v>
      </c>
      <c r="R501" s="60"/>
      <c r="S501" s="60"/>
      <c r="T501" s="60"/>
      <c r="U501" s="60"/>
      <c r="V501" s="60">
        <v>5</v>
      </c>
      <c r="W501" s="60"/>
      <c r="X501" s="60"/>
      <c r="Y501" s="60"/>
      <c r="Z501" s="60"/>
      <c r="AA501" s="60">
        <v>1</v>
      </c>
      <c r="AB501" s="60"/>
      <c r="AC501" s="60"/>
      <c r="AD501" s="60"/>
      <c r="AE501" s="60"/>
      <c r="AF501" s="60"/>
      <c r="AG501" s="60"/>
      <c r="AH501" s="60"/>
      <c r="AI501" s="60"/>
      <c r="AJ501" s="60"/>
      <c r="AK501" s="64">
        <f t="shared" si="47"/>
        <v>1908.18</v>
      </c>
    </row>
    <row r="502" spans="1:37" x14ac:dyDescent="0.25">
      <c r="A502" s="58" t="s">
        <v>770</v>
      </c>
      <c r="B502" s="59" t="str">
        <f t="shared" ref="B502:B518" ca="1" si="50">IF(H502&lt;$B$1,"VENCIDO","NA VALIDADE")</f>
        <v>VENCIDO</v>
      </c>
      <c r="C502" s="60" t="s">
        <v>1110</v>
      </c>
      <c r="D502" s="61" t="s">
        <v>1519</v>
      </c>
      <c r="E502" s="62" t="s">
        <v>223</v>
      </c>
      <c r="F502" s="61" t="s">
        <v>775</v>
      </c>
      <c r="G502" s="60" t="s">
        <v>213</v>
      </c>
      <c r="H502" s="63">
        <v>45323</v>
      </c>
      <c r="I502" s="63">
        <v>45323</v>
      </c>
      <c r="J502" s="60">
        <f t="shared" si="49"/>
        <v>17</v>
      </c>
      <c r="K502" s="60">
        <f t="shared" si="46"/>
        <v>19</v>
      </c>
      <c r="L502" s="60">
        <v>7</v>
      </c>
      <c r="M502" s="60"/>
      <c r="N502" s="60"/>
      <c r="O502" s="60">
        <v>2</v>
      </c>
      <c r="P502" s="60"/>
      <c r="Q502" s="60"/>
      <c r="R502" s="60"/>
      <c r="S502" s="60"/>
      <c r="T502" s="60"/>
      <c r="U502" s="60"/>
      <c r="V502" s="60">
        <v>2</v>
      </c>
      <c r="W502" s="60"/>
      <c r="X502" s="60"/>
      <c r="Y502" s="60"/>
      <c r="Z502" s="60"/>
      <c r="AA502" s="60">
        <v>6</v>
      </c>
      <c r="AB502" s="60"/>
      <c r="AC502" s="60"/>
      <c r="AD502" s="60"/>
      <c r="AE502" s="60"/>
      <c r="AF502" s="60">
        <v>19</v>
      </c>
      <c r="AG502" s="60"/>
      <c r="AH502" s="60"/>
      <c r="AI502" s="60"/>
      <c r="AJ502" s="60"/>
      <c r="AK502" s="64">
        <f t="shared" si="47"/>
        <v>2611.4399999999996</v>
      </c>
    </row>
    <row r="503" spans="1:37" hidden="1" x14ac:dyDescent="0.25">
      <c r="A503" s="58" t="s">
        <v>770</v>
      </c>
      <c r="B503" s="59" t="str">
        <f t="shared" ca="1" si="50"/>
        <v>VENCIDO</v>
      </c>
      <c r="C503" s="60" t="s">
        <v>869</v>
      </c>
      <c r="D503" s="61" t="s">
        <v>1520</v>
      </c>
      <c r="E503" s="62" t="s">
        <v>1521</v>
      </c>
      <c r="F503" s="61" t="s">
        <v>793</v>
      </c>
      <c r="G503" s="60" t="s">
        <v>213</v>
      </c>
      <c r="H503" s="63">
        <v>45444</v>
      </c>
      <c r="I503" s="63">
        <f>H503-180</f>
        <v>45264</v>
      </c>
      <c r="J503" s="60">
        <f t="shared" si="49"/>
        <v>6</v>
      </c>
      <c r="K503" s="60">
        <f t="shared" si="46"/>
        <v>0</v>
      </c>
      <c r="L503" s="60"/>
      <c r="M503" s="60"/>
      <c r="N503" s="60"/>
      <c r="O503" s="60"/>
      <c r="P503" s="60"/>
      <c r="Q503" s="60">
        <v>3</v>
      </c>
      <c r="R503" s="60"/>
      <c r="S503" s="60"/>
      <c r="T503" s="60">
        <v>1</v>
      </c>
      <c r="U503" s="60"/>
      <c r="V503" s="60"/>
      <c r="W503" s="60"/>
      <c r="X503" s="60"/>
      <c r="Y503" s="60"/>
      <c r="Z503" s="60"/>
      <c r="AA503" s="60">
        <v>2</v>
      </c>
      <c r="AB503" s="60"/>
      <c r="AC503" s="60"/>
      <c r="AD503" s="60"/>
      <c r="AE503" s="60"/>
      <c r="AF503" s="60"/>
      <c r="AG503" s="60"/>
      <c r="AH503" s="60"/>
      <c r="AI503" s="60"/>
      <c r="AJ503" s="60"/>
      <c r="AK503" s="64">
        <f t="shared" si="47"/>
        <v>1909.2</v>
      </c>
    </row>
    <row r="504" spans="1:37" x14ac:dyDescent="0.25">
      <c r="A504" s="58" t="s">
        <v>770</v>
      </c>
      <c r="B504" s="59" t="str">
        <f t="shared" ca="1" si="50"/>
        <v>VENCIDO</v>
      </c>
      <c r="C504" s="60" t="s">
        <v>1110</v>
      </c>
      <c r="D504" s="61" t="s">
        <v>1522</v>
      </c>
      <c r="E504" s="62" t="s">
        <v>813</v>
      </c>
      <c r="F504" s="61" t="s">
        <v>775</v>
      </c>
      <c r="G504" s="60" t="s">
        <v>213</v>
      </c>
      <c r="H504" s="63">
        <v>45352</v>
      </c>
      <c r="I504" s="63">
        <v>45352</v>
      </c>
      <c r="J504" s="60">
        <f t="shared" si="49"/>
        <v>13</v>
      </c>
      <c r="K504" s="60">
        <f t="shared" si="46"/>
        <v>8</v>
      </c>
      <c r="L504" s="60"/>
      <c r="M504" s="60"/>
      <c r="N504" s="60"/>
      <c r="O504" s="60">
        <v>3</v>
      </c>
      <c r="P504" s="60">
        <v>1</v>
      </c>
      <c r="Q504" s="60"/>
      <c r="R504" s="60">
        <v>1</v>
      </c>
      <c r="S504" s="60"/>
      <c r="T504" s="60"/>
      <c r="U504" s="60"/>
      <c r="V504" s="60">
        <v>5</v>
      </c>
      <c r="W504" s="60"/>
      <c r="X504" s="60"/>
      <c r="Y504" s="60"/>
      <c r="Z504" s="60"/>
      <c r="AA504" s="60">
        <v>3</v>
      </c>
      <c r="AB504" s="60"/>
      <c r="AC504" s="60"/>
      <c r="AD504" s="60"/>
      <c r="AE504" s="60"/>
      <c r="AF504" s="60">
        <v>8</v>
      </c>
      <c r="AG504" s="60"/>
      <c r="AH504" s="60"/>
      <c r="AI504" s="60"/>
      <c r="AJ504" s="60"/>
      <c r="AK504" s="64">
        <f t="shared" si="47"/>
        <v>3487.57</v>
      </c>
    </row>
    <row r="505" spans="1:37" x14ac:dyDescent="0.25">
      <c r="A505" s="58" t="s">
        <v>1139</v>
      </c>
      <c r="B505" s="59" t="str">
        <f t="shared" ca="1" si="50"/>
        <v>VENCIDO</v>
      </c>
      <c r="C505" s="60" t="s">
        <v>1110</v>
      </c>
      <c r="D505" s="61" t="s">
        <v>1523</v>
      </c>
      <c r="E505" s="62" t="s">
        <v>1429</v>
      </c>
      <c r="F505" s="61" t="s">
        <v>775</v>
      </c>
      <c r="G505" s="60" t="s">
        <v>213</v>
      </c>
      <c r="H505" s="63">
        <v>45383</v>
      </c>
      <c r="I505" s="63">
        <f>H505-180</f>
        <v>45203</v>
      </c>
      <c r="J505" s="60">
        <f t="shared" si="49"/>
        <v>2</v>
      </c>
      <c r="K505" s="60">
        <f t="shared" si="46"/>
        <v>0</v>
      </c>
      <c r="L505" s="60"/>
      <c r="M505" s="60"/>
      <c r="N505" s="60"/>
      <c r="O505" s="60"/>
      <c r="P505" s="60"/>
      <c r="Q505" s="60">
        <v>1</v>
      </c>
      <c r="R505" s="60"/>
      <c r="S505" s="60"/>
      <c r="T505" s="60"/>
      <c r="U505" s="60"/>
      <c r="V505" s="60">
        <v>1</v>
      </c>
      <c r="W505" s="60"/>
      <c r="X505" s="60"/>
      <c r="Y505" s="60"/>
      <c r="Z505" s="60"/>
      <c r="AA505" s="60"/>
      <c r="AB505" s="60"/>
      <c r="AC505" s="60"/>
      <c r="AD505" s="60"/>
      <c r="AE505" s="60"/>
      <c r="AF505" s="60"/>
      <c r="AG505" s="60"/>
      <c r="AH505" s="60"/>
      <c r="AI505" s="60"/>
      <c r="AJ505" s="60"/>
      <c r="AK505" s="64">
        <f t="shared" si="47"/>
        <v>513.19000000000005</v>
      </c>
    </row>
    <row r="506" spans="1:37" x14ac:dyDescent="0.25">
      <c r="A506" s="58" t="s">
        <v>770</v>
      </c>
      <c r="B506" s="59" t="str">
        <f t="shared" ca="1" si="50"/>
        <v>VENCIDO</v>
      </c>
      <c r="C506" s="60" t="s">
        <v>1110</v>
      </c>
      <c r="D506" s="61" t="s">
        <v>1524</v>
      </c>
      <c r="E506" s="62" t="s">
        <v>815</v>
      </c>
      <c r="F506" s="61" t="s">
        <v>775</v>
      </c>
      <c r="G506" s="60" t="s">
        <v>213</v>
      </c>
      <c r="H506" s="63">
        <v>45444</v>
      </c>
      <c r="I506" s="63">
        <v>45444</v>
      </c>
      <c r="J506" s="60">
        <f t="shared" si="49"/>
        <v>15</v>
      </c>
      <c r="K506" s="60">
        <f t="shared" si="46"/>
        <v>0</v>
      </c>
      <c r="L506" s="60">
        <v>5</v>
      </c>
      <c r="M506" s="60"/>
      <c r="N506" s="60"/>
      <c r="O506" s="60"/>
      <c r="P506" s="60"/>
      <c r="Q506" s="60">
        <v>4</v>
      </c>
      <c r="R506" s="60"/>
      <c r="S506" s="60"/>
      <c r="T506" s="60"/>
      <c r="U506" s="60"/>
      <c r="V506" s="60"/>
      <c r="W506" s="60"/>
      <c r="X506" s="60"/>
      <c r="Y506" s="60"/>
      <c r="Z506" s="60"/>
      <c r="AA506" s="60">
        <v>6</v>
      </c>
      <c r="AB506" s="60"/>
      <c r="AC506" s="60"/>
      <c r="AD506" s="60"/>
      <c r="AE506" s="60"/>
      <c r="AF506" s="60"/>
      <c r="AG506" s="60"/>
      <c r="AH506" s="60"/>
      <c r="AI506" s="60"/>
      <c r="AJ506" s="60"/>
      <c r="AK506" s="64">
        <f t="shared" si="47"/>
        <v>2900.6400000000003</v>
      </c>
    </row>
    <row r="507" spans="1:37" hidden="1" x14ac:dyDescent="0.25">
      <c r="A507" s="58" t="s">
        <v>770</v>
      </c>
      <c r="B507" s="59" t="str">
        <f t="shared" ca="1" si="50"/>
        <v>VENCIDO</v>
      </c>
      <c r="C507" s="60" t="s">
        <v>1110</v>
      </c>
      <c r="D507" s="61" t="s">
        <v>1525</v>
      </c>
      <c r="E507" s="62" t="s">
        <v>1444</v>
      </c>
      <c r="F507" s="61" t="s">
        <v>778</v>
      </c>
      <c r="G507" s="60" t="s">
        <v>213</v>
      </c>
      <c r="H507" s="63">
        <v>45292</v>
      </c>
      <c r="I507" s="63">
        <f t="shared" ref="I507:I518" si="51">H507-180</f>
        <v>45112</v>
      </c>
      <c r="J507" s="60">
        <f t="shared" si="49"/>
        <v>3</v>
      </c>
      <c r="K507" s="60">
        <f t="shared" si="46"/>
        <v>0</v>
      </c>
      <c r="L507" s="60"/>
      <c r="M507" s="60"/>
      <c r="N507" s="60"/>
      <c r="O507" s="60"/>
      <c r="P507" s="60"/>
      <c r="Q507" s="60"/>
      <c r="R507" s="60"/>
      <c r="S507" s="60"/>
      <c r="T507" s="60"/>
      <c r="U507" s="60"/>
      <c r="V507" s="60">
        <v>3</v>
      </c>
      <c r="W507" s="60"/>
      <c r="X507" s="60"/>
      <c r="Y507" s="60"/>
      <c r="Z507" s="60"/>
      <c r="AA507" s="60"/>
      <c r="AB507" s="60"/>
      <c r="AC507" s="60"/>
      <c r="AD507" s="60"/>
      <c r="AE507" s="60"/>
      <c r="AF507" s="60"/>
      <c r="AG507" s="60"/>
      <c r="AH507" s="60"/>
      <c r="AI507" s="60"/>
      <c r="AJ507" s="60"/>
      <c r="AK507" s="64">
        <f t="shared" si="47"/>
        <v>593.52</v>
      </c>
    </row>
    <row r="508" spans="1:37" x14ac:dyDescent="0.25">
      <c r="A508" s="58" t="s">
        <v>770</v>
      </c>
      <c r="B508" s="59" t="str">
        <f t="shared" ca="1" si="50"/>
        <v>VENCIDO</v>
      </c>
      <c r="C508" s="60" t="s">
        <v>1110</v>
      </c>
      <c r="D508" s="61" t="s">
        <v>1526</v>
      </c>
      <c r="E508" s="62" t="s">
        <v>817</v>
      </c>
      <c r="F508" s="61" t="s">
        <v>775</v>
      </c>
      <c r="G508" s="60" t="s">
        <v>213</v>
      </c>
      <c r="H508" s="63">
        <v>45505</v>
      </c>
      <c r="I508" s="63">
        <f t="shared" si="51"/>
        <v>45325</v>
      </c>
      <c r="J508" s="60">
        <f t="shared" si="49"/>
        <v>4</v>
      </c>
      <c r="K508" s="60">
        <f t="shared" si="46"/>
        <v>0</v>
      </c>
      <c r="L508" s="60"/>
      <c r="M508" s="60"/>
      <c r="N508" s="60"/>
      <c r="O508" s="60"/>
      <c r="P508" s="60"/>
      <c r="Q508" s="60">
        <v>1</v>
      </c>
      <c r="R508" s="60"/>
      <c r="S508" s="60"/>
      <c r="T508" s="60"/>
      <c r="U508" s="60"/>
      <c r="V508" s="60">
        <v>2</v>
      </c>
      <c r="W508" s="60"/>
      <c r="X508" s="60"/>
      <c r="Y508" s="60"/>
      <c r="Z508" s="60"/>
      <c r="AA508" s="60">
        <v>1</v>
      </c>
      <c r="AB508" s="60"/>
      <c r="AC508" s="60"/>
      <c r="AD508" s="60"/>
      <c r="AE508" s="60"/>
      <c r="AF508" s="60"/>
      <c r="AG508" s="60"/>
      <c r="AH508" s="60"/>
      <c r="AI508" s="60"/>
      <c r="AJ508" s="60"/>
      <c r="AK508" s="64">
        <f t="shared" si="47"/>
        <v>908.87</v>
      </c>
    </row>
    <row r="509" spans="1:37" x14ac:dyDescent="0.25">
      <c r="A509" s="58"/>
      <c r="B509" s="59" t="str">
        <f t="shared" ca="1" si="50"/>
        <v>VENCIDO</v>
      </c>
      <c r="C509" s="60" t="s">
        <v>1110</v>
      </c>
      <c r="D509" s="61" t="s">
        <v>1527</v>
      </c>
      <c r="E509" s="62" t="s">
        <v>820</v>
      </c>
      <c r="F509" s="61" t="s">
        <v>775</v>
      </c>
      <c r="G509" s="60" t="s">
        <v>213</v>
      </c>
      <c r="H509" s="63">
        <v>45444</v>
      </c>
      <c r="I509" s="63">
        <f t="shared" si="51"/>
        <v>45264</v>
      </c>
      <c r="J509" s="60">
        <f t="shared" si="49"/>
        <v>14</v>
      </c>
      <c r="K509" s="60">
        <f t="shared" si="46"/>
        <v>11</v>
      </c>
      <c r="L509" s="60"/>
      <c r="M509" s="60"/>
      <c r="N509" s="60"/>
      <c r="O509" s="60">
        <v>4</v>
      </c>
      <c r="P509" s="60"/>
      <c r="Q509" s="60"/>
      <c r="R509" s="60"/>
      <c r="S509" s="60"/>
      <c r="T509" s="60"/>
      <c r="U509" s="60"/>
      <c r="V509" s="60">
        <v>10</v>
      </c>
      <c r="W509" s="60"/>
      <c r="X509" s="60"/>
      <c r="Y509" s="60"/>
      <c r="Z509" s="60"/>
      <c r="AA509" s="60"/>
      <c r="AB509" s="60"/>
      <c r="AC509" s="60"/>
      <c r="AD509" s="60"/>
      <c r="AE509" s="60"/>
      <c r="AF509" s="60">
        <v>8</v>
      </c>
      <c r="AG509" s="60"/>
      <c r="AH509" s="60">
        <v>3</v>
      </c>
      <c r="AI509" s="60"/>
      <c r="AJ509" s="60"/>
      <c r="AK509" s="64">
        <f t="shared" si="47"/>
        <v>2769.6800000000003</v>
      </c>
    </row>
    <row r="510" spans="1:37" hidden="1" x14ac:dyDescent="0.25">
      <c r="A510" s="58"/>
      <c r="B510" s="59" t="str">
        <f t="shared" ca="1" si="50"/>
        <v>VENCIDO</v>
      </c>
      <c r="C510" s="60" t="s">
        <v>869</v>
      </c>
      <c r="D510" s="61" t="s">
        <v>1528</v>
      </c>
      <c r="E510" s="62" t="s">
        <v>1506</v>
      </c>
      <c r="F510" s="61" t="s">
        <v>793</v>
      </c>
      <c r="G510" s="60" t="s">
        <v>213</v>
      </c>
      <c r="H510" s="63">
        <v>45474</v>
      </c>
      <c r="I510" s="63">
        <f t="shared" si="51"/>
        <v>45294</v>
      </c>
      <c r="J510" s="60">
        <f t="shared" si="49"/>
        <v>11</v>
      </c>
      <c r="K510" s="60">
        <f t="shared" si="46"/>
        <v>0</v>
      </c>
      <c r="L510" s="60"/>
      <c r="M510" s="60"/>
      <c r="N510" s="60"/>
      <c r="O510" s="60"/>
      <c r="P510" s="60">
        <v>3</v>
      </c>
      <c r="Q510" s="60">
        <v>5</v>
      </c>
      <c r="R510" s="60"/>
      <c r="S510" s="60"/>
      <c r="T510" s="60">
        <v>3</v>
      </c>
      <c r="U510" s="60"/>
      <c r="V510" s="60"/>
      <c r="W510" s="60"/>
      <c r="X510" s="60"/>
      <c r="Y510" s="60"/>
      <c r="Z510" s="60"/>
      <c r="AA510" s="60"/>
      <c r="AB510" s="60"/>
      <c r="AC510" s="60"/>
      <c r="AD510" s="60"/>
      <c r="AE510" s="60"/>
      <c r="AF510" s="60"/>
      <c r="AG510" s="60"/>
      <c r="AH510" s="60"/>
      <c r="AI510" s="60"/>
      <c r="AJ510" s="60"/>
      <c r="AK510" s="64">
        <f t="shared" si="47"/>
        <v>4011.4300000000003</v>
      </c>
    </row>
    <row r="511" spans="1:37" hidden="1" x14ac:dyDescent="0.25">
      <c r="A511" s="58" t="s">
        <v>770</v>
      </c>
      <c r="B511" s="59" t="str">
        <f t="shared" ca="1" si="50"/>
        <v>VENCIDO</v>
      </c>
      <c r="C511" s="60" t="s">
        <v>1110</v>
      </c>
      <c r="D511" s="61" t="s">
        <v>1529</v>
      </c>
      <c r="E511" s="62" t="s">
        <v>826</v>
      </c>
      <c r="F511" s="61" t="s">
        <v>793</v>
      </c>
      <c r="G511" s="60" t="s">
        <v>213</v>
      </c>
      <c r="H511" s="63">
        <v>45474</v>
      </c>
      <c r="I511" s="63">
        <f t="shared" si="51"/>
        <v>45294</v>
      </c>
      <c r="J511" s="60">
        <f t="shared" si="49"/>
        <v>9</v>
      </c>
      <c r="K511" s="60">
        <f t="shared" si="46"/>
        <v>0</v>
      </c>
      <c r="L511" s="60">
        <v>2</v>
      </c>
      <c r="M511" s="60"/>
      <c r="N511" s="60"/>
      <c r="O511" s="60">
        <v>1</v>
      </c>
      <c r="P511" s="60"/>
      <c r="Q511" s="60">
        <v>2</v>
      </c>
      <c r="R511" s="60"/>
      <c r="S511" s="60"/>
      <c r="T511" s="60"/>
      <c r="U511" s="60"/>
      <c r="V511" s="60"/>
      <c r="W511" s="60"/>
      <c r="X511" s="60"/>
      <c r="Y511" s="60"/>
      <c r="Z511" s="60"/>
      <c r="AA511" s="60">
        <v>4</v>
      </c>
      <c r="AB511" s="60"/>
      <c r="AC511" s="60"/>
      <c r="AD511" s="60"/>
      <c r="AE511" s="60"/>
      <c r="AF511" s="60"/>
      <c r="AG511" s="60"/>
      <c r="AH511" s="60"/>
      <c r="AI511" s="60"/>
      <c r="AJ511" s="60"/>
      <c r="AK511" s="64">
        <f t="shared" si="47"/>
        <v>1800.7600000000002</v>
      </c>
    </row>
    <row r="512" spans="1:37" hidden="1" x14ac:dyDescent="0.25">
      <c r="A512" s="58" t="s">
        <v>770</v>
      </c>
      <c r="B512" s="59" t="str">
        <f t="shared" ca="1" si="50"/>
        <v>VENCIDO</v>
      </c>
      <c r="C512" s="60" t="s">
        <v>1110</v>
      </c>
      <c r="D512" s="61" t="s">
        <v>1530</v>
      </c>
      <c r="E512" s="62" t="s">
        <v>778</v>
      </c>
      <c r="F512" s="61" t="s">
        <v>778</v>
      </c>
      <c r="G512" s="60" t="s">
        <v>213</v>
      </c>
      <c r="H512" s="63">
        <v>45536</v>
      </c>
      <c r="I512" s="63">
        <f t="shared" si="51"/>
        <v>45356</v>
      </c>
      <c r="J512" s="60">
        <f t="shared" si="49"/>
        <v>38</v>
      </c>
      <c r="K512" s="60">
        <f t="shared" si="46"/>
        <v>8</v>
      </c>
      <c r="L512" s="60">
        <v>8</v>
      </c>
      <c r="M512" s="60"/>
      <c r="N512" s="60"/>
      <c r="O512" s="60"/>
      <c r="P512" s="60"/>
      <c r="Q512" s="60">
        <v>11</v>
      </c>
      <c r="R512" s="60"/>
      <c r="S512" s="60"/>
      <c r="T512" s="60"/>
      <c r="U512" s="60"/>
      <c r="V512" s="60">
        <v>5</v>
      </c>
      <c r="W512" s="60"/>
      <c r="X512" s="60"/>
      <c r="Y512" s="60"/>
      <c r="Z512" s="60"/>
      <c r="AA512" s="60">
        <v>14</v>
      </c>
      <c r="AB512" s="60"/>
      <c r="AC512" s="60"/>
      <c r="AD512" s="60"/>
      <c r="AE512" s="60"/>
      <c r="AF512" s="60"/>
      <c r="AG512" s="60"/>
      <c r="AH512" s="60">
        <v>8</v>
      </c>
      <c r="AI512" s="60"/>
      <c r="AJ512" s="60"/>
      <c r="AK512" s="64">
        <f t="shared" si="47"/>
        <v>7951.3300000000008</v>
      </c>
    </row>
    <row r="513" spans="1:37" hidden="1" x14ac:dyDescent="0.25">
      <c r="A513" s="58" t="s">
        <v>786</v>
      </c>
      <c r="B513" s="58" t="str">
        <f t="shared" ca="1" si="50"/>
        <v>VENCIDO</v>
      </c>
      <c r="C513" s="58" t="s">
        <v>1110</v>
      </c>
      <c r="D513" s="69" t="s">
        <v>1525</v>
      </c>
      <c r="E513" s="70" t="s">
        <v>1444</v>
      </c>
      <c r="F513" s="69" t="s">
        <v>778</v>
      </c>
      <c r="G513" s="58" t="s">
        <v>213</v>
      </c>
      <c r="H513" s="71">
        <v>44469</v>
      </c>
      <c r="I513" s="71">
        <f t="shared" si="51"/>
        <v>44289</v>
      </c>
      <c r="J513" s="58">
        <f t="shared" si="49"/>
        <v>2</v>
      </c>
      <c r="K513" s="60">
        <f t="shared" si="46"/>
        <v>0</v>
      </c>
      <c r="L513" s="58"/>
      <c r="M513" s="58"/>
      <c r="N513" s="58"/>
      <c r="O513" s="58"/>
      <c r="P513" s="58"/>
      <c r="Q513" s="58">
        <v>2</v>
      </c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  <c r="AG513" s="58"/>
      <c r="AH513" s="58"/>
      <c r="AI513" s="58"/>
      <c r="AJ513" s="58"/>
      <c r="AK513" s="64">
        <f t="shared" si="47"/>
        <v>630.70000000000005</v>
      </c>
    </row>
    <row r="514" spans="1:37" x14ac:dyDescent="0.25">
      <c r="A514" s="58"/>
      <c r="B514" s="58" t="str">
        <f t="shared" ca="1" si="50"/>
        <v>VENCIDO</v>
      </c>
      <c r="C514" s="58" t="s">
        <v>1110</v>
      </c>
      <c r="D514" s="69" t="s">
        <v>1526</v>
      </c>
      <c r="E514" s="70" t="s">
        <v>817</v>
      </c>
      <c r="F514" s="69" t="s">
        <v>775</v>
      </c>
      <c r="G514" s="58" t="s">
        <v>213</v>
      </c>
      <c r="H514" s="71">
        <v>44561</v>
      </c>
      <c r="I514" s="71">
        <f t="shared" si="51"/>
        <v>44381</v>
      </c>
      <c r="J514" s="58">
        <f t="shared" si="49"/>
        <v>8</v>
      </c>
      <c r="K514" s="60">
        <f t="shared" si="46"/>
        <v>0</v>
      </c>
      <c r="L514" s="58">
        <v>2</v>
      </c>
      <c r="M514" s="58"/>
      <c r="N514" s="58"/>
      <c r="O514" s="58"/>
      <c r="P514" s="58"/>
      <c r="Q514" s="58">
        <v>1</v>
      </c>
      <c r="R514" s="58"/>
      <c r="S514" s="58"/>
      <c r="T514" s="58"/>
      <c r="U514" s="58"/>
      <c r="V514" s="58">
        <v>3</v>
      </c>
      <c r="W514" s="58"/>
      <c r="X514" s="58"/>
      <c r="Y514" s="58"/>
      <c r="Z514" s="58"/>
      <c r="AA514" s="58">
        <v>2</v>
      </c>
      <c r="AB514" s="58"/>
      <c r="AC514" s="58"/>
      <c r="AD514" s="58"/>
      <c r="AE514" s="58"/>
      <c r="AF514" s="58"/>
      <c r="AG514" s="58"/>
      <c r="AH514" s="58"/>
      <c r="AI514" s="58"/>
      <c r="AJ514" s="58"/>
      <c r="AK514" s="64">
        <f t="shared" si="47"/>
        <v>1485.43</v>
      </c>
    </row>
    <row r="515" spans="1:37" x14ac:dyDescent="0.25">
      <c r="A515" s="58" t="s">
        <v>770</v>
      </c>
      <c r="B515" s="58" t="str">
        <f t="shared" ca="1" si="50"/>
        <v>VENCIDO</v>
      </c>
      <c r="C515" s="58" t="s">
        <v>1110</v>
      </c>
      <c r="D515" s="69" t="s">
        <v>1527</v>
      </c>
      <c r="E515" s="70" t="s">
        <v>820</v>
      </c>
      <c r="F515" s="69" t="s">
        <v>775</v>
      </c>
      <c r="G515" s="58" t="s">
        <v>213</v>
      </c>
      <c r="H515" s="71">
        <v>44682</v>
      </c>
      <c r="I515" s="71">
        <f t="shared" si="51"/>
        <v>44502</v>
      </c>
      <c r="J515" s="58">
        <f t="shared" si="49"/>
        <v>13</v>
      </c>
      <c r="K515" s="60">
        <f t="shared" si="46"/>
        <v>15</v>
      </c>
      <c r="L515" s="58"/>
      <c r="M515" s="58"/>
      <c r="N515" s="58"/>
      <c r="O515" s="58">
        <v>5</v>
      </c>
      <c r="P515" s="58"/>
      <c r="Q515" s="58"/>
      <c r="R515" s="58"/>
      <c r="S515" s="58"/>
      <c r="T515" s="58"/>
      <c r="U515" s="58">
        <v>1</v>
      </c>
      <c r="V515" s="58">
        <v>7</v>
      </c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  <c r="AG515" s="58"/>
      <c r="AH515" s="58">
        <v>15</v>
      </c>
      <c r="AI515" s="58"/>
      <c r="AJ515" s="58"/>
      <c r="AK515" s="64">
        <f t="shared" si="47"/>
        <v>2525.61</v>
      </c>
    </row>
    <row r="516" spans="1:37" hidden="1" x14ac:dyDescent="0.25">
      <c r="A516" s="58" t="s">
        <v>849</v>
      </c>
      <c r="B516" s="58" t="str">
        <f t="shared" ca="1" si="50"/>
        <v>VENCIDO</v>
      </c>
      <c r="C516" s="58" t="s">
        <v>869</v>
      </c>
      <c r="D516" s="69" t="s">
        <v>1528</v>
      </c>
      <c r="E516" s="70" t="s">
        <v>1506</v>
      </c>
      <c r="F516" s="69" t="s">
        <v>793</v>
      </c>
      <c r="G516" s="58" t="s">
        <v>213</v>
      </c>
      <c r="H516" s="71">
        <v>44621</v>
      </c>
      <c r="I516" s="71">
        <f t="shared" si="51"/>
        <v>44441</v>
      </c>
      <c r="J516" s="58">
        <f t="shared" si="49"/>
        <v>18</v>
      </c>
      <c r="K516" s="60">
        <f t="shared" si="46"/>
        <v>0</v>
      </c>
      <c r="L516" s="58">
        <v>8</v>
      </c>
      <c r="M516" s="58"/>
      <c r="N516" s="58"/>
      <c r="O516" s="58"/>
      <c r="P516" s="58"/>
      <c r="Q516" s="58">
        <v>7</v>
      </c>
      <c r="R516" s="58"/>
      <c r="S516" s="58"/>
      <c r="T516" s="58"/>
      <c r="U516" s="58"/>
      <c r="V516" s="58"/>
      <c r="W516" s="58"/>
      <c r="X516" s="58">
        <v>3</v>
      </c>
      <c r="Y516" s="58"/>
      <c r="Z516" s="58"/>
      <c r="AA516" s="58"/>
      <c r="AB516" s="58"/>
      <c r="AC516" s="58"/>
      <c r="AD516" s="58"/>
      <c r="AE516" s="58"/>
      <c r="AF516" s="58"/>
      <c r="AG516" s="58"/>
      <c r="AH516" s="58"/>
      <c r="AI516" s="58"/>
      <c r="AJ516" s="58"/>
      <c r="AK516" s="64">
        <f t="shared" si="47"/>
        <v>5036.0400000000009</v>
      </c>
    </row>
    <row r="517" spans="1:37" hidden="1" x14ac:dyDescent="0.25">
      <c r="A517" s="58" t="s">
        <v>770</v>
      </c>
      <c r="B517" s="58" t="str">
        <f t="shared" ca="1" si="50"/>
        <v>VENCIDO</v>
      </c>
      <c r="C517" s="58" t="s">
        <v>1110</v>
      </c>
      <c r="D517" s="69" t="s">
        <v>1529</v>
      </c>
      <c r="E517" s="70" t="s">
        <v>826</v>
      </c>
      <c r="F517" s="69" t="s">
        <v>793</v>
      </c>
      <c r="G517" s="58" t="s">
        <v>213</v>
      </c>
      <c r="H517" s="71">
        <v>44743</v>
      </c>
      <c r="I517" s="71">
        <f t="shared" si="51"/>
        <v>44563</v>
      </c>
      <c r="J517" s="58">
        <f t="shared" si="49"/>
        <v>7</v>
      </c>
      <c r="K517" s="60">
        <f t="shared" si="46"/>
        <v>0</v>
      </c>
      <c r="L517" s="58">
        <v>2</v>
      </c>
      <c r="M517" s="58"/>
      <c r="N517" s="58"/>
      <c r="O517" s="58"/>
      <c r="P517" s="58"/>
      <c r="Q517" s="58">
        <v>2</v>
      </c>
      <c r="R517" s="58"/>
      <c r="S517" s="58"/>
      <c r="T517" s="58"/>
      <c r="U517" s="58"/>
      <c r="V517" s="58"/>
      <c r="W517" s="58"/>
      <c r="X517" s="58"/>
      <c r="Y517" s="58"/>
      <c r="Z517" s="58"/>
      <c r="AA517" s="58">
        <v>3</v>
      </c>
      <c r="AB517" s="58"/>
      <c r="AC517" s="58"/>
      <c r="AD517" s="58"/>
      <c r="AE517" s="58"/>
      <c r="AF517" s="58"/>
      <c r="AG517" s="58"/>
      <c r="AH517" s="58"/>
      <c r="AI517" s="58"/>
      <c r="AJ517" s="58"/>
      <c r="AK517" s="64">
        <f t="shared" si="47"/>
        <v>1405.1</v>
      </c>
    </row>
    <row r="518" spans="1:37" hidden="1" x14ac:dyDescent="0.25">
      <c r="A518" s="58" t="s">
        <v>770</v>
      </c>
      <c r="B518" s="58" t="str">
        <f t="shared" ca="1" si="50"/>
        <v>VENCIDO</v>
      </c>
      <c r="C518" s="58" t="s">
        <v>1110</v>
      </c>
      <c r="D518" s="69" t="s">
        <v>1530</v>
      </c>
      <c r="E518" s="70" t="s">
        <v>778</v>
      </c>
      <c r="F518" s="69" t="s">
        <v>778</v>
      </c>
      <c r="G518" s="58" t="s">
        <v>213</v>
      </c>
      <c r="H518" s="71">
        <v>44743</v>
      </c>
      <c r="I518" s="71">
        <f t="shared" si="51"/>
        <v>44563</v>
      </c>
      <c r="J518" s="58">
        <f t="shared" si="49"/>
        <v>16</v>
      </c>
      <c r="K518" s="60">
        <f t="shared" si="46"/>
        <v>8</v>
      </c>
      <c r="L518" s="58">
        <v>4</v>
      </c>
      <c r="M518" s="58"/>
      <c r="N518" s="58"/>
      <c r="O518" s="58">
        <v>8</v>
      </c>
      <c r="P518" s="58"/>
      <c r="Q518" s="58">
        <v>1</v>
      </c>
      <c r="R518" s="58"/>
      <c r="S518" s="58"/>
      <c r="T518" s="58"/>
      <c r="U518" s="58"/>
      <c r="V518" s="58"/>
      <c r="W518" s="58"/>
      <c r="X518" s="58"/>
      <c r="Y518" s="58"/>
      <c r="Z518" s="58"/>
      <c r="AA518" s="58">
        <v>3</v>
      </c>
      <c r="AB518" s="58"/>
      <c r="AC518" s="58"/>
      <c r="AD518" s="58"/>
      <c r="AE518" s="58"/>
      <c r="AF518" s="58"/>
      <c r="AG518" s="58"/>
      <c r="AH518" s="58">
        <v>8</v>
      </c>
      <c r="AI518" s="58"/>
      <c r="AJ518" s="58"/>
      <c r="AK518" s="64">
        <f t="shared" si="47"/>
        <v>2853.19</v>
      </c>
    </row>
  </sheetData>
  <autoFilter ref="A2:AK518" xr:uid="{00000000-0009-0000-0000-000002000000}">
    <filterColumn colId="5">
      <filters>
        <filter val="FEIRA DE  SANTANA"/>
      </filters>
    </filterColumn>
  </autoFilter>
  <mergeCells count="7">
    <mergeCell ref="AD1:AE1"/>
    <mergeCell ref="AF1:AK1"/>
    <mergeCell ref="J1:K1"/>
    <mergeCell ref="L1:M1"/>
    <mergeCell ref="N1:T1"/>
    <mergeCell ref="U1:Y1"/>
    <mergeCell ref="Z1:AC1"/>
  </mergeCells>
  <conditionalFormatting sqref="A3:A512 A513:B518">
    <cfRule type="containsText" dxfId="79" priority="11" operator="containsText" text="NA VALIDADE">
      <formula>NOT(ISERROR(SEARCH("NA VALIDADE",A3)))</formula>
    </cfRule>
    <cfRule type="containsText" dxfId="78" priority="12" operator="containsText" text="VENCIDO">
      <formula>NOT(ISERROR(SEARCH("VENCIDO",A3)))</formula>
    </cfRule>
  </conditionalFormatting>
  <conditionalFormatting sqref="A3:A518">
    <cfRule type="cellIs" dxfId="77" priority="5" operator="equal">
      <formula>"SIM"</formula>
    </cfRule>
  </conditionalFormatting>
  <conditionalFormatting sqref="A2:B2">
    <cfRule type="containsText" dxfId="76" priority="6" operator="containsText" text="ENVIADO">
      <formula>NOT(ISERROR(SEARCH("ENVIADO",A2)))</formula>
    </cfRule>
    <cfRule type="cellIs" dxfId="75" priority="7" operator="equal">
      <formula>$E$355</formula>
    </cfRule>
    <cfRule type="cellIs" dxfId="74" priority="8" operator="equal">
      <formula>$E$354</formula>
    </cfRule>
    <cfRule type="cellIs" dxfId="73" priority="9" operator="equal">
      <formula>$E$353</formula>
    </cfRule>
    <cfRule type="cellIs" dxfId="72" priority="10" operator="equal">
      <formula>$E$352</formula>
    </cfRule>
  </conditionalFormatting>
  <conditionalFormatting sqref="B3:B512">
    <cfRule type="containsText" dxfId="71" priority="2" operator="containsText" text="NA VALIDADE">
      <formula>NOT(ISERROR(SEARCH("NA VALIDADE",B3)))</formula>
    </cfRule>
    <cfRule type="containsText" dxfId="70" priority="3" operator="containsText" text="VENCIDO">
      <formula>NOT(ISERROR(SEARCH("VENCIDO",B3)))</formula>
    </cfRule>
  </conditionalFormatting>
  <conditionalFormatting sqref="J3:AK518">
    <cfRule type="cellIs" dxfId="69" priority="4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18" fitToHeight="0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55A11"/>
    <pageSetUpPr fitToPage="1"/>
  </sheetPr>
  <dimension ref="A1:AK115"/>
  <sheetViews>
    <sheetView view="pageBreakPreview" zoomScale="80" zoomScaleNormal="100" zoomScalePageLayoutView="80" workbookViewId="0">
      <selection activeCell="AG15" sqref="AG15"/>
    </sheetView>
  </sheetViews>
  <sheetFormatPr defaultColWidth="8.7109375" defaultRowHeight="15" x14ac:dyDescent="0.25"/>
  <cols>
    <col min="1" max="1" width="12.85546875" customWidth="1"/>
    <col min="2" max="2" width="11.5703125" customWidth="1"/>
    <col min="3" max="3" width="13.42578125" customWidth="1"/>
    <col min="4" max="4" width="56.5703125" customWidth="1"/>
    <col min="5" max="5" width="29.42578125" customWidth="1"/>
    <col min="6" max="6" width="3.85546875" customWidth="1"/>
    <col min="7" max="7" width="23.5703125" customWidth="1"/>
    <col min="8" max="9" width="13.5703125" customWidth="1"/>
    <col min="10" max="11" width="16.85546875" customWidth="1"/>
    <col min="36" max="36" width="11.85546875" customWidth="1"/>
    <col min="37" max="37" width="17" hidden="1" customWidth="1"/>
  </cols>
  <sheetData>
    <row r="1" spans="1:37" ht="51" customHeight="1" x14ac:dyDescent="0.25">
      <c r="A1" s="72">
        <f ca="1">TODAY()</f>
        <v>46308</v>
      </c>
      <c r="B1" s="72">
        <f ca="1">TODAY()</f>
        <v>46308</v>
      </c>
      <c r="C1" s="48"/>
      <c r="D1" s="49">
        <f>SUBTOTAL(3,D3:D519)</f>
        <v>111</v>
      </c>
      <c r="E1" s="51" t="s">
        <v>1531</v>
      </c>
      <c r="F1" s="48"/>
      <c r="G1" s="48"/>
      <c r="H1" s="73" t="s">
        <v>756</v>
      </c>
      <c r="I1" s="53"/>
      <c r="J1" s="5" t="s">
        <v>757</v>
      </c>
      <c r="K1" s="5"/>
      <c r="L1" s="4" t="s">
        <v>758</v>
      </c>
      <c r="M1" s="4"/>
      <c r="N1" s="3" t="s">
        <v>759</v>
      </c>
      <c r="O1" s="3"/>
      <c r="P1" s="3"/>
      <c r="Q1" s="3"/>
      <c r="R1" s="3"/>
      <c r="S1" s="3"/>
      <c r="T1" s="3"/>
      <c r="U1" s="2" t="s">
        <v>760</v>
      </c>
      <c r="V1" s="2"/>
      <c r="W1" s="2"/>
      <c r="X1" s="2"/>
      <c r="Y1" s="2"/>
      <c r="Z1" s="1" t="s">
        <v>761</v>
      </c>
      <c r="AA1" s="1"/>
      <c r="AB1" s="1"/>
      <c r="AC1" s="1"/>
      <c r="AD1" s="98" t="s">
        <v>762</v>
      </c>
      <c r="AE1" s="98"/>
      <c r="AF1" s="99" t="s">
        <v>739</v>
      </c>
      <c r="AG1" s="99"/>
      <c r="AH1" s="99"/>
      <c r="AI1" s="99"/>
      <c r="AJ1" s="99"/>
      <c r="AK1" s="99"/>
    </row>
    <row r="2" spans="1:37" ht="15.75" customHeight="1" x14ac:dyDescent="0.25">
      <c r="A2" s="54" t="s">
        <v>763</v>
      </c>
      <c r="B2" s="54" t="s">
        <v>62</v>
      </c>
      <c r="C2" s="54" t="s">
        <v>764</v>
      </c>
      <c r="D2" s="54" t="s">
        <v>30</v>
      </c>
      <c r="E2" s="54" t="s">
        <v>32</v>
      </c>
      <c r="F2" s="54" t="s">
        <v>33</v>
      </c>
      <c r="G2" s="54" t="s">
        <v>765</v>
      </c>
      <c r="H2" s="54" t="s">
        <v>34</v>
      </c>
      <c r="I2" s="54" t="s">
        <v>766</v>
      </c>
      <c r="J2" s="55" t="s">
        <v>63</v>
      </c>
      <c r="K2" s="55" t="s">
        <v>64</v>
      </c>
      <c r="L2" s="56" t="s">
        <v>35</v>
      </c>
      <c r="M2" s="56" t="s">
        <v>36</v>
      </c>
      <c r="N2" s="56" t="s">
        <v>37</v>
      </c>
      <c r="O2" s="56" t="s">
        <v>38</v>
      </c>
      <c r="P2" s="56" t="s">
        <v>39</v>
      </c>
      <c r="Q2" s="56" t="s">
        <v>40</v>
      </c>
      <c r="R2" s="56" t="s">
        <v>41</v>
      </c>
      <c r="S2" s="56" t="s">
        <v>42</v>
      </c>
      <c r="T2" s="56" t="s">
        <v>43</v>
      </c>
      <c r="U2" s="56" t="s">
        <v>37</v>
      </c>
      <c r="V2" s="56" t="s">
        <v>38</v>
      </c>
      <c r="W2" s="56" t="s">
        <v>39</v>
      </c>
      <c r="X2" s="56" t="s">
        <v>44</v>
      </c>
      <c r="Y2" s="56" t="s">
        <v>768</v>
      </c>
      <c r="Z2" s="56" t="s">
        <v>37</v>
      </c>
      <c r="AA2" s="56" t="s">
        <v>38</v>
      </c>
      <c r="AB2" s="56" t="s">
        <v>47</v>
      </c>
      <c r="AC2" s="56" t="s">
        <v>48</v>
      </c>
      <c r="AD2" s="56" t="s">
        <v>49</v>
      </c>
      <c r="AE2" s="56" t="s">
        <v>50</v>
      </c>
      <c r="AF2" s="57" t="s">
        <v>51</v>
      </c>
      <c r="AG2" s="57" t="s">
        <v>52</v>
      </c>
      <c r="AH2" s="57" t="s">
        <v>53</v>
      </c>
      <c r="AI2" s="57" t="s">
        <v>54</v>
      </c>
      <c r="AJ2" s="57" t="s">
        <v>55</v>
      </c>
      <c r="AK2" s="57" t="s">
        <v>769</v>
      </c>
    </row>
    <row r="3" spans="1:37" x14ac:dyDescent="0.25">
      <c r="A3" s="59" t="s">
        <v>770</v>
      </c>
      <c r="B3" s="59" t="str">
        <f t="shared" ref="B3:B34" ca="1" si="0">IF(H3&lt;$B$1,"VENCIDO","NA VALIDADE")</f>
        <v>VENCIDO</v>
      </c>
      <c r="C3" s="60" t="s">
        <v>772</v>
      </c>
      <c r="D3" s="61" t="s">
        <v>1532</v>
      </c>
      <c r="E3" s="74" t="s">
        <v>1533</v>
      </c>
      <c r="F3" s="75" t="s">
        <v>229</v>
      </c>
      <c r="G3" s="75" t="s">
        <v>228</v>
      </c>
      <c r="H3" s="63">
        <v>45413</v>
      </c>
      <c r="I3" s="63">
        <f t="shared" ref="I3:I12" si="1">H3-180</f>
        <v>45233</v>
      </c>
      <c r="J3" s="60">
        <f t="shared" ref="J3:J21" si="2">SUM(L3:AE3)</f>
        <v>2</v>
      </c>
      <c r="K3" s="60">
        <f>SUM(AF3:AJ3)</f>
        <v>0</v>
      </c>
      <c r="L3" s="60">
        <v>1</v>
      </c>
      <c r="M3" s="60"/>
      <c r="N3" s="60">
        <v>1</v>
      </c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4">
        <f t="shared" ref="AK3:AK34" si="3"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242.07</v>
      </c>
    </row>
    <row r="4" spans="1:37" x14ac:dyDescent="0.25">
      <c r="A4" s="59" t="s">
        <v>770</v>
      </c>
      <c r="B4" s="59" t="str">
        <f t="shared" ca="1" si="0"/>
        <v>VENCIDO</v>
      </c>
      <c r="C4" s="60" t="s">
        <v>772</v>
      </c>
      <c r="D4" s="61" t="s">
        <v>1534</v>
      </c>
      <c r="E4" s="74" t="s">
        <v>1535</v>
      </c>
      <c r="F4" s="75" t="s">
        <v>229</v>
      </c>
      <c r="G4" s="75" t="s">
        <v>228</v>
      </c>
      <c r="H4" s="63">
        <v>45444</v>
      </c>
      <c r="I4" s="63">
        <f t="shared" si="1"/>
        <v>45264</v>
      </c>
      <c r="J4" s="60">
        <f t="shared" si="2"/>
        <v>2</v>
      </c>
      <c r="K4" s="60">
        <f t="shared" ref="K4:K35" si="4">SUM(AF4:AK4)</f>
        <v>242.07</v>
      </c>
      <c r="L4" s="60">
        <v>1</v>
      </c>
      <c r="M4" s="60"/>
      <c r="N4" s="60">
        <v>1</v>
      </c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4">
        <f t="shared" si="3"/>
        <v>242.07</v>
      </c>
    </row>
    <row r="5" spans="1:37" x14ac:dyDescent="0.25">
      <c r="A5" s="59" t="s">
        <v>770</v>
      </c>
      <c r="B5" s="59" t="str">
        <f t="shared" ca="1" si="0"/>
        <v>VENCIDO</v>
      </c>
      <c r="C5" s="60" t="s">
        <v>772</v>
      </c>
      <c r="D5" s="61" t="s">
        <v>1536</v>
      </c>
      <c r="E5" s="74" t="s">
        <v>228</v>
      </c>
      <c r="F5" s="75" t="s">
        <v>229</v>
      </c>
      <c r="G5" s="75" t="s">
        <v>228</v>
      </c>
      <c r="H5" s="63">
        <v>45323</v>
      </c>
      <c r="I5" s="63">
        <f t="shared" si="1"/>
        <v>45143</v>
      </c>
      <c r="J5" s="60">
        <f t="shared" si="2"/>
        <v>4</v>
      </c>
      <c r="K5" s="60">
        <f t="shared" si="4"/>
        <v>576.52</v>
      </c>
      <c r="L5" s="60">
        <v>2</v>
      </c>
      <c r="M5" s="60"/>
      <c r="N5" s="60"/>
      <c r="O5" s="60">
        <v>2</v>
      </c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4">
        <f t="shared" si="3"/>
        <v>576.52</v>
      </c>
    </row>
    <row r="6" spans="1:37" x14ac:dyDescent="0.25">
      <c r="A6" s="59" t="s">
        <v>770</v>
      </c>
      <c r="B6" s="59" t="str">
        <f t="shared" ca="1" si="0"/>
        <v>VENCIDO</v>
      </c>
      <c r="C6" s="60" t="s">
        <v>772</v>
      </c>
      <c r="D6" s="61" t="s">
        <v>1537</v>
      </c>
      <c r="E6" s="74" t="s">
        <v>1538</v>
      </c>
      <c r="F6" s="75" t="s">
        <v>229</v>
      </c>
      <c r="G6" s="75" t="s">
        <v>228</v>
      </c>
      <c r="H6" s="63">
        <v>45474</v>
      </c>
      <c r="I6" s="63">
        <f t="shared" si="1"/>
        <v>45294</v>
      </c>
      <c r="J6" s="60">
        <f t="shared" si="2"/>
        <v>2</v>
      </c>
      <c r="K6" s="60">
        <f t="shared" si="4"/>
        <v>288.26</v>
      </c>
      <c r="L6" s="60">
        <v>1</v>
      </c>
      <c r="M6" s="60"/>
      <c r="N6" s="60"/>
      <c r="O6" s="60">
        <v>1</v>
      </c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4">
        <f t="shared" si="3"/>
        <v>288.26</v>
      </c>
    </row>
    <row r="7" spans="1:37" x14ac:dyDescent="0.25">
      <c r="A7" s="59" t="s">
        <v>770</v>
      </c>
      <c r="B7" s="59" t="str">
        <f t="shared" ca="1" si="0"/>
        <v>VENCIDO</v>
      </c>
      <c r="C7" s="60" t="s">
        <v>772</v>
      </c>
      <c r="D7" s="61" t="s">
        <v>1539</v>
      </c>
      <c r="E7" s="74" t="s">
        <v>1540</v>
      </c>
      <c r="F7" s="75" t="s">
        <v>229</v>
      </c>
      <c r="G7" s="75" t="s">
        <v>228</v>
      </c>
      <c r="H7" s="63">
        <v>45444</v>
      </c>
      <c r="I7" s="63">
        <f t="shared" si="1"/>
        <v>45264</v>
      </c>
      <c r="J7" s="60">
        <f t="shared" si="2"/>
        <v>2</v>
      </c>
      <c r="K7" s="60">
        <f t="shared" si="4"/>
        <v>242.07</v>
      </c>
      <c r="L7" s="60">
        <v>1</v>
      </c>
      <c r="M7" s="60"/>
      <c r="N7" s="60">
        <v>1</v>
      </c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4">
        <f t="shared" si="3"/>
        <v>242.07</v>
      </c>
    </row>
    <row r="8" spans="1:37" x14ac:dyDescent="0.25">
      <c r="A8" s="59" t="s">
        <v>770</v>
      </c>
      <c r="B8" s="59" t="str">
        <f t="shared" ca="1" si="0"/>
        <v>VENCIDO</v>
      </c>
      <c r="C8" s="60" t="s">
        <v>772</v>
      </c>
      <c r="D8" s="61" t="s">
        <v>1541</v>
      </c>
      <c r="E8" s="74" t="s">
        <v>1542</v>
      </c>
      <c r="F8" s="75" t="s">
        <v>229</v>
      </c>
      <c r="G8" s="75" t="s">
        <v>228</v>
      </c>
      <c r="H8" s="63">
        <v>45413</v>
      </c>
      <c r="I8" s="63">
        <f t="shared" si="1"/>
        <v>45233</v>
      </c>
      <c r="J8" s="60">
        <f t="shared" si="2"/>
        <v>2</v>
      </c>
      <c r="K8" s="60">
        <f t="shared" si="4"/>
        <v>242.07</v>
      </c>
      <c r="L8" s="60">
        <v>1</v>
      </c>
      <c r="M8" s="60"/>
      <c r="N8" s="60">
        <v>1</v>
      </c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4">
        <f t="shared" si="3"/>
        <v>242.07</v>
      </c>
    </row>
    <row r="9" spans="1:37" x14ac:dyDescent="0.25">
      <c r="A9" s="59" t="s">
        <v>770</v>
      </c>
      <c r="B9" s="59" t="str">
        <f t="shared" ca="1" si="0"/>
        <v>VENCIDO</v>
      </c>
      <c r="C9" s="60" t="s">
        <v>772</v>
      </c>
      <c r="D9" s="61" t="s">
        <v>1543</v>
      </c>
      <c r="E9" s="74" t="s">
        <v>1544</v>
      </c>
      <c r="F9" s="75" t="s">
        <v>229</v>
      </c>
      <c r="G9" s="75" t="s">
        <v>228</v>
      </c>
      <c r="H9" s="63">
        <v>45323</v>
      </c>
      <c r="I9" s="63">
        <f t="shared" si="1"/>
        <v>45143</v>
      </c>
      <c r="J9" s="60">
        <f t="shared" si="2"/>
        <v>3</v>
      </c>
      <c r="K9" s="60">
        <f t="shared" si="4"/>
        <v>486.08</v>
      </c>
      <c r="L9" s="60">
        <v>1</v>
      </c>
      <c r="M9" s="60"/>
      <c r="N9" s="60"/>
      <c r="O9" s="60">
        <v>2</v>
      </c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4">
        <f t="shared" si="3"/>
        <v>486.08</v>
      </c>
    </row>
    <row r="10" spans="1:37" x14ac:dyDescent="0.25">
      <c r="A10" s="59" t="s">
        <v>770</v>
      </c>
      <c r="B10" s="59" t="str">
        <f t="shared" ca="1" si="0"/>
        <v>VENCIDO</v>
      </c>
      <c r="C10" s="60" t="s">
        <v>772</v>
      </c>
      <c r="D10" s="61" t="s">
        <v>1545</v>
      </c>
      <c r="E10" s="74" t="s">
        <v>228</v>
      </c>
      <c r="F10" s="75" t="s">
        <v>229</v>
      </c>
      <c r="G10" s="75" t="s">
        <v>228</v>
      </c>
      <c r="H10" s="63">
        <v>45505</v>
      </c>
      <c r="I10" s="63">
        <f t="shared" si="1"/>
        <v>45325</v>
      </c>
      <c r="J10" s="60">
        <f t="shared" si="2"/>
        <v>2</v>
      </c>
      <c r="K10" s="60">
        <f t="shared" si="4"/>
        <v>288.26</v>
      </c>
      <c r="L10" s="60">
        <v>1</v>
      </c>
      <c r="M10" s="60"/>
      <c r="N10" s="60"/>
      <c r="O10" s="60">
        <v>1</v>
      </c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4">
        <f t="shared" si="3"/>
        <v>288.26</v>
      </c>
    </row>
    <row r="11" spans="1:37" x14ac:dyDescent="0.25">
      <c r="A11" s="59" t="s">
        <v>770</v>
      </c>
      <c r="B11" s="59" t="str">
        <f t="shared" ca="1" si="0"/>
        <v>VENCIDO</v>
      </c>
      <c r="C11" s="60" t="s">
        <v>772</v>
      </c>
      <c r="D11" s="61" t="s">
        <v>1546</v>
      </c>
      <c r="E11" s="74" t="s">
        <v>228</v>
      </c>
      <c r="F11" s="75" t="s">
        <v>229</v>
      </c>
      <c r="G11" s="75" t="s">
        <v>228</v>
      </c>
      <c r="H11" s="63">
        <v>45323</v>
      </c>
      <c r="I11" s="63">
        <f t="shared" si="1"/>
        <v>45143</v>
      </c>
      <c r="J11" s="60">
        <f t="shared" si="2"/>
        <v>4</v>
      </c>
      <c r="K11" s="60">
        <f t="shared" si="4"/>
        <v>484.14</v>
      </c>
      <c r="L11" s="60">
        <v>2</v>
      </c>
      <c r="M11" s="60"/>
      <c r="N11" s="60">
        <v>2</v>
      </c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4">
        <f t="shared" si="3"/>
        <v>484.14</v>
      </c>
    </row>
    <row r="12" spans="1:37" x14ac:dyDescent="0.25">
      <c r="A12" s="59" t="s">
        <v>770</v>
      </c>
      <c r="B12" s="59" t="str">
        <f t="shared" ca="1" si="0"/>
        <v>VENCIDO</v>
      </c>
      <c r="C12" s="60" t="s">
        <v>772</v>
      </c>
      <c r="D12" s="61" t="s">
        <v>1547</v>
      </c>
      <c r="E12" s="74" t="s">
        <v>1548</v>
      </c>
      <c r="F12" s="75" t="s">
        <v>229</v>
      </c>
      <c r="G12" s="75" t="s">
        <v>228</v>
      </c>
      <c r="H12" s="63">
        <v>45413</v>
      </c>
      <c r="I12" s="63">
        <f t="shared" si="1"/>
        <v>45233</v>
      </c>
      <c r="J12" s="60">
        <f t="shared" si="2"/>
        <v>2</v>
      </c>
      <c r="K12" s="60">
        <f t="shared" si="4"/>
        <v>242.07</v>
      </c>
      <c r="L12" s="60">
        <v>1</v>
      </c>
      <c r="M12" s="60"/>
      <c r="N12" s="60">
        <v>1</v>
      </c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4">
        <f t="shared" si="3"/>
        <v>242.07</v>
      </c>
    </row>
    <row r="13" spans="1:37" x14ac:dyDescent="0.25">
      <c r="A13" s="59" t="s">
        <v>770</v>
      </c>
      <c r="B13" s="59" t="str">
        <f t="shared" ca="1" si="0"/>
        <v>VENCIDO</v>
      </c>
      <c r="C13" s="60" t="s">
        <v>772</v>
      </c>
      <c r="D13" s="61" t="s">
        <v>1549</v>
      </c>
      <c r="E13" s="74" t="s">
        <v>1550</v>
      </c>
      <c r="F13" s="75" t="s">
        <v>229</v>
      </c>
      <c r="G13" s="75" t="s">
        <v>228</v>
      </c>
      <c r="H13" s="63">
        <v>45323</v>
      </c>
      <c r="I13" s="63">
        <v>45323</v>
      </c>
      <c r="J13" s="60">
        <f t="shared" si="2"/>
        <v>2</v>
      </c>
      <c r="K13" s="60">
        <f t="shared" si="4"/>
        <v>288.28000000000003</v>
      </c>
      <c r="L13" s="60">
        <v>1</v>
      </c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>
        <v>1</v>
      </c>
      <c r="AB13" s="60"/>
      <c r="AC13" s="60"/>
      <c r="AD13" s="60"/>
      <c r="AE13" s="60"/>
      <c r="AF13" s="60"/>
      <c r="AG13" s="60"/>
      <c r="AH13" s="60"/>
      <c r="AI13" s="60"/>
      <c r="AJ13" s="60"/>
      <c r="AK13" s="64">
        <f t="shared" si="3"/>
        <v>288.28000000000003</v>
      </c>
    </row>
    <row r="14" spans="1:37" x14ac:dyDescent="0.25">
      <c r="A14" s="59" t="s">
        <v>770</v>
      </c>
      <c r="B14" s="59" t="str">
        <f t="shared" ca="1" si="0"/>
        <v>VENCIDO</v>
      </c>
      <c r="C14" s="60" t="s">
        <v>772</v>
      </c>
      <c r="D14" s="61" t="s">
        <v>1551</v>
      </c>
      <c r="E14" s="74" t="s">
        <v>1552</v>
      </c>
      <c r="F14" s="75" t="s">
        <v>229</v>
      </c>
      <c r="G14" s="75" t="s">
        <v>228</v>
      </c>
      <c r="H14" s="63">
        <v>45505</v>
      </c>
      <c r="I14" s="63">
        <f>H14-180</f>
        <v>45325</v>
      </c>
      <c r="J14" s="60">
        <f t="shared" si="2"/>
        <v>2</v>
      </c>
      <c r="K14" s="60">
        <f t="shared" si="4"/>
        <v>288.26</v>
      </c>
      <c r="L14" s="60">
        <v>1</v>
      </c>
      <c r="M14" s="60"/>
      <c r="N14" s="60"/>
      <c r="O14" s="60">
        <v>1</v>
      </c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4">
        <f t="shared" si="3"/>
        <v>288.26</v>
      </c>
    </row>
    <row r="15" spans="1:37" x14ac:dyDescent="0.25">
      <c r="A15" s="59" t="s">
        <v>770</v>
      </c>
      <c r="B15" s="59" t="str">
        <f t="shared" ca="1" si="0"/>
        <v>VENCIDO</v>
      </c>
      <c r="C15" s="60" t="s">
        <v>772</v>
      </c>
      <c r="D15" t="s">
        <v>1553</v>
      </c>
      <c r="E15" s="74" t="s">
        <v>1554</v>
      </c>
      <c r="F15" s="75" t="s">
        <v>229</v>
      </c>
      <c r="G15" s="75" t="s">
        <v>228</v>
      </c>
      <c r="H15" s="63">
        <v>45413</v>
      </c>
      <c r="I15" s="63">
        <f>H15-180</f>
        <v>45233</v>
      </c>
      <c r="J15" s="60">
        <f t="shared" si="2"/>
        <v>2</v>
      </c>
      <c r="K15" s="60">
        <f t="shared" si="4"/>
        <v>242.07</v>
      </c>
      <c r="L15" s="60">
        <v>1</v>
      </c>
      <c r="M15" s="60"/>
      <c r="N15" s="60">
        <v>1</v>
      </c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4">
        <f t="shared" si="3"/>
        <v>242.07</v>
      </c>
    </row>
    <row r="16" spans="1:37" x14ac:dyDescent="0.25">
      <c r="A16" s="59" t="s">
        <v>770</v>
      </c>
      <c r="B16" s="59" t="str">
        <f t="shared" ca="1" si="0"/>
        <v>VENCIDO</v>
      </c>
      <c r="C16" s="60" t="s">
        <v>772</v>
      </c>
      <c r="D16" s="61" t="s">
        <v>1555</v>
      </c>
      <c r="E16" s="74" t="s">
        <v>1556</v>
      </c>
      <c r="F16" s="75" t="s">
        <v>229</v>
      </c>
      <c r="G16" s="75" t="s">
        <v>228</v>
      </c>
      <c r="H16" s="63">
        <v>45505</v>
      </c>
      <c r="I16" s="63">
        <f>H16-180</f>
        <v>45325</v>
      </c>
      <c r="J16" s="60">
        <f t="shared" si="2"/>
        <v>2</v>
      </c>
      <c r="K16" s="60">
        <f t="shared" si="4"/>
        <v>288.26</v>
      </c>
      <c r="L16" s="60">
        <v>1</v>
      </c>
      <c r="M16" s="60"/>
      <c r="N16" s="60"/>
      <c r="O16" s="60">
        <v>1</v>
      </c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4">
        <f t="shared" si="3"/>
        <v>288.26</v>
      </c>
    </row>
    <row r="17" spans="1:37" x14ac:dyDescent="0.25">
      <c r="A17" s="59" t="s">
        <v>770</v>
      </c>
      <c r="B17" s="59" t="str">
        <f t="shared" ca="1" si="0"/>
        <v>VENCIDO</v>
      </c>
      <c r="C17" s="60" t="s">
        <v>790</v>
      </c>
      <c r="D17" s="61" t="s">
        <v>1557</v>
      </c>
      <c r="E17" s="74" t="s">
        <v>1558</v>
      </c>
      <c r="F17" s="75" t="s">
        <v>229</v>
      </c>
      <c r="G17" s="75" t="s">
        <v>228</v>
      </c>
      <c r="H17" s="63">
        <v>45474</v>
      </c>
      <c r="I17" s="63">
        <f>H17-180</f>
        <v>45294</v>
      </c>
      <c r="J17" s="60">
        <f t="shared" si="2"/>
        <v>2</v>
      </c>
      <c r="K17" s="60">
        <f t="shared" si="4"/>
        <v>349.47</v>
      </c>
      <c r="L17" s="60"/>
      <c r="M17" s="60"/>
      <c r="N17" s="60">
        <v>1</v>
      </c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>
        <v>1</v>
      </c>
      <c r="AB17" s="60"/>
      <c r="AC17" s="60"/>
      <c r="AD17" s="60"/>
      <c r="AE17" s="60"/>
      <c r="AF17" s="60"/>
      <c r="AG17" s="60"/>
      <c r="AH17" s="60"/>
      <c r="AI17" s="60"/>
      <c r="AJ17" s="60"/>
      <c r="AK17" s="64">
        <f t="shared" si="3"/>
        <v>349.47</v>
      </c>
    </row>
    <row r="18" spans="1:37" x14ac:dyDescent="0.25">
      <c r="A18" s="59" t="s">
        <v>770</v>
      </c>
      <c r="B18" s="59" t="str">
        <f t="shared" ca="1" si="0"/>
        <v>VENCIDO</v>
      </c>
      <c r="C18" s="60" t="s">
        <v>790</v>
      </c>
      <c r="D18" s="61" t="s">
        <v>1559</v>
      </c>
      <c r="E18" s="74" t="s">
        <v>1548</v>
      </c>
      <c r="F18" s="75" t="s">
        <v>229</v>
      </c>
      <c r="G18" s="75" t="s">
        <v>228</v>
      </c>
      <c r="H18" s="63">
        <v>45323</v>
      </c>
      <c r="I18" s="63">
        <v>45323</v>
      </c>
      <c r="J18" s="60">
        <f t="shared" si="2"/>
        <v>14</v>
      </c>
      <c r="K18" s="60">
        <f t="shared" si="4"/>
        <v>2231.4899999999998</v>
      </c>
      <c r="L18" s="60">
        <v>2</v>
      </c>
      <c r="M18" s="60"/>
      <c r="N18" s="60">
        <v>7</v>
      </c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>
        <v>5</v>
      </c>
      <c r="AB18" s="60"/>
      <c r="AC18" s="60"/>
      <c r="AD18" s="60"/>
      <c r="AE18" s="60"/>
      <c r="AF18" s="60"/>
      <c r="AG18" s="60"/>
      <c r="AH18" s="60"/>
      <c r="AI18" s="60"/>
      <c r="AJ18" s="60"/>
      <c r="AK18" s="64">
        <f t="shared" si="3"/>
        <v>2231.4899999999998</v>
      </c>
    </row>
    <row r="19" spans="1:37" x14ac:dyDescent="0.25">
      <c r="A19" s="59" t="s">
        <v>770</v>
      </c>
      <c r="B19" s="59" t="str">
        <f t="shared" ca="1" si="0"/>
        <v>VENCIDO</v>
      </c>
      <c r="C19" s="60" t="s">
        <v>790</v>
      </c>
      <c r="D19" s="61" t="s">
        <v>1560</v>
      </c>
      <c r="E19" s="74" t="s">
        <v>1561</v>
      </c>
      <c r="F19" s="75" t="s">
        <v>229</v>
      </c>
      <c r="G19" s="75" t="s">
        <v>228</v>
      </c>
      <c r="H19" s="63">
        <v>45627</v>
      </c>
      <c r="I19" s="63">
        <f>H19-180</f>
        <v>45447</v>
      </c>
      <c r="J19" s="60">
        <f t="shared" si="2"/>
        <v>4</v>
      </c>
      <c r="K19" s="60">
        <f t="shared" si="4"/>
        <v>484.14</v>
      </c>
      <c r="L19" s="60">
        <v>2</v>
      </c>
      <c r="M19" s="60"/>
      <c r="N19" s="60">
        <v>2</v>
      </c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4">
        <f t="shared" si="3"/>
        <v>484.14</v>
      </c>
    </row>
    <row r="20" spans="1:37" x14ac:dyDescent="0.25">
      <c r="A20" s="59" t="s">
        <v>770</v>
      </c>
      <c r="B20" s="59" t="str">
        <f t="shared" ca="1" si="0"/>
        <v>VENCIDO</v>
      </c>
      <c r="C20" s="60" t="s">
        <v>790</v>
      </c>
      <c r="D20" s="61" t="s">
        <v>1562</v>
      </c>
      <c r="E20" s="74" t="s">
        <v>1563</v>
      </c>
      <c r="F20" s="75" t="s">
        <v>229</v>
      </c>
      <c r="G20" s="75" t="s">
        <v>228</v>
      </c>
      <c r="H20" s="63">
        <v>45597</v>
      </c>
      <c r="I20" s="63">
        <f>H20-180</f>
        <v>45417</v>
      </c>
      <c r="J20" s="60">
        <f t="shared" si="2"/>
        <v>5</v>
      </c>
      <c r="K20" s="60">
        <f t="shared" si="4"/>
        <v>681.98</v>
      </c>
      <c r="L20" s="60">
        <v>2</v>
      </c>
      <c r="M20" s="60"/>
      <c r="N20" s="60">
        <v>2</v>
      </c>
      <c r="O20" s="60"/>
      <c r="P20" s="60"/>
      <c r="Q20" s="60"/>
      <c r="R20" s="60"/>
      <c r="S20" s="60"/>
      <c r="T20" s="60"/>
      <c r="U20" s="60"/>
      <c r="V20" s="60">
        <v>1</v>
      </c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4">
        <f t="shared" si="3"/>
        <v>681.98</v>
      </c>
    </row>
    <row r="21" spans="1:37" x14ac:dyDescent="0.25">
      <c r="A21" s="59" t="s">
        <v>770</v>
      </c>
      <c r="B21" s="59" t="str">
        <f t="shared" ca="1" si="0"/>
        <v>VENCIDO</v>
      </c>
      <c r="C21" s="60" t="s">
        <v>1033</v>
      </c>
      <c r="D21" s="61" t="s">
        <v>1564</v>
      </c>
      <c r="E21" s="74" t="s">
        <v>228</v>
      </c>
      <c r="F21" s="75" t="s">
        <v>229</v>
      </c>
      <c r="G21" s="75" t="s">
        <v>228</v>
      </c>
      <c r="H21" s="63">
        <v>45413</v>
      </c>
      <c r="I21" s="63">
        <v>45413</v>
      </c>
      <c r="J21" s="60">
        <f t="shared" si="2"/>
        <v>187</v>
      </c>
      <c r="K21" s="60">
        <f t="shared" si="4"/>
        <v>26846.420000000002</v>
      </c>
      <c r="L21" s="60">
        <v>84</v>
      </c>
      <c r="M21" s="60"/>
      <c r="N21" s="60">
        <v>61</v>
      </c>
      <c r="O21" s="60">
        <v>23</v>
      </c>
      <c r="P21" s="60">
        <v>4</v>
      </c>
      <c r="Q21" s="60"/>
      <c r="R21" s="60">
        <v>1</v>
      </c>
      <c r="S21" s="60"/>
      <c r="T21" s="60">
        <v>1</v>
      </c>
      <c r="U21" s="60"/>
      <c r="V21" s="60"/>
      <c r="W21" s="60"/>
      <c r="X21" s="60"/>
      <c r="Y21" s="60"/>
      <c r="Z21" s="60"/>
      <c r="AA21" s="60">
        <v>11</v>
      </c>
      <c r="AB21" s="60">
        <v>2</v>
      </c>
      <c r="AC21" s="60"/>
      <c r="AD21" s="60"/>
      <c r="AE21" s="60"/>
      <c r="AF21" s="60">
        <v>46</v>
      </c>
      <c r="AG21" s="60"/>
      <c r="AH21" s="60"/>
      <c r="AI21" s="60"/>
      <c r="AJ21" s="60"/>
      <c r="AK21" s="64">
        <f t="shared" si="3"/>
        <v>26800.420000000002</v>
      </c>
    </row>
    <row r="22" spans="1:37" x14ac:dyDescent="0.25">
      <c r="A22" s="59" t="s">
        <v>770</v>
      </c>
      <c r="B22" s="59" t="str">
        <f t="shared" ca="1" si="0"/>
        <v>VENCIDO</v>
      </c>
      <c r="C22" s="60" t="s">
        <v>1033</v>
      </c>
      <c r="D22" s="61" t="s">
        <v>1565</v>
      </c>
      <c r="E22" s="74" t="s">
        <v>228</v>
      </c>
      <c r="F22" s="75" t="s">
        <v>229</v>
      </c>
      <c r="G22" s="75" t="s">
        <v>228</v>
      </c>
      <c r="H22" s="63">
        <v>45536</v>
      </c>
      <c r="I22" s="63">
        <f>H22-180</f>
        <v>45356</v>
      </c>
      <c r="J22" s="60">
        <v>4</v>
      </c>
      <c r="K22" s="60">
        <f t="shared" si="4"/>
        <v>683.94</v>
      </c>
      <c r="L22" s="60">
        <v>1</v>
      </c>
      <c r="M22" s="60"/>
      <c r="N22" s="60"/>
      <c r="O22" s="60">
        <v>1</v>
      </c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>
        <v>2</v>
      </c>
      <c r="AB22" s="60"/>
      <c r="AC22" s="60"/>
      <c r="AD22" s="60"/>
      <c r="AE22" s="60"/>
      <c r="AF22" s="60"/>
      <c r="AG22" s="60"/>
      <c r="AH22" s="60"/>
      <c r="AI22" s="60"/>
      <c r="AJ22" s="60"/>
      <c r="AK22" s="64">
        <f t="shared" si="3"/>
        <v>683.94</v>
      </c>
    </row>
    <row r="23" spans="1:37" x14ac:dyDescent="0.25">
      <c r="A23" s="59" t="s">
        <v>770</v>
      </c>
      <c r="B23" s="59" t="str">
        <f t="shared" ca="1" si="0"/>
        <v>VENCIDO</v>
      </c>
      <c r="C23" s="60" t="s">
        <v>824</v>
      </c>
      <c r="D23" s="61" t="s">
        <v>1566</v>
      </c>
      <c r="E23" s="74" t="s">
        <v>1567</v>
      </c>
      <c r="F23" s="75" t="s">
        <v>229</v>
      </c>
      <c r="G23" s="75" t="s">
        <v>228</v>
      </c>
      <c r="H23" s="63">
        <v>45505</v>
      </c>
      <c r="I23" s="63">
        <f>H23-180</f>
        <v>45325</v>
      </c>
      <c r="J23" s="60">
        <f>SUM(L23:AE23)</f>
        <v>1</v>
      </c>
      <c r="K23" s="60">
        <f t="shared" si="4"/>
        <v>197.84</v>
      </c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>
        <v>1</v>
      </c>
      <c r="AB23" s="60"/>
      <c r="AC23" s="60"/>
      <c r="AD23" s="60"/>
      <c r="AE23" s="60"/>
      <c r="AF23" s="60"/>
      <c r="AG23" s="60"/>
      <c r="AH23" s="60"/>
      <c r="AI23" s="60"/>
      <c r="AJ23" s="60"/>
      <c r="AK23" s="64">
        <f t="shared" si="3"/>
        <v>197.84</v>
      </c>
    </row>
    <row r="24" spans="1:37" x14ac:dyDescent="0.25">
      <c r="A24" s="59" t="s">
        <v>770</v>
      </c>
      <c r="B24" s="59" t="str">
        <f t="shared" ca="1" si="0"/>
        <v>VENCIDO</v>
      </c>
      <c r="C24" s="60" t="s">
        <v>824</v>
      </c>
      <c r="D24" s="61" t="s">
        <v>1568</v>
      </c>
      <c r="E24" s="74" t="s">
        <v>1569</v>
      </c>
      <c r="F24" s="75" t="s">
        <v>229</v>
      </c>
      <c r="G24" s="75" t="s">
        <v>228</v>
      </c>
      <c r="H24" s="63">
        <v>45352</v>
      </c>
      <c r="I24" s="63">
        <v>45352</v>
      </c>
      <c r="J24" s="60">
        <f>SUM(L24:AE24)</f>
        <v>1</v>
      </c>
      <c r="K24" s="60">
        <f t="shared" si="4"/>
        <v>197.84</v>
      </c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>
        <v>1</v>
      </c>
      <c r="AB24" s="60"/>
      <c r="AC24" s="60"/>
      <c r="AD24" s="60"/>
      <c r="AE24" s="60"/>
      <c r="AF24" s="60"/>
      <c r="AG24" s="60"/>
      <c r="AH24" s="60"/>
      <c r="AI24" s="60"/>
      <c r="AJ24" s="60"/>
      <c r="AK24" s="64">
        <f t="shared" si="3"/>
        <v>197.84</v>
      </c>
    </row>
    <row r="25" spans="1:37" x14ac:dyDescent="0.25">
      <c r="A25" s="59" t="s">
        <v>770</v>
      </c>
      <c r="B25" s="59" t="str">
        <f t="shared" ca="1" si="0"/>
        <v>VENCIDO</v>
      </c>
      <c r="C25" s="60" t="s">
        <v>824</v>
      </c>
      <c r="D25" s="61" t="s">
        <v>1570</v>
      </c>
      <c r="E25" s="74" t="s">
        <v>1563</v>
      </c>
      <c r="F25" s="75" t="s">
        <v>229</v>
      </c>
      <c r="G25" s="75" t="s">
        <v>228</v>
      </c>
      <c r="H25" s="63">
        <v>45292</v>
      </c>
      <c r="I25" s="63">
        <v>45292</v>
      </c>
      <c r="J25" s="60">
        <v>1</v>
      </c>
      <c r="K25" s="60">
        <f t="shared" si="4"/>
        <v>197.84</v>
      </c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>
        <v>1</v>
      </c>
      <c r="AB25" s="60"/>
      <c r="AC25" s="60"/>
      <c r="AD25" s="60"/>
      <c r="AE25" s="60"/>
      <c r="AF25" s="60"/>
      <c r="AG25" s="60"/>
      <c r="AH25" s="60"/>
      <c r="AI25" s="60"/>
      <c r="AJ25" s="60"/>
      <c r="AK25" s="64">
        <f t="shared" si="3"/>
        <v>197.84</v>
      </c>
    </row>
    <row r="26" spans="1:37" x14ac:dyDescent="0.25">
      <c r="A26" s="59" t="s">
        <v>770</v>
      </c>
      <c r="B26" s="59" t="str">
        <f t="shared" ca="1" si="0"/>
        <v>VENCIDO</v>
      </c>
      <c r="C26" s="60" t="s">
        <v>824</v>
      </c>
      <c r="D26" s="61" t="s">
        <v>1571</v>
      </c>
      <c r="E26" s="74" t="s">
        <v>1572</v>
      </c>
      <c r="F26" s="75" t="s">
        <v>229</v>
      </c>
      <c r="G26" s="75" t="s">
        <v>228</v>
      </c>
      <c r="H26" s="63">
        <v>45352</v>
      </c>
      <c r="I26" s="63">
        <v>45352</v>
      </c>
      <c r="J26" s="60">
        <f>SUM(L26:AE26)</f>
        <v>1</v>
      </c>
      <c r="K26" s="60">
        <f t="shared" si="4"/>
        <v>197.84</v>
      </c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>
        <v>1</v>
      </c>
      <c r="AB26" s="60"/>
      <c r="AC26" s="60"/>
      <c r="AD26" s="60"/>
      <c r="AE26" s="60"/>
      <c r="AF26" s="60"/>
      <c r="AG26" s="60"/>
      <c r="AH26" s="60"/>
      <c r="AI26" s="60"/>
      <c r="AJ26" s="60"/>
      <c r="AK26" s="64">
        <f t="shared" si="3"/>
        <v>197.84</v>
      </c>
    </row>
    <row r="27" spans="1:37" x14ac:dyDescent="0.25">
      <c r="A27" s="59"/>
      <c r="B27" s="59" t="str">
        <f t="shared" ca="1" si="0"/>
        <v>VENCIDO</v>
      </c>
      <c r="C27" s="60" t="s">
        <v>869</v>
      </c>
      <c r="D27" s="61" t="s">
        <v>1573</v>
      </c>
      <c r="E27" s="74" t="s">
        <v>228</v>
      </c>
      <c r="F27" s="75" t="s">
        <v>229</v>
      </c>
      <c r="G27" s="75" t="s">
        <v>228</v>
      </c>
      <c r="H27" s="63">
        <v>45474</v>
      </c>
      <c r="I27" s="63">
        <f>H27-180</f>
        <v>45294</v>
      </c>
      <c r="J27" s="60">
        <v>4</v>
      </c>
      <c r="K27" s="60">
        <f t="shared" si="4"/>
        <v>1358.83</v>
      </c>
      <c r="L27" s="60"/>
      <c r="M27" s="60"/>
      <c r="N27" s="60"/>
      <c r="O27" s="60"/>
      <c r="P27" s="60"/>
      <c r="Q27" s="60"/>
      <c r="R27" s="60"/>
      <c r="S27" s="60"/>
      <c r="T27" s="60">
        <v>1</v>
      </c>
      <c r="U27" s="60"/>
      <c r="V27" s="60"/>
      <c r="W27" s="60"/>
      <c r="X27" s="60"/>
      <c r="Y27" s="60"/>
      <c r="Z27" s="60"/>
      <c r="AA27" s="60">
        <v>4</v>
      </c>
      <c r="AB27" s="60"/>
      <c r="AC27" s="60"/>
      <c r="AD27" s="60"/>
      <c r="AE27" s="60"/>
      <c r="AF27" s="60"/>
      <c r="AG27" s="60"/>
      <c r="AH27" s="60"/>
      <c r="AI27" s="60"/>
      <c r="AJ27" s="60"/>
      <c r="AK27" s="64">
        <f t="shared" si="3"/>
        <v>1358.83</v>
      </c>
    </row>
    <row r="28" spans="1:37" x14ac:dyDescent="0.25">
      <c r="A28" s="59" t="s">
        <v>770</v>
      </c>
      <c r="B28" s="59" t="str">
        <f t="shared" ca="1" si="0"/>
        <v>VENCIDO</v>
      </c>
      <c r="C28" s="60" t="s">
        <v>869</v>
      </c>
      <c r="D28" s="61" t="s">
        <v>1574</v>
      </c>
      <c r="E28" s="74" t="s">
        <v>1575</v>
      </c>
      <c r="F28" s="75" t="s">
        <v>229</v>
      </c>
      <c r="G28" s="75" t="s">
        <v>228</v>
      </c>
      <c r="H28" s="63">
        <v>45444</v>
      </c>
      <c r="I28" s="63">
        <v>45444</v>
      </c>
      <c r="J28" s="60">
        <f t="shared" ref="J28:J59" si="5">SUM(L28:AE28)</f>
        <v>3</v>
      </c>
      <c r="K28" s="60">
        <f t="shared" si="4"/>
        <v>963.15000000000009</v>
      </c>
      <c r="L28" s="60"/>
      <c r="M28" s="60"/>
      <c r="N28" s="60"/>
      <c r="O28" s="60"/>
      <c r="P28" s="60"/>
      <c r="Q28" s="60"/>
      <c r="R28" s="60"/>
      <c r="S28" s="60"/>
      <c r="T28" s="60">
        <v>1</v>
      </c>
      <c r="U28" s="60"/>
      <c r="V28" s="60"/>
      <c r="W28" s="60"/>
      <c r="X28" s="60"/>
      <c r="Y28" s="60"/>
      <c r="Z28" s="60"/>
      <c r="AA28" s="60">
        <v>2</v>
      </c>
      <c r="AB28" s="60"/>
      <c r="AC28" s="60"/>
      <c r="AD28" s="60"/>
      <c r="AE28" s="60"/>
      <c r="AF28" s="60"/>
      <c r="AG28" s="60"/>
      <c r="AH28" s="60"/>
      <c r="AI28" s="60"/>
      <c r="AJ28" s="60"/>
      <c r="AK28" s="64">
        <f t="shared" si="3"/>
        <v>963.15000000000009</v>
      </c>
    </row>
    <row r="29" spans="1:37" x14ac:dyDescent="0.25">
      <c r="A29" s="59"/>
      <c r="B29" s="59" t="str">
        <f t="shared" ca="1" si="0"/>
        <v>VENCIDO</v>
      </c>
      <c r="C29" s="60" t="s">
        <v>869</v>
      </c>
      <c r="D29" s="61" t="s">
        <v>1576</v>
      </c>
      <c r="E29" s="74" t="s">
        <v>1535</v>
      </c>
      <c r="F29" s="75" t="s">
        <v>229</v>
      </c>
      <c r="G29" s="75" t="s">
        <v>228</v>
      </c>
      <c r="H29" s="63">
        <v>45658</v>
      </c>
      <c r="I29" s="63">
        <f>H29-180</f>
        <v>45478</v>
      </c>
      <c r="J29" s="60">
        <f t="shared" si="5"/>
        <v>3</v>
      </c>
      <c r="K29" s="60">
        <f t="shared" si="4"/>
        <v>963.15000000000009</v>
      </c>
      <c r="L29" s="60"/>
      <c r="M29" s="60"/>
      <c r="N29" s="60"/>
      <c r="O29" s="60"/>
      <c r="P29" s="60"/>
      <c r="Q29" s="60"/>
      <c r="R29" s="60"/>
      <c r="S29" s="60"/>
      <c r="T29" s="60">
        <v>1</v>
      </c>
      <c r="U29" s="60"/>
      <c r="V29" s="60"/>
      <c r="W29" s="60"/>
      <c r="X29" s="60"/>
      <c r="Y29" s="60"/>
      <c r="Z29" s="60"/>
      <c r="AA29" s="60">
        <v>2</v>
      </c>
      <c r="AB29" s="60"/>
      <c r="AC29" s="60"/>
      <c r="AD29" s="60"/>
      <c r="AE29" s="60"/>
      <c r="AF29" s="60"/>
      <c r="AG29" s="60"/>
      <c r="AH29" s="60"/>
      <c r="AI29" s="60"/>
      <c r="AJ29" s="60"/>
      <c r="AK29" s="64">
        <f t="shared" si="3"/>
        <v>963.15000000000009</v>
      </c>
    </row>
    <row r="30" spans="1:37" x14ac:dyDescent="0.25">
      <c r="A30" s="59" t="s">
        <v>1577</v>
      </c>
      <c r="B30" s="59" t="str">
        <f t="shared" ca="1" si="0"/>
        <v>VENCIDO</v>
      </c>
      <c r="C30" s="60" t="s">
        <v>869</v>
      </c>
      <c r="D30" s="61" t="s">
        <v>1578</v>
      </c>
      <c r="E30" s="74" t="s">
        <v>228</v>
      </c>
      <c r="F30" s="75" t="s">
        <v>229</v>
      </c>
      <c r="G30" s="75" t="s">
        <v>228</v>
      </c>
      <c r="H30" s="63">
        <v>45505</v>
      </c>
      <c r="I30" s="63">
        <f>H30-180</f>
        <v>45325</v>
      </c>
      <c r="J30" s="60">
        <f t="shared" si="5"/>
        <v>4</v>
      </c>
      <c r="K30" s="60">
        <f t="shared" si="4"/>
        <v>1160.99</v>
      </c>
      <c r="L30" s="60"/>
      <c r="M30" s="60"/>
      <c r="N30" s="60"/>
      <c r="O30" s="60"/>
      <c r="P30" s="60"/>
      <c r="Q30" s="60"/>
      <c r="R30" s="60"/>
      <c r="S30" s="60"/>
      <c r="T30" s="60">
        <v>1</v>
      </c>
      <c r="U30" s="60"/>
      <c r="V30" s="60"/>
      <c r="W30" s="60"/>
      <c r="X30" s="60"/>
      <c r="Y30" s="60"/>
      <c r="Z30" s="60"/>
      <c r="AA30" s="60">
        <v>3</v>
      </c>
      <c r="AB30" s="60"/>
      <c r="AC30" s="60"/>
      <c r="AD30" s="60"/>
      <c r="AE30" s="60"/>
      <c r="AF30" s="60"/>
      <c r="AG30" s="60"/>
      <c r="AH30" s="60"/>
      <c r="AI30" s="60"/>
      <c r="AJ30" s="60"/>
      <c r="AK30" s="64">
        <f t="shared" si="3"/>
        <v>1160.99</v>
      </c>
    </row>
    <row r="31" spans="1:37" x14ac:dyDescent="0.25">
      <c r="A31" s="59" t="s">
        <v>770</v>
      </c>
      <c r="B31" s="59" t="str">
        <f t="shared" ca="1" si="0"/>
        <v>VENCIDO</v>
      </c>
      <c r="C31" s="60" t="s">
        <v>869</v>
      </c>
      <c r="D31" s="61" t="s">
        <v>1579</v>
      </c>
      <c r="E31" s="74" t="s">
        <v>1540</v>
      </c>
      <c r="F31" s="75" t="s">
        <v>229</v>
      </c>
      <c r="G31" s="75" t="s">
        <v>228</v>
      </c>
      <c r="H31" s="63">
        <v>45444</v>
      </c>
      <c r="I31" s="63">
        <v>45444</v>
      </c>
      <c r="J31" s="60">
        <f t="shared" si="5"/>
        <v>3</v>
      </c>
      <c r="K31" s="60">
        <f t="shared" si="4"/>
        <v>963.15000000000009</v>
      </c>
      <c r="L31" s="60"/>
      <c r="M31" s="60"/>
      <c r="N31" s="60"/>
      <c r="O31" s="60"/>
      <c r="P31" s="60"/>
      <c r="Q31" s="60"/>
      <c r="R31" s="60"/>
      <c r="S31" s="60"/>
      <c r="T31" s="60">
        <v>1</v>
      </c>
      <c r="U31" s="60"/>
      <c r="V31" s="60"/>
      <c r="W31" s="60"/>
      <c r="X31" s="60"/>
      <c r="Y31" s="60"/>
      <c r="Z31" s="60"/>
      <c r="AA31" s="60">
        <v>2</v>
      </c>
      <c r="AB31" s="60"/>
      <c r="AC31" s="60"/>
      <c r="AD31" s="60"/>
      <c r="AE31" s="60"/>
      <c r="AF31" s="60"/>
      <c r="AG31" s="60"/>
      <c r="AH31" s="60"/>
      <c r="AI31" s="60"/>
      <c r="AJ31" s="60"/>
      <c r="AK31" s="64">
        <f t="shared" si="3"/>
        <v>963.15000000000009</v>
      </c>
    </row>
    <row r="32" spans="1:37" x14ac:dyDescent="0.25">
      <c r="A32" s="59"/>
      <c r="B32" s="59" t="str">
        <f t="shared" ca="1" si="0"/>
        <v>VENCIDO</v>
      </c>
      <c r="C32" s="60" t="s">
        <v>869</v>
      </c>
      <c r="D32" s="61" t="s">
        <v>1580</v>
      </c>
      <c r="E32" s="74" t="s">
        <v>1581</v>
      </c>
      <c r="F32" s="75" t="s">
        <v>229</v>
      </c>
      <c r="G32" s="75" t="s">
        <v>228</v>
      </c>
      <c r="H32" s="63">
        <v>45474</v>
      </c>
      <c r="I32" s="63">
        <f>H32-180</f>
        <v>45294</v>
      </c>
      <c r="J32" s="60">
        <f t="shared" si="5"/>
        <v>3</v>
      </c>
      <c r="K32" s="60">
        <f t="shared" si="4"/>
        <v>963.15000000000009</v>
      </c>
      <c r="L32" s="60"/>
      <c r="M32" s="60"/>
      <c r="N32" s="60"/>
      <c r="O32" s="60"/>
      <c r="P32" s="60"/>
      <c r="Q32" s="60"/>
      <c r="R32" s="60"/>
      <c r="S32" s="60"/>
      <c r="T32" s="60">
        <v>1</v>
      </c>
      <c r="U32" s="60"/>
      <c r="V32" s="60"/>
      <c r="W32" s="60"/>
      <c r="X32" s="60"/>
      <c r="Y32" s="60"/>
      <c r="Z32" s="60"/>
      <c r="AA32" s="60">
        <v>2</v>
      </c>
      <c r="AB32" s="60"/>
      <c r="AC32" s="60"/>
      <c r="AD32" s="60"/>
      <c r="AE32" s="60"/>
      <c r="AF32" s="60"/>
      <c r="AG32" s="60"/>
      <c r="AH32" s="60"/>
      <c r="AI32" s="60"/>
      <c r="AJ32" s="60"/>
      <c r="AK32" s="64">
        <f t="shared" si="3"/>
        <v>963.15000000000009</v>
      </c>
    </row>
    <row r="33" spans="1:37" x14ac:dyDescent="0.25">
      <c r="A33" s="59" t="s">
        <v>770</v>
      </c>
      <c r="B33" s="59" t="str">
        <f t="shared" ca="1" si="0"/>
        <v>VENCIDO</v>
      </c>
      <c r="C33" s="60" t="s">
        <v>869</v>
      </c>
      <c r="D33" s="61" t="s">
        <v>1582</v>
      </c>
      <c r="E33" s="74" t="s">
        <v>1583</v>
      </c>
      <c r="F33" s="75" t="s">
        <v>229</v>
      </c>
      <c r="G33" s="75" t="s">
        <v>228</v>
      </c>
      <c r="H33" s="63">
        <v>45444</v>
      </c>
      <c r="I33" s="63">
        <v>45444</v>
      </c>
      <c r="J33" s="60">
        <f t="shared" si="5"/>
        <v>3</v>
      </c>
      <c r="K33" s="60">
        <f t="shared" si="4"/>
        <v>963.15000000000009</v>
      </c>
      <c r="L33" s="60"/>
      <c r="M33" s="60"/>
      <c r="N33" s="60"/>
      <c r="O33" s="60"/>
      <c r="P33" s="60"/>
      <c r="Q33" s="60"/>
      <c r="R33" s="60"/>
      <c r="S33" s="60"/>
      <c r="T33" s="60">
        <v>1</v>
      </c>
      <c r="U33" s="60"/>
      <c r="V33" s="60"/>
      <c r="W33" s="60"/>
      <c r="X33" s="60"/>
      <c r="Y33" s="60"/>
      <c r="Z33" s="60"/>
      <c r="AA33" s="60">
        <v>2</v>
      </c>
      <c r="AB33" s="60"/>
      <c r="AC33" s="60"/>
      <c r="AD33" s="60"/>
      <c r="AE33" s="60"/>
      <c r="AF33" s="60"/>
      <c r="AG33" s="60"/>
      <c r="AH33" s="60"/>
      <c r="AI33" s="60"/>
      <c r="AJ33" s="60"/>
      <c r="AK33" s="64">
        <f t="shared" si="3"/>
        <v>963.15000000000009</v>
      </c>
    </row>
    <row r="34" spans="1:37" x14ac:dyDescent="0.25">
      <c r="A34" s="59"/>
      <c r="B34" s="59" t="str">
        <f t="shared" ca="1" si="0"/>
        <v>VENCIDO</v>
      </c>
      <c r="C34" s="60" t="s">
        <v>869</v>
      </c>
      <c r="D34" s="61" t="s">
        <v>1584</v>
      </c>
      <c r="E34" s="74" t="s">
        <v>1585</v>
      </c>
      <c r="F34" s="75" t="s">
        <v>229</v>
      </c>
      <c r="G34" s="75" t="s">
        <v>228</v>
      </c>
      <c r="H34" s="63">
        <v>45444</v>
      </c>
      <c r="I34" s="63">
        <v>45444</v>
      </c>
      <c r="J34" s="60">
        <f t="shared" si="5"/>
        <v>3</v>
      </c>
      <c r="K34" s="60">
        <f t="shared" si="4"/>
        <v>963.15000000000009</v>
      </c>
      <c r="L34" s="60"/>
      <c r="M34" s="60"/>
      <c r="N34" s="60"/>
      <c r="O34" s="60"/>
      <c r="P34" s="60"/>
      <c r="Q34" s="60"/>
      <c r="R34" s="60"/>
      <c r="S34" s="60"/>
      <c r="T34" s="60">
        <v>1</v>
      </c>
      <c r="U34" s="60"/>
      <c r="V34" s="60"/>
      <c r="W34" s="60"/>
      <c r="X34" s="60"/>
      <c r="Y34" s="60"/>
      <c r="Z34" s="60"/>
      <c r="AA34" s="60">
        <v>2</v>
      </c>
      <c r="AB34" s="60"/>
      <c r="AC34" s="60"/>
      <c r="AD34" s="60"/>
      <c r="AE34" s="60"/>
      <c r="AF34" s="60"/>
      <c r="AG34" s="60"/>
      <c r="AH34" s="60"/>
      <c r="AI34" s="60"/>
      <c r="AJ34" s="60"/>
      <c r="AK34" s="64">
        <f t="shared" si="3"/>
        <v>963.15000000000009</v>
      </c>
    </row>
    <row r="35" spans="1:37" x14ac:dyDescent="0.25">
      <c r="A35" s="59"/>
      <c r="B35" s="59" t="str">
        <f t="shared" ref="B35:B66" ca="1" si="6">IF(H35&lt;$B$1,"VENCIDO","NA VALIDADE")</f>
        <v>VENCIDO</v>
      </c>
      <c r="C35" s="60" t="s">
        <v>869</v>
      </c>
      <c r="D35" s="61" t="s">
        <v>1586</v>
      </c>
      <c r="E35" s="74" t="s">
        <v>1556</v>
      </c>
      <c r="F35" s="75" t="s">
        <v>229</v>
      </c>
      <c r="G35" s="75" t="s">
        <v>228</v>
      </c>
      <c r="H35" s="63">
        <v>45474</v>
      </c>
      <c r="I35" s="63">
        <f>H35-180</f>
        <v>45294</v>
      </c>
      <c r="J35" s="60">
        <f t="shared" si="5"/>
        <v>3</v>
      </c>
      <c r="K35" s="60">
        <f t="shared" si="4"/>
        <v>963.15000000000009</v>
      </c>
      <c r="L35" s="60"/>
      <c r="M35" s="60"/>
      <c r="N35" s="60"/>
      <c r="O35" s="60"/>
      <c r="P35" s="60"/>
      <c r="Q35" s="60"/>
      <c r="R35" s="60"/>
      <c r="S35" s="60"/>
      <c r="T35" s="60">
        <v>1</v>
      </c>
      <c r="U35" s="60"/>
      <c r="V35" s="60"/>
      <c r="W35" s="60"/>
      <c r="X35" s="60"/>
      <c r="Y35" s="60"/>
      <c r="Z35" s="60"/>
      <c r="AA35" s="60">
        <v>2</v>
      </c>
      <c r="AB35" s="60"/>
      <c r="AC35" s="60"/>
      <c r="AD35" s="60"/>
      <c r="AE35" s="60"/>
      <c r="AF35" s="60"/>
      <c r="AG35" s="60"/>
      <c r="AH35" s="60"/>
      <c r="AI35" s="60"/>
      <c r="AJ35" s="60"/>
      <c r="AK35" s="64">
        <f t="shared" ref="AK35:AK66" si="7">IF(L35&gt;0,L35*(82.29+8.15),0)+IF(M35&gt;0,M35*(8.15+339.97),0)+IF(N35&gt;0,N35*151.63,0)+IF(O35&gt;0,O35*197.82,0)+IF(P35&gt;0,P35*244.09,0)+IF(Q35&gt;0,Q35*315.35,0)+IF(R35&gt;0,R35*1067.3,0)+IF(T35&gt;0,T35*567.47,0)+IF(U35&gt;0,U35*151.63,0)+IF(V35&gt;0,V35*197.84,0)+IF(W35&gt;0,W35*470.51,0)+IF(X35&gt;0,X35*701.69,0)+IF(Z35&gt;0,Z35*151.63,0)+IF(AA35&gt;0,AA35*197.84)+IF(AB35&gt;0,AB35*308.4,0)+IF(AC35&gt;0,AC35*496.16,0)</f>
        <v>963.15000000000009</v>
      </c>
    </row>
    <row r="36" spans="1:37" x14ac:dyDescent="0.25">
      <c r="A36" s="59"/>
      <c r="B36" s="59" t="str">
        <f t="shared" ca="1" si="6"/>
        <v>VENCIDO</v>
      </c>
      <c r="C36" s="60" t="s">
        <v>869</v>
      </c>
      <c r="D36" s="61" t="s">
        <v>1587</v>
      </c>
      <c r="E36" s="74" t="s">
        <v>1588</v>
      </c>
      <c r="F36" s="75" t="s">
        <v>229</v>
      </c>
      <c r="G36" s="75" t="s">
        <v>228</v>
      </c>
      <c r="H36" s="63">
        <v>45505</v>
      </c>
      <c r="I36" s="63">
        <f>H36-180</f>
        <v>45325</v>
      </c>
      <c r="J36" s="60">
        <f t="shared" si="5"/>
        <v>3</v>
      </c>
      <c r="K36" s="60">
        <f t="shared" ref="K36:K61" si="8">SUM(AF36:AK36)</f>
        <v>963.15000000000009</v>
      </c>
      <c r="L36" s="60"/>
      <c r="M36" s="60"/>
      <c r="N36" s="60"/>
      <c r="O36" s="60"/>
      <c r="P36" s="60"/>
      <c r="Q36" s="60"/>
      <c r="R36" s="60"/>
      <c r="S36" s="60"/>
      <c r="T36" s="60">
        <v>1</v>
      </c>
      <c r="U36" s="60"/>
      <c r="V36" s="60"/>
      <c r="W36" s="60"/>
      <c r="X36" s="60"/>
      <c r="Y36" s="60"/>
      <c r="Z36" s="60"/>
      <c r="AA36" s="60">
        <v>2</v>
      </c>
      <c r="AB36" s="60"/>
      <c r="AC36" s="60"/>
      <c r="AD36" s="60"/>
      <c r="AE36" s="60"/>
      <c r="AF36" s="60"/>
      <c r="AG36" s="60"/>
      <c r="AH36" s="60"/>
      <c r="AI36" s="60"/>
      <c r="AJ36" s="60"/>
      <c r="AK36" s="64">
        <f t="shared" si="7"/>
        <v>963.15000000000009</v>
      </c>
    </row>
    <row r="37" spans="1:37" x14ac:dyDescent="0.25">
      <c r="A37" s="59" t="s">
        <v>770</v>
      </c>
      <c r="B37" s="59" t="str">
        <f t="shared" ca="1" si="6"/>
        <v>VENCIDO</v>
      </c>
      <c r="C37" s="60" t="s">
        <v>869</v>
      </c>
      <c r="D37" s="61" t="s">
        <v>1589</v>
      </c>
      <c r="E37" s="74" t="s">
        <v>1590</v>
      </c>
      <c r="F37" s="75" t="s">
        <v>229</v>
      </c>
      <c r="G37" s="75" t="s">
        <v>228</v>
      </c>
      <c r="H37" s="63">
        <v>45474</v>
      </c>
      <c r="I37" s="63">
        <f>H37-180</f>
        <v>45294</v>
      </c>
      <c r="J37" s="60">
        <f t="shared" si="5"/>
        <v>3</v>
      </c>
      <c r="K37" s="60">
        <f t="shared" si="8"/>
        <v>963.15000000000009</v>
      </c>
      <c r="L37" s="60"/>
      <c r="M37" s="60"/>
      <c r="N37" s="60"/>
      <c r="O37" s="60"/>
      <c r="P37" s="60"/>
      <c r="Q37" s="60"/>
      <c r="R37" s="60"/>
      <c r="S37" s="60"/>
      <c r="T37" s="60">
        <v>1</v>
      </c>
      <c r="U37" s="60"/>
      <c r="V37" s="60"/>
      <c r="W37" s="60"/>
      <c r="X37" s="60"/>
      <c r="Y37" s="60"/>
      <c r="Z37" s="60"/>
      <c r="AA37" s="60">
        <v>2</v>
      </c>
      <c r="AB37" s="60"/>
      <c r="AC37" s="60"/>
      <c r="AD37" s="60"/>
      <c r="AE37" s="60"/>
      <c r="AF37" s="60"/>
      <c r="AG37" s="60"/>
      <c r="AH37" s="60"/>
      <c r="AI37" s="60"/>
      <c r="AJ37" s="60"/>
      <c r="AK37" s="64">
        <f t="shared" si="7"/>
        <v>963.15000000000009</v>
      </c>
    </row>
    <row r="38" spans="1:37" x14ac:dyDescent="0.25">
      <c r="A38" s="59" t="s">
        <v>783</v>
      </c>
      <c r="B38" s="59" t="str">
        <f t="shared" ca="1" si="6"/>
        <v>VENCIDO</v>
      </c>
      <c r="C38" s="60" t="s">
        <v>869</v>
      </c>
      <c r="D38" s="61" t="s">
        <v>1591</v>
      </c>
      <c r="E38" s="74" t="s">
        <v>228</v>
      </c>
      <c r="F38" s="75" t="s">
        <v>229</v>
      </c>
      <c r="G38" s="75" t="s">
        <v>228</v>
      </c>
      <c r="H38" s="63">
        <v>45323</v>
      </c>
      <c r="I38" s="63">
        <v>45323</v>
      </c>
      <c r="J38" s="60">
        <f t="shared" si="5"/>
        <v>3</v>
      </c>
      <c r="K38" s="60">
        <f t="shared" si="8"/>
        <v>963.15000000000009</v>
      </c>
      <c r="L38" s="60"/>
      <c r="M38" s="60"/>
      <c r="N38" s="60"/>
      <c r="O38" s="60"/>
      <c r="P38" s="60"/>
      <c r="Q38" s="60"/>
      <c r="R38" s="60"/>
      <c r="S38" s="60"/>
      <c r="T38" s="60">
        <v>1</v>
      </c>
      <c r="U38" s="60"/>
      <c r="V38" s="60"/>
      <c r="W38" s="60"/>
      <c r="X38" s="60"/>
      <c r="Y38" s="60"/>
      <c r="Z38" s="60"/>
      <c r="AA38" s="60">
        <v>2</v>
      </c>
      <c r="AB38" s="60"/>
      <c r="AC38" s="60"/>
      <c r="AD38" s="60"/>
      <c r="AE38" s="60"/>
      <c r="AF38" s="60"/>
      <c r="AG38" s="60"/>
      <c r="AH38" s="60"/>
      <c r="AI38" s="60"/>
      <c r="AJ38" s="60"/>
      <c r="AK38" s="64">
        <f t="shared" si="7"/>
        <v>963.15000000000009</v>
      </c>
    </row>
    <row r="39" spans="1:37" x14ac:dyDescent="0.25">
      <c r="A39" s="59"/>
      <c r="B39" s="59" t="str">
        <f t="shared" ca="1" si="6"/>
        <v>VENCIDO</v>
      </c>
      <c r="C39" s="60" t="s">
        <v>869</v>
      </c>
      <c r="D39" s="61" t="s">
        <v>1592</v>
      </c>
      <c r="E39" s="74" t="s">
        <v>1593</v>
      </c>
      <c r="F39" s="75" t="s">
        <v>229</v>
      </c>
      <c r="G39" s="75" t="s">
        <v>228</v>
      </c>
      <c r="H39" s="63">
        <v>45474</v>
      </c>
      <c r="I39" s="63">
        <f>H39-180</f>
        <v>45294</v>
      </c>
      <c r="J39" s="60">
        <f t="shared" si="5"/>
        <v>3</v>
      </c>
      <c r="K39" s="60">
        <f t="shared" si="8"/>
        <v>963.15000000000009</v>
      </c>
      <c r="L39" s="60"/>
      <c r="M39" s="60"/>
      <c r="N39" s="60"/>
      <c r="O39" s="60"/>
      <c r="P39" s="60"/>
      <c r="Q39" s="60"/>
      <c r="R39" s="60"/>
      <c r="S39" s="60"/>
      <c r="T39" s="60">
        <v>1</v>
      </c>
      <c r="U39" s="60"/>
      <c r="V39" s="60"/>
      <c r="W39" s="60"/>
      <c r="X39" s="60"/>
      <c r="Y39" s="60"/>
      <c r="Z39" s="60"/>
      <c r="AA39" s="60">
        <v>2</v>
      </c>
      <c r="AB39" s="60"/>
      <c r="AC39" s="60"/>
      <c r="AD39" s="60"/>
      <c r="AE39" s="60"/>
      <c r="AF39" s="60"/>
      <c r="AG39" s="60"/>
      <c r="AH39" s="60"/>
      <c r="AI39" s="60"/>
      <c r="AJ39" s="60"/>
      <c r="AK39" s="64">
        <f t="shared" si="7"/>
        <v>963.15000000000009</v>
      </c>
    </row>
    <row r="40" spans="1:37" x14ac:dyDescent="0.25">
      <c r="A40" s="59"/>
      <c r="B40" s="59" t="str">
        <f t="shared" ca="1" si="6"/>
        <v>VENCIDO</v>
      </c>
      <c r="C40" s="60" t="s">
        <v>869</v>
      </c>
      <c r="D40" s="61" t="s">
        <v>1594</v>
      </c>
      <c r="E40" s="74" t="s">
        <v>1548</v>
      </c>
      <c r="F40" s="75" t="s">
        <v>229</v>
      </c>
      <c r="G40" s="75" t="s">
        <v>228</v>
      </c>
      <c r="H40" s="63">
        <v>45323</v>
      </c>
      <c r="I40" s="63">
        <v>45323</v>
      </c>
      <c r="J40" s="60">
        <f t="shared" si="5"/>
        <v>5</v>
      </c>
      <c r="K40" s="60">
        <f t="shared" si="8"/>
        <v>1358.83</v>
      </c>
      <c r="L40" s="60"/>
      <c r="M40" s="60"/>
      <c r="N40" s="60"/>
      <c r="O40" s="60"/>
      <c r="P40" s="60"/>
      <c r="Q40" s="60"/>
      <c r="R40" s="60"/>
      <c r="S40" s="60"/>
      <c r="T40" s="60">
        <v>1</v>
      </c>
      <c r="U40" s="60"/>
      <c r="V40" s="60"/>
      <c r="W40" s="60"/>
      <c r="X40" s="60"/>
      <c r="Y40" s="60"/>
      <c r="Z40" s="60"/>
      <c r="AA40" s="60">
        <v>4</v>
      </c>
      <c r="AB40" s="60"/>
      <c r="AC40" s="60"/>
      <c r="AD40" s="60"/>
      <c r="AE40" s="60"/>
      <c r="AF40" s="60"/>
      <c r="AG40" s="60"/>
      <c r="AH40" s="60"/>
      <c r="AI40" s="60"/>
      <c r="AJ40" s="60"/>
      <c r="AK40" s="64">
        <f t="shared" si="7"/>
        <v>1358.83</v>
      </c>
    </row>
    <row r="41" spans="1:37" x14ac:dyDescent="0.25">
      <c r="A41" s="76">
        <v>44774</v>
      </c>
      <c r="B41" s="59" t="str">
        <f t="shared" ca="1" si="6"/>
        <v>VENCIDO</v>
      </c>
      <c r="C41" s="60" t="s">
        <v>869</v>
      </c>
      <c r="D41" s="61" t="s">
        <v>1595</v>
      </c>
      <c r="E41" s="74" t="s">
        <v>1596</v>
      </c>
      <c r="F41" s="75" t="s">
        <v>229</v>
      </c>
      <c r="G41" s="75" t="s">
        <v>228</v>
      </c>
      <c r="H41" s="63">
        <v>45474</v>
      </c>
      <c r="I41" s="63">
        <f>H41-180</f>
        <v>45294</v>
      </c>
      <c r="J41" s="60">
        <f t="shared" si="5"/>
        <v>5</v>
      </c>
      <c r="K41" s="60">
        <f t="shared" si="8"/>
        <v>1358.83</v>
      </c>
      <c r="L41" s="60"/>
      <c r="M41" s="60"/>
      <c r="N41" s="60"/>
      <c r="O41" s="60"/>
      <c r="P41" s="60"/>
      <c r="Q41" s="60"/>
      <c r="R41" s="60"/>
      <c r="S41" s="60"/>
      <c r="T41" s="60">
        <v>1</v>
      </c>
      <c r="U41" s="60"/>
      <c r="V41" s="60"/>
      <c r="W41" s="60"/>
      <c r="X41" s="60"/>
      <c r="Y41" s="60"/>
      <c r="Z41" s="60"/>
      <c r="AA41" s="60">
        <v>4</v>
      </c>
      <c r="AB41" s="60"/>
      <c r="AC41" s="60"/>
      <c r="AD41" s="60"/>
      <c r="AE41" s="60"/>
      <c r="AF41" s="60"/>
      <c r="AG41" s="60"/>
      <c r="AH41" s="60"/>
      <c r="AI41" s="60"/>
      <c r="AJ41" s="60"/>
      <c r="AK41" s="64">
        <f t="shared" si="7"/>
        <v>1358.83</v>
      </c>
    </row>
    <row r="42" spans="1:37" x14ac:dyDescent="0.25">
      <c r="A42" s="59"/>
      <c r="B42" s="59" t="str">
        <f t="shared" ca="1" si="6"/>
        <v>VENCIDO</v>
      </c>
      <c r="C42" s="60" t="s">
        <v>869</v>
      </c>
      <c r="D42" s="61" t="s">
        <v>1597</v>
      </c>
      <c r="E42" s="74" t="s">
        <v>1598</v>
      </c>
      <c r="F42" s="75" t="s">
        <v>229</v>
      </c>
      <c r="G42" s="75" t="s">
        <v>228</v>
      </c>
      <c r="H42" s="63">
        <v>45474</v>
      </c>
      <c r="I42" s="63">
        <f>H42-180</f>
        <v>45294</v>
      </c>
      <c r="J42" s="60">
        <f t="shared" si="5"/>
        <v>3</v>
      </c>
      <c r="K42" s="60">
        <f t="shared" si="8"/>
        <v>963.15000000000009</v>
      </c>
      <c r="L42" s="60"/>
      <c r="M42" s="60"/>
      <c r="N42" s="60"/>
      <c r="O42" s="60"/>
      <c r="P42" s="60"/>
      <c r="Q42" s="60"/>
      <c r="R42" s="60"/>
      <c r="S42" s="60"/>
      <c r="T42" s="60">
        <v>1</v>
      </c>
      <c r="U42" s="60"/>
      <c r="V42" s="60"/>
      <c r="W42" s="60"/>
      <c r="X42" s="60"/>
      <c r="Y42" s="60"/>
      <c r="Z42" s="60"/>
      <c r="AA42" s="60">
        <v>2</v>
      </c>
      <c r="AB42" s="60"/>
      <c r="AC42" s="60"/>
      <c r="AD42" s="60"/>
      <c r="AE42" s="60"/>
      <c r="AF42" s="60"/>
      <c r="AG42" s="60"/>
      <c r="AH42" s="60"/>
      <c r="AI42" s="60"/>
      <c r="AJ42" s="60"/>
      <c r="AK42" s="64">
        <f t="shared" si="7"/>
        <v>963.15000000000009</v>
      </c>
    </row>
    <row r="43" spans="1:37" x14ac:dyDescent="0.25">
      <c r="A43" s="59" t="s">
        <v>1577</v>
      </c>
      <c r="B43" s="59" t="str">
        <f t="shared" ca="1" si="6"/>
        <v>VENCIDO</v>
      </c>
      <c r="C43" s="60" t="s">
        <v>869</v>
      </c>
      <c r="D43" s="61" t="s">
        <v>1599</v>
      </c>
      <c r="E43" s="74" t="s">
        <v>1600</v>
      </c>
      <c r="F43" s="75" t="s">
        <v>229</v>
      </c>
      <c r="G43" s="75" t="s">
        <v>228</v>
      </c>
      <c r="H43" s="63">
        <v>45383</v>
      </c>
      <c r="I43" s="63">
        <v>45383</v>
      </c>
      <c r="J43" s="60">
        <f t="shared" si="5"/>
        <v>3</v>
      </c>
      <c r="K43" s="60">
        <f t="shared" si="8"/>
        <v>963.15000000000009</v>
      </c>
      <c r="L43" s="60"/>
      <c r="M43" s="60"/>
      <c r="N43" s="60"/>
      <c r="O43" s="60"/>
      <c r="P43" s="60"/>
      <c r="Q43" s="60"/>
      <c r="R43" s="60"/>
      <c r="S43" s="60"/>
      <c r="T43" s="60">
        <v>1</v>
      </c>
      <c r="U43" s="60"/>
      <c r="V43" s="60"/>
      <c r="W43" s="60"/>
      <c r="X43" s="60"/>
      <c r="Y43" s="60"/>
      <c r="Z43" s="60"/>
      <c r="AA43" s="60">
        <v>2</v>
      </c>
      <c r="AB43" s="60"/>
      <c r="AC43" s="60"/>
      <c r="AD43" s="60"/>
      <c r="AE43" s="60"/>
      <c r="AF43" s="60"/>
      <c r="AG43" s="60"/>
      <c r="AH43" s="60"/>
      <c r="AI43" s="60"/>
      <c r="AJ43" s="60"/>
      <c r="AK43" s="64">
        <f t="shared" si="7"/>
        <v>963.15000000000009</v>
      </c>
    </row>
    <row r="44" spans="1:37" x14ac:dyDescent="0.25">
      <c r="A44" s="59" t="s">
        <v>1577</v>
      </c>
      <c r="B44" s="59" t="str">
        <f t="shared" ca="1" si="6"/>
        <v>VENCIDO</v>
      </c>
      <c r="C44" s="60" t="s">
        <v>869</v>
      </c>
      <c r="D44" s="61" t="s">
        <v>1601</v>
      </c>
      <c r="E44" s="74" t="s">
        <v>228</v>
      </c>
      <c r="F44" s="75" t="s">
        <v>229</v>
      </c>
      <c r="G44" s="75" t="s">
        <v>228</v>
      </c>
      <c r="H44" s="63">
        <v>45474</v>
      </c>
      <c r="I44" s="63">
        <f>H44-180</f>
        <v>45294</v>
      </c>
      <c r="J44" s="60">
        <f t="shared" si="5"/>
        <v>3</v>
      </c>
      <c r="K44" s="60">
        <f t="shared" si="8"/>
        <v>963.15000000000009</v>
      </c>
      <c r="L44" s="60"/>
      <c r="M44" s="60"/>
      <c r="N44" s="60"/>
      <c r="O44" s="60"/>
      <c r="P44" s="60"/>
      <c r="Q44" s="60"/>
      <c r="R44" s="60"/>
      <c r="S44" s="60"/>
      <c r="T44" s="60">
        <v>1</v>
      </c>
      <c r="U44" s="60"/>
      <c r="V44" s="60"/>
      <c r="W44" s="60"/>
      <c r="X44" s="60"/>
      <c r="Y44" s="60"/>
      <c r="Z44" s="60"/>
      <c r="AA44" s="60">
        <v>2</v>
      </c>
      <c r="AB44" s="60"/>
      <c r="AC44" s="60"/>
      <c r="AD44" s="60"/>
      <c r="AE44" s="60"/>
      <c r="AF44" s="60"/>
      <c r="AG44" s="60"/>
      <c r="AH44" s="60"/>
      <c r="AI44" s="60"/>
      <c r="AJ44" s="60"/>
      <c r="AK44" s="64">
        <f t="shared" si="7"/>
        <v>963.15000000000009</v>
      </c>
    </row>
    <row r="45" spans="1:37" x14ac:dyDescent="0.25">
      <c r="A45" s="59"/>
      <c r="B45" s="59" t="str">
        <f t="shared" ca="1" si="6"/>
        <v>VENCIDO</v>
      </c>
      <c r="C45" s="60" t="s">
        <v>869</v>
      </c>
      <c r="D45" s="61" t="s">
        <v>1602</v>
      </c>
      <c r="E45" s="74" t="s">
        <v>228</v>
      </c>
      <c r="F45" s="75" t="s">
        <v>229</v>
      </c>
      <c r="G45" s="75" t="s">
        <v>228</v>
      </c>
      <c r="H45" s="63">
        <v>45444</v>
      </c>
      <c r="I45" s="63">
        <v>45444</v>
      </c>
      <c r="J45" s="60">
        <f t="shared" si="5"/>
        <v>6</v>
      </c>
      <c r="K45" s="60">
        <f t="shared" si="8"/>
        <v>1926.3000000000002</v>
      </c>
      <c r="L45" s="60"/>
      <c r="M45" s="60"/>
      <c r="N45" s="60"/>
      <c r="O45" s="60"/>
      <c r="P45" s="60"/>
      <c r="Q45" s="60"/>
      <c r="R45" s="60"/>
      <c r="S45" s="60"/>
      <c r="T45" s="60">
        <v>2</v>
      </c>
      <c r="U45" s="60"/>
      <c r="V45" s="60"/>
      <c r="W45" s="60"/>
      <c r="X45" s="60"/>
      <c r="Y45" s="60"/>
      <c r="Z45" s="60"/>
      <c r="AA45" s="60">
        <v>4</v>
      </c>
      <c r="AB45" s="60"/>
      <c r="AC45" s="60"/>
      <c r="AD45" s="60"/>
      <c r="AE45" s="60"/>
      <c r="AF45" s="60"/>
      <c r="AG45" s="60"/>
      <c r="AH45" s="60"/>
      <c r="AI45" s="60"/>
      <c r="AJ45" s="60"/>
      <c r="AK45" s="64">
        <f t="shared" si="7"/>
        <v>1926.3000000000002</v>
      </c>
    </row>
    <row r="46" spans="1:37" x14ac:dyDescent="0.25">
      <c r="A46" s="59"/>
      <c r="B46" s="59" t="str">
        <f t="shared" ca="1" si="6"/>
        <v>VENCIDO</v>
      </c>
      <c r="C46" s="60" t="s">
        <v>869</v>
      </c>
      <c r="D46" s="61" t="s">
        <v>1603</v>
      </c>
      <c r="E46" s="74" t="s">
        <v>1561</v>
      </c>
      <c r="F46" s="75" t="s">
        <v>229</v>
      </c>
      <c r="G46" s="75" t="s">
        <v>228</v>
      </c>
      <c r="H46" s="63">
        <v>45444</v>
      </c>
      <c r="I46" s="63">
        <v>45444</v>
      </c>
      <c r="J46" s="60">
        <f t="shared" si="5"/>
        <v>3</v>
      </c>
      <c r="K46" s="60">
        <f t="shared" si="8"/>
        <v>963.15000000000009</v>
      </c>
      <c r="L46" s="60"/>
      <c r="M46" s="60"/>
      <c r="N46" s="60"/>
      <c r="O46" s="60"/>
      <c r="P46" s="60"/>
      <c r="Q46" s="60"/>
      <c r="R46" s="60"/>
      <c r="S46" s="60"/>
      <c r="T46" s="60">
        <v>1</v>
      </c>
      <c r="U46" s="60"/>
      <c r="V46" s="60"/>
      <c r="W46" s="60"/>
      <c r="X46" s="60"/>
      <c r="Y46" s="60"/>
      <c r="Z46" s="60"/>
      <c r="AA46" s="60">
        <v>2</v>
      </c>
      <c r="AB46" s="60"/>
      <c r="AC46" s="60"/>
      <c r="AD46" s="60"/>
      <c r="AE46" s="60"/>
      <c r="AF46" s="60"/>
      <c r="AG46" s="60"/>
      <c r="AH46" s="60"/>
      <c r="AI46" s="60"/>
      <c r="AJ46" s="60"/>
      <c r="AK46" s="64">
        <f t="shared" si="7"/>
        <v>963.15000000000009</v>
      </c>
    </row>
    <row r="47" spans="1:37" x14ac:dyDescent="0.25">
      <c r="A47" s="59" t="s">
        <v>1577</v>
      </c>
      <c r="B47" s="59" t="str">
        <f t="shared" ca="1" si="6"/>
        <v>VENCIDO</v>
      </c>
      <c r="C47" s="60" t="s">
        <v>869</v>
      </c>
      <c r="D47" s="61" t="s">
        <v>1604</v>
      </c>
      <c r="E47" s="74" t="s">
        <v>1605</v>
      </c>
      <c r="F47" s="75" t="s">
        <v>229</v>
      </c>
      <c r="G47" s="75" t="s">
        <v>228</v>
      </c>
      <c r="H47" s="63">
        <v>45566</v>
      </c>
      <c r="I47" s="63">
        <f>H47-180</f>
        <v>45386</v>
      </c>
      <c r="J47" s="60">
        <f t="shared" si="5"/>
        <v>3</v>
      </c>
      <c r="K47" s="60">
        <f t="shared" si="8"/>
        <v>963.15000000000009</v>
      </c>
      <c r="L47" s="60"/>
      <c r="M47" s="60"/>
      <c r="N47" s="60"/>
      <c r="O47" s="60"/>
      <c r="P47" s="60"/>
      <c r="Q47" s="60"/>
      <c r="R47" s="60"/>
      <c r="S47" s="60"/>
      <c r="T47" s="60">
        <v>1</v>
      </c>
      <c r="U47" s="60"/>
      <c r="V47" s="60"/>
      <c r="W47" s="60"/>
      <c r="X47" s="60"/>
      <c r="Y47" s="60"/>
      <c r="Z47" s="60"/>
      <c r="AA47" s="60">
        <v>2</v>
      </c>
      <c r="AB47" s="60"/>
      <c r="AC47" s="60"/>
      <c r="AD47" s="60"/>
      <c r="AE47" s="60"/>
      <c r="AF47" s="60"/>
      <c r="AG47" s="60"/>
      <c r="AH47" s="60"/>
      <c r="AI47" s="60"/>
      <c r="AJ47" s="60"/>
      <c r="AK47" s="64">
        <f t="shared" si="7"/>
        <v>963.15000000000009</v>
      </c>
    </row>
    <row r="48" spans="1:37" x14ac:dyDescent="0.25">
      <c r="A48" s="59"/>
      <c r="B48" s="59" t="str">
        <f t="shared" ca="1" si="6"/>
        <v>VENCIDO</v>
      </c>
      <c r="C48" s="60" t="s">
        <v>869</v>
      </c>
      <c r="D48" s="61" t="s">
        <v>1606</v>
      </c>
      <c r="E48" s="74" t="s">
        <v>228</v>
      </c>
      <c r="F48" s="75" t="s">
        <v>229</v>
      </c>
      <c r="G48" s="75" t="s">
        <v>228</v>
      </c>
      <c r="H48" s="63">
        <v>45658</v>
      </c>
      <c r="I48" s="63">
        <f>H48-180</f>
        <v>45478</v>
      </c>
      <c r="J48" s="60">
        <f t="shared" si="5"/>
        <v>5</v>
      </c>
      <c r="K48" s="60">
        <f t="shared" si="8"/>
        <v>1358.83</v>
      </c>
      <c r="L48" s="60"/>
      <c r="M48" s="60"/>
      <c r="N48" s="60"/>
      <c r="O48" s="60"/>
      <c r="P48" s="60"/>
      <c r="Q48" s="60"/>
      <c r="R48" s="60"/>
      <c r="S48" s="60"/>
      <c r="T48" s="60">
        <v>1</v>
      </c>
      <c r="U48" s="60"/>
      <c r="V48" s="60"/>
      <c r="W48" s="60"/>
      <c r="X48" s="60"/>
      <c r="Y48" s="60"/>
      <c r="Z48" s="60"/>
      <c r="AA48" s="60">
        <v>4</v>
      </c>
      <c r="AB48" s="60"/>
      <c r="AC48" s="60"/>
      <c r="AD48" s="60"/>
      <c r="AE48" s="60"/>
      <c r="AF48" s="60"/>
      <c r="AG48" s="60"/>
      <c r="AH48" s="60"/>
      <c r="AI48" s="60"/>
      <c r="AJ48" s="60"/>
      <c r="AK48" s="64">
        <f t="shared" si="7"/>
        <v>1358.83</v>
      </c>
    </row>
    <row r="49" spans="1:37" x14ac:dyDescent="0.25">
      <c r="A49" s="59" t="s">
        <v>770</v>
      </c>
      <c r="B49" s="59" t="str">
        <f t="shared" ca="1" si="6"/>
        <v>VENCIDO</v>
      </c>
      <c r="C49" s="60" t="s">
        <v>869</v>
      </c>
      <c r="D49" s="61" t="s">
        <v>1607</v>
      </c>
      <c r="E49" s="74" t="s">
        <v>1548</v>
      </c>
      <c r="F49" s="75" t="s">
        <v>229</v>
      </c>
      <c r="G49" s="75" t="s">
        <v>228</v>
      </c>
      <c r="H49" s="63">
        <v>45444</v>
      </c>
      <c r="I49" s="63">
        <v>45444</v>
      </c>
      <c r="J49" s="60">
        <f t="shared" si="5"/>
        <v>3</v>
      </c>
      <c r="K49" s="60">
        <f t="shared" si="8"/>
        <v>963.15000000000009</v>
      </c>
      <c r="L49" s="60"/>
      <c r="M49" s="60"/>
      <c r="N49" s="60"/>
      <c r="O49" s="60"/>
      <c r="P49" s="60"/>
      <c r="Q49" s="60"/>
      <c r="R49" s="60"/>
      <c r="S49" s="60"/>
      <c r="T49" s="60">
        <v>1</v>
      </c>
      <c r="U49" s="60"/>
      <c r="V49" s="60"/>
      <c r="W49" s="60"/>
      <c r="X49" s="60"/>
      <c r="Y49" s="60"/>
      <c r="Z49" s="60"/>
      <c r="AA49" s="60">
        <v>2</v>
      </c>
      <c r="AB49" s="60"/>
      <c r="AC49" s="60"/>
      <c r="AD49" s="60"/>
      <c r="AE49" s="60"/>
      <c r="AF49" s="60"/>
      <c r="AG49" s="60"/>
      <c r="AH49" s="60"/>
      <c r="AI49" s="60"/>
      <c r="AJ49" s="60"/>
      <c r="AK49" s="64">
        <f t="shared" si="7"/>
        <v>963.15000000000009</v>
      </c>
    </row>
    <row r="50" spans="1:37" x14ac:dyDescent="0.25">
      <c r="A50" s="76">
        <v>44774</v>
      </c>
      <c r="B50" s="59" t="str">
        <f t="shared" ca="1" si="6"/>
        <v>VENCIDO</v>
      </c>
      <c r="C50" s="60" t="s">
        <v>869</v>
      </c>
      <c r="D50" s="61" t="s">
        <v>1608</v>
      </c>
      <c r="E50" s="74" t="s">
        <v>1558</v>
      </c>
      <c r="F50" s="75" t="s">
        <v>229</v>
      </c>
      <c r="G50" s="75" t="s">
        <v>228</v>
      </c>
      <c r="H50" s="63">
        <v>45474</v>
      </c>
      <c r="I50" s="63">
        <f>H50-180</f>
        <v>45294</v>
      </c>
      <c r="J50" s="60">
        <f t="shared" si="5"/>
        <v>3</v>
      </c>
      <c r="K50" s="60">
        <f t="shared" si="8"/>
        <v>963.15000000000009</v>
      </c>
      <c r="L50" s="60"/>
      <c r="M50" s="60"/>
      <c r="N50" s="60"/>
      <c r="O50" s="60"/>
      <c r="P50" s="60"/>
      <c r="Q50" s="60"/>
      <c r="R50" s="60"/>
      <c r="S50" s="60"/>
      <c r="T50" s="60">
        <v>1</v>
      </c>
      <c r="U50" s="60"/>
      <c r="V50" s="60"/>
      <c r="W50" s="60"/>
      <c r="X50" s="60"/>
      <c r="Y50" s="60"/>
      <c r="Z50" s="60"/>
      <c r="AA50" s="60">
        <v>2</v>
      </c>
      <c r="AB50" s="60"/>
      <c r="AC50" s="60"/>
      <c r="AD50" s="60"/>
      <c r="AE50" s="60"/>
      <c r="AF50" s="60"/>
      <c r="AG50" s="60"/>
      <c r="AH50" s="60"/>
      <c r="AI50" s="60"/>
      <c r="AJ50" s="60"/>
      <c r="AK50" s="64">
        <f t="shared" si="7"/>
        <v>963.15000000000009</v>
      </c>
    </row>
    <row r="51" spans="1:37" x14ac:dyDescent="0.25">
      <c r="A51" s="59" t="s">
        <v>783</v>
      </c>
      <c r="B51" s="59" t="str">
        <f t="shared" ca="1" si="6"/>
        <v>VENCIDO</v>
      </c>
      <c r="C51" s="60" t="s">
        <v>869</v>
      </c>
      <c r="D51" s="61" t="s">
        <v>1609</v>
      </c>
      <c r="E51" s="74" t="s">
        <v>1544</v>
      </c>
      <c r="F51" s="75" t="s">
        <v>229</v>
      </c>
      <c r="G51" s="75" t="s">
        <v>228</v>
      </c>
      <c r="H51" s="63">
        <v>45474</v>
      </c>
      <c r="I51" s="63">
        <f>H51-180</f>
        <v>45294</v>
      </c>
      <c r="J51" s="60">
        <f t="shared" si="5"/>
        <v>3</v>
      </c>
      <c r="K51" s="60">
        <f t="shared" si="8"/>
        <v>963.15000000000009</v>
      </c>
      <c r="L51" s="60"/>
      <c r="M51" s="60"/>
      <c r="N51" s="60"/>
      <c r="O51" s="60"/>
      <c r="P51" s="60"/>
      <c r="Q51" s="60"/>
      <c r="R51" s="60"/>
      <c r="S51" s="60"/>
      <c r="T51" s="60">
        <v>1</v>
      </c>
      <c r="U51" s="60"/>
      <c r="V51" s="60"/>
      <c r="W51" s="60"/>
      <c r="X51" s="60"/>
      <c r="Y51" s="60"/>
      <c r="Z51" s="60"/>
      <c r="AA51" s="60">
        <v>2</v>
      </c>
      <c r="AB51" s="60"/>
      <c r="AC51" s="60"/>
      <c r="AD51" s="60"/>
      <c r="AE51" s="60"/>
      <c r="AF51" s="60"/>
      <c r="AG51" s="60"/>
      <c r="AH51" s="60"/>
      <c r="AI51" s="60"/>
      <c r="AJ51" s="60"/>
      <c r="AK51" s="64">
        <f t="shared" si="7"/>
        <v>963.15000000000009</v>
      </c>
    </row>
    <row r="52" spans="1:37" x14ac:dyDescent="0.25">
      <c r="A52" s="59" t="s">
        <v>1577</v>
      </c>
      <c r="B52" s="59" t="str">
        <f t="shared" ca="1" si="6"/>
        <v>VENCIDO</v>
      </c>
      <c r="C52" s="60" t="s">
        <v>869</v>
      </c>
      <c r="D52" s="61" t="s">
        <v>1610</v>
      </c>
      <c r="E52" s="74" t="s">
        <v>1611</v>
      </c>
      <c r="F52" s="75" t="s">
        <v>229</v>
      </c>
      <c r="G52" s="75" t="s">
        <v>228</v>
      </c>
      <c r="H52" s="63">
        <v>45566</v>
      </c>
      <c r="I52" s="63">
        <f>H52-180</f>
        <v>45386</v>
      </c>
      <c r="J52" s="60">
        <f t="shared" si="5"/>
        <v>5</v>
      </c>
      <c r="K52" s="60">
        <f t="shared" si="8"/>
        <v>1358.83</v>
      </c>
      <c r="L52" s="60"/>
      <c r="M52" s="60"/>
      <c r="N52" s="60"/>
      <c r="O52" s="60"/>
      <c r="P52" s="60"/>
      <c r="Q52" s="60"/>
      <c r="R52" s="60"/>
      <c r="S52" s="60"/>
      <c r="T52" s="60">
        <v>1</v>
      </c>
      <c r="U52" s="60"/>
      <c r="V52" s="60"/>
      <c r="W52" s="60"/>
      <c r="X52" s="60"/>
      <c r="Y52" s="60"/>
      <c r="Z52" s="60"/>
      <c r="AA52" s="60">
        <v>4</v>
      </c>
      <c r="AB52" s="60"/>
      <c r="AC52" s="60"/>
      <c r="AD52" s="60"/>
      <c r="AE52" s="60"/>
      <c r="AF52" s="60"/>
      <c r="AG52" s="60"/>
      <c r="AH52" s="60"/>
      <c r="AI52" s="60"/>
      <c r="AJ52" s="60"/>
      <c r="AK52" s="64">
        <f t="shared" si="7"/>
        <v>1358.83</v>
      </c>
    </row>
    <row r="53" spans="1:37" x14ac:dyDescent="0.25">
      <c r="A53" s="59" t="s">
        <v>1577</v>
      </c>
      <c r="B53" s="59" t="str">
        <f t="shared" ca="1" si="6"/>
        <v>VENCIDO</v>
      </c>
      <c r="C53" s="60" t="s">
        <v>869</v>
      </c>
      <c r="D53" s="61" t="s">
        <v>1612</v>
      </c>
      <c r="E53" s="74" t="s">
        <v>1613</v>
      </c>
      <c r="F53" s="75" t="s">
        <v>229</v>
      </c>
      <c r="G53" s="75" t="s">
        <v>228</v>
      </c>
      <c r="H53" s="63">
        <v>45444</v>
      </c>
      <c r="I53" s="63">
        <v>45444</v>
      </c>
      <c r="J53" s="60">
        <f t="shared" si="5"/>
        <v>3</v>
      </c>
      <c r="K53" s="60">
        <f t="shared" si="8"/>
        <v>963.15000000000009</v>
      </c>
      <c r="L53" s="60"/>
      <c r="M53" s="60"/>
      <c r="N53" s="60"/>
      <c r="O53" s="60"/>
      <c r="P53" s="60"/>
      <c r="Q53" s="60"/>
      <c r="R53" s="60"/>
      <c r="S53" s="60"/>
      <c r="T53" s="60">
        <v>1</v>
      </c>
      <c r="U53" s="60"/>
      <c r="V53" s="60"/>
      <c r="W53" s="60"/>
      <c r="X53" s="60"/>
      <c r="Y53" s="60"/>
      <c r="Z53" s="60"/>
      <c r="AA53" s="60">
        <v>2</v>
      </c>
      <c r="AB53" s="60"/>
      <c r="AC53" s="60"/>
      <c r="AD53" s="60"/>
      <c r="AE53" s="60"/>
      <c r="AF53" s="60"/>
      <c r="AG53" s="60"/>
      <c r="AH53" s="60"/>
      <c r="AI53" s="60"/>
      <c r="AJ53" s="60"/>
      <c r="AK53" s="64">
        <f t="shared" si="7"/>
        <v>963.15000000000009</v>
      </c>
    </row>
    <row r="54" spans="1:37" x14ac:dyDescent="0.25">
      <c r="A54" s="59" t="s">
        <v>783</v>
      </c>
      <c r="B54" s="59" t="str">
        <f t="shared" ca="1" si="6"/>
        <v>VENCIDO</v>
      </c>
      <c r="C54" s="60" t="s">
        <v>869</v>
      </c>
      <c r="D54" s="61" t="s">
        <v>1614</v>
      </c>
      <c r="E54" s="74" t="s">
        <v>1544</v>
      </c>
      <c r="F54" s="75" t="s">
        <v>229</v>
      </c>
      <c r="G54" s="75" t="s">
        <v>228</v>
      </c>
      <c r="H54" s="63">
        <v>45536</v>
      </c>
      <c r="I54" s="63">
        <f>H54-180</f>
        <v>45356</v>
      </c>
      <c r="J54" s="60">
        <f t="shared" si="5"/>
        <v>3</v>
      </c>
      <c r="K54" s="60">
        <f t="shared" si="8"/>
        <v>963.15000000000009</v>
      </c>
      <c r="L54" s="60"/>
      <c r="M54" s="60"/>
      <c r="N54" s="60"/>
      <c r="O54" s="60"/>
      <c r="P54" s="60"/>
      <c r="Q54" s="60"/>
      <c r="R54" s="60"/>
      <c r="S54" s="60"/>
      <c r="T54" s="60">
        <v>1</v>
      </c>
      <c r="U54" s="60"/>
      <c r="V54" s="60"/>
      <c r="W54" s="60"/>
      <c r="X54" s="60"/>
      <c r="Y54" s="60"/>
      <c r="Z54" s="60"/>
      <c r="AA54" s="60">
        <v>2</v>
      </c>
      <c r="AB54" s="60"/>
      <c r="AC54" s="60"/>
      <c r="AD54" s="60"/>
      <c r="AE54" s="60"/>
      <c r="AF54" s="60"/>
      <c r="AG54" s="60"/>
      <c r="AH54" s="60"/>
      <c r="AI54" s="60"/>
      <c r="AJ54" s="60"/>
      <c r="AK54" s="64">
        <f t="shared" si="7"/>
        <v>963.15000000000009</v>
      </c>
    </row>
    <row r="55" spans="1:37" x14ac:dyDescent="0.25">
      <c r="A55" s="59" t="s">
        <v>783</v>
      </c>
      <c r="B55" s="59" t="str">
        <f t="shared" ca="1" si="6"/>
        <v>VENCIDO</v>
      </c>
      <c r="C55" s="60" t="s">
        <v>869</v>
      </c>
      <c r="D55" s="61" t="s">
        <v>1615</v>
      </c>
      <c r="E55" s="74" t="s">
        <v>1544</v>
      </c>
      <c r="F55" s="75" t="s">
        <v>229</v>
      </c>
      <c r="G55" s="75" t="s">
        <v>228</v>
      </c>
      <c r="H55" s="63">
        <v>45536</v>
      </c>
      <c r="I55" s="63">
        <f>H55-180</f>
        <v>45356</v>
      </c>
      <c r="J55" s="60">
        <f t="shared" si="5"/>
        <v>3</v>
      </c>
      <c r="K55" s="60">
        <f t="shared" si="8"/>
        <v>963.15000000000009</v>
      </c>
      <c r="L55" s="60"/>
      <c r="M55" s="60"/>
      <c r="N55" s="60"/>
      <c r="O55" s="60"/>
      <c r="P55" s="60"/>
      <c r="Q55" s="60"/>
      <c r="R55" s="60"/>
      <c r="S55" s="60"/>
      <c r="T55" s="60">
        <v>1</v>
      </c>
      <c r="U55" s="60"/>
      <c r="V55" s="60"/>
      <c r="W55" s="60"/>
      <c r="X55" s="60"/>
      <c r="Y55" s="60"/>
      <c r="Z55" s="60"/>
      <c r="AA55" s="60">
        <v>2</v>
      </c>
      <c r="AB55" s="60"/>
      <c r="AC55" s="60"/>
      <c r="AD55" s="60"/>
      <c r="AE55" s="60"/>
      <c r="AF55" s="60"/>
      <c r="AG55" s="60"/>
      <c r="AH55" s="60"/>
      <c r="AI55" s="60"/>
      <c r="AJ55" s="60"/>
      <c r="AK55" s="64">
        <f t="shared" si="7"/>
        <v>963.15000000000009</v>
      </c>
    </row>
    <row r="56" spans="1:37" x14ac:dyDescent="0.25">
      <c r="A56" s="59" t="s">
        <v>783</v>
      </c>
      <c r="B56" s="59" t="str">
        <f t="shared" ca="1" si="6"/>
        <v>VENCIDO</v>
      </c>
      <c r="C56" s="60" t="s">
        <v>869</v>
      </c>
      <c r="D56" s="61" t="s">
        <v>1616</v>
      </c>
      <c r="E56" s="74" t="s">
        <v>228</v>
      </c>
      <c r="F56" s="75" t="s">
        <v>229</v>
      </c>
      <c r="G56" s="75" t="s">
        <v>228</v>
      </c>
      <c r="H56" s="63">
        <v>45658</v>
      </c>
      <c r="I56" s="63">
        <f>H56-180</f>
        <v>45478</v>
      </c>
      <c r="J56" s="60">
        <f t="shared" si="5"/>
        <v>3</v>
      </c>
      <c r="K56" s="60">
        <f t="shared" si="8"/>
        <v>963.15000000000009</v>
      </c>
      <c r="L56" s="60"/>
      <c r="M56" s="60"/>
      <c r="N56" s="60"/>
      <c r="O56" s="60"/>
      <c r="P56" s="60"/>
      <c r="Q56" s="60"/>
      <c r="R56" s="60"/>
      <c r="S56" s="60"/>
      <c r="T56" s="60">
        <v>1</v>
      </c>
      <c r="U56" s="60"/>
      <c r="V56" s="60"/>
      <c r="W56" s="60"/>
      <c r="X56" s="60"/>
      <c r="Y56" s="60"/>
      <c r="Z56" s="60"/>
      <c r="AA56" s="60">
        <v>2</v>
      </c>
      <c r="AB56" s="60"/>
      <c r="AC56" s="60"/>
      <c r="AD56" s="60"/>
      <c r="AE56" s="60"/>
      <c r="AF56" s="60"/>
      <c r="AG56" s="60"/>
      <c r="AH56" s="60"/>
      <c r="AI56" s="60"/>
      <c r="AJ56" s="60"/>
      <c r="AK56" s="64">
        <f t="shared" si="7"/>
        <v>963.15000000000009</v>
      </c>
    </row>
    <row r="57" spans="1:37" x14ac:dyDescent="0.25">
      <c r="A57" s="59"/>
      <c r="B57" s="59" t="str">
        <f t="shared" ca="1" si="6"/>
        <v>VENCIDO</v>
      </c>
      <c r="C57" s="60" t="s">
        <v>869</v>
      </c>
      <c r="D57" s="61" t="s">
        <v>1617</v>
      </c>
      <c r="E57" s="74" t="s">
        <v>228</v>
      </c>
      <c r="F57" s="75" t="s">
        <v>229</v>
      </c>
      <c r="G57" s="75" t="s">
        <v>228</v>
      </c>
      <c r="H57" s="63">
        <v>45323</v>
      </c>
      <c r="I57" s="63">
        <v>45323</v>
      </c>
      <c r="J57" s="60">
        <f t="shared" si="5"/>
        <v>3</v>
      </c>
      <c r="K57" s="60">
        <f t="shared" si="8"/>
        <v>963.15000000000009</v>
      </c>
      <c r="L57" s="60"/>
      <c r="M57" s="60"/>
      <c r="N57" s="60"/>
      <c r="O57" s="60"/>
      <c r="P57" s="60"/>
      <c r="Q57" s="60"/>
      <c r="R57" s="60"/>
      <c r="S57" s="60"/>
      <c r="T57" s="60">
        <v>1</v>
      </c>
      <c r="U57" s="60"/>
      <c r="V57" s="60"/>
      <c r="W57" s="60"/>
      <c r="X57" s="60"/>
      <c r="Y57" s="60"/>
      <c r="Z57" s="60"/>
      <c r="AA57" s="60">
        <v>2</v>
      </c>
      <c r="AB57" s="60"/>
      <c r="AC57" s="60"/>
      <c r="AD57" s="60"/>
      <c r="AE57" s="60"/>
      <c r="AF57" s="60"/>
      <c r="AG57" s="60"/>
      <c r="AH57" s="60"/>
      <c r="AI57" s="60"/>
      <c r="AJ57" s="60"/>
      <c r="AK57" s="64">
        <f t="shared" si="7"/>
        <v>963.15000000000009</v>
      </c>
    </row>
    <row r="58" spans="1:37" x14ac:dyDescent="0.25">
      <c r="A58" s="59"/>
      <c r="B58" s="59" t="str">
        <f t="shared" ca="1" si="6"/>
        <v>VENCIDO</v>
      </c>
      <c r="C58" s="60" t="s">
        <v>869</v>
      </c>
      <c r="D58" s="61" t="s">
        <v>1618</v>
      </c>
      <c r="E58" s="74" t="s">
        <v>1619</v>
      </c>
      <c r="F58" s="75" t="s">
        <v>229</v>
      </c>
      <c r="G58" s="75" t="s">
        <v>228</v>
      </c>
      <c r="H58" s="63">
        <v>45505</v>
      </c>
      <c r="I58" s="63">
        <f>H58-180</f>
        <v>45325</v>
      </c>
      <c r="J58" s="60">
        <f t="shared" si="5"/>
        <v>3</v>
      </c>
      <c r="K58" s="60">
        <f t="shared" si="8"/>
        <v>963.15000000000009</v>
      </c>
      <c r="L58" s="60"/>
      <c r="M58" s="60"/>
      <c r="N58" s="60"/>
      <c r="O58" s="60"/>
      <c r="P58" s="60"/>
      <c r="Q58" s="60"/>
      <c r="R58" s="60"/>
      <c r="S58" s="60"/>
      <c r="T58" s="60">
        <v>1</v>
      </c>
      <c r="U58" s="60"/>
      <c r="V58" s="60"/>
      <c r="W58" s="60"/>
      <c r="X58" s="60"/>
      <c r="Y58" s="60"/>
      <c r="Z58" s="60"/>
      <c r="AA58" s="60">
        <v>2</v>
      </c>
      <c r="AB58" s="60"/>
      <c r="AC58" s="60"/>
      <c r="AD58" s="60"/>
      <c r="AE58" s="60"/>
      <c r="AF58" s="60"/>
      <c r="AG58" s="60"/>
      <c r="AH58" s="60"/>
      <c r="AI58" s="60"/>
      <c r="AJ58" s="60"/>
      <c r="AK58" s="64">
        <f t="shared" si="7"/>
        <v>963.15000000000009</v>
      </c>
    </row>
    <row r="59" spans="1:37" x14ac:dyDescent="0.25">
      <c r="A59" s="59"/>
      <c r="B59" s="59" t="str">
        <f t="shared" ca="1" si="6"/>
        <v>VENCIDO</v>
      </c>
      <c r="C59" s="60" t="s">
        <v>869</v>
      </c>
      <c r="D59" s="61" t="s">
        <v>1620</v>
      </c>
      <c r="E59" s="74" t="s">
        <v>1548</v>
      </c>
      <c r="F59" s="75" t="s">
        <v>229</v>
      </c>
      <c r="G59" s="75" t="s">
        <v>228</v>
      </c>
      <c r="H59" s="63">
        <v>45566</v>
      </c>
      <c r="I59" s="63">
        <f>H59-180</f>
        <v>45386</v>
      </c>
      <c r="J59" s="60">
        <f t="shared" si="5"/>
        <v>5</v>
      </c>
      <c r="K59" s="60">
        <f t="shared" si="8"/>
        <v>1358.83</v>
      </c>
      <c r="L59" s="60"/>
      <c r="M59" s="60"/>
      <c r="N59" s="60"/>
      <c r="O59" s="60"/>
      <c r="P59" s="60"/>
      <c r="Q59" s="60"/>
      <c r="R59" s="60"/>
      <c r="S59" s="60"/>
      <c r="T59" s="60">
        <v>1</v>
      </c>
      <c r="U59" s="60"/>
      <c r="V59" s="60"/>
      <c r="W59" s="60"/>
      <c r="X59" s="60"/>
      <c r="Y59" s="60"/>
      <c r="Z59" s="60"/>
      <c r="AA59" s="60">
        <v>4</v>
      </c>
      <c r="AB59" s="60"/>
      <c r="AC59" s="60"/>
      <c r="AD59" s="60"/>
      <c r="AE59" s="60"/>
      <c r="AF59" s="60"/>
      <c r="AG59" s="60"/>
      <c r="AH59" s="60"/>
      <c r="AI59" s="60"/>
      <c r="AJ59" s="60"/>
      <c r="AK59" s="64">
        <f t="shared" si="7"/>
        <v>1358.83</v>
      </c>
    </row>
    <row r="60" spans="1:37" x14ac:dyDescent="0.25">
      <c r="A60" s="59"/>
      <c r="B60" s="59" t="str">
        <f t="shared" ca="1" si="6"/>
        <v>VENCIDO</v>
      </c>
      <c r="C60" s="60" t="s">
        <v>869</v>
      </c>
      <c r="D60" s="61" t="s">
        <v>1621</v>
      </c>
      <c r="E60" s="74" t="s">
        <v>1550</v>
      </c>
      <c r="F60" s="75" t="s">
        <v>229</v>
      </c>
      <c r="G60" s="75" t="s">
        <v>228</v>
      </c>
      <c r="H60" s="63">
        <v>45323</v>
      </c>
      <c r="I60" s="63">
        <v>45323</v>
      </c>
      <c r="J60" s="60">
        <f t="shared" ref="J60:J91" si="9">SUM(L60:AE60)</f>
        <v>3</v>
      </c>
      <c r="K60" s="60">
        <f t="shared" si="8"/>
        <v>963.15000000000009</v>
      </c>
      <c r="L60" s="60"/>
      <c r="M60" s="60"/>
      <c r="N60" s="60"/>
      <c r="O60" s="60"/>
      <c r="P60" s="60"/>
      <c r="Q60" s="60"/>
      <c r="R60" s="60"/>
      <c r="S60" s="60"/>
      <c r="T60" s="60">
        <v>1</v>
      </c>
      <c r="U60" s="60"/>
      <c r="V60" s="60"/>
      <c r="W60" s="60"/>
      <c r="X60" s="60"/>
      <c r="Y60" s="60"/>
      <c r="Z60" s="60"/>
      <c r="AA60" s="60">
        <v>2</v>
      </c>
      <c r="AB60" s="60"/>
      <c r="AC60" s="60"/>
      <c r="AD60" s="60"/>
      <c r="AE60" s="60"/>
      <c r="AF60" s="60"/>
      <c r="AG60" s="60"/>
      <c r="AH60" s="60"/>
      <c r="AI60" s="60"/>
      <c r="AJ60" s="60"/>
      <c r="AK60" s="64">
        <f t="shared" si="7"/>
        <v>963.15000000000009</v>
      </c>
    </row>
    <row r="61" spans="1:37" x14ac:dyDescent="0.25">
      <c r="A61" s="59" t="s">
        <v>770</v>
      </c>
      <c r="B61" s="59" t="str">
        <f t="shared" ca="1" si="6"/>
        <v>VENCIDO</v>
      </c>
      <c r="C61" s="60" t="s">
        <v>869</v>
      </c>
      <c r="D61" s="61" t="s">
        <v>1622</v>
      </c>
      <c r="E61" s="74" t="s">
        <v>1623</v>
      </c>
      <c r="F61" s="75" t="s">
        <v>229</v>
      </c>
      <c r="G61" s="75" t="s">
        <v>228</v>
      </c>
      <c r="H61" s="63">
        <v>45474</v>
      </c>
      <c r="I61" s="63">
        <f>H61-180</f>
        <v>45294</v>
      </c>
      <c r="J61" s="60">
        <f t="shared" si="9"/>
        <v>3</v>
      </c>
      <c r="K61" s="60">
        <f t="shared" si="8"/>
        <v>963.15000000000009</v>
      </c>
      <c r="L61" s="60"/>
      <c r="M61" s="60"/>
      <c r="N61" s="60"/>
      <c r="O61" s="60"/>
      <c r="P61" s="60"/>
      <c r="Q61" s="60"/>
      <c r="R61" s="60"/>
      <c r="S61" s="60"/>
      <c r="T61" s="60">
        <v>1</v>
      </c>
      <c r="U61" s="60"/>
      <c r="V61" s="60"/>
      <c r="W61" s="60"/>
      <c r="X61" s="60"/>
      <c r="Y61" s="60"/>
      <c r="Z61" s="60"/>
      <c r="AA61" s="60">
        <v>2</v>
      </c>
      <c r="AB61" s="60"/>
      <c r="AC61" s="60"/>
      <c r="AD61" s="60"/>
      <c r="AE61" s="60"/>
      <c r="AF61" s="60"/>
      <c r="AG61" s="60"/>
      <c r="AH61" s="60"/>
      <c r="AI61" s="60"/>
      <c r="AJ61" s="60"/>
      <c r="AK61" s="64">
        <f t="shared" si="7"/>
        <v>963.15000000000009</v>
      </c>
    </row>
    <row r="62" spans="1:37" x14ac:dyDescent="0.25">
      <c r="A62" s="76">
        <v>44774</v>
      </c>
      <c r="B62" s="59" t="str">
        <f t="shared" ca="1" si="6"/>
        <v>VENCIDO</v>
      </c>
      <c r="C62" s="60" t="s">
        <v>869</v>
      </c>
      <c r="D62" s="61" t="s">
        <v>1624</v>
      </c>
      <c r="E62" s="74" t="s">
        <v>228</v>
      </c>
      <c r="F62" s="75" t="s">
        <v>229</v>
      </c>
      <c r="G62" s="75" t="s">
        <v>228</v>
      </c>
      <c r="H62" s="63">
        <v>45658</v>
      </c>
      <c r="I62" s="63">
        <f>H62-180</f>
        <v>45478</v>
      </c>
      <c r="J62" s="60">
        <f t="shared" si="9"/>
        <v>5</v>
      </c>
      <c r="K62" s="60"/>
      <c r="L62" s="60"/>
      <c r="M62" s="60"/>
      <c r="N62" s="60"/>
      <c r="O62" s="60"/>
      <c r="P62" s="60"/>
      <c r="Q62" s="60"/>
      <c r="R62" s="60"/>
      <c r="S62" s="60"/>
      <c r="T62" s="60">
        <v>1</v>
      </c>
      <c r="U62" s="60"/>
      <c r="V62" s="60"/>
      <c r="W62" s="60"/>
      <c r="X62" s="60"/>
      <c r="Y62" s="60"/>
      <c r="Z62" s="60"/>
      <c r="AA62" s="60">
        <v>4</v>
      </c>
      <c r="AB62" s="60"/>
      <c r="AC62" s="60"/>
      <c r="AD62" s="60"/>
      <c r="AE62" s="60"/>
      <c r="AF62" s="60"/>
      <c r="AG62" s="60"/>
      <c r="AH62" s="60"/>
      <c r="AI62" s="60"/>
      <c r="AJ62" s="60"/>
      <c r="AK62" s="64">
        <f t="shared" si="7"/>
        <v>1358.83</v>
      </c>
    </row>
    <row r="63" spans="1:37" x14ac:dyDescent="0.25">
      <c r="A63" s="59"/>
      <c r="B63" s="59" t="str">
        <f t="shared" ca="1" si="6"/>
        <v>VENCIDO</v>
      </c>
      <c r="C63" s="60" t="s">
        <v>869</v>
      </c>
      <c r="D63" s="61" t="s">
        <v>1625</v>
      </c>
      <c r="E63" s="74" t="s">
        <v>1626</v>
      </c>
      <c r="F63" s="75" t="s">
        <v>229</v>
      </c>
      <c r="G63" s="75" t="s">
        <v>228</v>
      </c>
      <c r="H63" s="63">
        <v>45444</v>
      </c>
      <c r="I63" s="63">
        <v>45444</v>
      </c>
      <c r="J63" s="60">
        <f t="shared" si="9"/>
        <v>3</v>
      </c>
      <c r="K63" s="60">
        <f t="shared" ref="K63:K94" si="10">SUM(AF63:AK63)</f>
        <v>963.15000000000009</v>
      </c>
      <c r="L63" s="60"/>
      <c r="M63" s="60"/>
      <c r="N63" s="60"/>
      <c r="O63" s="60"/>
      <c r="P63" s="60"/>
      <c r="Q63" s="60"/>
      <c r="R63" s="60"/>
      <c r="S63" s="60"/>
      <c r="T63" s="60">
        <v>1</v>
      </c>
      <c r="U63" s="60"/>
      <c r="V63" s="60"/>
      <c r="W63" s="60"/>
      <c r="X63" s="60"/>
      <c r="Y63" s="60"/>
      <c r="Z63" s="60"/>
      <c r="AA63" s="60">
        <v>2</v>
      </c>
      <c r="AB63" s="60"/>
      <c r="AC63" s="60"/>
      <c r="AD63" s="60"/>
      <c r="AE63" s="60"/>
      <c r="AF63" s="60"/>
      <c r="AG63" s="60"/>
      <c r="AH63" s="60"/>
      <c r="AI63" s="60"/>
      <c r="AJ63" s="60"/>
      <c r="AK63" s="64">
        <f t="shared" si="7"/>
        <v>963.15000000000009</v>
      </c>
    </row>
    <row r="64" spans="1:37" x14ac:dyDescent="0.25">
      <c r="A64" s="59"/>
      <c r="B64" s="59" t="str">
        <f t="shared" ca="1" si="6"/>
        <v>VENCIDO</v>
      </c>
      <c r="C64" s="60" t="s">
        <v>869</v>
      </c>
      <c r="D64" s="61" t="s">
        <v>1627</v>
      </c>
      <c r="E64" s="74" t="s">
        <v>228</v>
      </c>
      <c r="F64" s="75" t="s">
        <v>229</v>
      </c>
      <c r="G64" s="75" t="s">
        <v>228</v>
      </c>
      <c r="H64" s="63">
        <v>45536</v>
      </c>
      <c r="I64" s="63">
        <f>H64-180</f>
        <v>45356</v>
      </c>
      <c r="J64" s="60">
        <f t="shared" si="9"/>
        <v>4</v>
      </c>
      <c r="K64" s="60">
        <f t="shared" si="10"/>
        <v>1530.6200000000001</v>
      </c>
      <c r="L64" s="60"/>
      <c r="M64" s="60"/>
      <c r="N64" s="60"/>
      <c r="O64" s="60"/>
      <c r="P64" s="60"/>
      <c r="Q64" s="60"/>
      <c r="R64" s="60"/>
      <c r="S64" s="60"/>
      <c r="T64" s="60">
        <v>2</v>
      </c>
      <c r="U64" s="60"/>
      <c r="V64" s="60"/>
      <c r="W64" s="60"/>
      <c r="X64" s="60"/>
      <c r="Y64" s="60"/>
      <c r="Z64" s="60"/>
      <c r="AA64" s="60">
        <v>2</v>
      </c>
      <c r="AB64" s="60"/>
      <c r="AC64" s="60"/>
      <c r="AD64" s="60"/>
      <c r="AE64" s="60"/>
      <c r="AF64" s="60"/>
      <c r="AG64" s="60"/>
      <c r="AH64" s="60"/>
      <c r="AI64" s="60"/>
      <c r="AJ64" s="60"/>
      <c r="AK64" s="64">
        <f t="shared" si="7"/>
        <v>1530.6200000000001</v>
      </c>
    </row>
    <row r="65" spans="1:37" x14ac:dyDescent="0.25">
      <c r="A65" s="59"/>
      <c r="B65" s="59" t="str">
        <f t="shared" ca="1" si="6"/>
        <v>VENCIDO</v>
      </c>
      <c r="C65" s="60" t="s">
        <v>869</v>
      </c>
      <c r="D65" s="61" t="s">
        <v>1628</v>
      </c>
      <c r="E65" s="74" t="s">
        <v>1629</v>
      </c>
      <c r="F65" s="75" t="s">
        <v>229</v>
      </c>
      <c r="G65" s="75" t="s">
        <v>228</v>
      </c>
      <c r="H65" s="63">
        <v>45444</v>
      </c>
      <c r="I65" s="63">
        <v>45444</v>
      </c>
      <c r="J65" s="60">
        <f t="shared" si="9"/>
        <v>3</v>
      </c>
      <c r="K65" s="60">
        <f t="shared" si="10"/>
        <v>963.15000000000009</v>
      </c>
      <c r="L65" s="60"/>
      <c r="M65" s="60"/>
      <c r="N65" s="60"/>
      <c r="O65" s="60"/>
      <c r="P65" s="60"/>
      <c r="Q65" s="60"/>
      <c r="R65" s="60"/>
      <c r="S65" s="60"/>
      <c r="T65" s="60">
        <v>1</v>
      </c>
      <c r="U65" s="60"/>
      <c r="V65" s="60"/>
      <c r="W65" s="60"/>
      <c r="X65" s="60"/>
      <c r="Y65" s="60"/>
      <c r="Z65" s="60"/>
      <c r="AA65" s="60">
        <v>2</v>
      </c>
      <c r="AB65" s="60"/>
      <c r="AC65" s="60"/>
      <c r="AD65" s="60"/>
      <c r="AE65" s="60"/>
      <c r="AF65" s="60"/>
      <c r="AG65" s="60"/>
      <c r="AH65" s="60"/>
      <c r="AI65" s="60"/>
      <c r="AJ65" s="60"/>
      <c r="AK65" s="64">
        <f t="shared" si="7"/>
        <v>963.15000000000009</v>
      </c>
    </row>
    <row r="66" spans="1:37" x14ac:dyDescent="0.25">
      <c r="A66" s="59"/>
      <c r="B66" s="59" t="str">
        <f t="shared" ca="1" si="6"/>
        <v>VENCIDO</v>
      </c>
      <c r="C66" s="60" t="s">
        <v>869</v>
      </c>
      <c r="D66" s="61" t="s">
        <v>1630</v>
      </c>
      <c r="E66" s="74" t="s">
        <v>1631</v>
      </c>
      <c r="F66" s="75" t="s">
        <v>229</v>
      </c>
      <c r="G66" s="75" t="s">
        <v>228</v>
      </c>
      <c r="H66" s="63">
        <v>45474</v>
      </c>
      <c r="I66" s="63">
        <f>H66-180</f>
        <v>45294</v>
      </c>
      <c r="J66" s="60">
        <f t="shared" si="9"/>
        <v>3</v>
      </c>
      <c r="K66" s="60">
        <f t="shared" si="10"/>
        <v>963.15000000000009</v>
      </c>
      <c r="L66" s="60"/>
      <c r="M66" s="60"/>
      <c r="N66" s="60"/>
      <c r="O66" s="60"/>
      <c r="P66" s="60"/>
      <c r="Q66" s="60"/>
      <c r="R66" s="60"/>
      <c r="S66" s="60"/>
      <c r="T66" s="60">
        <v>1</v>
      </c>
      <c r="U66" s="60"/>
      <c r="V66" s="60"/>
      <c r="W66" s="60"/>
      <c r="X66" s="60"/>
      <c r="Y66" s="60"/>
      <c r="Z66" s="60"/>
      <c r="AA66" s="60">
        <v>2</v>
      </c>
      <c r="AB66" s="60"/>
      <c r="AC66" s="60"/>
      <c r="AD66" s="60"/>
      <c r="AE66" s="60"/>
      <c r="AF66" s="60"/>
      <c r="AG66" s="60"/>
      <c r="AH66" s="60"/>
      <c r="AI66" s="60"/>
      <c r="AJ66" s="60"/>
      <c r="AK66" s="64">
        <f t="shared" si="7"/>
        <v>963.15000000000009</v>
      </c>
    </row>
    <row r="67" spans="1:37" x14ac:dyDescent="0.25">
      <c r="A67" s="59" t="s">
        <v>770</v>
      </c>
      <c r="B67" s="59" t="str">
        <f t="shared" ref="B67:B98" ca="1" si="11">IF(H67&lt;$B$1,"VENCIDO","NA VALIDADE")</f>
        <v>VENCIDO</v>
      </c>
      <c r="C67" s="60" t="s">
        <v>869</v>
      </c>
      <c r="D67" s="61" t="s">
        <v>1439</v>
      </c>
      <c r="E67" s="77" t="s">
        <v>1632</v>
      </c>
      <c r="F67" s="75" t="s">
        <v>229</v>
      </c>
      <c r="G67" s="75" t="s">
        <v>228</v>
      </c>
      <c r="H67" s="63">
        <v>45566</v>
      </c>
      <c r="I67" s="63">
        <f>H67-180</f>
        <v>45386</v>
      </c>
      <c r="J67" s="60">
        <f t="shared" si="9"/>
        <v>3</v>
      </c>
      <c r="K67" s="60">
        <f t="shared" si="10"/>
        <v>963.15000000000009</v>
      </c>
      <c r="L67" s="60"/>
      <c r="M67" s="60"/>
      <c r="N67" s="60"/>
      <c r="O67" s="60"/>
      <c r="P67" s="60"/>
      <c r="Q67" s="60"/>
      <c r="R67" s="60"/>
      <c r="S67" s="60"/>
      <c r="T67" s="60">
        <v>1</v>
      </c>
      <c r="U67" s="60"/>
      <c r="V67" s="60"/>
      <c r="W67" s="60"/>
      <c r="X67" s="60"/>
      <c r="Y67" s="60"/>
      <c r="Z67" s="60"/>
      <c r="AA67" s="60">
        <v>2</v>
      </c>
      <c r="AB67" s="60"/>
      <c r="AC67" s="60"/>
      <c r="AD67" s="60"/>
      <c r="AE67" s="60"/>
      <c r="AF67" s="60"/>
      <c r="AG67" s="60"/>
      <c r="AH67" s="60"/>
      <c r="AI67" s="60"/>
      <c r="AJ67" s="60"/>
      <c r="AK67" s="64">
        <f t="shared" ref="AK67:AK98" si="12">IF(L67&gt;0,L67*(82.29+8.15),0)+IF(M67&gt;0,M67*(8.15+339.97),0)+IF(N67&gt;0,N67*151.63,0)+IF(O67&gt;0,O67*197.82,0)+IF(P67&gt;0,P67*244.09,0)+IF(Q67&gt;0,Q67*315.35,0)+IF(R67&gt;0,R67*1067.3,0)+IF(T67&gt;0,T67*567.47,0)+IF(U67&gt;0,U67*151.63,0)+IF(V67&gt;0,V67*197.84,0)+IF(W67&gt;0,W67*470.51,0)+IF(X67&gt;0,X67*701.69,0)+IF(Z67&gt;0,Z67*151.63,0)+IF(AA67&gt;0,AA67*197.84)+IF(AB67&gt;0,AB67*308.4,0)+IF(AC67&gt;0,AC67*496.16,0)</f>
        <v>963.15000000000009</v>
      </c>
    </row>
    <row r="68" spans="1:37" x14ac:dyDescent="0.25">
      <c r="A68" s="59" t="s">
        <v>770</v>
      </c>
      <c r="B68" s="59" t="str">
        <f t="shared" ca="1" si="11"/>
        <v>VENCIDO</v>
      </c>
      <c r="C68" s="60" t="s">
        <v>869</v>
      </c>
      <c r="D68" s="61" t="s">
        <v>1633</v>
      </c>
      <c r="E68" s="74" t="s">
        <v>1634</v>
      </c>
      <c r="F68" s="75" t="s">
        <v>229</v>
      </c>
      <c r="G68" s="75" t="s">
        <v>228</v>
      </c>
      <c r="H68" s="63">
        <v>45444</v>
      </c>
      <c r="I68" s="63">
        <v>45444</v>
      </c>
      <c r="J68" s="60">
        <f t="shared" si="9"/>
        <v>3</v>
      </c>
      <c r="K68" s="60">
        <f t="shared" si="10"/>
        <v>963.15000000000009</v>
      </c>
      <c r="L68" s="60"/>
      <c r="M68" s="60"/>
      <c r="N68" s="60"/>
      <c r="O68" s="60"/>
      <c r="P68" s="60"/>
      <c r="Q68" s="60"/>
      <c r="R68" s="60"/>
      <c r="S68" s="60"/>
      <c r="T68" s="60">
        <v>1</v>
      </c>
      <c r="U68" s="60"/>
      <c r="V68" s="60"/>
      <c r="W68" s="60"/>
      <c r="X68" s="60"/>
      <c r="Y68" s="60"/>
      <c r="Z68" s="60"/>
      <c r="AA68" s="60">
        <v>2</v>
      </c>
      <c r="AB68" s="60"/>
      <c r="AC68" s="60"/>
      <c r="AD68" s="60"/>
      <c r="AE68" s="60"/>
      <c r="AF68" s="60"/>
      <c r="AG68" s="60"/>
      <c r="AH68" s="60"/>
      <c r="AI68" s="60"/>
      <c r="AJ68" s="60"/>
      <c r="AK68" s="64">
        <f t="shared" si="12"/>
        <v>963.15000000000009</v>
      </c>
    </row>
    <row r="69" spans="1:37" x14ac:dyDescent="0.25">
      <c r="A69" s="59" t="s">
        <v>783</v>
      </c>
      <c r="B69" s="59" t="str">
        <f t="shared" ca="1" si="11"/>
        <v>VENCIDO</v>
      </c>
      <c r="C69" s="60" t="s">
        <v>869</v>
      </c>
      <c r="D69" s="61" t="s">
        <v>1635</v>
      </c>
      <c r="E69" s="74" t="s">
        <v>1636</v>
      </c>
      <c r="F69" s="75" t="s">
        <v>229</v>
      </c>
      <c r="G69" s="75" t="s">
        <v>228</v>
      </c>
      <c r="H69" s="63">
        <v>45566</v>
      </c>
      <c r="I69" s="63">
        <f>H69-180</f>
        <v>45386</v>
      </c>
      <c r="J69" s="60">
        <f t="shared" si="9"/>
        <v>3</v>
      </c>
      <c r="K69" s="60">
        <f t="shared" si="10"/>
        <v>963.15000000000009</v>
      </c>
      <c r="L69" s="60"/>
      <c r="M69" s="60"/>
      <c r="N69" s="60"/>
      <c r="O69" s="60"/>
      <c r="P69" s="60"/>
      <c r="Q69" s="60"/>
      <c r="R69" s="60"/>
      <c r="S69" s="60"/>
      <c r="T69" s="60">
        <v>1</v>
      </c>
      <c r="U69" s="60"/>
      <c r="V69" s="60"/>
      <c r="W69" s="60"/>
      <c r="X69" s="60"/>
      <c r="Y69" s="60"/>
      <c r="Z69" s="60"/>
      <c r="AA69" s="60">
        <v>2</v>
      </c>
      <c r="AB69" s="60"/>
      <c r="AC69" s="60"/>
      <c r="AD69" s="60"/>
      <c r="AE69" s="60"/>
      <c r="AF69" s="60"/>
      <c r="AG69" s="60"/>
      <c r="AH69" s="60"/>
      <c r="AI69" s="60"/>
      <c r="AJ69" s="60"/>
      <c r="AK69" s="64">
        <f t="shared" si="12"/>
        <v>963.15000000000009</v>
      </c>
    </row>
    <row r="70" spans="1:37" x14ac:dyDescent="0.25">
      <c r="A70" s="59"/>
      <c r="B70" s="59" t="str">
        <f t="shared" ca="1" si="11"/>
        <v>VENCIDO</v>
      </c>
      <c r="C70" s="60" t="s">
        <v>869</v>
      </c>
      <c r="D70" s="61" t="s">
        <v>1637</v>
      </c>
      <c r="E70" s="74" t="s">
        <v>1638</v>
      </c>
      <c r="F70" s="75" t="s">
        <v>229</v>
      </c>
      <c r="G70" s="75" t="s">
        <v>228</v>
      </c>
      <c r="H70" s="63">
        <v>45323</v>
      </c>
      <c r="I70" s="63">
        <v>45323</v>
      </c>
      <c r="J70" s="60">
        <f t="shared" si="9"/>
        <v>3</v>
      </c>
      <c r="K70" s="60">
        <f t="shared" si="10"/>
        <v>963.15000000000009</v>
      </c>
      <c r="L70" s="60"/>
      <c r="M70" s="60"/>
      <c r="N70" s="60"/>
      <c r="O70" s="60"/>
      <c r="P70" s="60"/>
      <c r="Q70" s="60"/>
      <c r="R70" s="60"/>
      <c r="S70" s="60"/>
      <c r="T70" s="60">
        <v>1</v>
      </c>
      <c r="U70" s="60"/>
      <c r="V70" s="60"/>
      <c r="W70" s="60"/>
      <c r="X70" s="60"/>
      <c r="Y70" s="60"/>
      <c r="Z70" s="60"/>
      <c r="AA70" s="60">
        <v>2</v>
      </c>
      <c r="AB70" s="60"/>
      <c r="AC70" s="60"/>
      <c r="AD70" s="60"/>
      <c r="AE70" s="60"/>
      <c r="AF70" s="60"/>
      <c r="AG70" s="60"/>
      <c r="AH70" s="60"/>
      <c r="AI70" s="60"/>
      <c r="AJ70" s="60"/>
      <c r="AK70" s="64">
        <f t="shared" si="12"/>
        <v>963.15000000000009</v>
      </c>
    </row>
    <row r="71" spans="1:37" x14ac:dyDescent="0.25">
      <c r="A71" s="59" t="s">
        <v>783</v>
      </c>
      <c r="B71" s="59" t="str">
        <f t="shared" ca="1" si="11"/>
        <v>VENCIDO</v>
      </c>
      <c r="C71" s="60" t="s">
        <v>869</v>
      </c>
      <c r="D71" s="61" t="s">
        <v>1639</v>
      </c>
      <c r="E71" s="74" t="s">
        <v>1640</v>
      </c>
      <c r="F71" s="75" t="s">
        <v>229</v>
      </c>
      <c r="G71" s="75" t="s">
        <v>228</v>
      </c>
      <c r="H71" s="63">
        <v>45413</v>
      </c>
      <c r="I71" s="63">
        <v>45413</v>
      </c>
      <c r="J71" s="60">
        <f t="shared" si="9"/>
        <v>2</v>
      </c>
      <c r="K71" s="60">
        <f t="shared" si="10"/>
        <v>395.68</v>
      </c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>
        <v>2</v>
      </c>
      <c r="AB71" s="60"/>
      <c r="AC71" s="60"/>
      <c r="AD71" s="60"/>
      <c r="AE71" s="60"/>
      <c r="AF71" s="60"/>
      <c r="AG71" s="60"/>
      <c r="AH71" s="60"/>
      <c r="AI71" s="60"/>
      <c r="AJ71" s="60"/>
      <c r="AK71" s="64">
        <f t="shared" si="12"/>
        <v>395.68</v>
      </c>
    </row>
    <row r="72" spans="1:37" x14ac:dyDescent="0.25">
      <c r="A72" s="59"/>
      <c r="B72" s="59" t="str">
        <f t="shared" ca="1" si="11"/>
        <v>VENCIDO</v>
      </c>
      <c r="C72" s="60" t="s">
        <v>869</v>
      </c>
      <c r="D72" s="61" t="s">
        <v>1641</v>
      </c>
      <c r="E72" s="74" t="s">
        <v>1642</v>
      </c>
      <c r="F72" s="75" t="s">
        <v>229</v>
      </c>
      <c r="G72" s="75" t="s">
        <v>228</v>
      </c>
      <c r="H72" s="63">
        <v>45444</v>
      </c>
      <c r="I72" s="63">
        <v>45444</v>
      </c>
      <c r="J72" s="60">
        <f t="shared" si="9"/>
        <v>3</v>
      </c>
      <c r="K72" s="60">
        <f t="shared" si="10"/>
        <v>963.15000000000009</v>
      </c>
      <c r="L72" s="60"/>
      <c r="M72" s="60"/>
      <c r="N72" s="60"/>
      <c r="O72" s="60"/>
      <c r="P72" s="60"/>
      <c r="Q72" s="60"/>
      <c r="R72" s="60"/>
      <c r="S72" s="60"/>
      <c r="T72" s="60">
        <v>1</v>
      </c>
      <c r="U72" s="60"/>
      <c r="V72" s="60"/>
      <c r="W72" s="60"/>
      <c r="X72" s="60"/>
      <c r="Y72" s="60"/>
      <c r="Z72" s="60"/>
      <c r="AA72" s="60">
        <v>2</v>
      </c>
      <c r="AB72" s="60"/>
      <c r="AC72" s="60"/>
      <c r="AD72" s="60"/>
      <c r="AE72" s="60"/>
      <c r="AF72" s="60"/>
      <c r="AG72" s="60"/>
      <c r="AH72" s="60"/>
      <c r="AI72" s="60"/>
      <c r="AJ72" s="60"/>
      <c r="AK72" s="64">
        <f t="shared" si="12"/>
        <v>963.15000000000009</v>
      </c>
    </row>
    <row r="73" spans="1:37" x14ac:dyDescent="0.25">
      <c r="A73" s="59" t="s">
        <v>783</v>
      </c>
      <c r="B73" s="59" t="str">
        <f t="shared" ca="1" si="11"/>
        <v>VENCIDO</v>
      </c>
      <c r="C73" s="60" t="s">
        <v>869</v>
      </c>
      <c r="D73" s="61" t="s">
        <v>1643</v>
      </c>
      <c r="E73" s="74" t="s">
        <v>1588</v>
      </c>
      <c r="F73" s="75" t="s">
        <v>229</v>
      </c>
      <c r="G73" s="75" t="s">
        <v>228</v>
      </c>
      <c r="H73" s="63">
        <v>45474</v>
      </c>
      <c r="I73" s="63">
        <f>H73-180</f>
        <v>45294</v>
      </c>
      <c r="J73" s="60">
        <f t="shared" si="9"/>
        <v>3</v>
      </c>
      <c r="K73" s="60">
        <f t="shared" si="10"/>
        <v>963.15000000000009</v>
      </c>
      <c r="L73" s="60"/>
      <c r="M73" s="60"/>
      <c r="N73" s="60"/>
      <c r="O73" s="60"/>
      <c r="P73" s="60"/>
      <c r="Q73" s="60"/>
      <c r="R73" s="60"/>
      <c r="S73" s="60"/>
      <c r="T73" s="60">
        <v>1</v>
      </c>
      <c r="U73" s="60"/>
      <c r="V73" s="60"/>
      <c r="W73" s="60"/>
      <c r="X73" s="60"/>
      <c r="Y73" s="60"/>
      <c r="Z73" s="60"/>
      <c r="AA73" s="60">
        <v>2</v>
      </c>
      <c r="AB73" s="60"/>
      <c r="AC73" s="60"/>
      <c r="AD73" s="60"/>
      <c r="AE73" s="60"/>
      <c r="AF73" s="60"/>
      <c r="AG73" s="60"/>
      <c r="AH73" s="60"/>
      <c r="AI73" s="60"/>
      <c r="AJ73" s="60"/>
      <c r="AK73" s="64">
        <f t="shared" si="12"/>
        <v>963.15000000000009</v>
      </c>
    </row>
    <row r="74" spans="1:37" x14ac:dyDescent="0.25">
      <c r="A74" s="59" t="s">
        <v>770</v>
      </c>
      <c r="B74" s="59" t="str">
        <f t="shared" ca="1" si="11"/>
        <v>VENCIDO</v>
      </c>
      <c r="C74" s="60" t="s">
        <v>869</v>
      </c>
      <c r="D74" s="61" t="s">
        <v>1644</v>
      </c>
      <c r="E74" s="74" t="s">
        <v>1645</v>
      </c>
      <c r="F74" s="75" t="s">
        <v>229</v>
      </c>
      <c r="G74" s="75" t="s">
        <v>228</v>
      </c>
      <c r="H74" s="63">
        <v>45352</v>
      </c>
      <c r="I74" s="63">
        <v>45352</v>
      </c>
      <c r="J74" s="60">
        <f t="shared" si="9"/>
        <v>3</v>
      </c>
      <c r="K74" s="60">
        <f t="shared" si="10"/>
        <v>963.15000000000009</v>
      </c>
      <c r="L74" s="60"/>
      <c r="M74" s="60"/>
      <c r="N74" s="60"/>
      <c r="O74" s="60"/>
      <c r="P74" s="60"/>
      <c r="Q74" s="60"/>
      <c r="R74" s="60"/>
      <c r="S74" s="60"/>
      <c r="T74" s="60">
        <v>1</v>
      </c>
      <c r="U74" s="60"/>
      <c r="V74" s="60"/>
      <c r="W74" s="60"/>
      <c r="X74" s="60"/>
      <c r="Y74" s="60"/>
      <c r="Z74" s="60"/>
      <c r="AA74" s="60">
        <v>2</v>
      </c>
      <c r="AB74" s="60"/>
      <c r="AC74" s="60"/>
      <c r="AD74" s="60"/>
      <c r="AE74" s="60"/>
      <c r="AF74" s="60"/>
      <c r="AG74" s="60"/>
      <c r="AH74" s="60"/>
      <c r="AI74" s="60"/>
      <c r="AJ74" s="60"/>
      <c r="AK74" s="64">
        <f t="shared" si="12"/>
        <v>963.15000000000009</v>
      </c>
    </row>
    <row r="75" spans="1:37" x14ac:dyDescent="0.25">
      <c r="A75" s="59"/>
      <c r="B75" s="59" t="str">
        <f t="shared" ca="1" si="11"/>
        <v>VENCIDO</v>
      </c>
      <c r="C75" s="60" t="s">
        <v>869</v>
      </c>
      <c r="D75" s="61" t="s">
        <v>1646</v>
      </c>
      <c r="E75" s="74" t="s">
        <v>228</v>
      </c>
      <c r="F75" s="75" t="s">
        <v>229</v>
      </c>
      <c r="G75" s="75" t="s">
        <v>228</v>
      </c>
      <c r="H75" s="63">
        <v>45597</v>
      </c>
      <c r="I75" s="63">
        <f>H75-180</f>
        <v>45417</v>
      </c>
      <c r="J75" s="60">
        <f t="shared" si="9"/>
        <v>5</v>
      </c>
      <c r="K75" s="60">
        <f t="shared" si="10"/>
        <v>1358.83</v>
      </c>
      <c r="L75" s="60"/>
      <c r="M75" s="60"/>
      <c r="N75" s="60"/>
      <c r="O75" s="60"/>
      <c r="P75" s="60"/>
      <c r="Q75" s="60"/>
      <c r="R75" s="60"/>
      <c r="S75" s="60"/>
      <c r="T75" s="60">
        <v>1</v>
      </c>
      <c r="U75" s="60"/>
      <c r="V75" s="60"/>
      <c r="W75" s="60"/>
      <c r="X75" s="60"/>
      <c r="Y75" s="60"/>
      <c r="Z75" s="60"/>
      <c r="AA75" s="60">
        <v>4</v>
      </c>
      <c r="AB75" s="60"/>
      <c r="AC75" s="60"/>
      <c r="AD75" s="60"/>
      <c r="AE75" s="60"/>
      <c r="AF75" s="60"/>
      <c r="AG75" s="60"/>
      <c r="AH75" s="60"/>
      <c r="AI75" s="60"/>
      <c r="AJ75" s="60"/>
      <c r="AK75" s="64">
        <f t="shared" si="12"/>
        <v>1358.83</v>
      </c>
    </row>
    <row r="76" spans="1:37" x14ac:dyDescent="0.25">
      <c r="A76" s="59"/>
      <c r="B76" s="59" t="str">
        <f t="shared" ca="1" si="11"/>
        <v>VENCIDO</v>
      </c>
      <c r="C76" s="60" t="s">
        <v>869</v>
      </c>
      <c r="D76" s="61" t="s">
        <v>1647</v>
      </c>
      <c r="E76" s="74" t="s">
        <v>1648</v>
      </c>
      <c r="F76" s="75" t="s">
        <v>229</v>
      </c>
      <c r="G76" s="75" t="s">
        <v>228</v>
      </c>
      <c r="H76" s="63">
        <v>45444</v>
      </c>
      <c r="I76" s="63">
        <v>45444</v>
      </c>
      <c r="J76" s="60">
        <f t="shared" si="9"/>
        <v>3</v>
      </c>
      <c r="K76" s="60">
        <f t="shared" si="10"/>
        <v>963.15000000000009</v>
      </c>
      <c r="L76" s="60"/>
      <c r="M76" s="60"/>
      <c r="N76" s="60"/>
      <c r="O76" s="60"/>
      <c r="P76" s="60"/>
      <c r="Q76" s="60"/>
      <c r="R76" s="60"/>
      <c r="S76" s="60"/>
      <c r="T76" s="60">
        <v>1</v>
      </c>
      <c r="U76" s="60"/>
      <c r="V76" s="60"/>
      <c r="W76" s="60"/>
      <c r="X76" s="60"/>
      <c r="Y76" s="60"/>
      <c r="Z76" s="60"/>
      <c r="AA76" s="60">
        <v>2</v>
      </c>
      <c r="AB76" s="60"/>
      <c r="AC76" s="60"/>
      <c r="AD76" s="60"/>
      <c r="AE76" s="60"/>
      <c r="AF76" s="60"/>
      <c r="AG76" s="60"/>
      <c r="AH76" s="60"/>
      <c r="AI76" s="60"/>
      <c r="AJ76" s="60"/>
      <c r="AK76" s="64">
        <f t="shared" si="12"/>
        <v>963.15000000000009</v>
      </c>
    </row>
    <row r="77" spans="1:37" x14ac:dyDescent="0.25">
      <c r="A77" s="76">
        <v>44774</v>
      </c>
      <c r="B77" s="59" t="str">
        <f t="shared" ca="1" si="11"/>
        <v>VENCIDO</v>
      </c>
      <c r="C77" s="60" t="s">
        <v>869</v>
      </c>
      <c r="D77" s="61" t="s">
        <v>1649</v>
      </c>
      <c r="E77" s="74" t="s">
        <v>1650</v>
      </c>
      <c r="F77" s="75" t="s">
        <v>229</v>
      </c>
      <c r="G77" s="75" t="s">
        <v>228</v>
      </c>
      <c r="H77" s="63">
        <v>45474</v>
      </c>
      <c r="I77" s="63">
        <f>H77-180</f>
        <v>45294</v>
      </c>
      <c r="J77" s="60">
        <f t="shared" si="9"/>
        <v>2</v>
      </c>
      <c r="K77" s="60">
        <f t="shared" si="10"/>
        <v>395.68</v>
      </c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>
        <v>2</v>
      </c>
      <c r="AB77" s="60"/>
      <c r="AC77" s="60"/>
      <c r="AD77" s="60"/>
      <c r="AE77" s="60"/>
      <c r="AF77" s="60"/>
      <c r="AG77" s="60"/>
      <c r="AH77" s="60"/>
      <c r="AI77" s="60"/>
      <c r="AJ77" s="60"/>
      <c r="AK77" s="64">
        <f t="shared" si="12"/>
        <v>395.68</v>
      </c>
    </row>
    <row r="78" spans="1:37" x14ac:dyDescent="0.25">
      <c r="A78" s="59" t="s">
        <v>1577</v>
      </c>
      <c r="B78" s="59" t="str">
        <f t="shared" ca="1" si="11"/>
        <v>VENCIDO</v>
      </c>
      <c r="C78" s="60" t="s">
        <v>869</v>
      </c>
      <c r="D78" s="61" t="s">
        <v>1651</v>
      </c>
      <c r="E78" s="74" t="s">
        <v>1652</v>
      </c>
      <c r="F78" s="75" t="s">
        <v>229</v>
      </c>
      <c r="G78" s="75" t="s">
        <v>228</v>
      </c>
      <c r="H78" s="63">
        <v>45444</v>
      </c>
      <c r="I78" s="63">
        <v>45444</v>
      </c>
      <c r="J78" s="60">
        <f t="shared" si="9"/>
        <v>3</v>
      </c>
      <c r="K78" s="60">
        <f t="shared" si="10"/>
        <v>963.15000000000009</v>
      </c>
      <c r="L78" s="60"/>
      <c r="M78" s="60"/>
      <c r="N78" s="60"/>
      <c r="O78" s="60"/>
      <c r="P78" s="60"/>
      <c r="Q78" s="60"/>
      <c r="R78" s="60"/>
      <c r="S78" s="60"/>
      <c r="T78" s="60">
        <v>1</v>
      </c>
      <c r="U78" s="60"/>
      <c r="V78" s="60"/>
      <c r="W78" s="60"/>
      <c r="X78" s="60"/>
      <c r="Y78" s="60"/>
      <c r="Z78" s="60"/>
      <c r="AA78" s="60">
        <v>2</v>
      </c>
      <c r="AB78" s="60"/>
      <c r="AC78" s="60"/>
      <c r="AD78" s="60"/>
      <c r="AE78" s="60"/>
      <c r="AF78" s="60"/>
      <c r="AG78" s="60"/>
      <c r="AH78" s="60"/>
      <c r="AI78" s="60"/>
      <c r="AJ78" s="60"/>
      <c r="AK78" s="64">
        <f t="shared" si="12"/>
        <v>963.15000000000009</v>
      </c>
    </row>
    <row r="79" spans="1:37" x14ac:dyDescent="0.25">
      <c r="A79" s="59" t="s">
        <v>770</v>
      </c>
      <c r="B79" s="59" t="str">
        <f t="shared" ca="1" si="11"/>
        <v>VENCIDO</v>
      </c>
      <c r="C79" s="60" t="s">
        <v>869</v>
      </c>
      <c r="D79" s="61" t="s">
        <v>1653</v>
      </c>
      <c r="E79" s="74" t="s">
        <v>1538</v>
      </c>
      <c r="F79" s="75" t="s">
        <v>229</v>
      </c>
      <c r="G79" s="75" t="s">
        <v>228</v>
      </c>
      <c r="H79" s="63">
        <v>45474</v>
      </c>
      <c r="I79" s="63">
        <f>H79-180</f>
        <v>45294</v>
      </c>
      <c r="J79" s="60">
        <f t="shared" si="9"/>
        <v>4</v>
      </c>
      <c r="K79" s="60">
        <f t="shared" si="10"/>
        <v>1160.99</v>
      </c>
      <c r="L79" s="60"/>
      <c r="M79" s="60"/>
      <c r="N79" s="60"/>
      <c r="O79" s="60"/>
      <c r="P79" s="60"/>
      <c r="Q79" s="60"/>
      <c r="R79" s="60"/>
      <c r="S79" s="60"/>
      <c r="T79" s="60">
        <v>1</v>
      </c>
      <c r="U79" s="60"/>
      <c r="V79" s="60"/>
      <c r="W79" s="60"/>
      <c r="X79" s="60"/>
      <c r="Y79" s="60"/>
      <c r="Z79" s="60"/>
      <c r="AA79" s="60">
        <v>3</v>
      </c>
      <c r="AB79" s="60"/>
      <c r="AC79" s="60"/>
      <c r="AD79" s="60"/>
      <c r="AE79" s="60"/>
      <c r="AF79" s="60"/>
      <c r="AG79" s="60"/>
      <c r="AH79" s="60"/>
      <c r="AI79" s="60"/>
      <c r="AJ79" s="60"/>
      <c r="AK79" s="64">
        <f t="shared" si="12"/>
        <v>1160.99</v>
      </c>
    </row>
    <row r="80" spans="1:37" x14ac:dyDescent="0.25">
      <c r="A80" s="59" t="s">
        <v>783</v>
      </c>
      <c r="B80" s="59" t="str">
        <f t="shared" ca="1" si="11"/>
        <v>VENCIDO</v>
      </c>
      <c r="C80" s="60" t="s">
        <v>869</v>
      </c>
      <c r="D80" s="61" t="s">
        <v>1654</v>
      </c>
      <c r="E80" s="74" t="s">
        <v>1640</v>
      </c>
      <c r="F80" s="75" t="s">
        <v>229</v>
      </c>
      <c r="G80" s="75" t="s">
        <v>228</v>
      </c>
      <c r="H80" s="63">
        <v>45413</v>
      </c>
      <c r="I80" s="63">
        <v>45413</v>
      </c>
      <c r="J80" s="60">
        <f t="shared" si="9"/>
        <v>3</v>
      </c>
      <c r="K80" s="60">
        <f t="shared" si="10"/>
        <v>963.15000000000009</v>
      </c>
      <c r="L80" s="60"/>
      <c r="M80" s="60"/>
      <c r="N80" s="60"/>
      <c r="O80" s="60"/>
      <c r="P80" s="60"/>
      <c r="Q80" s="60"/>
      <c r="R80" s="60"/>
      <c r="S80" s="60"/>
      <c r="T80" s="60">
        <v>1</v>
      </c>
      <c r="U80" s="60"/>
      <c r="V80" s="60"/>
      <c r="W80" s="60"/>
      <c r="X80" s="60"/>
      <c r="Y80" s="60"/>
      <c r="Z80" s="60"/>
      <c r="AA80" s="60">
        <v>2</v>
      </c>
      <c r="AB80" s="60"/>
      <c r="AC80" s="60"/>
      <c r="AD80" s="60"/>
      <c r="AE80" s="60"/>
      <c r="AF80" s="60"/>
      <c r="AG80" s="60"/>
      <c r="AH80" s="60"/>
      <c r="AI80" s="60"/>
      <c r="AJ80" s="60"/>
      <c r="AK80" s="64">
        <f t="shared" si="12"/>
        <v>963.15000000000009</v>
      </c>
    </row>
    <row r="81" spans="1:37" x14ac:dyDescent="0.25">
      <c r="A81" s="59" t="s">
        <v>783</v>
      </c>
      <c r="B81" s="59" t="str">
        <f t="shared" ca="1" si="11"/>
        <v>VENCIDO</v>
      </c>
      <c r="C81" s="60" t="s">
        <v>869</v>
      </c>
      <c r="D81" s="61" t="s">
        <v>1655</v>
      </c>
      <c r="E81" s="74" t="s">
        <v>1544</v>
      </c>
      <c r="F81" s="75" t="s">
        <v>229</v>
      </c>
      <c r="G81" s="75" t="s">
        <v>228</v>
      </c>
      <c r="H81" s="63">
        <v>45536</v>
      </c>
      <c r="I81" s="63">
        <f>H81-180</f>
        <v>45356</v>
      </c>
      <c r="J81" s="60">
        <f t="shared" si="9"/>
        <v>3</v>
      </c>
      <c r="K81" s="60">
        <f t="shared" si="10"/>
        <v>963.15000000000009</v>
      </c>
      <c r="L81" s="60"/>
      <c r="M81" s="60"/>
      <c r="N81" s="60"/>
      <c r="O81" s="60"/>
      <c r="P81" s="60"/>
      <c r="Q81" s="60"/>
      <c r="R81" s="60"/>
      <c r="S81" s="60"/>
      <c r="T81" s="60">
        <v>1</v>
      </c>
      <c r="U81" s="60"/>
      <c r="V81" s="60"/>
      <c r="W81" s="60"/>
      <c r="X81" s="60"/>
      <c r="Y81" s="60"/>
      <c r="Z81" s="60"/>
      <c r="AA81" s="60">
        <v>2</v>
      </c>
      <c r="AB81" s="60"/>
      <c r="AC81" s="60"/>
      <c r="AD81" s="60"/>
      <c r="AE81" s="60"/>
      <c r="AF81" s="60"/>
      <c r="AG81" s="60"/>
      <c r="AH81" s="60"/>
      <c r="AI81" s="60"/>
      <c r="AJ81" s="60"/>
      <c r="AK81" s="64">
        <f t="shared" si="12"/>
        <v>963.15000000000009</v>
      </c>
    </row>
    <row r="82" spans="1:37" x14ac:dyDescent="0.25">
      <c r="A82" s="59"/>
      <c r="B82" s="59" t="str">
        <f t="shared" ca="1" si="11"/>
        <v>VENCIDO</v>
      </c>
      <c r="C82" s="60" t="s">
        <v>869</v>
      </c>
      <c r="D82" s="61" t="s">
        <v>1656</v>
      </c>
      <c r="E82" s="74" t="s">
        <v>1657</v>
      </c>
      <c r="F82" s="75" t="s">
        <v>229</v>
      </c>
      <c r="G82" s="75" t="s">
        <v>228</v>
      </c>
      <c r="H82" s="63">
        <v>45323</v>
      </c>
      <c r="I82" s="63">
        <v>45323</v>
      </c>
      <c r="J82" s="60">
        <f t="shared" si="9"/>
        <v>3</v>
      </c>
      <c r="K82" s="60">
        <f t="shared" si="10"/>
        <v>963.15000000000009</v>
      </c>
      <c r="L82" s="60"/>
      <c r="M82" s="60"/>
      <c r="N82" s="60"/>
      <c r="O82" s="60"/>
      <c r="P82" s="60"/>
      <c r="Q82" s="60"/>
      <c r="R82" s="60"/>
      <c r="S82" s="60"/>
      <c r="T82" s="60">
        <v>1</v>
      </c>
      <c r="U82" s="60"/>
      <c r="V82" s="60"/>
      <c r="W82" s="60"/>
      <c r="X82" s="60"/>
      <c r="Y82" s="60"/>
      <c r="Z82" s="60"/>
      <c r="AA82" s="60">
        <v>2</v>
      </c>
      <c r="AB82" s="60"/>
      <c r="AC82" s="60"/>
      <c r="AD82" s="60"/>
      <c r="AE82" s="60"/>
      <c r="AF82" s="60"/>
      <c r="AG82" s="60"/>
      <c r="AH82" s="60"/>
      <c r="AI82" s="60"/>
      <c r="AJ82" s="60"/>
      <c r="AK82" s="64">
        <f t="shared" si="12"/>
        <v>963.15000000000009</v>
      </c>
    </row>
    <row r="83" spans="1:37" x14ac:dyDescent="0.25">
      <c r="A83" s="59"/>
      <c r="B83" s="59" t="str">
        <f t="shared" ca="1" si="11"/>
        <v>VENCIDO</v>
      </c>
      <c r="C83" s="60" t="s">
        <v>869</v>
      </c>
      <c r="D83" s="61" t="s">
        <v>1658</v>
      </c>
      <c r="E83" s="74" t="s">
        <v>1659</v>
      </c>
      <c r="F83" s="75" t="s">
        <v>229</v>
      </c>
      <c r="G83" s="75" t="s">
        <v>228</v>
      </c>
      <c r="H83" s="63">
        <v>45536</v>
      </c>
      <c r="I83" s="63">
        <f>H83-180</f>
        <v>45356</v>
      </c>
      <c r="J83" s="60">
        <f t="shared" si="9"/>
        <v>3</v>
      </c>
      <c r="K83" s="60">
        <f t="shared" si="10"/>
        <v>963.15000000000009</v>
      </c>
      <c r="L83" s="60"/>
      <c r="M83" s="60"/>
      <c r="N83" s="60"/>
      <c r="O83" s="60"/>
      <c r="P83" s="60"/>
      <c r="Q83" s="60"/>
      <c r="R83" s="60"/>
      <c r="S83" s="60"/>
      <c r="T83" s="60">
        <v>1</v>
      </c>
      <c r="U83" s="60"/>
      <c r="V83" s="60"/>
      <c r="W83" s="60"/>
      <c r="X83" s="60"/>
      <c r="Y83" s="60"/>
      <c r="Z83" s="60"/>
      <c r="AA83" s="60">
        <v>2</v>
      </c>
      <c r="AB83" s="60"/>
      <c r="AC83" s="60"/>
      <c r="AD83" s="60"/>
      <c r="AE83" s="60"/>
      <c r="AF83" s="60"/>
      <c r="AG83" s="60"/>
      <c r="AH83" s="60"/>
      <c r="AI83" s="60"/>
      <c r="AJ83" s="60"/>
      <c r="AK83" s="64">
        <f t="shared" si="12"/>
        <v>963.15000000000009</v>
      </c>
    </row>
    <row r="84" spans="1:37" x14ac:dyDescent="0.25">
      <c r="A84" s="59" t="s">
        <v>1577</v>
      </c>
      <c r="B84" s="59" t="str">
        <f t="shared" ca="1" si="11"/>
        <v>VENCIDO</v>
      </c>
      <c r="C84" s="60" t="s">
        <v>869</v>
      </c>
      <c r="D84" s="61" t="s">
        <v>1660</v>
      </c>
      <c r="E84" s="74" t="s">
        <v>1533</v>
      </c>
      <c r="F84" s="75" t="s">
        <v>229</v>
      </c>
      <c r="G84" s="75" t="s">
        <v>228</v>
      </c>
      <c r="H84" s="63">
        <v>45566</v>
      </c>
      <c r="I84" s="63">
        <f>H84-180</f>
        <v>45386</v>
      </c>
      <c r="J84" s="60">
        <f t="shared" si="9"/>
        <v>3</v>
      </c>
      <c r="K84" s="60">
        <f t="shared" si="10"/>
        <v>963.15000000000009</v>
      </c>
      <c r="L84" s="60"/>
      <c r="M84" s="60"/>
      <c r="N84" s="60"/>
      <c r="O84" s="60"/>
      <c r="P84" s="60"/>
      <c r="Q84" s="60"/>
      <c r="R84" s="60"/>
      <c r="S84" s="60"/>
      <c r="T84" s="60">
        <v>1</v>
      </c>
      <c r="U84" s="60"/>
      <c r="V84" s="60"/>
      <c r="W84" s="60"/>
      <c r="X84" s="60"/>
      <c r="Y84" s="60"/>
      <c r="Z84" s="60"/>
      <c r="AA84" s="60">
        <v>2</v>
      </c>
      <c r="AB84" s="60"/>
      <c r="AC84" s="60"/>
      <c r="AD84" s="60"/>
      <c r="AE84" s="60"/>
      <c r="AF84" s="60"/>
      <c r="AG84" s="60"/>
      <c r="AH84" s="60"/>
      <c r="AI84" s="60"/>
      <c r="AJ84" s="60"/>
      <c r="AK84" s="64">
        <f t="shared" si="12"/>
        <v>963.15000000000009</v>
      </c>
    </row>
    <row r="85" spans="1:37" x14ac:dyDescent="0.25">
      <c r="A85" s="59" t="s">
        <v>1577</v>
      </c>
      <c r="B85" s="59" t="str">
        <f t="shared" ca="1" si="11"/>
        <v>VENCIDO</v>
      </c>
      <c r="C85" s="60" t="s">
        <v>869</v>
      </c>
      <c r="D85" s="61" t="s">
        <v>1661</v>
      </c>
      <c r="E85" s="74" t="s">
        <v>200</v>
      </c>
      <c r="F85" s="75" t="s">
        <v>229</v>
      </c>
      <c r="G85" s="75" t="s">
        <v>228</v>
      </c>
      <c r="H85" s="63">
        <v>45444</v>
      </c>
      <c r="I85" s="63">
        <v>45444</v>
      </c>
      <c r="J85" s="60">
        <f t="shared" si="9"/>
        <v>3</v>
      </c>
      <c r="K85" s="60">
        <f t="shared" si="10"/>
        <v>963.15000000000009</v>
      </c>
      <c r="L85" s="60"/>
      <c r="M85" s="60"/>
      <c r="N85" s="60"/>
      <c r="O85" s="60"/>
      <c r="P85" s="60"/>
      <c r="Q85" s="60"/>
      <c r="R85" s="60"/>
      <c r="S85" s="60"/>
      <c r="T85" s="60">
        <v>1</v>
      </c>
      <c r="U85" s="60"/>
      <c r="V85" s="60"/>
      <c r="W85" s="60"/>
      <c r="X85" s="60"/>
      <c r="Y85" s="60"/>
      <c r="Z85" s="60"/>
      <c r="AA85" s="60">
        <v>2</v>
      </c>
      <c r="AB85" s="60"/>
      <c r="AC85" s="60"/>
      <c r="AD85" s="60"/>
      <c r="AE85" s="60"/>
      <c r="AF85" s="60"/>
      <c r="AG85" s="60"/>
      <c r="AH85" s="60"/>
      <c r="AI85" s="60"/>
      <c r="AJ85" s="60"/>
      <c r="AK85" s="64">
        <f t="shared" si="12"/>
        <v>963.15000000000009</v>
      </c>
    </row>
    <row r="86" spans="1:37" x14ac:dyDescent="0.25">
      <c r="A86" s="59"/>
      <c r="B86" s="59" t="str">
        <f t="shared" ca="1" si="11"/>
        <v>VENCIDO</v>
      </c>
      <c r="C86" s="60" t="s">
        <v>869</v>
      </c>
      <c r="D86" s="61" t="s">
        <v>1662</v>
      </c>
      <c r="E86" s="74" t="s">
        <v>1663</v>
      </c>
      <c r="F86" s="75" t="s">
        <v>229</v>
      </c>
      <c r="G86" s="75" t="s">
        <v>228</v>
      </c>
      <c r="H86" s="63">
        <v>45292</v>
      </c>
      <c r="I86" s="63">
        <v>45292</v>
      </c>
      <c r="J86" s="60">
        <f t="shared" si="9"/>
        <v>3</v>
      </c>
      <c r="K86" s="60">
        <f t="shared" si="10"/>
        <v>963.15000000000009</v>
      </c>
      <c r="L86" s="60"/>
      <c r="M86" s="60"/>
      <c r="N86" s="60"/>
      <c r="O86" s="60"/>
      <c r="P86" s="60"/>
      <c r="Q86" s="60"/>
      <c r="R86" s="60"/>
      <c r="S86" s="60"/>
      <c r="T86" s="60">
        <v>1</v>
      </c>
      <c r="U86" s="60"/>
      <c r="V86" s="60"/>
      <c r="W86" s="60"/>
      <c r="X86" s="60"/>
      <c r="Y86" s="60"/>
      <c r="Z86" s="60"/>
      <c r="AA86" s="60">
        <v>2</v>
      </c>
      <c r="AB86" s="60"/>
      <c r="AC86" s="60"/>
      <c r="AD86" s="60"/>
      <c r="AE86" s="60"/>
      <c r="AF86" s="60"/>
      <c r="AG86" s="60"/>
      <c r="AH86" s="60"/>
      <c r="AI86" s="60"/>
      <c r="AJ86" s="60"/>
      <c r="AK86" s="64">
        <f t="shared" si="12"/>
        <v>963.15000000000009</v>
      </c>
    </row>
    <row r="87" spans="1:37" x14ac:dyDescent="0.25">
      <c r="A87" s="59"/>
      <c r="B87" s="59" t="str">
        <f t="shared" ca="1" si="11"/>
        <v>VENCIDO</v>
      </c>
      <c r="C87" s="60" t="s">
        <v>869</v>
      </c>
      <c r="D87" s="61" t="s">
        <v>1664</v>
      </c>
      <c r="E87" s="74" t="s">
        <v>1665</v>
      </c>
      <c r="F87" s="75" t="s">
        <v>229</v>
      </c>
      <c r="G87" s="75" t="s">
        <v>228</v>
      </c>
      <c r="H87" s="63">
        <v>45323</v>
      </c>
      <c r="I87" s="63">
        <v>45323</v>
      </c>
      <c r="J87" s="60">
        <f t="shared" si="9"/>
        <v>3</v>
      </c>
      <c r="K87" s="60">
        <f t="shared" si="10"/>
        <v>963.15000000000009</v>
      </c>
      <c r="L87" s="60"/>
      <c r="M87" s="60"/>
      <c r="N87" s="60"/>
      <c r="O87" s="60"/>
      <c r="P87" s="60"/>
      <c r="Q87" s="60"/>
      <c r="R87" s="60"/>
      <c r="S87" s="60"/>
      <c r="T87" s="60">
        <v>1</v>
      </c>
      <c r="U87" s="60"/>
      <c r="V87" s="60"/>
      <c r="W87" s="60"/>
      <c r="X87" s="60"/>
      <c r="Y87" s="60"/>
      <c r="Z87" s="60"/>
      <c r="AA87" s="60">
        <v>2</v>
      </c>
      <c r="AB87" s="60"/>
      <c r="AC87" s="60"/>
      <c r="AD87" s="60"/>
      <c r="AE87" s="60"/>
      <c r="AF87" s="60"/>
      <c r="AG87" s="60"/>
      <c r="AH87" s="60"/>
      <c r="AI87" s="60"/>
      <c r="AJ87" s="60"/>
      <c r="AK87" s="64">
        <f t="shared" si="12"/>
        <v>963.15000000000009</v>
      </c>
    </row>
    <row r="88" spans="1:37" x14ac:dyDescent="0.25">
      <c r="A88" s="59" t="s">
        <v>770</v>
      </c>
      <c r="B88" s="59" t="str">
        <f t="shared" ca="1" si="11"/>
        <v>VENCIDO</v>
      </c>
      <c r="C88" s="60" t="s">
        <v>869</v>
      </c>
      <c r="D88" s="61" t="s">
        <v>1666</v>
      </c>
      <c r="E88" s="74" t="s">
        <v>1667</v>
      </c>
      <c r="F88" s="75" t="s">
        <v>229</v>
      </c>
      <c r="G88" s="75" t="s">
        <v>228</v>
      </c>
      <c r="H88" s="63">
        <v>45505</v>
      </c>
      <c r="I88" s="63">
        <f>H88-180</f>
        <v>45325</v>
      </c>
      <c r="J88" s="60">
        <f t="shared" si="9"/>
        <v>3</v>
      </c>
      <c r="K88" s="60">
        <f t="shared" si="10"/>
        <v>963.15000000000009</v>
      </c>
      <c r="L88" s="60"/>
      <c r="M88" s="60"/>
      <c r="N88" s="60"/>
      <c r="O88" s="60"/>
      <c r="P88" s="60"/>
      <c r="Q88" s="60"/>
      <c r="R88" s="60"/>
      <c r="S88" s="60"/>
      <c r="T88" s="60">
        <v>1</v>
      </c>
      <c r="U88" s="60"/>
      <c r="V88" s="60"/>
      <c r="W88" s="60"/>
      <c r="X88" s="60"/>
      <c r="Y88" s="60"/>
      <c r="Z88" s="60"/>
      <c r="AA88" s="60">
        <v>2</v>
      </c>
      <c r="AB88" s="60"/>
      <c r="AC88" s="60"/>
      <c r="AD88" s="60"/>
      <c r="AE88" s="60"/>
      <c r="AF88" s="60"/>
      <c r="AG88" s="60"/>
      <c r="AH88" s="60"/>
      <c r="AI88" s="60"/>
      <c r="AJ88" s="60"/>
      <c r="AK88" s="64">
        <f t="shared" si="12"/>
        <v>963.15000000000009</v>
      </c>
    </row>
    <row r="89" spans="1:37" x14ac:dyDescent="0.25">
      <c r="A89" s="59"/>
      <c r="B89" s="59" t="str">
        <f t="shared" ca="1" si="11"/>
        <v>VENCIDO</v>
      </c>
      <c r="C89" s="60" t="s">
        <v>869</v>
      </c>
      <c r="D89" s="61" t="s">
        <v>1668</v>
      </c>
      <c r="E89" s="74" t="s">
        <v>1667</v>
      </c>
      <c r="F89" s="75" t="s">
        <v>229</v>
      </c>
      <c r="G89" s="75" t="s">
        <v>228</v>
      </c>
      <c r="H89" s="63">
        <v>45323</v>
      </c>
      <c r="I89" s="63">
        <v>45323</v>
      </c>
      <c r="J89" s="60">
        <f t="shared" si="9"/>
        <v>11</v>
      </c>
      <c r="K89" s="60">
        <f t="shared" si="10"/>
        <v>3547.32</v>
      </c>
      <c r="L89" s="60">
        <v>1</v>
      </c>
      <c r="M89" s="60"/>
      <c r="N89" s="60"/>
      <c r="O89" s="60">
        <v>2</v>
      </c>
      <c r="P89" s="60"/>
      <c r="Q89" s="60"/>
      <c r="R89" s="60"/>
      <c r="S89" s="60"/>
      <c r="T89" s="60">
        <v>4</v>
      </c>
      <c r="U89" s="60"/>
      <c r="V89" s="60">
        <v>3</v>
      </c>
      <c r="W89" s="60"/>
      <c r="X89" s="60"/>
      <c r="Y89" s="60"/>
      <c r="Z89" s="60"/>
      <c r="AA89" s="60">
        <v>1</v>
      </c>
      <c r="AB89" s="60"/>
      <c r="AC89" s="60"/>
      <c r="AD89" s="60"/>
      <c r="AE89" s="60"/>
      <c r="AF89" s="60"/>
      <c r="AG89" s="60"/>
      <c r="AH89" s="60"/>
      <c r="AI89" s="60"/>
      <c r="AJ89" s="60"/>
      <c r="AK89" s="64">
        <f t="shared" si="12"/>
        <v>3547.32</v>
      </c>
    </row>
    <row r="90" spans="1:37" x14ac:dyDescent="0.25">
      <c r="A90" s="59" t="s">
        <v>770</v>
      </c>
      <c r="B90" s="59" t="str">
        <f t="shared" ca="1" si="11"/>
        <v>VENCIDO</v>
      </c>
      <c r="C90" s="60" t="s">
        <v>869</v>
      </c>
      <c r="D90" s="61" t="s">
        <v>1669</v>
      </c>
      <c r="E90" s="74" t="s">
        <v>1533</v>
      </c>
      <c r="F90" s="75" t="s">
        <v>229</v>
      </c>
      <c r="G90" s="75" t="s">
        <v>228</v>
      </c>
      <c r="H90" s="63">
        <v>45566</v>
      </c>
      <c r="I90" s="63">
        <f>H90-180</f>
        <v>45386</v>
      </c>
      <c r="J90" s="60">
        <f t="shared" si="9"/>
        <v>3</v>
      </c>
      <c r="K90" s="60">
        <f t="shared" si="10"/>
        <v>963.15000000000009</v>
      </c>
      <c r="L90" s="60"/>
      <c r="M90" s="60"/>
      <c r="N90" s="60"/>
      <c r="O90" s="60"/>
      <c r="P90" s="60"/>
      <c r="Q90" s="60"/>
      <c r="R90" s="60"/>
      <c r="S90" s="60"/>
      <c r="T90" s="60">
        <v>1</v>
      </c>
      <c r="U90" s="60"/>
      <c r="V90" s="60"/>
      <c r="W90" s="60"/>
      <c r="X90" s="60"/>
      <c r="Y90" s="60"/>
      <c r="Z90" s="60"/>
      <c r="AA90" s="60">
        <v>2</v>
      </c>
      <c r="AB90" s="60"/>
      <c r="AC90" s="60"/>
      <c r="AD90" s="60"/>
      <c r="AE90" s="60"/>
      <c r="AF90" s="60"/>
      <c r="AG90" s="60"/>
      <c r="AH90" s="60"/>
      <c r="AI90" s="60"/>
      <c r="AJ90" s="60"/>
      <c r="AK90" s="64">
        <f t="shared" si="12"/>
        <v>963.15000000000009</v>
      </c>
    </row>
    <row r="91" spans="1:37" x14ac:dyDescent="0.25">
      <c r="A91" s="59" t="s">
        <v>1577</v>
      </c>
      <c r="B91" s="59" t="str">
        <f t="shared" ca="1" si="11"/>
        <v>VENCIDO</v>
      </c>
      <c r="C91" s="60" t="s">
        <v>869</v>
      </c>
      <c r="D91" s="61" t="s">
        <v>1670</v>
      </c>
      <c r="E91" s="74" t="s">
        <v>1671</v>
      </c>
      <c r="F91" s="75" t="s">
        <v>229</v>
      </c>
      <c r="G91" s="75" t="s">
        <v>228</v>
      </c>
      <c r="H91" s="63">
        <v>45536</v>
      </c>
      <c r="I91" s="63">
        <f>H91-180</f>
        <v>45356</v>
      </c>
      <c r="J91" s="60">
        <f t="shared" si="9"/>
        <v>3</v>
      </c>
      <c r="K91" s="60">
        <f t="shared" si="10"/>
        <v>963.15000000000009</v>
      </c>
      <c r="L91" s="60"/>
      <c r="M91" s="60"/>
      <c r="N91" s="60"/>
      <c r="O91" s="60"/>
      <c r="P91" s="60"/>
      <c r="Q91" s="60"/>
      <c r="R91" s="60"/>
      <c r="S91" s="60"/>
      <c r="T91" s="60">
        <v>1</v>
      </c>
      <c r="U91" s="60"/>
      <c r="V91" s="60"/>
      <c r="W91" s="60"/>
      <c r="X91" s="60"/>
      <c r="Y91" s="60"/>
      <c r="Z91" s="60"/>
      <c r="AA91" s="60">
        <v>2</v>
      </c>
      <c r="AB91" s="60"/>
      <c r="AC91" s="60"/>
      <c r="AD91" s="60"/>
      <c r="AE91" s="60"/>
      <c r="AF91" s="60"/>
      <c r="AG91" s="60"/>
      <c r="AH91" s="60"/>
      <c r="AI91" s="60"/>
      <c r="AJ91" s="60"/>
      <c r="AK91" s="64">
        <f t="shared" si="12"/>
        <v>963.15000000000009</v>
      </c>
    </row>
    <row r="92" spans="1:37" x14ac:dyDescent="0.25">
      <c r="A92" s="59"/>
      <c r="B92" s="59" t="str">
        <f t="shared" ca="1" si="11"/>
        <v>VENCIDO</v>
      </c>
      <c r="C92" s="60" t="s">
        <v>869</v>
      </c>
      <c r="D92" s="61" t="s">
        <v>1672</v>
      </c>
      <c r="E92" s="74" t="s">
        <v>1542</v>
      </c>
      <c r="F92" s="75" t="s">
        <v>229</v>
      </c>
      <c r="G92" s="75" t="s">
        <v>228</v>
      </c>
      <c r="H92" s="63">
        <v>45323</v>
      </c>
      <c r="I92" s="63">
        <v>45323</v>
      </c>
      <c r="J92" s="60">
        <f t="shared" ref="J92:J104" si="13">SUM(L92:AE92)</f>
        <v>3</v>
      </c>
      <c r="K92" s="60">
        <f t="shared" si="10"/>
        <v>963.15000000000009</v>
      </c>
      <c r="L92" s="60"/>
      <c r="M92" s="60"/>
      <c r="N92" s="60"/>
      <c r="O92" s="60"/>
      <c r="P92" s="60"/>
      <c r="Q92" s="60"/>
      <c r="R92" s="60"/>
      <c r="S92" s="60"/>
      <c r="T92" s="60">
        <v>1</v>
      </c>
      <c r="U92" s="60"/>
      <c r="V92" s="60"/>
      <c r="W92" s="60"/>
      <c r="X92" s="60"/>
      <c r="Y92" s="60"/>
      <c r="Z92" s="60"/>
      <c r="AA92" s="60">
        <v>2</v>
      </c>
      <c r="AB92" s="60"/>
      <c r="AC92" s="60"/>
      <c r="AD92" s="60"/>
      <c r="AE92" s="60"/>
      <c r="AF92" s="60"/>
      <c r="AG92" s="60"/>
      <c r="AH92" s="60"/>
      <c r="AI92" s="60"/>
      <c r="AJ92" s="60"/>
      <c r="AK92" s="64">
        <f t="shared" si="12"/>
        <v>963.15000000000009</v>
      </c>
    </row>
    <row r="93" spans="1:37" x14ac:dyDescent="0.25">
      <c r="A93" s="59"/>
      <c r="B93" s="59" t="str">
        <f t="shared" ca="1" si="11"/>
        <v>VENCIDO</v>
      </c>
      <c r="C93" s="60" t="s">
        <v>869</v>
      </c>
      <c r="D93" s="61" t="s">
        <v>1673</v>
      </c>
      <c r="E93" s="74" t="s">
        <v>1674</v>
      </c>
      <c r="F93" s="75" t="s">
        <v>229</v>
      </c>
      <c r="G93" s="75" t="s">
        <v>228</v>
      </c>
      <c r="H93" s="63">
        <v>45292</v>
      </c>
      <c r="I93" s="63">
        <v>45292</v>
      </c>
      <c r="J93" s="60">
        <f t="shared" si="13"/>
        <v>3</v>
      </c>
      <c r="K93" s="60">
        <f t="shared" si="10"/>
        <v>963.15000000000009</v>
      </c>
      <c r="L93" s="60"/>
      <c r="M93" s="60"/>
      <c r="N93" s="60"/>
      <c r="O93" s="60"/>
      <c r="P93" s="60"/>
      <c r="Q93" s="60"/>
      <c r="R93" s="60"/>
      <c r="S93" s="60"/>
      <c r="T93" s="60">
        <v>1</v>
      </c>
      <c r="U93" s="60"/>
      <c r="V93" s="60"/>
      <c r="W93" s="60"/>
      <c r="X93" s="60"/>
      <c r="Y93" s="60"/>
      <c r="Z93" s="60"/>
      <c r="AA93" s="60">
        <v>2</v>
      </c>
      <c r="AB93" s="60"/>
      <c r="AC93" s="60"/>
      <c r="AD93" s="60"/>
      <c r="AE93" s="60"/>
      <c r="AF93" s="60"/>
      <c r="AG93" s="60"/>
      <c r="AH93" s="60"/>
      <c r="AI93" s="60"/>
      <c r="AJ93" s="60"/>
      <c r="AK93" s="64">
        <f t="shared" si="12"/>
        <v>963.15000000000009</v>
      </c>
    </row>
    <row r="94" spans="1:37" x14ac:dyDescent="0.25">
      <c r="A94" s="59" t="s">
        <v>770</v>
      </c>
      <c r="B94" s="59" t="str">
        <f t="shared" ca="1" si="11"/>
        <v>VENCIDO</v>
      </c>
      <c r="C94" s="60" t="s">
        <v>869</v>
      </c>
      <c r="D94" s="61" t="s">
        <v>1675</v>
      </c>
      <c r="E94" s="74" t="s">
        <v>1548</v>
      </c>
      <c r="F94" s="75" t="s">
        <v>229</v>
      </c>
      <c r="G94" s="75" t="s">
        <v>228</v>
      </c>
      <c r="H94" s="63">
        <v>45323</v>
      </c>
      <c r="I94" s="63">
        <v>45323</v>
      </c>
      <c r="J94" s="60">
        <f t="shared" si="13"/>
        <v>5</v>
      </c>
      <c r="K94" s="60">
        <f t="shared" si="10"/>
        <v>1358.83</v>
      </c>
      <c r="L94" s="60"/>
      <c r="M94" s="60"/>
      <c r="N94" s="60"/>
      <c r="O94" s="60"/>
      <c r="P94" s="60"/>
      <c r="Q94" s="60"/>
      <c r="R94" s="60"/>
      <c r="S94" s="60"/>
      <c r="T94" s="60">
        <v>1</v>
      </c>
      <c r="U94" s="60"/>
      <c r="V94" s="60"/>
      <c r="W94" s="60"/>
      <c r="X94" s="60"/>
      <c r="Y94" s="60"/>
      <c r="Z94" s="60"/>
      <c r="AA94" s="60">
        <v>4</v>
      </c>
      <c r="AB94" s="60"/>
      <c r="AC94" s="60"/>
      <c r="AD94" s="60"/>
      <c r="AE94" s="60"/>
      <c r="AF94" s="60"/>
      <c r="AG94" s="60"/>
      <c r="AH94" s="60"/>
      <c r="AI94" s="60"/>
      <c r="AJ94" s="60"/>
      <c r="AK94" s="64">
        <f t="shared" si="12"/>
        <v>1358.83</v>
      </c>
    </row>
    <row r="95" spans="1:37" x14ac:dyDescent="0.25">
      <c r="A95" s="59"/>
      <c r="B95" s="59" t="str">
        <f t="shared" ca="1" si="11"/>
        <v>VENCIDO</v>
      </c>
      <c r="C95" s="60" t="s">
        <v>869</v>
      </c>
      <c r="D95" s="61" t="s">
        <v>1676</v>
      </c>
      <c r="E95" s="74" t="s">
        <v>1657</v>
      </c>
      <c r="F95" s="75" t="s">
        <v>229</v>
      </c>
      <c r="G95" s="75" t="s">
        <v>228</v>
      </c>
      <c r="H95" s="63">
        <v>45292</v>
      </c>
      <c r="I95" s="63">
        <v>45292</v>
      </c>
      <c r="J95" s="60">
        <f t="shared" si="13"/>
        <v>3</v>
      </c>
      <c r="K95" s="60">
        <f t="shared" ref="K95:K113" si="14">SUM(AF95:AK95)</f>
        <v>963.15000000000009</v>
      </c>
      <c r="L95" s="60"/>
      <c r="M95" s="60"/>
      <c r="N95" s="60"/>
      <c r="O95" s="60"/>
      <c r="P95" s="60"/>
      <c r="Q95" s="60"/>
      <c r="R95" s="60"/>
      <c r="S95" s="60"/>
      <c r="T95" s="60">
        <v>1</v>
      </c>
      <c r="U95" s="60"/>
      <c r="V95" s="60"/>
      <c r="W95" s="60"/>
      <c r="X95" s="60"/>
      <c r="Y95" s="60"/>
      <c r="Z95" s="60"/>
      <c r="AA95" s="60">
        <v>2</v>
      </c>
      <c r="AB95" s="60"/>
      <c r="AC95" s="60"/>
      <c r="AD95" s="60"/>
      <c r="AE95" s="60"/>
      <c r="AF95" s="60"/>
      <c r="AG95" s="60"/>
      <c r="AH95" s="60"/>
      <c r="AI95" s="60"/>
      <c r="AJ95" s="60"/>
      <c r="AK95" s="64">
        <f t="shared" si="12"/>
        <v>963.15000000000009</v>
      </c>
    </row>
    <row r="96" spans="1:37" x14ac:dyDescent="0.25">
      <c r="A96" s="59"/>
      <c r="B96" s="59" t="str">
        <f t="shared" ca="1" si="11"/>
        <v>VENCIDO</v>
      </c>
      <c r="C96" s="60" t="s">
        <v>869</v>
      </c>
      <c r="D96" s="61" t="s">
        <v>1677</v>
      </c>
      <c r="E96" s="74" t="s">
        <v>228</v>
      </c>
      <c r="F96" s="75" t="s">
        <v>229</v>
      </c>
      <c r="G96" s="75" t="s">
        <v>228</v>
      </c>
      <c r="H96" s="63">
        <v>45658</v>
      </c>
      <c r="I96" s="63">
        <f>H96-180</f>
        <v>45478</v>
      </c>
      <c r="J96" s="60">
        <f t="shared" si="13"/>
        <v>5</v>
      </c>
      <c r="K96" s="60">
        <f t="shared" si="14"/>
        <v>1358.83</v>
      </c>
      <c r="L96" s="60"/>
      <c r="M96" s="60"/>
      <c r="N96" s="60"/>
      <c r="O96" s="60"/>
      <c r="P96" s="60"/>
      <c r="Q96" s="60"/>
      <c r="R96" s="60"/>
      <c r="S96" s="60"/>
      <c r="T96" s="60">
        <v>1</v>
      </c>
      <c r="U96" s="60"/>
      <c r="V96" s="60"/>
      <c r="W96" s="60"/>
      <c r="X96" s="60"/>
      <c r="Y96" s="60"/>
      <c r="Z96" s="60"/>
      <c r="AA96" s="60">
        <v>4</v>
      </c>
      <c r="AB96" s="60"/>
      <c r="AC96" s="60"/>
      <c r="AD96" s="60"/>
      <c r="AE96" s="60"/>
      <c r="AF96" s="60"/>
      <c r="AG96" s="60"/>
      <c r="AH96" s="60"/>
      <c r="AI96" s="60"/>
      <c r="AJ96" s="60"/>
      <c r="AK96" s="64">
        <f t="shared" si="12"/>
        <v>1358.83</v>
      </c>
    </row>
    <row r="97" spans="1:37" x14ac:dyDescent="0.25">
      <c r="A97" s="59"/>
      <c r="B97" s="59" t="str">
        <f t="shared" ca="1" si="11"/>
        <v>VENCIDO</v>
      </c>
      <c r="C97" s="60" t="s">
        <v>869</v>
      </c>
      <c r="D97" s="61" t="s">
        <v>1678</v>
      </c>
      <c r="E97" s="74" t="s">
        <v>1563</v>
      </c>
      <c r="F97" s="75" t="s">
        <v>229</v>
      </c>
      <c r="G97" s="75" t="s">
        <v>228</v>
      </c>
      <c r="H97" s="63">
        <v>45352</v>
      </c>
      <c r="I97" s="63">
        <f>H97-180</f>
        <v>45172</v>
      </c>
      <c r="J97" s="60">
        <f t="shared" si="13"/>
        <v>7</v>
      </c>
      <c r="K97" s="60">
        <f t="shared" si="14"/>
        <v>1523.44</v>
      </c>
      <c r="L97" s="60"/>
      <c r="M97" s="60"/>
      <c r="N97" s="60">
        <v>5</v>
      </c>
      <c r="O97" s="60">
        <v>1</v>
      </c>
      <c r="P97" s="60"/>
      <c r="Q97" s="60"/>
      <c r="R97" s="60"/>
      <c r="S97" s="60"/>
      <c r="T97" s="60">
        <v>1</v>
      </c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4">
        <f t="shared" si="12"/>
        <v>1523.44</v>
      </c>
    </row>
    <row r="98" spans="1:37" x14ac:dyDescent="0.25">
      <c r="A98" s="59"/>
      <c r="B98" s="59" t="str">
        <f t="shared" ca="1" si="11"/>
        <v>VENCIDO</v>
      </c>
      <c r="C98" s="60" t="s">
        <v>869</v>
      </c>
      <c r="D98" s="61" t="s">
        <v>1679</v>
      </c>
      <c r="E98" s="74" t="s">
        <v>1680</v>
      </c>
      <c r="F98" s="75" t="s">
        <v>229</v>
      </c>
      <c r="G98" s="75" t="s">
        <v>228</v>
      </c>
      <c r="H98" s="63">
        <v>45292</v>
      </c>
      <c r="I98" s="63">
        <v>45292</v>
      </c>
      <c r="J98" s="60">
        <f t="shared" si="13"/>
        <v>3</v>
      </c>
      <c r="K98" s="60">
        <f t="shared" si="14"/>
        <v>963.15000000000009</v>
      </c>
      <c r="L98" s="60"/>
      <c r="M98" s="60"/>
      <c r="N98" s="60"/>
      <c r="O98" s="60"/>
      <c r="P98" s="60"/>
      <c r="Q98" s="60"/>
      <c r="R98" s="60"/>
      <c r="S98" s="60"/>
      <c r="T98" s="60">
        <v>1</v>
      </c>
      <c r="U98" s="60"/>
      <c r="V98" s="60"/>
      <c r="W98" s="60"/>
      <c r="X98" s="60"/>
      <c r="Y98" s="60"/>
      <c r="Z98" s="60"/>
      <c r="AA98" s="60">
        <v>2</v>
      </c>
      <c r="AB98" s="60"/>
      <c r="AC98" s="60"/>
      <c r="AD98" s="60"/>
      <c r="AE98" s="60"/>
      <c r="AF98" s="60"/>
      <c r="AG98" s="60"/>
      <c r="AH98" s="60"/>
      <c r="AI98" s="60"/>
      <c r="AJ98" s="60"/>
      <c r="AK98" s="64">
        <f t="shared" si="12"/>
        <v>963.15000000000009</v>
      </c>
    </row>
    <row r="99" spans="1:37" x14ac:dyDescent="0.25">
      <c r="A99" s="59"/>
      <c r="B99" s="59" t="str">
        <f t="shared" ref="B99:B113" ca="1" si="15">IF(H99&lt;$B$1,"VENCIDO","NA VALIDADE")</f>
        <v>VENCIDO</v>
      </c>
      <c r="C99" s="60" t="s">
        <v>790</v>
      </c>
      <c r="D99" s="61" t="s">
        <v>1681</v>
      </c>
      <c r="E99" s="74" t="s">
        <v>1682</v>
      </c>
      <c r="F99" s="75" t="s">
        <v>229</v>
      </c>
      <c r="G99" s="75" t="s">
        <v>228</v>
      </c>
      <c r="H99" s="63">
        <v>45413</v>
      </c>
      <c r="I99" s="63">
        <f>H99-180</f>
        <v>45233</v>
      </c>
      <c r="J99" s="60">
        <f t="shared" si="13"/>
        <v>4</v>
      </c>
      <c r="K99" s="60">
        <f t="shared" si="14"/>
        <v>484.14</v>
      </c>
      <c r="L99" s="60">
        <v>2</v>
      </c>
      <c r="M99" s="60"/>
      <c r="N99" s="60">
        <v>2</v>
      </c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4">
        <f t="shared" ref="AK99:AK113" si="16">IF(L99&gt;0,L99*(82.29+8.15),0)+IF(M99&gt;0,M99*(8.15+339.97),0)+IF(N99&gt;0,N99*151.63,0)+IF(O99&gt;0,O99*197.82,0)+IF(P99&gt;0,P99*244.09,0)+IF(Q99&gt;0,Q99*315.35,0)+IF(R99&gt;0,R99*1067.3,0)+IF(T99&gt;0,T99*567.47,0)+IF(U99&gt;0,U99*151.63,0)+IF(V99&gt;0,V99*197.84,0)+IF(W99&gt;0,W99*470.51,0)+IF(X99&gt;0,X99*701.69,0)+IF(Z99&gt;0,Z99*151.63,0)+IF(AA99&gt;0,AA99*197.84)+IF(AB99&gt;0,AB99*308.4,0)+IF(AC99&gt;0,AC99*496.16,0)</f>
        <v>484.14</v>
      </c>
    </row>
    <row r="100" spans="1:37" x14ac:dyDescent="0.25">
      <c r="A100" s="59"/>
      <c r="B100" s="59" t="str">
        <f t="shared" ca="1" si="15"/>
        <v>VENCIDO</v>
      </c>
      <c r="C100" s="60" t="s">
        <v>869</v>
      </c>
      <c r="D100" s="61" t="s">
        <v>1683</v>
      </c>
      <c r="E100" s="74" t="s">
        <v>1554</v>
      </c>
      <c r="F100" s="75" t="s">
        <v>229</v>
      </c>
      <c r="G100" s="75" t="s">
        <v>228</v>
      </c>
      <c r="H100" s="63">
        <v>45292</v>
      </c>
      <c r="I100" s="63">
        <v>45292</v>
      </c>
      <c r="J100" s="60">
        <f t="shared" si="13"/>
        <v>4</v>
      </c>
      <c r="K100" s="60">
        <f t="shared" si="14"/>
        <v>1530.6200000000001</v>
      </c>
      <c r="L100" s="60"/>
      <c r="M100" s="60"/>
      <c r="N100" s="60"/>
      <c r="O100" s="60"/>
      <c r="P100" s="60"/>
      <c r="Q100" s="60"/>
      <c r="R100" s="60"/>
      <c r="S100" s="60"/>
      <c r="T100" s="60">
        <v>2</v>
      </c>
      <c r="U100" s="60"/>
      <c r="V100" s="60"/>
      <c r="W100" s="60"/>
      <c r="X100" s="60"/>
      <c r="Y100" s="60"/>
      <c r="Z100" s="60"/>
      <c r="AA100" s="60">
        <v>2</v>
      </c>
      <c r="AB100" s="60"/>
      <c r="AC100" s="60"/>
      <c r="AD100" s="60"/>
      <c r="AE100" s="60"/>
      <c r="AF100" s="60"/>
      <c r="AG100" s="60"/>
      <c r="AH100" s="60"/>
      <c r="AI100" s="60"/>
      <c r="AJ100" s="60"/>
      <c r="AK100" s="64">
        <f t="shared" si="16"/>
        <v>1530.6200000000001</v>
      </c>
    </row>
    <row r="101" spans="1:37" x14ac:dyDescent="0.25">
      <c r="A101" s="59" t="s">
        <v>770</v>
      </c>
      <c r="B101" s="59" t="str">
        <f t="shared" ca="1" si="15"/>
        <v>VENCIDO</v>
      </c>
      <c r="C101" s="60" t="s">
        <v>869</v>
      </c>
      <c r="D101" s="61" t="s">
        <v>1684</v>
      </c>
      <c r="E101" s="74" t="s">
        <v>1682</v>
      </c>
      <c r="F101" s="75" t="s">
        <v>229</v>
      </c>
      <c r="G101" s="75" t="s">
        <v>228</v>
      </c>
      <c r="H101" s="63">
        <v>45413</v>
      </c>
      <c r="I101" s="63">
        <v>45413</v>
      </c>
      <c r="J101" s="60">
        <f t="shared" si="13"/>
        <v>3</v>
      </c>
      <c r="K101" s="60">
        <f t="shared" si="14"/>
        <v>963.15000000000009</v>
      </c>
      <c r="L101" s="60"/>
      <c r="M101" s="60"/>
      <c r="N101" s="60"/>
      <c r="O101" s="60"/>
      <c r="P101" s="60"/>
      <c r="Q101" s="60"/>
      <c r="R101" s="60"/>
      <c r="S101" s="60"/>
      <c r="T101" s="60">
        <v>1</v>
      </c>
      <c r="U101" s="60"/>
      <c r="V101" s="60"/>
      <c r="W101" s="60"/>
      <c r="X101" s="60"/>
      <c r="Y101" s="60"/>
      <c r="Z101" s="60"/>
      <c r="AA101" s="60">
        <v>2</v>
      </c>
      <c r="AB101" s="60"/>
      <c r="AC101" s="60"/>
      <c r="AD101" s="60"/>
      <c r="AE101" s="60"/>
      <c r="AF101" s="60"/>
      <c r="AG101" s="60"/>
      <c r="AH101" s="60"/>
      <c r="AI101" s="60"/>
      <c r="AJ101" s="60"/>
      <c r="AK101" s="64">
        <f t="shared" si="16"/>
        <v>963.15000000000009</v>
      </c>
    </row>
    <row r="102" spans="1:37" x14ac:dyDescent="0.25">
      <c r="A102" s="59"/>
      <c r="B102" s="59" t="str">
        <f t="shared" ca="1" si="15"/>
        <v>VENCIDO</v>
      </c>
      <c r="C102" s="60" t="s">
        <v>869</v>
      </c>
      <c r="D102" s="61" t="s">
        <v>1685</v>
      </c>
      <c r="E102" s="74" t="s">
        <v>1686</v>
      </c>
      <c r="F102" s="75" t="s">
        <v>229</v>
      </c>
      <c r="G102" s="75" t="s">
        <v>228</v>
      </c>
      <c r="H102" s="63">
        <v>45444</v>
      </c>
      <c r="I102" s="63">
        <v>45444</v>
      </c>
      <c r="J102" s="60">
        <f t="shared" si="13"/>
        <v>8</v>
      </c>
      <c r="K102" s="60">
        <f t="shared" si="14"/>
        <v>2321.98</v>
      </c>
      <c r="L102" s="60"/>
      <c r="M102" s="60"/>
      <c r="N102" s="60"/>
      <c r="O102" s="60"/>
      <c r="P102" s="60"/>
      <c r="Q102" s="60"/>
      <c r="R102" s="60"/>
      <c r="S102" s="60"/>
      <c r="T102" s="60">
        <v>2</v>
      </c>
      <c r="U102" s="60"/>
      <c r="V102" s="60"/>
      <c r="W102" s="60"/>
      <c r="X102" s="60"/>
      <c r="Y102" s="60"/>
      <c r="Z102" s="60"/>
      <c r="AA102" s="60">
        <v>6</v>
      </c>
      <c r="AB102" s="60"/>
      <c r="AC102" s="60"/>
      <c r="AD102" s="60"/>
      <c r="AE102" s="60"/>
      <c r="AF102" s="60"/>
      <c r="AG102" s="60"/>
      <c r="AH102" s="60"/>
      <c r="AI102" s="60"/>
      <c r="AJ102" s="60"/>
      <c r="AK102" s="64">
        <f t="shared" si="16"/>
        <v>2321.98</v>
      </c>
    </row>
    <row r="103" spans="1:37" x14ac:dyDescent="0.25">
      <c r="A103" s="59"/>
      <c r="B103" s="59" t="str">
        <f t="shared" ca="1" si="15"/>
        <v>VENCIDO</v>
      </c>
      <c r="C103" s="60" t="s">
        <v>869</v>
      </c>
      <c r="D103" s="61" t="s">
        <v>1687</v>
      </c>
      <c r="E103" s="74" t="s">
        <v>1542</v>
      </c>
      <c r="F103" s="75" t="s">
        <v>229</v>
      </c>
      <c r="G103" s="75" t="s">
        <v>228</v>
      </c>
      <c r="H103" s="63">
        <v>45292</v>
      </c>
      <c r="I103" s="63">
        <v>45292</v>
      </c>
      <c r="J103" s="60">
        <f t="shared" si="13"/>
        <v>3</v>
      </c>
      <c r="K103" s="60">
        <f t="shared" si="14"/>
        <v>963.15000000000009</v>
      </c>
      <c r="L103" s="60"/>
      <c r="M103" s="60"/>
      <c r="N103" s="60"/>
      <c r="O103" s="60"/>
      <c r="P103" s="60"/>
      <c r="Q103" s="60"/>
      <c r="R103" s="60"/>
      <c r="S103" s="60"/>
      <c r="T103" s="60">
        <v>1</v>
      </c>
      <c r="U103" s="60"/>
      <c r="V103" s="60"/>
      <c r="W103" s="60"/>
      <c r="X103" s="60"/>
      <c r="Y103" s="60"/>
      <c r="Z103" s="60"/>
      <c r="AA103" s="60">
        <v>2</v>
      </c>
      <c r="AB103" s="60"/>
      <c r="AC103" s="60"/>
      <c r="AD103" s="60"/>
      <c r="AE103" s="60"/>
      <c r="AF103" s="60"/>
      <c r="AG103" s="60"/>
      <c r="AH103" s="60"/>
      <c r="AI103" s="60"/>
      <c r="AJ103" s="60"/>
      <c r="AK103" s="64">
        <f t="shared" si="16"/>
        <v>963.15000000000009</v>
      </c>
    </row>
    <row r="104" spans="1:37" x14ac:dyDescent="0.25">
      <c r="A104" s="59" t="s">
        <v>770</v>
      </c>
      <c r="B104" s="59" t="str">
        <f t="shared" ca="1" si="15"/>
        <v>VENCIDO</v>
      </c>
      <c r="C104" s="60" t="s">
        <v>869</v>
      </c>
      <c r="D104" s="61" t="s">
        <v>1688</v>
      </c>
      <c r="E104" s="74" t="s">
        <v>1150</v>
      </c>
      <c r="F104" s="75" t="s">
        <v>229</v>
      </c>
      <c r="G104" s="75" t="s">
        <v>228</v>
      </c>
      <c r="H104" s="63">
        <v>45292</v>
      </c>
      <c r="I104" s="63">
        <v>45292</v>
      </c>
      <c r="J104" s="60">
        <f t="shared" si="13"/>
        <v>3</v>
      </c>
      <c r="K104" s="60">
        <f t="shared" si="14"/>
        <v>963.15000000000009</v>
      </c>
      <c r="L104" s="60"/>
      <c r="M104" s="60"/>
      <c r="N104" s="60"/>
      <c r="O104" s="60"/>
      <c r="P104" s="60"/>
      <c r="Q104" s="60"/>
      <c r="R104" s="60"/>
      <c r="S104" s="60"/>
      <c r="T104" s="60">
        <v>1</v>
      </c>
      <c r="U104" s="60"/>
      <c r="V104" s="60"/>
      <c r="W104" s="60"/>
      <c r="X104" s="60"/>
      <c r="Y104" s="60"/>
      <c r="Z104" s="60"/>
      <c r="AA104" s="60">
        <v>2</v>
      </c>
      <c r="AB104" s="60"/>
      <c r="AC104" s="60"/>
      <c r="AD104" s="60"/>
      <c r="AE104" s="60"/>
      <c r="AF104" s="60"/>
      <c r="AG104" s="60"/>
      <c r="AH104" s="60"/>
      <c r="AI104" s="60"/>
      <c r="AJ104" s="60"/>
      <c r="AK104" s="64">
        <f t="shared" si="16"/>
        <v>963.15000000000009</v>
      </c>
    </row>
    <row r="105" spans="1:37" x14ac:dyDescent="0.25">
      <c r="A105" s="59" t="s">
        <v>770</v>
      </c>
      <c r="B105" s="59" t="str">
        <f t="shared" ca="1" si="15"/>
        <v>VENCIDO</v>
      </c>
      <c r="C105" s="60" t="s">
        <v>1110</v>
      </c>
      <c r="D105" s="61" t="s">
        <v>1689</v>
      </c>
      <c r="E105" s="74" t="s">
        <v>1538</v>
      </c>
      <c r="F105" s="75" t="s">
        <v>229</v>
      </c>
      <c r="G105" s="75" t="s">
        <v>228</v>
      </c>
      <c r="H105" s="63">
        <v>45474</v>
      </c>
      <c r="I105" s="63">
        <f>H105-180</f>
        <v>45294</v>
      </c>
      <c r="J105" s="60">
        <v>6</v>
      </c>
      <c r="K105" s="60">
        <f t="shared" si="14"/>
        <v>864.80000000000007</v>
      </c>
      <c r="L105" s="60">
        <v>3</v>
      </c>
      <c r="M105" s="60"/>
      <c r="N105" s="60"/>
      <c r="O105" s="60">
        <v>2</v>
      </c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>
        <v>1</v>
      </c>
      <c r="AB105" s="60"/>
      <c r="AC105" s="60"/>
      <c r="AD105" s="60"/>
      <c r="AE105" s="60"/>
      <c r="AF105" s="60"/>
      <c r="AG105" s="60"/>
      <c r="AH105" s="60"/>
      <c r="AI105" s="60"/>
      <c r="AJ105" s="60"/>
      <c r="AK105" s="64">
        <f t="shared" si="16"/>
        <v>864.80000000000007</v>
      </c>
    </row>
    <row r="106" spans="1:37" x14ac:dyDescent="0.25">
      <c r="A106" s="59" t="s">
        <v>770</v>
      </c>
      <c r="B106" s="59" t="str">
        <f t="shared" ca="1" si="15"/>
        <v>VENCIDO</v>
      </c>
      <c r="C106" s="60" t="s">
        <v>1110</v>
      </c>
      <c r="D106" s="61" t="s">
        <v>1690</v>
      </c>
      <c r="E106" s="74" t="s">
        <v>1533</v>
      </c>
      <c r="F106" s="75" t="s">
        <v>229</v>
      </c>
      <c r="G106" s="75" t="s">
        <v>228</v>
      </c>
      <c r="H106" s="63">
        <v>45413</v>
      </c>
      <c r="I106" s="63">
        <v>45413</v>
      </c>
      <c r="J106" s="60">
        <f t="shared" ref="J106:J113" si="17">SUM(L106:AE106)</f>
        <v>10</v>
      </c>
      <c r="K106" s="60">
        <f t="shared" si="14"/>
        <v>1302.77</v>
      </c>
      <c r="L106" s="60">
        <v>5</v>
      </c>
      <c r="M106" s="60"/>
      <c r="N106" s="60">
        <v>3</v>
      </c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>
        <v>2</v>
      </c>
      <c r="AB106" s="60"/>
      <c r="AC106" s="60"/>
      <c r="AD106" s="60"/>
      <c r="AE106" s="60"/>
      <c r="AF106" s="60"/>
      <c r="AG106" s="60"/>
      <c r="AH106" s="60"/>
      <c r="AI106" s="60"/>
      <c r="AJ106" s="60"/>
      <c r="AK106" s="64">
        <f t="shared" si="16"/>
        <v>1302.77</v>
      </c>
    </row>
    <row r="107" spans="1:37" x14ac:dyDescent="0.25">
      <c r="A107" s="59" t="s">
        <v>770</v>
      </c>
      <c r="B107" s="59" t="str">
        <f t="shared" ca="1" si="15"/>
        <v>VENCIDO</v>
      </c>
      <c r="C107" s="60" t="s">
        <v>790</v>
      </c>
      <c r="D107" s="61" t="s">
        <v>1691</v>
      </c>
      <c r="E107" s="74" t="s">
        <v>1575</v>
      </c>
      <c r="F107" s="75" t="s">
        <v>229</v>
      </c>
      <c r="G107" s="75" t="s">
        <v>228</v>
      </c>
      <c r="H107" s="63">
        <v>45444</v>
      </c>
      <c r="I107" s="63">
        <v>45444</v>
      </c>
      <c r="J107" s="60">
        <f t="shared" si="17"/>
        <v>6</v>
      </c>
      <c r="K107" s="60">
        <f t="shared" si="14"/>
        <v>864.84</v>
      </c>
      <c r="L107" s="60">
        <v>3</v>
      </c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>
        <v>3</v>
      </c>
      <c r="AB107" s="60"/>
      <c r="AC107" s="60"/>
      <c r="AD107" s="60"/>
      <c r="AE107" s="60"/>
      <c r="AF107" s="60"/>
      <c r="AG107" s="60"/>
      <c r="AH107" s="60"/>
      <c r="AI107" s="60"/>
      <c r="AJ107" s="60"/>
      <c r="AK107" s="64">
        <f t="shared" si="16"/>
        <v>864.84</v>
      </c>
    </row>
    <row r="108" spans="1:37" x14ac:dyDescent="0.25">
      <c r="A108" s="59" t="s">
        <v>770</v>
      </c>
      <c r="B108" s="59" t="str">
        <f t="shared" ca="1" si="15"/>
        <v>VENCIDO</v>
      </c>
      <c r="C108" s="60" t="s">
        <v>1110</v>
      </c>
      <c r="D108" s="61" t="s">
        <v>1692</v>
      </c>
      <c r="E108" s="74" t="s">
        <v>1535</v>
      </c>
      <c r="F108" s="75" t="s">
        <v>229</v>
      </c>
      <c r="G108" s="75" t="s">
        <v>228</v>
      </c>
      <c r="H108" s="63">
        <v>45658</v>
      </c>
      <c r="I108" s="63">
        <f>H108-180</f>
        <v>45478</v>
      </c>
      <c r="J108" s="60">
        <f t="shared" si="17"/>
        <v>13</v>
      </c>
      <c r="K108" s="60">
        <f t="shared" si="14"/>
        <v>1788.93</v>
      </c>
      <c r="L108" s="60">
        <v>6</v>
      </c>
      <c r="M108" s="60"/>
      <c r="N108" s="60">
        <v>4</v>
      </c>
      <c r="O108" s="60"/>
      <c r="P108" s="60">
        <v>1</v>
      </c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>
        <v>2</v>
      </c>
      <c r="AB108" s="60"/>
      <c r="AC108" s="60"/>
      <c r="AD108" s="60"/>
      <c r="AE108" s="60"/>
      <c r="AF108" s="60"/>
      <c r="AG108" s="60"/>
      <c r="AH108" s="60"/>
      <c r="AI108" s="60"/>
      <c r="AJ108" s="60"/>
      <c r="AK108" s="64">
        <f t="shared" si="16"/>
        <v>1788.93</v>
      </c>
    </row>
    <row r="109" spans="1:37" x14ac:dyDescent="0.25">
      <c r="A109" s="59" t="s">
        <v>770</v>
      </c>
      <c r="B109" s="59" t="str">
        <f t="shared" ca="1" si="15"/>
        <v>VENCIDO</v>
      </c>
      <c r="C109" s="60" t="s">
        <v>1110</v>
      </c>
      <c r="D109" s="61" t="s">
        <v>1693</v>
      </c>
      <c r="E109" s="74" t="s">
        <v>1540</v>
      </c>
      <c r="F109" s="75" t="s">
        <v>229</v>
      </c>
      <c r="G109" s="75" t="s">
        <v>228</v>
      </c>
      <c r="H109" s="63">
        <v>45444</v>
      </c>
      <c r="I109" s="63">
        <v>45444</v>
      </c>
      <c r="J109" s="60">
        <f t="shared" si="17"/>
        <v>4</v>
      </c>
      <c r="K109" s="60">
        <f t="shared" si="14"/>
        <v>576.56000000000006</v>
      </c>
      <c r="L109" s="60">
        <v>2</v>
      </c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>
        <v>2</v>
      </c>
      <c r="AB109" s="60"/>
      <c r="AC109" s="60"/>
      <c r="AD109" s="60"/>
      <c r="AE109" s="60"/>
      <c r="AF109" s="60"/>
      <c r="AG109" s="60"/>
      <c r="AH109" s="60"/>
      <c r="AI109" s="60"/>
      <c r="AJ109" s="60"/>
      <c r="AK109" s="64">
        <f t="shared" si="16"/>
        <v>576.56000000000006</v>
      </c>
    </row>
    <row r="110" spans="1:37" x14ac:dyDescent="0.25">
      <c r="A110" s="76">
        <v>44774</v>
      </c>
      <c r="B110" s="59" t="str">
        <f t="shared" ca="1" si="15"/>
        <v>VENCIDO</v>
      </c>
      <c r="C110" s="60" t="s">
        <v>1110</v>
      </c>
      <c r="D110" s="61" t="s">
        <v>1694</v>
      </c>
      <c r="E110" s="74" t="s">
        <v>1556</v>
      </c>
      <c r="F110" s="75" t="s">
        <v>229</v>
      </c>
      <c r="G110" s="75" t="s">
        <v>228</v>
      </c>
      <c r="H110" s="63">
        <v>45474</v>
      </c>
      <c r="I110" s="63">
        <f>H110-180</f>
        <v>45294</v>
      </c>
      <c r="J110" s="60">
        <f t="shared" si="17"/>
        <v>6</v>
      </c>
      <c r="K110" s="60">
        <f t="shared" si="14"/>
        <v>818.61</v>
      </c>
      <c r="L110" s="60">
        <v>3</v>
      </c>
      <c r="M110" s="60"/>
      <c r="N110" s="60">
        <v>1</v>
      </c>
      <c r="O110" s="60">
        <v>1</v>
      </c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>
        <v>1</v>
      </c>
      <c r="AB110" s="60"/>
      <c r="AC110" s="60"/>
      <c r="AD110" s="60"/>
      <c r="AE110" s="60"/>
      <c r="AF110" s="60"/>
      <c r="AG110" s="60"/>
      <c r="AH110" s="60"/>
      <c r="AI110" s="60"/>
      <c r="AJ110" s="60"/>
      <c r="AK110" s="64">
        <f t="shared" si="16"/>
        <v>818.61</v>
      </c>
    </row>
    <row r="111" spans="1:37" x14ac:dyDescent="0.25">
      <c r="A111" s="59" t="s">
        <v>770</v>
      </c>
      <c r="B111" s="59" t="str">
        <f t="shared" ca="1" si="15"/>
        <v>VENCIDO</v>
      </c>
      <c r="C111" s="60" t="s">
        <v>1110</v>
      </c>
      <c r="D111" s="61" t="s">
        <v>1695</v>
      </c>
      <c r="E111" s="74" t="s">
        <v>228</v>
      </c>
      <c r="F111" s="75" t="s">
        <v>229</v>
      </c>
      <c r="G111" s="75" t="s">
        <v>228</v>
      </c>
      <c r="H111" s="63">
        <v>45505</v>
      </c>
      <c r="I111" s="63">
        <f>H111-180</f>
        <v>45325</v>
      </c>
      <c r="J111" s="60">
        <f t="shared" si="17"/>
        <v>4</v>
      </c>
      <c r="K111" s="60">
        <f t="shared" si="14"/>
        <v>606.52</v>
      </c>
      <c r="L111" s="60"/>
      <c r="M111" s="60"/>
      <c r="N111" s="60"/>
      <c r="O111" s="60"/>
      <c r="P111" s="60"/>
      <c r="Q111" s="60"/>
      <c r="R111" s="60"/>
      <c r="S111" s="60"/>
      <c r="T111" s="60"/>
      <c r="U111" s="60">
        <v>4</v>
      </c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4">
        <f t="shared" si="16"/>
        <v>606.52</v>
      </c>
    </row>
    <row r="112" spans="1:37" x14ac:dyDescent="0.25">
      <c r="A112" s="59"/>
      <c r="B112" s="59" t="str">
        <f t="shared" ca="1" si="15"/>
        <v>VENCIDO</v>
      </c>
      <c r="C112" s="60" t="s">
        <v>1110</v>
      </c>
      <c r="D112" s="61" t="s">
        <v>1696</v>
      </c>
      <c r="E112" s="74" t="s">
        <v>1544</v>
      </c>
      <c r="F112" s="75" t="s">
        <v>229</v>
      </c>
      <c r="G112" s="75" t="s">
        <v>228</v>
      </c>
      <c r="H112" s="63">
        <v>45474</v>
      </c>
      <c r="I112" s="63">
        <f>H112-180</f>
        <v>45294</v>
      </c>
      <c r="J112" s="60">
        <f t="shared" si="17"/>
        <v>47</v>
      </c>
      <c r="K112" s="60">
        <f t="shared" si="14"/>
        <v>6473.4000000000005</v>
      </c>
      <c r="L112" s="60">
        <v>22</v>
      </c>
      <c r="M112" s="60"/>
      <c r="N112" s="60">
        <v>10</v>
      </c>
      <c r="O112" s="60">
        <v>9</v>
      </c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>
        <v>6</v>
      </c>
      <c r="AB112" s="60"/>
      <c r="AC112" s="60"/>
      <c r="AD112" s="60"/>
      <c r="AE112" s="60"/>
      <c r="AF112" s="60"/>
      <c r="AG112" s="60"/>
      <c r="AH112" s="60"/>
      <c r="AI112" s="60"/>
      <c r="AJ112" s="60"/>
      <c r="AK112" s="64">
        <f t="shared" si="16"/>
        <v>6473.4000000000005</v>
      </c>
    </row>
    <row r="113" spans="2:37" x14ac:dyDescent="0.25">
      <c r="B113" s="59" t="str">
        <f t="shared" ca="1" si="15"/>
        <v>VENCIDO</v>
      </c>
      <c r="C113" s="60" t="s">
        <v>1110</v>
      </c>
      <c r="D113" s="61" t="s">
        <v>1697</v>
      </c>
      <c r="E113" s="74" t="s">
        <v>1550</v>
      </c>
      <c r="F113" s="75" t="s">
        <v>229</v>
      </c>
      <c r="G113" s="75" t="s">
        <v>228</v>
      </c>
      <c r="H113" s="63">
        <v>45323</v>
      </c>
      <c r="I113" s="63">
        <v>45323</v>
      </c>
      <c r="J113" s="60">
        <f t="shared" si="17"/>
        <v>6</v>
      </c>
      <c r="K113" s="60">
        <f t="shared" si="14"/>
        <v>864.84</v>
      </c>
      <c r="L113" s="60">
        <v>3</v>
      </c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>
        <v>3</v>
      </c>
      <c r="AB113" s="60"/>
      <c r="AC113" s="60"/>
      <c r="AD113" s="60"/>
      <c r="AE113" s="60"/>
      <c r="AF113" s="60"/>
      <c r="AG113" s="60"/>
      <c r="AH113" s="60"/>
      <c r="AI113" s="60"/>
      <c r="AJ113" s="60"/>
      <c r="AK113" s="64">
        <f t="shared" si="16"/>
        <v>864.84</v>
      </c>
    </row>
    <row r="114" spans="2:37" x14ac:dyDescent="0.25">
      <c r="B114" s="61"/>
      <c r="C114" s="60"/>
      <c r="D114" s="61"/>
      <c r="E114" s="75"/>
      <c r="F114" s="75"/>
      <c r="G114" s="75"/>
      <c r="H114" s="63"/>
      <c r="I114" s="63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</row>
    <row r="115" spans="2:37" ht="15.75" customHeight="1" x14ac:dyDescent="0.25">
      <c r="B115" s="61"/>
      <c r="C115" s="61"/>
      <c r="D115" s="61"/>
      <c r="E115" s="61"/>
      <c r="F115" s="61"/>
      <c r="G115" s="61"/>
      <c r="H115" s="63"/>
      <c r="I115" s="78" t="s">
        <v>757</v>
      </c>
      <c r="J115" s="79">
        <f t="shared" ref="J115:R115" si="18">SUBTOTAL(109,J3:J113)</f>
        <v>631</v>
      </c>
      <c r="K115" s="79">
        <f t="shared" si="18"/>
        <v>133535.25999999981</v>
      </c>
      <c r="L115" s="79">
        <f t="shared" si="18"/>
        <v>157</v>
      </c>
      <c r="M115" s="79">
        <f t="shared" si="18"/>
        <v>0</v>
      </c>
      <c r="N115" s="79">
        <f t="shared" si="18"/>
        <v>106</v>
      </c>
      <c r="O115" s="79">
        <f t="shared" si="18"/>
        <v>47</v>
      </c>
      <c r="P115" s="79">
        <f t="shared" si="18"/>
        <v>5</v>
      </c>
      <c r="Q115" s="79">
        <f t="shared" si="18"/>
        <v>0</v>
      </c>
      <c r="R115" s="79">
        <f t="shared" si="18"/>
        <v>1</v>
      </c>
      <c r="S115" s="79"/>
      <c r="T115" s="79">
        <f t="shared" ref="T115:AI115" si="19">SUBTOTAL(109,T3:T113)</f>
        <v>83</v>
      </c>
      <c r="U115" s="79">
        <f t="shared" si="19"/>
        <v>4</v>
      </c>
      <c r="V115" s="79">
        <f t="shared" si="19"/>
        <v>4</v>
      </c>
      <c r="W115" s="79">
        <f t="shared" si="19"/>
        <v>0</v>
      </c>
      <c r="X115" s="79">
        <f t="shared" si="19"/>
        <v>0</v>
      </c>
      <c r="Y115" s="79">
        <f t="shared" si="19"/>
        <v>0</v>
      </c>
      <c r="Z115" s="79">
        <f t="shared" si="19"/>
        <v>0</v>
      </c>
      <c r="AA115" s="79">
        <f t="shared" si="19"/>
        <v>223</v>
      </c>
      <c r="AB115" s="79">
        <f t="shared" si="19"/>
        <v>2</v>
      </c>
      <c r="AC115" s="79">
        <f t="shared" si="19"/>
        <v>0</v>
      </c>
      <c r="AD115" s="79">
        <f t="shared" si="19"/>
        <v>0</v>
      </c>
      <c r="AE115" s="79">
        <f t="shared" si="19"/>
        <v>0</v>
      </c>
      <c r="AF115" s="79">
        <f t="shared" si="19"/>
        <v>46</v>
      </c>
      <c r="AG115" s="79">
        <f t="shared" si="19"/>
        <v>0</v>
      </c>
      <c r="AH115" s="79">
        <f t="shared" si="19"/>
        <v>0</v>
      </c>
      <c r="AI115" s="79">
        <f t="shared" si="19"/>
        <v>0</v>
      </c>
      <c r="AJ115" s="79"/>
      <c r="AK115" s="80">
        <f>SUBTOTAL(109,AK3:AK113)</f>
        <v>135090.1599999998</v>
      </c>
    </row>
  </sheetData>
  <autoFilter ref="A2:AK113" xr:uid="{00000000-0009-0000-0000-000003000000}"/>
  <mergeCells count="7">
    <mergeCell ref="AD1:AE1"/>
    <mergeCell ref="AF1:AK1"/>
    <mergeCell ref="J1:K1"/>
    <mergeCell ref="L1:M1"/>
    <mergeCell ref="N1:T1"/>
    <mergeCell ref="U1:Y1"/>
    <mergeCell ref="Z1:AC1"/>
  </mergeCells>
  <conditionalFormatting sqref="A1:A114">
    <cfRule type="cellIs" dxfId="68" priority="6" operator="equal">
      <formula>"SIM"</formula>
    </cfRule>
  </conditionalFormatting>
  <conditionalFormatting sqref="A3:A112">
    <cfRule type="containsText" dxfId="67" priority="7" operator="containsText" text="NA VALIDADE">
      <formula>NOT(ISERROR(SEARCH("NA VALIDADE",A3)))</formula>
    </cfRule>
    <cfRule type="containsText" dxfId="66" priority="8" operator="containsText" text="VENCIDO">
      <formula>NOT(ISERROR(SEARCH("VENCIDO",A3)))</formula>
    </cfRule>
  </conditionalFormatting>
  <conditionalFormatting sqref="A2:B2">
    <cfRule type="containsText" dxfId="65" priority="9" operator="containsText" text="ENVIADO">
      <formula>NOT(ISERROR(SEARCH("ENVIADO",A2)))</formula>
    </cfRule>
    <cfRule type="cellIs" dxfId="64" priority="10" operator="equal">
      <formula>#REF!</formula>
    </cfRule>
    <cfRule type="cellIs" dxfId="63" priority="11" operator="equal">
      <formula>#REF!</formula>
    </cfRule>
    <cfRule type="cellIs" dxfId="62" priority="12" operator="equal">
      <formula>#REF!</formula>
    </cfRule>
    <cfRule type="cellIs" dxfId="61" priority="13" operator="equal">
      <formula>#REF!</formula>
    </cfRule>
  </conditionalFormatting>
  <conditionalFormatting sqref="B3:B113">
    <cfRule type="containsText" dxfId="60" priority="3" operator="containsText" text="NA VALIDADE">
      <formula>NOT(ISERROR(SEARCH("NA VALIDADE",B3)))</formula>
    </cfRule>
    <cfRule type="containsText" dxfId="59" priority="4" operator="containsText" text="VENCIDO">
      <formula>NOT(ISERROR(SEARCH("VENCIDO",B3)))</formula>
    </cfRule>
  </conditionalFormatting>
  <conditionalFormatting sqref="J3:AK114">
    <cfRule type="cellIs" dxfId="58" priority="2" operator="greaterThan">
      <formula>0</formula>
    </cfRule>
  </conditionalFormatting>
  <conditionalFormatting sqref="J115:AK115">
    <cfRule type="cellIs" dxfId="57" priority="5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1" fitToHeight="0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55A11"/>
    <pageSetUpPr fitToPage="1"/>
  </sheetPr>
  <dimension ref="A1:AJ232"/>
  <sheetViews>
    <sheetView view="pageBreakPreview" zoomScale="80" zoomScaleNormal="100" zoomScalePageLayoutView="80" workbookViewId="0">
      <selection activeCell="AG15" sqref="AG15"/>
    </sheetView>
  </sheetViews>
  <sheetFormatPr defaultColWidth="8.7109375" defaultRowHeight="15" x14ac:dyDescent="0.25"/>
  <cols>
    <col min="1" max="1" width="13.5703125" customWidth="1"/>
    <col min="2" max="2" width="13.140625" customWidth="1"/>
    <col min="3" max="3" width="50.5703125" customWidth="1"/>
    <col min="4" max="4" width="29.85546875" customWidth="1"/>
    <col min="5" max="5" width="3.5703125" customWidth="1"/>
    <col min="6" max="6" width="28.5703125" customWidth="1"/>
    <col min="7" max="8" width="13.5703125" customWidth="1"/>
    <col min="9" max="9" width="18.140625" customWidth="1"/>
    <col min="10" max="10" width="14.42578125" customWidth="1"/>
    <col min="35" max="35" width="15.5703125" customWidth="1"/>
    <col min="36" max="36" width="17" hidden="1" customWidth="1"/>
  </cols>
  <sheetData>
    <row r="1" spans="1:36" ht="50.25" customHeight="1" x14ac:dyDescent="0.25">
      <c r="A1" s="72">
        <f ca="1">TODAY()</f>
        <v>46308</v>
      </c>
      <c r="B1" s="48"/>
      <c r="C1" s="49">
        <f>SUBTOTAL(3,C3:C525)</f>
        <v>229</v>
      </c>
      <c r="D1" s="81" t="s">
        <v>1531</v>
      </c>
      <c r="E1" s="48"/>
      <c r="F1" s="48"/>
      <c r="G1" s="52" t="s">
        <v>756</v>
      </c>
      <c r="H1" s="53"/>
      <c r="I1" s="5" t="s">
        <v>757</v>
      </c>
      <c r="J1" s="5"/>
      <c r="K1" s="4" t="s">
        <v>758</v>
      </c>
      <c r="L1" s="4"/>
      <c r="M1" s="3" t="s">
        <v>759</v>
      </c>
      <c r="N1" s="3"/>
      <c r="O1" s="3"/>
      <c r="P1" s="3"/>
      <c r="Q1" s="3"/>
      <c r="R1" s="3"/>
      <c r="S1" s="3"/>
      <c r="T1" s="2" t="s">
        <v>760</v>
      </c>
      <c r="U1" s="2"/>
      <c r="V1" s="2"/>
      <c r="W1" s="2"/>
      <c r="X1" s="2"/>
      <c r="Y1" s="1" t="s">
        <v>761</v>
      </c>
      <c r="Z1" s="1"/>
      <c r="AA1" s="1"/>
      <c r="AB1" s="1"/>
      <c r="AC1" s="98" t="s">
        <v>762</v>
      </c>
      <c r="AD1" s="98"/>
      <c r="AE1" s="99" t="s">
        <v>739</v>
      </c>
      <c r="AF1" s="99"/>
      <c r="AG1" s="99"/>
      <c r="AH1" s="99"/>
      <c r="AI1" s="99"/>
      <c r="AJ1" s="99"/>
    </row>
    <row r="2" spans="1:36" ht="37.5" customHeight="1" x14ac:dyDescent="0.25">
      <c r="A2" s="54" t="s">
        <v>62</v>
      </c>
      <c r="B2" s="54" t="s">
        <v>764</v>
      </c>
      <c r="C2" s="54" t="s">
        <v>30</v>
      </c>
      <c r="D2" s="48" t="s">
        <v>32</v>
      </c>
      <c r="E2" s="54" t="s">
        <v>33</v>
      </c>
      <c r="F2" s="54" t="s">
        <v>765</v>
      </c>
      <c r="G2" s="54" t="s">
        <v>34</v>
      </c>
      <c r="H2" s="54" t="s">
        <v>766</v>
      </c>
      <c r="I2" s="55" t="s">
        <v>63</v>
      </c>
      <c r="J2" s="55" t="s">
        <v>64</v>
      </c>
      <c r="K2" s="56" t="s">
        <v>35</v>
      </c>
      <c r="L2" s="56" t="s">
        <v>36</v>
      </c>
      <c r="M2" s="56" t="s">
        <v>37</v>
      </c>
      <c r="N2" s="56" t="s">
        <v>38</v>
      </c>
      <c r="O2" s="56" t="s">
        <v>39</v>
      </c>
      <c r="P2" s="56" t="s">
        <v>40</v>
      </c>
      <c r="Q2" s="56" t="s">
        <v>41</v>
      </c>
      <c r="R2" s="56" t="s">
        <v>42</v>
      </c>
      <c r="S2" s="56" t="s">
        <v>43</v>
      </c>
      <c r="T2" s="56" t="s">
        <v>37</v>
      </c>
      <c r="U2" s="56" t="s">
        <v>38</v>
      </c>
      <c r="V2" s="56" t="s">
        <v>39</v>
      </c>
      <c r="W2" s="56" t="s">
        <v>44</v>
      </c>
      <c r="X2" s="56" t="s">
        <v>768</v>
      </c>
      <c r="Y2" s="56" t="s">
        <v>37</v>
      </c>
      <c r="Z2" s="56" t="s">
        <v>38</v>
      </c>
      <c r="AA2" s="56" t="s">
        <v>47</v>
      </c>
      <c r="AB2" s="56" t="s">
        <v>48</v>
      </c>
      <c r="AC2" s="56" t="s">
        <v>49</v>
      </c>
      <c r="AD2" s="56" t="s">
        <v>50</v>
      </c>
      <c r="AE2" s="57" t="s">
        <v>51</v>
      </c>
      <c r="AF2" s="57" t="s">
        <v>52</v>
      </c>
      <c r="AG2" s="57" t="s">
        <v>53</v>
      </c>
      <c r="AH2" s="57" t="s">
        <v>54</v>
      </c>
      <c r="AI2" s="57" t="s">
        <v>55</v>
      </c>
      <c r="AJ2" s="57" t="s">
        <v>769</v>
      </c>
    </row>
    <row r="3" spans="1:36" x14ac:dyDescent="0.25">
      <c r="A3" s="59" t="str">
        <f t="shared" ref="A3:A66" ca="1" si="0">IF(G3&lt;$A$1,"VENCIDO","NA VALIDADE")</f>
        <v>VENCIDO</v>
      </c>
      <c r="B3" s="60" t="s">
        <v>869</v>
      </c>
      <c r="C3" s="61" t="s">
        <v>1698</v>
      </c>
      <c r="D3" s="82" t="s">
        <v>1699</v>
      </c>
      <c r="E3" s="75" t="s">
        <v>261</v>
      </c>
      <c r="F3" s="75" t="s">
        <v>408</v>
      </c>
      <c r="G3" s="63">
        <v>45658</v>
      </c>
      <c r="H3" s="63">
        <f t="shared" ref="H3:H9" si="1">G3-180</f>
        <v>45478</v>
      </c>
      <c r="I3" s="60">
        <f t="shared" ref="I3:I34" si="2">SUM(K3:AD3)</f>
        <v>2</v>
      </c>
      <c r="J3" s="60">
        <f t="shared" ref="J3:J66" si="3">SUM(AE3:AI3)</f>
        <v>0</v>
      </c>
      <c r="K3" s="60"/>
      <c r="L3" s="60"/>
      <c r="M3" s="60"/>
      <c r="N3" s="60">
        <v>1</v>
      </c>
      <c r="O3" s="60">
        <v>1</v>
      </c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4">
        <f t="shared" ref="AJ3:AJ66" si="4">IF(K3&gt;0,K3*(82.29+8.15),0)+IF(L3&gt;0,L3*(8.15+339.97),0)+IF(M3&gt;0,M3*151.63,0)+IF(N3&gt;0,N3*197.82,0)+IF(O3&gt;0,O3*244.09,0)+IF(P3&gt;0,P3*315.35,0)+IF(Q3&gt;0,Q3*1067.3,0)+IF(S3&gt;0,S3*567.47,0)+IF(T3&gt;0,T3*151.63,0)+IF(U3&gt;0,U3*197.84,0)+IF(V3&gt;0,V3*470.51,0)+IF(W3&gt;0,W3*701.69,0)+IF(Y3&gt;0,Y3*151.63,0)+IF(Z3&gt;0,Z3*197.84)+IF(AA3&gt;0,AA3*308.4,0)+IF(AB3&gt;0,AB3*496.16,0)</f>
        <v>441.90999999999997</v>
      </c>
    </row>
    <row r="4" spans="1:36" x14ac:dyDescent="0.25">
      <c r="A4" s="59" t="str">
        <f t="shared" ca="1" si="0"/>
        <v>VENCIDO</v>
      </c>
      <c r="B4" s="60" t="s">
        <v>772</v>
      </c>
      <c r="C4" s="61" t="s">
        <v>1700</v>
      </c>
      <c r="D4" s="82" t="s">
        <v>1701</v>
      </c>
      <c r="E4" s="75" t="s">
        <v>261</v>
      </c>
      <c r="F4" s="75" t="s">
        <v>408</v>
      </c>
      <c r="G4" s="63">
        <v>45413</v>
      </c>
      <c r="H4" s="63">
        <f t="shared" si="1"/>
        <v>45233</v>
      </c>
      <c r="I4" s="60">
        <f t="shared" si="2"/>
        <v>3</v>
      </c>
      <c r="J4" s="60">
        <f t="shared" si="3"/>
        <v>0</v>
      </c>
      <c r="K4" s="60">
        <v>1</v>
      </c>
      <c r="L4" s="60"/>
      <c r="M4" s="60">
        <v>2</v>
      </c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4">
        <f t="shared" si="4"/>
        <v>393.7</v>
      </c>
    </row>
    <row r="5" spans="1:36" x14ac:dyDescent="0.25">
      <c r="A5" s="59" t="str">
        <f t="shared" ca="1" si="0"/>
        <v>VENCIDO</v>
      </c>
      <c r="B5" s="60" t="s">
        <v>869</v>
      </c>
      <c r="C5" s="61" t="s">
        <v>1702</v>
      </c>
      <c r="D5" s="82" t="s">
        <v>1703</v>
      </c>
      <c r="E5" s="75" t="s">
        <v>261</v>
      </c>
      <c r="F5" s="75" t="s">
        <v>408</v>
      </c>
      <c r="G5" s="63">
        <v>45505</v>
      </c>
      <c r="H5" s="63">
        <f t="shared" si="1"/>
        <v>45325</v>
      </c>
      <c r="I5" s="60">
        <f t="shared" si="2"/>
        <v>2</v>
      </c>
      <c r="J5" s="60">
        <f t="shared" si="3"/>
        <v>0</v>
      </c>
      <c r="K5" s="60"/>
      <c r="L5" s="60"/>
      <c r="M5" s="60"/>
      <c r="N5" s="60"/>
      <c r="O5" s="60"/>
      <c r="P5" s="60">
        <v>1</v>
      </c>
      <c r="Q5" s="60"/>
      <c r="R5" s="60"/>
      <c r="S5" s="60"/>
      <c r="T5" s="60"/>
      <c r="U5" s="60"/>
      <c r="V5" s="60"/>
      <c r="W5" s="60"/>
      <c r="X5" s="60"/>
      <c r="Y5" s="60"/>
      <c r="Z5" s="60">
        <v>1</v>
      </c>
      <c r="AA5" s="60"/>
      <c r="AB5" s="60"/>
      <c r="AC5" s="60"/>
      <c r="AD5" s="60"/>
      <c r="AE5" s="60"/>
      <c r="AF5" s="60"/>
      <c r="AG5" s="60"/>
      <c r="AH5" s="60"/>
      <c r="AI5" s="60"/>
      <c r="AJ5" s="64">
        <f t="shared" si="4"/>
        <v>513.19000000000005</v>
      </c>
    </row>
    <row r="6" spans="1:36" x14ac:dyDescent="0.25">
      <c r="A6" s="59" t="str">
        <f t="shared" ca="1" si="0"/>
        <v>VENCIDO</v>
      </c>
      <c r="B6" s="60" t="s">
        <v>869</v>
      </c>
      <c r="C6" s="61" t="s">
        <v>1704</v>
      </c>
      <c r="D6" s="82" t="s">
        <v>1705</v>
      </c>
      <c r="E6" s="75" t="s">
        <v>261</v>
      </c>
      <c r="F6" s="75" t="s">
        <v>408</v>
      </c>
      <c r="G6" s="63">
        <v>45566</v>
      </c>
      <c r="H6" s="63">
        <f t="shared" si="1"/>
        <v>45386</v>
      </c>
      <c r="I6" s="60">
        <f t="shared" si="2"/>
        <v>2</v>
      </c>
      <c r="J6" s="60">
        <f t="shared" si="3"/>
        <v>0</v>
      </c>
      <c r="K6" s="60"/>
      <c r="L6" s="60"/>
      <c r="M6" s="60"/>
      <c r="N6" s="60"/>
      <c r="O6" s="60"/>
      <c r="P6" s="60"/>
      <c r="Q6" s="60"/>
      <c r="R6" s="60"/>
      <c r="S6" s="60">
        <v>1</v>
      </c>
      <c r="T6" s="60"/>
      <c r="U6" s="60"/>
      <c r="V6" s="60"/>
      <c r="W6" s="60"/>
      <c r="X6" s="60"/>
      <c r="Y6" s="60"/>
      <c r="Z6" s="60">
        <v>1</v>
      </c>
      <c r="AA6" s="60"/>
      <c r="AB6" s="60"/>
      <c r="AC6" s="60"/>
      <c r="AD6" s="60"/>
      <c r="AE6" s="60"/>
      <c r="AF6" s="60"/>
      <c r="AG6" s="60"/>
      <c r="AH6" s="60"/>
      <c r="AI6" s="60"/>
      <c r="AJ6" s="64">
        <f t="shared" si="4"/>
        <v>765.31000000000006</v>
      </c>
    </row>
    <row r="7" spans="1:36" x14ac:dyDescent="0.25">
      <c r="A7" s="59" t="str">
        <f t="shared" ca="1" si="0"/>
        <v>VENCIDO</v>
      </c>
      <c r="B7" s="60" t="s">
        <v>772</v>
      </c>
      <c r="C7" s="61" t="s">
        <v>1706</v>
      </c>
      <c r="D7" s="82" t="s">
        <v>1707</v>
      </c>
      <c r="E7" s="75" t="s">
        <v>261</v>
      </c>
      <c r="F7" s="75" t="s">
        <v>408</v>
      </c>
      <c r="G7" s="63">
        <v>45505</v>
      </c>
      <c r="H7" s="63">
        <f t="shared" si="1"/>
        <v>45325</v>
      </c>
      <c r="I7" s="60">
        <f t="shared" si="2"/>
        <v>2</v>
      </c>
      <c r="J7" s="60">
        <f t="shared" si="3"/>
        <v>0</v>
      </c>
      <c r="K7" s="60"/>
      <c r="L7" s="60"/>
      <c r="M7" s="60">
        <v>1</v>
      </c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>
        <v>1</v>
      </c>
      <c r="AA7" s="60"/>
      <c r="AB7" s="60"/>
      <c r="AC7" s="60"/>
      <c r="AD7" s="60"/>
      <c r="AE7" s="60"/>
      <c r="AF7" s="60"/>
      <c r="AG7" s="60"/>
      <c r="AH7" s="60"/>
      <c r="AI7" s="60"/>
      <c r="AJ7" s="64">
        <f t="shared" si="4"/>
        <v>349.47</v>
      </c>
    </row>
    <row r="8" spans="1:36" x14ac:dyDescent="0.25">
      <c r="A8" s="59" t="str">
        <f t="shared" ca="1" si="0"/>
        <v>VENCIDO</v>
      </c>
      <c r="B8" s="60" t="s">
        <v>772</v>
      </c>
      <c r="C8" s="61" t="s">
        <v>1708</v>
      </c>
      <c r="D8" s="82" t="s">
        <v>1703</v>
      </c>
      <c r="E8" s="75" t="s">
        <v>261</v>
      </c>
      <c r="F8" s="75" t="s">
        <v>408</v>
      </c>
      <c r="G8" s="63">
        <v>45505</v>
      </c>
      <c r="H8" s="63">
        <f t="shared" si="1"/>
        <v>45325</v>
      </c>
      <c r="I8" s="60">
        <f t="shared" si="2"/>
        <v>3</v>
      </c>
      <c r="J8" s="60">
        <f t="shared" si="3"/>
        <v>0</v>
      </c>
      <c r="K8" s="60">
        <v>1</v>
      </c>
      <c r="L8" s="60"/>
      <c r="M8" s="60"/>
      <c r="N8" s="60"/>
      <c r="O8" s="60">
        <v>1</v>
      </c>
      <c r="P8" s="60"/>
      <c r="Q8" s="60"/>
      <c r="R8" s="60"/>
      <c r="S8" s="60"/>
      <c r="T8" s="60"/>
      <c r="U8" s="60"/>
      <c r="V8" s="60"/>
      <c r="W8" s="60"/>
      <c r="X8" s="60"/>
      <c r="Y8" s="60"/>
      <c r="Z8" s="60">
        <v>1</v>
      </c>
      <c r="AA8" s="60"/>
      <c r="AB8" s="60"/>
      <c r="AC8" s="60"/>
      <c r="AD8" s="60"/>
      <c r="AE8" s="60"/>
      <c r="AF8" s="60"/>
      <c r="AG8" s="60"/>
      <c r="AH8" s="60"/>
      <c r="AI8" s="60"/>
      <c r="AJ8" s="64">
        <f t="shared" si="4"/>
        <v>532.37</v>
      </c>
    </row>
    <row r="9" spans="1:36" x14ac:dyDescent="0.25">
      <c r="A9" s="59" t="str">
        <f t="shared" ca="1" si="0"/>
        <v>VENCIDO</v>
      </c>
      <c r="B9" s="60" t="s">
        <v>772</v>
      </c>
      <c r="C9" s="61" t="s">
        <v>1709</v>
      </c>
      <c r="D9" s="82" t="s">
        <v>1710</v>
      </c>
      <c r="E9" s="75" t="s">
        <v>261</v>
      </c>
      <c r="F9" s="75" t="s">
        <v>408</v>
      </c>
      <c r="G9" s="63">
        <v>45536</v>
      </c>
      <c r="H9" s="63">
        <f t="shared" si="1"/>
        <v>45356</v>
      </c>
      <c r="I9" s="60">
        <f t="shared" si="2"/>
        <v>3</v>
      </c>
      <c r="J9" s="60">
        <f t="shared" si="3"/>
        <v>0</v>
      </c>
      <c r="K9" s="60">
        <v>1</v>
      </c>
      <c r="L9" s="60"/>
      <c r="M9" s="60"/>
      <c r="N9" s="60">
        <v>1</v>
      </c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>
        <v>1</v>
      </c>
      <c r="AA9" s="60"/>
      <c r="AB9" s="60"/>
      <c r="AC9" s="60"/>
      <c r="AD9" s="60"/>
      <c r="AE9" s="60"/>
      <c r="AF9" s="60"/>
      <c r="AG9" s="60"/>
      <c r="AH9" s="60"/>
      <c r="AI9" s="60"/>
      <c r="AJ9" s="64">
        <f t="shared" si="4"/>
        <v>486.1</v>
      </c>
    </row>
    <row r="10" spans="1:36" x14ac:dyDescent="0.25">
      <c r="A10" s="59" t="str">
        <f t="shared" ca="1" si="0"/>
        <v>VENCIDO</v>
      </c>
      <c r="B10" s="60" t="s">
        <v>772</v>
      </c>
      <c r="C10" s="61" t="s">
        <v>1711</v>
      </c>
      <c r="D10" s="82" t="s">
        <v>1712</v>
      </c>
      <c r="E10" s="75" t="s">
        <v>261</v>
      </c>
      <c r="F10" s="75" t="s">
        <v>408</v>
      </c>
      <c r="G10" s="63">
        <v>45323</v>
      </c>
      <c r="H10" s="63">
        <v>45323</v>
      </c>
      <c r="I10" s="60">
        <f t="shared" si="2"/>
        <v>3</v>
      </c>
      <c r="J10" s="60">
        <f t="shared" si="3"/>
        <v>0</v>
      </c>
      <c r="K10" s="60">
        <v>1</v>
      </c>
      <c r="L10" s="60"/>
      <c r="M10" s="60"/>
      <c r="N10" s="60">
        <v>1</v>
      </c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>
        <v>1</v>
      </c>
      <c r="AA10" s="60"/>
      <c r="AB10" s="60"/>
      <c r="AC10" s="60"/>
      <c r="AD10" s="60"/>
      <c r="AE10" s="60"/>
      <c r="AF10" s="60"/>
      <c r="AG10" s="60"/>
      <c r="AH10" s="60"/>
      <c r="AI10" s="60"/>
      <c r="AJ10" s="64">
        <f t="shared" si="4"/>
        <v>486.1</v>
      </c>
    </row>
    <row r="11" spans="1:36" x14ac:dyDescent="0.25">
      <c r="A11" s="59" t="str">
        <f t="shared" ca="1" si="0"/>
        <v>VENCIDO</v>
      </c>
      <c r="B11" s="60" t="s">
        <v>772</v>
      </c>
      <c r="C11" s="61" t="s">
        <v>1713</v>
      </c>
      <c r="D11" s="82" t="s">
        <v>408</v>
      </c>
      <c r="E11" s="75" t="s">
        <v>261</v>
      </c>
      <c r="F11" s="75" t="s">
        <v>408</v>
      </c>
      <c r="G11" s="63">
        <v>45413</v>
      </c>
      <c r="H11" s="63">
        <v>45413</v>
      </c>
      <c r="I11" s="60">
        <f t="shared" si="2"/>
        <v>4</v>
      </c>
      <c r="J11" s="60">
        <f t="shared" si="3"/>
        <v>0</v>
      </c>
      <c r="K11" s="60">
        <v>1</v>
      </c>
      <c r="L11" s="60"/>
      <c r="M11" s="60"/>
      <c r="N11" s="60"/>
      <c r="O11" s="60">
        <v>1</v>
      </c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>
        <v>2</v>
      </c>
      <c r="AA11" s="60"/>
      <c r="AB11" s="60"/>
      <c r="AC11" s="60"/>
      <c r="AD11" s="60"/>
      <c r="AE11" s="60"/>
      <c r="AF11" s="60"/>
      <c r="AG11" s="60"/>
      <c r="AH11" s="60"/>
      <c r="AI11" s="60"/>
      <c r="AJ11" s="64">
        <f t="shared" si="4"/>
        <v>730.21</v>
      </c>
    </row>
    <row r="12" spans="1:36" x14ac:dyDescent="0.25">
      <c r="A12" s="59" t="str">
        <f t="shared" ca="1" si="0"/>
        <v>VENCIDO</v>
      </c>
      <c r="B12" s="60" t="s">
        <v>772</v>
      </c>
      <c r="C12" s="61" t="s">
        <v>1714</v>
      </c>
      <c r="D12" s="82" t="s">
        <v>502</v>
      </c>
      <c r="E12" s="75" t="s">
        <v>261</v>
      </c>
      <c r="F12" s="75" t="s">
        <v>408</v>
      </c>
      <c r="G12" s="63">
        <v>45505</v>
      </c>
      <c r="H12" s="63">
        <f>G12-180</f>
        <v>45325</v>
      </c>
      <c r="I12" s="60">
        <f t="shared" si="2"/>
        <v>3</v>
      </c>
      <c r="J12" s="60">
        <f t="shared" si="3"/>
        <v>0</v>
      </c>
      <c r="K12" s="60">
        <v>1</v>
      </c>
      <c r="L12" s="60"/>
      <c r="M12" s="60">
        <v>1</v>
      </c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>
        <v>1</v>
      </c>
      <c r="AA12" s="60"/>
      <c r="AB12" s="60"/>
      <c r="AC12" s="60"/>
      <c r="AD12" s="60"/>
      <c r="AE12" s="60"/>
      <c r="AF12" s="60"/>
      <c r="AG12" s="60"/>
      <c r="AH12" s="60"/>
      <c r="AI12" s="60"/>
      <c r="AJ12" s="64">
        <f t="shared" si="4"/>
        <v>439.90999999999997</v>
      </c>
    </row>
    <row r="13" spans="1:36" x14ac:dyDescent="0.25">
      <c r="A13" s="59" t="str">
        <f t="shared" ca="1" si="0"/>
        <v>VENCIDO</v>
      </c>
      <c r="B13" s="60" t="s">
        <v>772</v>
      </c>
      <c r="C13" s="61" t="s">
        <v>1715</v>
      </c>
      <c r="D13" s="82" t="s">
        <v>1716</v>
      </c>
      <c r="E13" s="75" t="s">
        <v>261</v>
      </c>
      <c r="F13" s="75" t="s">
        <v>408</v>
      </c>
      <c r="G13" s="63">
        <v>45352</v>
      </c>
      <c r="H13" s="63">
        <f>G13-180</f>
        <v>45172</v>
      </c>
      <c r="I13" s="60">
        <f t="shared" si="2"/>
        <v>3</v>
      </c>
      <c r="J13" s="60">
        <f t="shared" si="3"/>
        <v>0</v>
      </c>
      <c r="K13" s="60">
        <v>1</v>
      </c>
      <c r="L13" s="60"/>
      <c r="M13" s="60">
        <v>1</v>
      </c>
      <c r="N13" s="60"/>
      <c r="O13" s="60"/>
      <c r="P13" s="60">
        <v>1</v>
      </c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4">
        <f t="shared" si="4"/>
        <v>557.42000000000007</v>
      </c>
    </row>
    <row r="14" spans="1:36" x14ac:dyDescent="0.25">
      <c r="A14" s="59" t="str">
        <f t="shared" ca="1" si="0"/>
        <v>VENCIDO</v>
      </c>
      <c r="B14" s="60" t="s">
        <v>772</v>
      </c>
      <c r="C14" s="61" t="s">
        <v>1717</v>
      </c>
      <c r="D14" s="82" t="s">
        <v>286</v>
      </c>
      <c r="E14" s="75" t="s">
        <v>261</v>
      </c>
      <c r="F14" s="75" t="s">
        <v>408</v>
      </c>
      <c r="G14" s="63">
        <v>45444</v>
      </c>
      <c r="H14" s="63">
        <v>45444</v>
      </c>
      <c r="I14" s="60">
        <f t="shared" si="2"/>
        <v>3</v>
      </c>
      <c r="J14" s="60">
        <f t="shared" si="3"/>
        <v>0</v>
      </c>
      <c r="K14" s="60">
        <v>1</v>
      </c>
      <c r="L14" s="60"/>
      <c r="M14" s="60"/>
      <c r="N14" s="60"/>
      <c r="O14" s="60">
        <v>1</v>
      </c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>
        <v>1</v>
      </c>
      <c r="AA14" s="60"/>
      <c r="AB14" s="60"/>
      <c r="AC14" s="60"/>
      <c r="AD14" s="60"/>
      <c r="AE14" s="60"/>
      <c r="AF14" s="60"/>
      <c r="AG14" s="60"/>
      <c r="AH14" s="60"/>
      <c r="AI14" s="60"/>
      <c r="AJ14" s="64">
        <f t="shared" si="4"/>
        <v>532.37</v>
      </c>
    </row>
    <row r="15" spans="1:36" x14ac:dyDescent="0.25">
      <c r="A15" s="59" t="str">
        <f t="shared" ca="1" si="0"/>
        <v>VENCIDO</v>
      </c>
      <c r="B15" s="60" t="s">
        <v>772</v>
      </c>
      <c r="C15" s="61" t="s">
        <v>1718</v>
      </c>
      <c r="D15" s="82" t="s">
        <v>260</v>
      </c>
      <c r="E15" s="75" t="s">
        <v>261</v>
      </c>
      <c r="F15" s="75" t="s">
        <v>408</v>
      </c>
      <c r="G15" s="63">
        <v>45474</v>
      </c>
      <c r="H15" s="63">
        <v>45474</v>
      </c>
      <c r="I15" s="60">
        <f t="shared" si="2"/>
        <v>3</v>
      </c>
      <c r="J15" s="60">
        <f t="shared" si="3"/>
        <v>0</v>
      </c>
      <c r="K15" s="60"/>
      <c r="L15" s="60"/>
      <c r="M15" s="60">
        <v>1</v>
      </c>
      <c r="N15" s="60"/>
      <c r="O15" s="60">
        <v>1</v>
      </c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>
        <v>1</v>
      </c>
      <c r="AA15" s="60"/>
      <c r="AB15" s="60"/>
      <c r="AC15" s="60"/>
      <c r="AD15" s="60"/>
      <c r="AE15" s="60"/>
      <c r="AF15" s="60"/>
      <c r="AG15" s="60"/>
      <c r="AH15" s="60"/>
      <c r="AI15" s="60"/>
      <c r="AJ15" s="64">
        <f t="shared" si="4"/>
        <v>593.56000000000006</v>
      </c>
    </row>
    <row r="16" spans="1:36" x14ac:dyDescent="0.25">
      <c r="A16" s="59" t="str">
        <f t="shared" ca="1" si="0"/>
        <v>VENCIDO</v>
      </c>
      <c r="B16" s="60" t="s">
        <v>772</v>
      </c>
      <c r="C16" t="s">
        <v>1719</v>
      </c>
      <c r="D16" s="82" t="s">
        <v>260</v>
      </c>
      <c r="E16" s="75" t="s">
        <v>261</v>
      </c>
      <c r="F16" s="75" t="s">
        <v>408</v>
      </c>
      <c r="G16" s="63">
        <v>45323</v>
      </c>
      <c r="H16" s="63">
        <v>45323</v>
      </c>
      <c r="I16" s="60">
        <f t="shared" si="2"/>
        <v>3</v>
      </c>
      <c r="J16" s="60">
        <f t="shared" si="3"/>
        <v>0</v>
      </c>
      <c r="K16" s="60"/>
      <c r="L16" s="60"/>
      <c r="M16" s="60">
        <v>1</v>
      </c>
      <c r="N16" s="60"/>
      <c r="O16" s="60"/>
      <c r="P16" s="60">
        <v>1</v>
      </c>
      <c r="Q16" s="60"/>
      <c r="R16" s="60"/>
      <c r="S16" s="60"/>
      <c r="T16" s="60"/>
      <c r="U16" s="60"/>
      <c r="V16" s="60"/>
      <c r="W16" s="60"/>
      <c r="X16" s="60"/>
      <c r="Y16" s="60"/>
      <c r="Z16" s="60">
        <v>1</v>
      </c>
      <c r="AA16" s="60"/>
      <c r="AB16" s="60"/>
      <c r="AC16" s="60"/>
      <c r="AD16" s="60"/>
      <c r="AE16" s="60"/>
      <c r="AF16" s="60"/>
      <c r="AG16" s="60"/>
      <c r="AH16" s="60"/>
      <c r="AI16" s="60"/>
      <c r="AJ16" s="64">
        <f t="shared" si="4"/>
        <v>664.82</v>
      </c>
    </row>
    <row r="17" spans="1:36" x14ac:dyDescent="0.25">
      <c r="A17" s="59" t="str">
        <f t="shared" ca="1" si="0"/>
        <v>VENCIDO</v>
      </c>
      <c r="B17" s="60" t="s">
        <v>772</v>
      </c>
      <c r="C17" s="61" t="s">
        <v>1720</v>
      </c>
      <c r="D17" s="82" t="s">
        <v>1721</v>
      </c>
      <c r="E17" s="75" t="s">
        <v>261</v>
      </c>
      <c r="F17" s="75" t="s">
        <v>408</v>
      </c>
      <c r="G17" s="63">
        <v>45505</v>
      </c>
      <c r="H17" s="63">
        <f>G17-180</f>
        <v>45325</v>
      </c>
      <c r="I17" s="60">
        <f t="shared" si="2"/>
        <v>3</v>
      </c>
      <c r="J17" s="60">
        <f t="shared" si="3"/>
        <v>0</v>
      </c>
      <c r="K17" s="60">
        <v>1</v>
      </c>
      <c r="L17" s="60"/>
      <c r="M17" s="60"/>
      <c r="N17" s="60"/>
      <c r="O17" s="60"/>
      <c r="P17" s="60">
        <v>1</v>
      </c>
      <c r="Q17" s="60"/>
      <c r="R17" s="60"/>
      <c r="S17" s="60"/>
      <c r="T17" s="60"/>
      <c r="U17" s="60"/>
      <c r="V17" s="60"/>
      <c r="W17" s="60"/>
      <c r="X17" s="60"/>
      <c r="Y17" s="60"/>
      <c r="Z17" s="60">
        <v>1</v>
      </c>
      <c r="AA17" s="60"/>
      <c r="AB17" s="60"/>
      <c r="AC17" s="60"/>
      <c r="AD17" s="60"/>
      <c r="AE17" s="60"/>
      <c r="AF17" s="60"/>
      <c r="AG17" s="60"/>
      <c r="AH17" s="60"/>
      <c r="AI17" s="60"/>
      <c r="AJ17" s="64">
        <f t="shared" si="4"/>
        <v>603.63</v>
      </c>
    </row>
    <row r="18" spans="1:36" x14ac:dyDescent="0.25">
      <c r="A18" s="59" t="str">
        <f t="shared" ca="1" si="0"/>
        <v>VENCIDO</v>
      </c>
      <c r="B18" s="60" t="s">
        <v>772</v>
      </c>
      <c r="C18" s="61" t="s">
        <v>1722</v>
      </c>
      <c r="D18" s="82" t="s">
        <v>1723</v>
      </c>
      <c r="E18" s="75" t="s">
        <v>261</v>
      </c>
      <c r="F18" s="75" t="s">
        <v>408</v>
      </c>
      <c r="G18" s="63">
        <v>45323</v>
      </c>
      <c r="H18" s="63">
        <v>45323</v>
      </c>
      <c r="I18" s="60">
        <f t="shared" si="2"/>
        <v>4</v>
      </c>
      <c r="J18" s="60">
        <f t="shared" si="3"/>
        <v>0</v>
      </c>
      <c r="K18" s="60">
        <v>1</v>
      </c>
      <c r="L18" s="60"/>
      <c r="M18" s="60"/>
      <c r="N18" s="60">
        <v>2</v>
      </c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>
        <v>1</v>
      </c>
      <c r="AA18" s="60"/>
      <c r="AB18" s="60"/>
      <c r="AC18" s="60"/>
      <c r="AD18" s="60"/>
      <c r="AE18" s="60"/>
      <c r="AF18" s="60"/>
      <c r="AG18" s="60"/>
      <c r="AH18" s="60"/>
      <c r="AI18" s="60"/>
      <c r="AJ18" s="64">
        <f t="shared" si="4"/>
        <v>683.92</v>
      </c>
    </row>
    <row r="19" spans="1:36" x14ac:dyDescent="0.25">
      <c r="A19" s="59" t="str">
        <f t="shared" ca="1" si="0"/>
        <v>VENCIDO</v>
      </c>
      <c r="B19" s="60" t="s">
        <v>772</v>
      </c>
      <c r="C19" s="61" t="s">
        <v>1724</v>
      </c>
      <c r="D19" s="82" t="s">
        <v>260</v>
      </c>
      <c r="E19" s="75" t="s">
        <v>261</v>
      </c>
      <c r="F19" s="75" t="s">
        <v>408</v>
      </c>
      <c r="G19" s="63">
        <v>45505</v>
      </c>
      <c r="H19" s="63">
        <f>G19-180</f>
        <v>45325</v>
      </c>
      <c r="I19" s="60">
        <f t="shared" si="2"/>
        <v>6</v>
      </c>
      <c r="J19" s="60">
        <f t="shared" si="3"/>
        <v>0</v>
      </c>
      <c r="K19" s="60">
        <v>1</v>
      </c>
      <c r="L19" s="60"/>
      <c r="M19" s="60">
        <v>2</v>
      </c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>
        <v>3</v>
      </c>
      <c r="AA19" s="60"/>
      <c r="AB19" s="60"/>
      <c r="AC19" s="60"/>
      <c r="AD19" s="60"/>
      <c r="AE19" s="60"/>
      <c r="AF19" s="60"/>
      <c r="AG19" s="60"/>
      <c r="AH19" s="60"/>
      <c r="AI19" s="60"/>
      <c r="AJ19" s="64">
        <f t="shared" si="4"/>
        <v>987.22</v>
      </c>
    </row>
    <row r="20" spans="1:36" x14ac:dyDescent="0.25">
      <c r="A20" s="59" t="str">
        <f t="shared" ca="1" si="0"/>
        <v>VENCIDO</v>
      </c>
      <c r="B20" s="60" t="s">
        <v>772</v>
      </c>
      <c r="C20" s="61" t="s">
        <v>1725</v>
      </c>
      <c r="D20" s="82" t="s">
        <v>1726</v>
      </c>
      <c r="E20" s="75" t="s">
        <v>261</v>
      </c>
      <c r="F20" s="75" t="s">
        <v>408</v>
      </c>
      <c r="G20" s="63">
        <v>45383</v>
      </c>
      <c r="H20" s="63">
        <v>45383</v>
      </c>
      <c r="I20" s="60">
        <f t="shared" si="2"/>
        <v>3</v>
      </c>
      <c r="J20" s="60">
        <f t="shared" si="3"/>
        <v>0</v>
      </c>
      <c r="K20" s="60">
        <v>1</v>
      </c>
      <c r="L20" s="60"/>
      <c r="M20" s="60"/>
      <c r="N20" s="60"/>
      <c r="O20" s="60"/>
      <c r="P20" s="60">
        <v>1</v>
      </c>
      <c r="Q20" s="60"/>
      <c r="R20" s="60"/>
      <c r="S20" s="60"/>
      <c r="T20" s="60"/>
      <c r="U20" s="60"/>
      <c r="V20" s="60"/>
      <c r="W20" s="60"/>
      <c r="X20" s="60"/>
      <c r="Y20" s="60"/>
      <c r="Z20" s="60">
        <v>1</v>
      </c>
      <c r="AA20" s="60"/>
      <c r="AB20" s="60"/>
      <c r="AC20" s="60"/>
      <c r="AD20" s="60"/>
      <c r="AE20" s="60"/>
      <c r="AF20" s="60"/>
      <c r="AG20" s="60"/>
      <c r="AH20" s="60"/>
      <c r="AI20" s="60"/>
      <c r="AJ20" s="64">
        <f t="shared" si="4"/>
        <v>603.63</v>
      </c>
    </row>
    <row r="21" spans="1:36" x14ac:dyDescent="0.25">
      <c r="A21" s="59" t="str">
        <f t="shared" ca="1" si="0"/>
        <v>VENCIDO</v>
      </c>
      <c r="B21" s="60" t="s">
        <v>772</v>
      </c>
      <c r="C21" s="61" t="s">
        <v>1727</v>
      </c>
      <c r="D21" s="82" t="s">
        <v>1728</v>
      </c>
      <c r="E21" s="75" t="s">
        <v>261</v>
      </c>
      <c r="F21" s="75" t="s">
        <v>408</v>
      </c>
      <c r="G21" s="63">
        <v>45505</v>
      </c>
      <c r="H21" s="63">
        <f>G21-180</f>
        <v>45325</v>
      </c>
      <c r="I21" s="60">
        <f t="shared" si="2"/>
        <v>3</v>
      </c>
      <c r="J21" s="60">
        <f t="shared" si="3"/>
        <v>0</v>
      </c>
      <c r="K21" s="60">
        <v>1</v>
      </c>
      <c r="L21" s="60"/>
      <c r="M21" s="60"/>
      <c r="N21" s="60">
        <v>1</v>
      </c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>
        <v>1</v>
      </c>
      <c r="AA21" s="60"/>
      <c r="AB21" s="60"/>
      <c r="AC21" s="60"/>
      <c r="AD21" s="60"/>
      <c r="AE21" s="60"/>
      <c r="AF21" s="60"/>
      <c r="AG21" s="60"/>
      <c r="AH21" s="60"/>
      <c r="AI21" s="60"/>
      <c r="AJ21" s="64">
        <f t="shared" si="4"/>
        <v>486.1</v>
      </c>
    </row>
    <row r="22" spans="1:36" x14ac:dyDescent="0.25">
      <c r="A22" s="59" t="str">
        <f t="shared" ca="1" si="0"/>
        <v>VENCIDO</v>
      </c>
      <c r="B22" s="60" t="s">
        <v>772</v>
      </c>
      <c r="C22" s="61" t="s">
        <v>1729</v>
      </c>
      <c r="D22" s="82" t="s">
        <v>507</v>
      </c>
      <c r="E22" s="75" t="s">
        <v>261</v>
      </c>
      <c r="F22" s="75" t="s">
        <v>408</v>
      </c>
      <c r="G22" s="63">
        <v>45474</v>
      </c>
      <c r="H22" s="63">
        <f>G22-180</f>
        <v>45294</v>
      </c>
      <c r="I22" s="60">
        <f t="shared" si="2"/>
        <v>4</v>
      </c>
      <c r="J22" s="60">
        <f t="shared" si="3"/>
        <v>0</v>
      </c>
      <c r="K22" s="60"/>
      <c r="L22" s="60"/>
      <c r="M22" s="60"/>
      <c r="N22" s="60"/>
      <c r="O22" s="60">
        <v>2</v>
      </c>
      <c r="P22" s="60">
        <v>1</v>
      </c>
      <c r="Q22" s="60"/>
      <c r="R22" s="60"/>
      <c r="S22" s="60"/>
      <c r="T22" s="60"/>
      <c r="U22" s="60"/>
      <c r="V22" s="60"/>
      <c r="W22" s="60"/>
      <c r="X22" s="60"/>
      <c r="Y22" s="60"/>
      <c r="Z22" s="60">
        <v>1</v>
      </c>
      <c r="AA22" s="60"/>
      <c r="AB22" s="60"/>
      <c r="AC22" s="60"/>
      <c r="AD22" s="60"/>
      <c r="AE22" s="60"/>
      <c r="AF22" s="60"/>
      <c r="AG22" s="60"/>
      <c r="AH22" s="60"/>
      <c r="AI22" s="60"/>
      <c r="AJ22" s="64">
        <f t="shared" si="4"/>
        <v>1001.37</v>
      </c>
    </row>
    <row r="23" spans="1:36" x14ac:dyDescent="0.25">
      <c r="A23" s="59" t="str">
        <f t="shared" ca="1" si="0"/>
        <v>VENCIDO</v>
      </c>
      <c r="B23" s="60" t="s">
        <v>772</v>
      </c>
      <c r="C23" s="61" t="s">
        <v>1730</v>
      </c>
      <c r="D23" s="82" t="s">
        <v>303</v>
      </c>
      <c r="E23" s="75" t="s">
        <v>261</v>
      </c>
      <c r="F23" s="75" t="s">
        <v>408</v>
      </c>
      <c r="G23" s="63">
        <v>45383</v>
      </c>
      <c r="H23" s="63">
        <v>45383</v>
      </c>
      <c r="I23" s="60">
        <f t="shared" si="2"/>
        <v>8</v>
      </c>
      <c r="J23" s="60">
        <f t="shared" si="3"/>
        <v>0</v>
      </c>
      <c r="K23" s="60">
        <v>2</v>
      </c>
      <c r="L23" s="60"/>
      <c r="M23" s="60"/>
      <c r="N23" s="60"/>
      <c r="O23" s="60">
        <v>1</v>
      </c>
      <c r="P23" s="60">
        <v>2</v>
      </c>
      <c r="Q23" s="60"/>
      <c r="R23" s="60"/>
      <c r="S23" s="60"/>
      <c r="T23" s="60"/>
      <c r="U23" s="60"/>
      <c r="V23" s="60"/>
      <c r="W23" s="60"/>
      <c r="X23" s="60"/>
      <c r="Y23" s="60"/>
      <c r="Z23" s="60">
        <v>3</v>
      </c>
      <c r="AA23" s="60"/>
      <c r="AB23" s="60"/>
      <c r="AC23" s="60"/>
      <c r="AD23" s="60"/>
      <c r="AE23" s="60"/>
      <c r="AF23" s="60"/>
      <c r="AG23" s="60"/>
      <c r="AH23" s="60"/>
      <c r="AI23" s="60"/>
      <c r="AJ23" s="64">
        <f t="shared" si="4"/>
        <v>1649.19</v>
      </c>
    </row>
    <row r="24" spans="1:36" x14ac:dyDescent="0.25">
      <c r="A24" s="59" t="str">
        <f t="shared" ca="1" si="0"/>
        <v>VENCIDO</v>
      </c>
      <c r="B24" s="60" t="s">
        <v>772</v>
      </c>
      <c r="C24" s="61" t="s">
        <v>1731</v>
      </c>
      <c r="D24" s="82" t="s">
        <v>260</v>
      </c>
      <c r="E24" s="75" t="s">
        <v>261</v>
      </c>
      <c r="F24" s="75" t="s">
        <v>408</v>
      </c>
      <c r="G24" s="63">
        <v>45505</v>
      </c>
      <c r="H24" s="63">
        <f>G24-180</f>
        <v>45325</v>
      </c>
      <c r="I24" s="60">
        <f t="shared" si="2"/>
        <v>3</v>
      </c>
      <c r="J24" s="60">
        <f t="shared" si="3"/>
        <v>0</v>
      </c>
      <c r="K24" s="60"/>
      <c r="L24" s="60"/>
      <c r="M24" s="60"/>
      <c r="N24" s="60">
        <v>1</v>
      </c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>
        <v>2</v>
      </c>
      <c r="AA24" s="60"/>
      <c r="AB24" s="60"/>
      <c r="AC24" s="60"/>
      <c r="AD24" s="60"/>
      <c r="AE24" s="60"/>
      <c r="AF24" s="60"/>
      <c r="AG24" s="60"/>
      <c r="AH24" s="60"/>
      <c r="AI24" s="60"/>
      <c r="AJ24" s="64">
        <f t="shared" si="4"/>
        <v>593.5</v>
      </c>
    </row>
    <row r="25" spans="1:36" x14ac:dyDescent="0.25">
      <c r="A25" s="59" t="str">
        <f t="shared" ca="1" si="0"/>
        <v>VENCIDO</v>
      </c>
      <c r="B25" s="60" t="s">
        <v>772</v>
      </c>
      <c r="C25" s="61" t="s">
        <v>1732</v>
      </c>
      <c r="D25" s="82" t="s">
        <v>1733</v>
      </c>
      <c r="E25" s="75" t="s">
        <v>261</v>
      </c>
      <c r="F25" s="75" t="s">
        <v>408</v>
      </c>
      <c r="G25" s="63">
        <v>45474</v>
      </c>
      <c r="H25" s="63">
        <f>G25-180</f>
        <v>45294</v>
      </c>
      <c r="I25" s="60">
        <f t="shared" si="2"/>
        <v>3</v>
      </c>
      <c r="J25" s="60">
        <f t="shared" si="3"/>
        <v>0</v>
      </c>
      <c r="K25" s="60">
        <v>1</v>
      </c>
      <c r="L25" s="60"/>
      <c r="M25" s="60"/>
      <c r="N25" s="60"/>
      <c r="O25" s="60"/>
      <c r="P25" s="60">
        <v>1</v>
      </c>
      <c r="Q25" s="60"/>
      <c r="R25" s="60"/>
      <c r="S25" s="60"/>
      <c r="T25" s="60"/>
      <c r="U25" s="60"/>
      <c r="V25" s="60"/>
      <c r="W25" s="60"/>
      <c r="X25" s="60"/>
      <c r="Y25" s="60"/>
      <c r="Z25" s="60">
        <v>1</v>
      </c>
      <c r="AA25" s="60"/>
      <c r="AB25" s="60"/>
      <c r="AC25" s="60"/>
      <c r="AD25" s="60"/>
      <c r="AE25" s="60"/>
      <c r="AF25" s="60"/>
      <c r="AG25" s="60"/>
      <c r="AH25" s="60"/>
      <c r="AI25" s="60"/>
      <c r="AJ25" s="64">
        <f t="shared" si="4"/>
        <v>603.63</v>
      </c>
    </row>
    <row r="26" spans="1:36" x14ac:dyDescent="0.25">
      <c r="A26" s="59" t="str">
        <f t="shared" ca="1" si="0"/>
        <v>VENCIDO</v>
      </c>
      <c r="B26" s="60" t="s">
        <v>772</v>
      </c>
      <c r="C26" s="61" t="s">
        <v>1734</v>
      </c>
      <c r="D26" s="82" t="s">
        <v>1735</v>
      </c>
      <c r="E26" s="75" t="s">
        <v>261</v>
      </c>
      <c r="F26" s="75" t="s">
        <v>408</v>
      </c>
      <c r="G26" s="63">
        <v>45352</v>
      </c>
      <c r="H26" s="63">
        <v>45352</v>
      </c>
      <c r="I26" s="60">
        <f t="shared" si="2"/>
        <v>3</v>
      </c>
      <c r="J26" s="60">
        <f t="shared" si="3"/>
        <v>0</v>
      </c>
      <c r="K26" s="60">
        <v>1</v>
      </c>
      <c r="L26" s="60"/>
      <c r="M26" s="60"/>
      <c r="N26" s="60"/>
      <c r="O26" s="60"/>
      <c r="P26" s="60">
        <v>1</v>
      </c>
      <c r="Q26" s="60"/>
      <c r="R26" s="60"/>
      <c r="S26" s="60"/>
      <c r="T26" s="60"/>
      <c r="U26" s="60"/>
      <c r="V26" s="60"/>
      <c r="W26" s="60"/>
      <c r="X26" s="60"/>
      <c r="Y26" s="60"/>
      <c r="Z26" s="60">
        <v>1</v>
      </c>
      <c r="AA26" s="60"/>
      <c r="AB26" s="60"/>
      <c r="AC26" s="60"/>
      <c r="AD26" s="60"/>
      <c r="AE26" s="60"/>
      <c r="AF26" s="60"/>
      <c r="AG26" s="60"/>
      <c r="AH26" s="60"/>
      <c r="AI26" s="60"/>
      <c r="AJ26" s="64">
        <f t="shared" si="4"/>
        <v>603.63</v>
      </c>
    </row>
    <row r="27" spans="1:36" x14ac:dyDescent="0.25">
      <c r="A27" s="59" t="str">
        <f t="shared" ca="1" si="0"/>
        <v>VENCIDO</v>
      </c>
      <c r="B27" s="60" t="s">
        <v>1110</v>
      </c>
      <c r="C27" s="61" t="s">
        <v>1736</v>
      </c>
      <c r="D27" s="82" t="s">
        <v>1735</v>
      </c>
      <c r="E27" s="75" t="s">
        <v>261</v>
      </c>
      <c r="F27" s="75" t="s">
        <v>408</v>
      </c>
      <c r="G27" s="63">
        <v>45505</v>
      </c>
      <c r="H27" s="63">
        <f>G27-180</f>
        <v>45325</v>
      </c>
      <c r="I27" s="60">
        <f t="shared" si="2"/>
        <v>3</v>
      </c>
      <c r="J27" s="60">
        <f t="shared" si="3"/>
        <v>0</v>
      </c>
      <c r="K27" s="60">
        <v>1</v>
      </c>
      <c r="L27" s="60"/>
      <c r="M27" s="60"/>
      <c r="N27" s="60">
        <v>1</v>
      </c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>
        <v>1</v>
      </c>
      <c r="AA27" s="60"/>
      <c r="AB27" s="60"/>
      <c r="AC27" s="60"/>
      <c r="AD27" s="60"/>
      <c r="AE27" s="60"/>
      <c r="AF27" s="60"/>
      <c r="AG27" s="60"/>
      <c r="AH27" s="60"/>
      <c r="AI27" s="60"/>
      <c r="AJ27" s="64">
        <f t="shared" si="4"/>
        <v>486.1</v>
      </c>
    </row>
    <row r="28" spans="1:36" x14ac:dyDescent="0.25">
      <c r="A28" s="59" t="str">
        <f t="shared" ca="1" si="0"/>
        <v>VENCIDO</v>
      </c>
      <c r="B28" s="60" t="s">
        <v>772</v>
      </c>
      <c r="C28" s="61" t="s">
        <v>1737</v>
      </c>
      <c r="D28" s="82" t="s">
        <v>1738</v>
      </c>
      <c r="E28" s="75" t="s">
        <v>261</v>
      </c>
      <c r="F28" s="75" t="s">
        <v>408</v>
      </c>
      <c r="G28" s="63">
        <v>45536</v>
      </c>
      <c r="H28" s="63">
        <f>G28-180</f>
        <v>45356</v>
      </c>
      <c r="I28" s="60">
        <f t="shared" si="2"/>
        <v>2</v>
      </c>
      <c r="J28" s="60">
        <f t="shared" si="3"/>
        <v>0</v>
      </c>
      <c r="K28" s="60">
        <v>1</v>
      </c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>
        <v>1</v>
      </c>
      <c r="AA28" s="60"/>
      <c r="AB28" s="60"/>
      <c r="AC28" s="60"/>
      <c r="AD28" s="60"/>
      <c r="AE28" s="60"/>
      <c r="AF28" s="60"/>
      <c r="AG28" s="60"/>
      <c r="AH28" s="60"/>
      <c r="AI28" s="60"/>
      <c r="AJ28" s="64">
        <f t="shared" si="4"/>
        <v>288.28000000000003</v>
      </c>
    </row>
    <row r="29" spans="1:36" x14ac:dyDescent="0.25">
      <c r="A29" s="59" t="str">
        <f t="shared" ca="1" si="0"/>
        <v>VENCIDO</v>
      </c>
      <c r="B29" s="60" t="s">
        <v>772</v>
      </c>
      <c r="C29" s="61" t="s">
        <v>1739</v>
      </c>
      <c r="D29" s="82" t="s">
        <v>561</v>
      </c>
      <c r="E29" s="75" t="s">
        <v>261</v>
      </c>
      <c r="F29" s="75" t="s">
        <v>408</v>
      </c>
      <c r="G29" s="63">
        <v>45323</v>
      </c>
      <c r="H29" s="63">
        <v>45323</v>
      </c>
      <c r="I29" s="60">
        <f t="shared" si="2"/>
        <v>3</v>
      </c>
      <c r="J29" s="60">
        <f t="shared" si="3"/>
        <v>0</v>
      </c>
      <c r="K29" s="60"/>
      <c r="L29" s="60"/>
      <c r="M29" s="60">
        <v>1</v>
      </c>
      <c r="N29" s="60"/>
      <c r="O29" s="60">
        <v>1</v>
      </c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>
        <v>1</v>
      </c>
      <c r="AA29" s="60"/>
      <c r="AB29" s="60"/>
      <c r="AC29" s="60"/>
      <c r="AD29" s="60"/>
      <c r="AE29" s="60"/>
      <c r="AF29" s="60"/>
      <c r="AG29" s="60"/>
      <c r="AH29" s="60"/>
      <c r="AI29" s="60"/>
      <c r="AJ29" s="64">
        <f t="shared" si="4"/>
        <v>593.56000000000006</v>
      </c>
    </row>
    <row r="30" spans="1:36" x14ac:dyDescent="0.25">
      <c r="A30" s="59" t="str">
        <f t="shared" ca="1" si="0"/>
        <v>VENCIDO</v>
      </c>
      <c r="B30" s="60" t="s">
        <v>772</v>
      </c>
      <c r="C30" s="61" t="s">
        <v>1740</v>
      </c>
      <c r="D30" s="82" t="s">
        <v>404</v>
      </c>
      <c r="E30" s="75" t="s">
        <v>261</v>
      </c>
      <c r="F30" s="75" t="s">
        <v>408</v>
      </c>
      <c r="G30" s="63">
        <v>45444</v>
      </c>
      <c r="H30" s="63">
        <v>45444</v>
      </c>
      <c r="I30" s="60">
        <f t="shared" si="2"/>
        <v>4</v>
      </c>
      <c r="J30" s="60">
        <f t="shared" si="3"/>
        <v>0</v>
      </c>
      <c r="K30" s="60">
        <v>1</v>
      </c>
      <c r="L30" s="60"/>
      <c r="M30" s="60"/>
      <c r="N30" s="60">
        <v>2</v>
      </c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>
        <v>1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4">
        <f t="shared" si="4"/>
        <v>683.92</v>
      </c>
    </row>
    <row r="31" spans="1:36" x14ac:dyDescent="0.25">
      <c r="A31" s="59" t="str">
        <f t="shared" ca="1" si="0"/>
        <v>VENCIDO</v>
      </c>
      <c r="B31" s="60" t="s">
        <v>869</v>
      </c>
      <c r="C31" s="61" t="s">
        <v>1741</v>
      </c>
      <c r="D31" s="82" t="s">
        <v>1742</v>
      </c>
      <c r="E31" s="75" t="s">
        <v>261</v>
      </c>
      <c r="F31" s="75" t="s">
        <v>408</v>
      </c>
      <c r="G31" s="63">
        <v>45566</v>
      </c>
      <c r="H31" s="63">
        <f>G31-180</f>
        <v>45386</v>
      </c>
      <c r="I31" s="60">
        <f t="shared" si="2"/>
        <v>2</v>
      </c>
      <c r="J31" s="60">
        <f t="shared" si="3"/>
        <v>0</v>
      </c>
      <c r="K31" s="60"/>
      <c r="L31" s="60"/>
      <c r="M31" s="60"/>
      <c r="N31" s="60"/>
      <c r="O31" s="60"/>
      <c r="P31" s="60">
        <v>1</v>
      </c>
      <c r="Q31" s="60"/>
      <c r="R31" s="60"/>
      <c r="S31" s="60"/>
      <c r="T31" s="60"/>
      <c r="U31" s="60"/>
      <c r="V31" s="60"/>
      <c r="W31" s="60"/>
      <c r="X31" s="60"/>
      <c r="Y31" s="60"/>
      <c r="Z31" s="60">
        <v>1</v>
      </c>
      <c r="AA31" s="60"/>
      <c r="AB31" s="60"/>
      <c r="AC31" s="60"/>
      <c r="AD31" s="60"/>
      <c r="AE31" s="60"/>
      <c r="AF31" s="60"/>
      <c r="AG31" s="60"/>
      <c r="AH31" s="60"/>
      <c r="AI31" s="60"/>
      <c r="AJ31" s="64">
        <f t="shared" si="4"/>
        <v>513.19000000000005</v>
      </c>
    </row>
    <row r="32" spans="1:36" x14ac:dyDescent="0.25">
      <c r="A32" s="59" t="str">
        <f t="shared" ca="1" si="0"/>
        <v>VENCIDO</v>
      </c>
      <c r="B32" s="60" t="s">
        <v>772</v>
      </c>
      <c r="C32" s="61" t="s">
        <v>1743</v>
      </c>
      <c r="D32" s="82" t="s">
        <v>1744</v>
      </c>
      <c r="E32" s="75" t="s">
        <v>261</v>
      </c>
      <c r="F32" s="75" t="s">
        <v>408</v>
      </c>
      <c r="G32" s="63">
        <v>45323</v>
      </c>
      <c r="H32" s="63">
        <v>45323</v>
      </c>
      <c r="I32" s="60">
        <f t="shared" si="2"/>
        <v>4</v>
      </c>
      <c r="J32" s="60">
        <f t="shared" si="3"/>
        <v>0</v>
      </c>
      <c r="K32" s="60">
        <v>1</v>
      </c>
      <c r="L32" s="60"/>
      <c r="M32" s="60"/>
      <c r="N32" s="60">
        <v>1</v>
      </c>
      <c r="O32" s="60">
        <v>1</v>
      </c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>
        <v>1</v>
      </c>
      <c r="AA32" s="60"/>
      <c r="AB32" s="60"/>
      <c r="AC32" s="60"/>
      <c r="AD32" s="60"/>
      <c r="AE32" s="60"/>
      <c r="AF32" s="60"/>
      <c r="AG32" s="60"/>
      <c r="AH32" s="60"/>
      <c r="AI32" s="60"/>
      <c r="AJ32" s="64">
        <f t="shared" si="4"/>
        <v>730.19</v>
      </c>
    </row>
    <row r="33" spans="1:36" x14ac:dyDescent="0.25">
      <c r="A33" s="59" t="str">
        <f t="shared" ca="1" si="0"/>
        <v>VENCIDO</v>
      </c>
      <c r="B33" s="60" t="s">
        <v>869</v>
      </c>
      <c r="C33" s="61" t="s">
        <v>1745</v>
      </c>
      <c r="D33" s="82" t="s">
        <v>1746</v>
      </c>
      <c r="E33" s="75" t="s">
        <v>261</v>
      </c>
      <c r="F33" s="75" t="s">
        <v>408</v>
      </c>
      <c r="G33" s="63">
        <v>45474</v>
      </c>
      <c r="H33" s="63">
        <v>45474</v>
      </c>
      <c r="I33" s="60">
        <f t="shared" si="2"/>
        <v>3</v>
      </c>
      <c r="J33" s="60">
        <f t="shared" si="3"/>
        <v>0</v>
      </c>
      <c r="K33" s="60"/>
      <c r="L33" s="60"/>
      <c r="M33" s="60"/>
      <c r="N33" s="60"/>
      <c r="O33" s="60">
        <v>2</v>
      </c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>
        <v>1</v>
      </c>
      <c r="AA33" s="60"/>
      <c r="AB33" s="60"/>
      <c r="AC33" s="60"/>
      <c r="AD33" s="60"/>
      <c r="AE33" s="60"/>
      <c r="AF33" s="60"/>
      <c r="AG33" s="60"/>
      <c r="AH33" s="60"/>
      <c r="AI33" s="60"/>
      <c r="AJ33" s="64">
        <f t="shared" si="4"/>
        <v>686.02</v>
      </c>
    </row>
    <row r="34" spans="1:36" x14ac:dyDescent="0.25">
      <c r="A34" s="59" t="str">
        <f t="shared" ca="1" si="0"/>
        <v>VENCIDO</v>
      </c>
      <c r="B34" s="60" t="s">
        <v>1747</v>
      </c>
      <c r="C34" s="61" t="s">
        <v>1748</v>
      </c>
      <c r="D34" s="82" t="s">
        <v>1749</v>
      </c>
      <c r="E34" s="75" t="s">
        <v>261</v>
      </c>
      <c r="F34" s="75" t="s">
        <v>408</v>
      </c>
      <c r="G34" s="63">
        <v>45383</v>
      </c>
      <c r="H34" s="63">
        <v>45383</v>
      </c>
      <c r="I34" s="60">
        <f t="shared" si="2"/>
        <v>3</v>
      </c>
      <c r="J34" s="60">
        <f t="shared" si="3"/>
        <v>0</v>
      </c>
      <c r="K34" s="60"/>
      <c r="L34" s="60"/>
      <c r="M34" s="60"/>
      <c r="N34" s="60"/>
      <c r="O34" s="60"/>
      <c r="P34" s="60">
        <v>2</v>
      </c>
      <c r="Q34" s="60"/>
      <c r="R34" s="60"/>
      <c r="S34" s="60"/>
      <c r="T34" s="60"/>
      <c r="U34" s="60"/>
      <c r="V34" s="60"/>
      <c r="W34" s="60"/>
      <c r="X34" s="60"/>
      <c r="Y34" s="60"/>
      <c r="Z34" s="60">
        <v>1</v>
      </c>
      <c r="AA34" s="60"/>
      <c r="AB34" s="60"/>
      <c r="AC34" s="60"/>
      <c r="AD34" s="60"/>
      <c r="AE34" s="60"/>
      <c r="AF34" s="60"/>
      <c r="AG34" s="60"/>
      <c r="AH34" s="60"/>
      <c r="AI34" s="60"/>
      <c r="AJ34" s="64">
        <f t="shared" si="4"/>
        <v>828.54000000000008</v>
      </c>
    </row>
    <row r="35" spans="1:36" x14ac:dyDescent="0.25">
      <c r="A35" s="59" t="str">
        <f t="shared" ca="1" si="0"/>
        <v>VENCIDO</v>
      </c>
      <c r="B35" s="60" t="s">
        <v>1747</v>
      </c>
      <c r="C35" s="61" t="s">
        <v>1750</v>
      </c>
      <c r="D35" s="82" t="s">
        <v>1699</v>
      </c>
      <c r="E35" s="75" t="s">
        <v>261</v>
      </c>
      <c r="F35" s="75" t="s">
        <v>408</v>
      </c>
      <c r="G35" s="63">
        <v>45323</v>
      </c>
      <c r="H35" s="63">
        <v>45323</v>
      </c>
      <c r="I35" s="60">
        <f t="shared" ref="I35:I66" si="5">SUM(K35:AD35)</f>
        <v>4</v>
      </c>
      <c r="J35" s="60">
        <f t="shared" si="3"/>
        <v>0</v>
      </c>
      <c r="K35" s="60"/>
      <c r="L35" s="60"/>
      <c r="M35" s="60">
        <v>4</v>
      </c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4">
        <f t="shared" si="4"/>
        <v>606.52</v>
      </c>
    </row>
    <row r="36" spans="1:36" x14ac:dyDescent="0.25">
      <c r="A36" s="59" t="str">
        <f t="shared" ca="1" si="0"/>
        <v>VENCIDO</v>
      </c>
      <c r="B36" s="60" t="s">
        <v>1747</v>
      </c>
      <c r="C36" s="61" t="s">
        <v>1751</v>
      </c>
      <c r="D36" s="82" t="s">
        <v>1701</v>
      </c>
      <c r="E36" s="75" t="s">
        <v>261</v>
      </c>
      <c r="F36" s="75" t="s">
        <v>408</v>
      </c>
      <c r="G36" s="63">
        <v>45413</v>
      </c>
      <c r="H36" s="63">
        <f>G36-180</f>
        <v>45233</v>
      </c>
      <c r="I36" s="60">
        <f t="shared" si="5"/>
        <v>2</v>
      </c>
      <c r="J36" s="60">
        <f t="shared" si="3"/>
        <v>0</v>
      </c>
      <c r="K36" s="60"/>
      <c r="L36" s="60"/>
      <c r="M36" s="60">
        <v>2</v>
      </c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4">
        <f t="shared" si="4"/>
        <v>303.26</v>
      </c>
    </row>
    <row r="37" spans="1:36" x14ac:dyDescent="0.25">
      <c r="A37" s="59" t="str">
        <f t="shared" ca="1" si="0"/>
        <v>VENCIDO</v>
      </c>
      <c r="B37" s="60" t="s">
        <v>1747</v>
      </c>
      <c r="C37" s="61" t="s">
        <v>1752</v>
      </c>
      <c r="D37" s="82" t="s">
        <v>1753</v>
      </c>
      <c r="E37" s="75" t="s">
        <v>261</v>
      </c>
      <c r="F37" s="75" t="s">
        <v>408</v>
      </c>
      <c r="G37" s="63">
        <v>45505</v>
      </c>
      <c r="H37" s="63">
        <f>G37-180</f>
        <v>45325</v>
      </c>
      <c r="I37" s="60">
        <f t="shared" si="5"/>
        <v>5</v>
      </c>
      <c r="J37" s="60">
        <f t="shared" si="3"/>
        <v>0</v>
      </c>
      <c r="K37" s="60">
        <v>1</v>
      </c>
      <c r="L37" s="60"/>
      <c r="M37" s="60">
        <v>3</v>
      </c>
      <c r="N37" s="60"/>
      <c r="O37" s="60"/>
      <c r="P37" s="60">
        <v>1</v>
      </c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4">
        <f t="shared" si="4"/>
        <v>860.68000000000006</v>
      </c>
    </row>
    <row r="38" spans="1:36" x14ac:dyDescent="0.25">
      <c r="A38" s="59" t="str">
        <f t="shared" ca="1" si="0"/>
        <v>VENCIDO</v>
      </c>
      <c r="B38" s="60" t="s">
        <v>1747</v>
      </c>
      <c r="C38" s="61" t="s">
        <v>1754</v>
      </c>
      <c r="D38" s="82" t="s">
        <v>1755</v>
      </c>
      <c r="E38" s="75" t="s">
        <v>261</v>
      </c>
      <c r="F38" s="75" t="s">
        <v>408</v>
      </c>
      <c r="G38" s="63">
        <v>45200</v>
      </c>
      <c r="H38" s="63">
        <f>G38-180</f>
        <v>45020</v>
      </c>
      <c r="I38" s="60">
        <f t="shared" si="5"/>
        <v>2</v>
      </c>
      <c r="J38" s="60">
        <f t="shared" si="3"/>
        <v>0</v>
      </c>
      <c r="K38" s="60"/>
      <c r="L38" s="60"/>
      <c r="M38" s="60"/>
      <c r="N38" s="60">
        <v>1</v>
      </c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>
        <v>1</v>
      </c>
      <c r="AA38" s="60"/>
      <c r="AB38" s="60"/>
      <c r="AC38" s="60"/>
      <c r="AD38" s="60"/>
      <c r="AE38" s="60"/>
      <c r="AF38" s="60"/>
      <c r="AG38" s="60"/>
      <c r="AH38" s="60"/>
      <c r="AI38" s="60"/>
      <c r="AJ38" s="64">
        <f t="shared" si="4"/>
        <v>395.65999999999997</v>
      </c>
    </row>
    <row r="39" spans="1:36" x14ac:dyDescent="0.25">
      <c r="A39" s="59" t="str">
        <f t="shared" ca="1" si="0"/>
        <v>VENCIDO</v>
      </c>
      <c r="B39" s="60" t="s">
        <v>1747</v>
      </c>
      <c r="C39" s="61" t="s">
        <v>1756</v>
      </c>
      <c r="D39" s="82" t="s">
        <v>1703</v>
      </c>
      <c r="E39" s="75" t="s">
        <v>261</v>
      </c>
      <c r="F39" s="75" t="s">
        <v>408</v>
      </c>
      <c r="G39" s="63">
        <v>45505</v>
      </c>
      <c r="H39" s="63">
        <f>G39-180</f>
        <v>45325</v>
      </c>
      <c r="I39" s="60">
        <f t="shared" si="5"/>
        <v>3</v>
      </c>
      <c r="J39" s="60">
        <f t="shared" si="3"/>
        <v>0</v>
      </c>
      <c r="K39" s="60">
        <v>1</v>
      </c>
      <c r="L39" s="60"/>
      <c r="M39" s="60"/>
      <c r="N39" s="60">
        <v>1</v>
      </c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>
        <v>1</v>
      </c>
      <c r="AA39" s="60"/>
      <c r="AB39" s="60"/>
      <c r="AC39" s="60"/>
      <c r="AD39" s="60"/>
      <c r="AE39" s="60"/>
      <c r="AF39" s="60"/>
      <c r="AG39" s="60"/>
      <c r="AH39" s="60"/>
      <c r="AI39" s="60"/>
      <c r="AJ39" s="64">
        <f t="shared" si="4"/>
        <v>486.1</v>
      </c>
    </row>
    <row r="40" spans="1:36" x14ac:dyDescent="0.25">
      <c r="A40" s="59" t="str">
        <f t="shared" ca="1" si="0"/>
        <v>VENCIDO</v>
      </c>
      <c r="B40" s="60" t="s">
        <v>1110</v>
      </c>
      <c r="C40" s="61" t="s">
        <v>1757</v>
      </c>
      <c r="D40" s="82" t="s">
        <v>1703</v>
      </c>
      <c r="E40" s="75" t="s">
        <v>261</v>
      </c>
      <c r="F40" s="75" t="s">
        <v>408</v>
      </c>
      <c r="G40" s="63">
        <v>45505</v>
      </c>
      <c r="H40" s="63">
        <f>G40-180</f>
        <v>45325</v>
      </c>
      <c r="I40" s="60">
        <f t="shared" si="5"/>
        <v>6</v>
      </c>
      <c r="J40" s="60">
        <f t="shared" si="3"/>
        <v>0</v>
      </c>
      <c r="K40" s="60">
        <v>3</v>
      </c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>
        <v>3</v>
      </c>
      <c r="AA40" s="60"/>
      <c r="AB40" s="60"/>
      <c r="AC40" s="60"/>
      <c r="AD40" s="60"/>
      <c r="AE40" s="60"/>
      <c r="AF40" s="60"/>
      <c r="AG40" s="60"/>
      <c r="AH40" s="60"/>
      <c r="AI40" s="60"/>
      <c r="AJ40" s="64">
        <f t="shared" si="4"/>
        <v>864.84</v>
      </c>
    </row>
    <row r="41" spans="1:36" x14ac:dyDescent="0.25">
      <c r="A41" s="59" t="str">
        <f t="shared" ca="1" si="0"/>
        <v>VENCIDO</v>
      </c>
      <c r="B41" s="60" t="s">
        <v>1747</v>
      </c>
      <c r="C41" s="61" t="s">
        <v>1758</v>
      </c>
      <c r="D41" s="82" t="s">
        <v>1705</v>
      </c>
      <c r="E41" s="75" t="s">
        <v>261</v>
      </c>
      <c r="F41" s="75" t="s">
        <v>408</v>
      </c>
      <c r="G41" s="63">
        <v>45413</v>
      </c>
      <c r="H41" s="63">
        <v>45413</v>
      </c>
      <c r="I41" s="60">
        <f t="shared" si="5"/>
        <v>3</v>
      </c>
      <c r="J41" s="60">
        <f t="shared" si="3"/>
        <v>0</v>
      </c>
      <c r="K41" s="60">
        <v>1</v>
      </c>
      <c r="L41" s="60"/>
      <c r="M41" s="60"/>
      <c r="N41" s="60">
        <v>1</v>
      </c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>
        <v>1</v>
      </c>
      <c r="AA41" s="60"/>
      <c r="AB41" s="60"/>
      <c r="AC41" s="60"/>
      <c r="AD41" s="60"/>
      <c r="AE41" s="60"/>
      <c r="AF41" s="60"/>
      <c r="AG41" s="60"/>
      <c r="AH41" s="60"/>
      <c r="AI41" s="60"/>
      <c r="AJ41" s="64">
        <f t="shared" si="4"/>
        <v>486.1</v>
      </c>
    </row>
    <row r="42" spans="1:36" x14ac:dyDescent="0.25">
      <c r="A42" s="59" t="str">
        <f t="shared" ca="1" si="0"/>
        <v>VENCIDO</v>
      </c>
      <c r="B42" s="60" t="s">
        <v>1110</v>
      </c>
      <c r="C42" s="61" t="s">
        <v>1759</v>
      </c>
      <c r="D42" s="82" t="s">
        <v>1710</v>
      </c>
      <c r="E42" s="75" t="s">
        <v>261</v>
      </c>
      <c r="F42" s="75" t="s">
        <v>408</v>
      </c>
      <c r="G42" s="63">
        <v>45536</v>
      </c>
      <c r="H42" s="63">
        <f>G42-180</f>
        <v>45356</v>
      </c>
      <c r="I42" s="60">
        <f t="shared" si="5"/>
        <v>4</v>
      </c>
      <c r="J42" s="60">
        <f t="shared" si="3"/>
        <v>0</v>
      </c>
      <c r="K42" s="60">
        <v>2</v>
      </c>
      <c r="L42" s="60"/>
      <c r="M42" s="60"/>
      <c r="N42" s="60">
        <v>1</v>
      </c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>
        <v>1</v>
      </c>
      <c r="AA42" s="60"/>
      <c r="AB42" s="60"/>
      <c r="AC42" s="60"/>
      <c r="AD42" s="60"/>
      <c r="AE42" s="60"/>
      <c r="AF42" s="60"/>
      <c r="AG42" s="60"/>
      <c r="AH42" s="60"/>
      <c r="AI42" s="60"/>
      <c r="AJ42" s="64">
        <f t="shared" si="4"/>
        <v>576.54000000000008</v>
      </c>
    </row>
    <row r="43" spans="1:36" x14ac:dyDescent="0.25">
      <c r="A43" s="59" t="str">
        <f t="shared" ca="1" si="0"/>
        <v>VENCIDO</v>
      </c>
      <c r="B43" s="60" t="s">
        <v>1747</v>
      </c>
      <c r="C43" s="61" t="s">
        <v>1760</v>
      </c>
      <c r="D43" s="82" t="s">
        <v>286</v>
      </c>
      <c r="E43" s="75" t="s">
        <v>261</v>
      </c>
      <c r="F43" s="75" t="s">
        <v>408</v>
      </c>
      <c r="G43" s="63">
        <v>45323</v>
      </c>
      <c r="H43" s="63">
        <v>45323</v>
      </c>
      <c r="I43" s="60">
        <f t="shared" si="5"/>
        <v>5</v>
      </c>
      <c r="J43" s="60">
        <f t="shared" si="3"/>
        <v>0</v>
      </c>
      <c r="K43" s="60">
        <v>1</v>
      </c>
      <c r="L43" s="60"/>
      <c r="M43" s="60"/>
      <c r="N43" s="60">
        <v>1</v>
      </c>
      <c r="O43" s="60">
        <v>2</v>
      </c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>
        <v>1</v>
      </c>
      <c r="AA43" s="60"/>
      <c r="AB43" s="60"/>
      <c r="AC43" s="60"/>
      <c r="AD43" s="60"/>
      <c r="AE43" s="60"/>
      <c r="AF43" s="60"/>
      <c r="AG43" s="60"/>
      <c r="AH43" s="60"/>
      <c r="AI43" s="60"/>
      <c r="AJ43" s="64">
        <f t="shared" si="4"/>
        <v>974.28000000000009</v>
      </c>
    </row>
    <row r="44" spans="1:36" x14ac:dyDescent="0.25">
      <c r="A44" s="59" t="str">
        <f t="shared" ca="1" si="0"/>
        <v>VENCIDO</v>
      </c>
      <c r="B44" s="60" t="s">
        <v>1747</v>
      </c>
      <c r="C44" s="61" t="s">
        <v>1761</v>
      </c>
      <c r="D44" s="82" t="s">
        <v>1762</v>
      </c>
      <c r="E44" s="75" t="s">
        <v>261</v>
      </c>
      <c r="F44" s="75" t="s">
        <v>408</v>
      </c>
      <c r="G44" s="63">
        <v>45505</v>
      </c>
      <c r="H44" s="63">
        <f>G44-180</f>
        <v>45325</v>
      </c>
      <c r="I44" s="60">
        <f t="shared" si="5"/>
        <v>5</v>
      </c>
      <c r="J44" s="60">
        <f t="shared" si="3"/>
        <v>0</v>
      </c>
      <c r="K44" s="60">
        <v>1</v>
      </c>
      <c r="L44" s="60"/>
      <c r="M44" s="60"/>
      <c r="N44" s="60"/>
      <c r="O44" s="60">
        <v>3</v>
      </c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>
        <v>1</v>
      </c>
      <c r="AA44" s="60"/>
      <c r="AB44" s="60"/>
      <c r="AC44" s="60"/>
      <c r="AD44" s="60"/>
      <c r="AE44" s="60"/>
      <c r="AF44" s="60"/>
      <c r="AG44" s="60"/>
      <c r="AH44" s="60"/>
      <c r="AI44" s="60"/>
      <c r="AJ44" s="64">
        <f t="shared" si="4"/>
        <v>1020.5500000000001</v>
      </c>
    </row>
    <row r="45" spans="1:36" x14ac:dyDescent="0.25">
      <c r="A45" s="59" t="str">
        <f t="shared" ca="1" si="0"/>
        <v>VENCIDO</v>
      </c>
      <c r="B45" s="60" t="s">
        <v>1747</v>
      </c>
      <c r="C45" s="61" t="s">
        <v>1763</v>
      </c>
      <c r="D45" s="82" t="s">
        <v>1707</v>
      </c>
      <c r="E45" s="75" t="s">
        <v>261</v>
      </c>
      <c r="F45" s="75" t="s">
        <v>408</v>
      </c>
      <c r="G45" s="63">
        <v>45505</v>
      </c>
      <c r="H45" s="63">
        <f>G45-180</f>
        <v>45325</v>
      </c>
      <c r="I45" s="60">
        <f t="shared" si="5"/>
        <v>3</v>
      </c>
      <c r="J45" s="60">
        <f t="shared" si="3"/>
        <v>0</v>
      </c>
      <c r="K45" s="60">
        <v>1</v>
      </c>
      <c r="L45" s="60"/>
      <c r="M45" s="60"/>
      <c r="N45" s="60"/>
      <c r="O45" s="60"/>
      <c r="P45" s="60">
        <v>1</v>
      </c>
      <c r="Q45" s="60"/>
      <c r="R45" s="60"/>
      <c r="S45" s="60"/>
      <c r="T45" s="60"/>
      <c r="U45" s="60"/>
      <c r="V45" s="60"/>
      <c r="W45" s="60"/>
      <c r="X45" s="60"/>
      <c r="Y45" s="60"/>
      <c r="Z45" s="60">
        <v>1</v>
      </c>
      <c r="AA45" s="60"/>
      <c r="AB45" s="60"/>
      <c r="AC45" s="60"/>
      <c r="AD45" s="60"/>
      <c r="AE45" s="60"/>
      <c r="AF45" s="60"/>
      <c r="AG45" s="60"/>
      <c r="AH45" s="60"/>
      <c r="AI45" s="60"/>
      <c r="AJ45" s="64">
        <f t="shared" si="4"/>
        <v>603.63</v>
      </c>
    </row>
    <row r="46" spans="1:36" x14ac:dyDescent="0.25">
      <c r="A46" s="59" t="str">
        <f t="shared" ca="1" si="0"/>
        <v>VENCIDO</v>
      </c>
      <c r="B46" s="60" t="s">
        <v>869</v>
      </c>
      <c r="C46" s="61" t="s">
        <v>1764</v>
      </c>
      <c r="D46" s="82" t="s">
        <v>1707</v>
      </c>
      <c r="E46" s="75" t="s">
        <v>261</v>
      </c>
      <c r="F46" s="75" t="s">
        <v>408</v>
      </c>
      <c r="G46" s="63">
        <v>45474</v>
      </c>
      <c r="H46" s="63">
        <f>G46-180</f>
        <v>45294</v>
      </c>
      <c r="I46" s="60">
        <f t="shared" si="5"/>
        <v>2</v>
      </c>
      <c r="J46" s="60">
        <f t="shared" si="3"/>
        <v>0</v>
      </c>
      <c r="K46" s="60"/>
      <c r="L46" s="60"/>
      <c r="M46" s="60"/>
      <c r="N46" s="60"/>
      <c r="O46" s="60"/>
      <c r="P46" s="60"/>
      <c r="Q46" s="60"/>
      <c r="R46" s="60"/>
      <c r="S46" s="60">
        <v>1</v>
      </c>
      <c r="T46" s="60"/>
      <c r="U46" s="60"/>
      <c r="V46" s="60"/>
      <c r="W46" s="60"/>
      <c r="X46" s="60"/>
      <c r="Y46" s="60"/>
      <c r="Z46" s="60">
        <v>1</v>
      </c>
      <c r="AA46" s="60"/>
      <c r="AB46" s="60"/>
      <c r="AC46" s="60"/>
      <c r="AD46" s="60"/>
      <c r="AE46" s="60"/>
      <c r="AF46" s="60"/>
      <c r="AG46" s="60"/>
      <c r="AH46" s="60"/>
      <c r="AI46" s="60"/>
      <c r="AJ46" s="64">
        <f t="shared" si="4"/>
        <v>765.31000000000006</v>
      </c>
    </row>
    <row r="47" spans="1:36" x14ac:dyDescent="0.25">
      <c r="A47" s="59" t="str">
        <f t="shared" ca="1" si="0"/>
        <v>VENCIDO</v>
      </c>
      <c r="B47" s="60" t="s">
        <v>1747</v>
      </c>
      <c r="C47" s="61" t="s">
        <v>1765</v>
      </c>
      <c r="D47" s="82" t="s">
        <v>1766</v>
      </c>
      <c r="E47" s="75" t="s">
        <v>261</v>
      </c>
      <c r="F47" s="75" t="s">
        <v>408</v>
      </c>
      <c r="G47" s="63">
        <v>45383</v>
      </c>
      <c r="H47" s="63">
        <v>45383</v>
      </c>
      <c r="I47" s="60">
        <f t="shared" si="5"/>
        <v>3</v>
      </c>
      <c r="J47" s="60">
        <f t="shared" si="3"/>
        <v>0</v>
      </c>
      <c r="K47" s="60">
        <v>1</v>
      </c>
      <c r="L47" s="60"/>
      <c r="M47" s="60"/>
      <c r="N47" s="60"/>
      <c r="O47" s="60">
        <v>1</v>
      </c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>
        <v>1</v>
      </c>
      <c r="AA47" s="60"/>
      <c r="AB47" s="60"/>
      <c r="AC47" s="60"/>
      <c r="AD47" s="60"/>
      <c r="AE47" s="60"/>
      <c r="AF47" s="60"/>
      <c r="AG47" s="60"/>
      <c r="AH47" s="60"/>
      <c r="AI47" s="60"/>
      <c r="AJ47" s="64">
        <f t="shared" si="4"/>
        <v>532.37</v>
      </c>
    </row>
    <row r="48" spans="1:36" x14ac:dyDescent="0.25">
      <c r="A48" s="59" t="str">
        <f t="shared" ca="1" si="0"/>
        <v>VENCIDO</v>
      </c>
      <c r="B48" s="60" t="s">
        <v>1747</v>
      </c>
      <c r="C48" s="61" t="s">
        <v>1767</v>
      </c>
      <c r="D48" s="82" t="s">
        <v>1768</v>
      </c>
      <c r="E48" s="75" t="s">
        <v>261</v>
      </c>
      <c r="F48" s="75" t="s">
        <v>408</v>
      </c>
      <c r="G48" s="63">
        <v>45323</v>
      </c>
      <c r="H48" s="63">
        <f>G48-180</f>
        <v>45143</v>
      </c>
      <c r="I48" s="60">
        <f t="shared" si="5"/>
        <v>2</v>
      </c>
      <c r="J48" s="60">
        <f t="shared" si="3"/>
        <v>0</v>
      </c>
      <c r="K48" s="60">
        <v>1</v>
      </c>
      <c r="L48" s="60"/>
      <c r="M48" s="60">
        <v>1</v>
      </c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4">
        <f t="shared" si="4"/>
        <v>242.07</v>
      </c>
    </row>
    <row r="49" spans="1:36" x14ac:dyDescent="0.25">
      <c r="A49" s="59" t="str">
        <f t="shared" ca="1" si="0"/>
        <v>VENCIDO</v>
      </c>
      <c r="B49" s="60" t="s">
        <v>1747</v>
      </c>
      <c r="C49" s="61" t="s">
        <v>1769</v>
      </c>
      <c r="D49" s="82" t="s">
        <v>1770</v>
      </c>
      <c r="E49" s="75" t="s">
        <v>261</v>
      </c>
      <c r="F49" s="75" t="s">
        <v>408</v>
      </c>
      <c r="G49" s="63">
        <v>45536</v>
      </c>
      <c r="H49" s="63">
        <f>G49-180</f>
        <v>45356</v>
      </c>
      <c r="I49" s="60">
        <f t="shared" si="5"/>
        <v>3</v>
      </c>
      <c r="J49" s="60">
        <f t="shared" si="3"/>
        <v>0</v>
      </c>
      <c r="K49" s="60">
        <v>1</v>
      </c>
      <c r="L49" s="60"/>
      <c r="M49" s="60"/>
      <c r="N49" s="60"/>
      <c r="O49" s="60"/>
      <c r="P49" s="60">
        <v>1</v>
      </c>
      <c r="Q49" s="60"/>
      <c r="R49" s="60"/>
      <c r="S49" s="60"/>
      <c r="T49" s="60"/>
      <c r="U49" s="60"/>
      <c r="V49" s="60"/>
      <c r="W49" s="60"/>
      <c r="X49" s="60"/>
      <c r="Y49" s="60"/>
      <c r="Z49" s="60">
        <v>1</v>
      </c>
      <c r="AA49" s="60"/>
      <c r="AB49" s="60"/>
      <c r="AC49" s="60"/>
      <c r="AD49" s="60"/>
      <c r="AE49" s="60"/>
      <c r="AF49" s="60"/>
      <c r="AG49" s="60"/>
      <c r="AH49" s="60"/>
      <c r="AI49" s="60"/>
      <c r="AJ49" s="64">
        <f t="shared" si="4"/>
        <v>603.63</v>
      </c>
    </row>
    <row r="50" spans="1:36" x14ac:dyDescent="0.25">
      <c r="A50" s="59" t="str">
        <f t="shared" ca="1" si="0"/>
        <v>VENCIDO</v>
      </c>
      <c r="B50" s="60" t="s">
        <v>1747</v>
      </c>
      <c r="C50" s="61" t="s">
        <v>1771</v>
      </c>
      <c r="D50" s="82" t="s">
        <v>1772</v>
      </c>
      <c r="E50" s="75" t="s">
        <v>261</v>
      </c>
      <c r="F50" s="75" t="s">
        <v>408</v>
      </c>
      <c r="G50" s="63">
        <v>45383</v>
      </c>
      <c r="H50" s="63">
        <v>45383</v>
      </c>
      <c r="I50" s="60">
        <f t="shared" si="5"/>
        <v>5</v>
      </c>
      <c r="J50" s="60">
        <f t="shared" si="3"/>
        <v>0</v>
      </c>
      <c r="K50" s="60">
        <v>2</v>
      </c>
      <c r="L50" s="60"/>
      <c r="M50" s="60"/>
      <c r="N50" s="60"/>
      <c r="O50" s="60">
        <v>1</v>
      </c>
      <c r="P50" s="60">
        <v>1</v>
      </c>
      <c r="Q50" s="60"/>
      <c r="R50" s="60"/>
      <c r="S50" s="60"/>
      <c r="T50" s="60"/>
      <c r="U50" s="60"/>
      <c r="V50" s="60"/>
      <c r="W50" s="60"/>
      <c r="X50" s="60"/>
      <c r="Y50" s="60"/>
      <c r="Z50" s="60">
        <v>1</v>
      </c>
      <c r="AA50" s="60"/>
      <c r="AB50" s="60"/>
      <c r="AC50" s="60"/>
      <c r="AD50" s="60"/>
      <c r="AE50" s="60"/>
      <c r="AF50" s="60"/>
      <c r="AG50" s="60"/>
      <c r="AH50" s="60"/>
      <c r="AI50" s="60"/>
      <c r="AJ50" s="64">
        <f t="shared" si="4"/>
        <v>938.16000000000008</v>
      </c>
    </row>
    <row r="51" spans="1:36" x14ac:dyDescent="0.25">
      <c r="A51" s="59" t="str">
        <f t="shared" ca="1" si="0"/>
        <v>VENCIDO</v>
      </c>
      <c r="B51" s="60" t="s">
        <v>1747</v>
      </c>
      <c r="C51" s="61" t="s">
        <v>1773</v>
      </c>
      <c r="D51" s="82" t="s">
        <v>1774</v>
      </c>
      <c r="E51" s="75" t="s">
        <v>261</v>
      </c>
      <c r="F51" s="75" t="s">
        <v>408</v>
      </c>
      <c r="G51" s="63">
        <v>45323</v>
      </c>
      <c r="H51" s="63">
        <v>45323</v>
      </c>
      <c r="I51" s="60">
        <f t="shared" si="5"/>
        <v>5</v>
      </c>
      <c r="J51" s="60">
        <f t="shared" si="3"/>
        <v>0</v>
      </c>
      <c r="K51" s="60"/>
      <c r="L51" s="60"/>
      <c r="M51" s="60"/>
      <c r="N51" s="60">
        <v>1</v>
      </c>
      <c r="O51" s="60"/>
      <c r="P51" s="60">
        <v>1</v>
      </c>
      <c r="Q51" s="60"/>
      <c r="R51" s="60"/>
      <c r="S51" s="60"/>
      <c r="T51" s="60"/>
      <c r="U51" s="60"/>
      <c r="V51" s="60"/>
      <c r="W51" s="60"/>
      <c r="X51" s="60"/>
      <c r="Y51" s="60"/>
      <c r="Z51" s="60">
        <v>3</v>
      </c>
      <c r="AA51" s="60"/>
      <c r="AB51" s="60"/>
      <c r="AC51" s="60"/>
      <c r="AD51" s="60"/>
      <c r="AE51" s="60"/>
      <c r="AF51" s="60"/>
      <c r="AG51" s="60"/>
      <c r="AH51" s="60"/>
      <c r="AI51" s="60"/>
      <c r="AJ51" s="64">
        <f t="shared" si="4"/>
        <v>1106.69</v>
      </c>
    </row>
    <row r="52" spans="1:36" x14ac:dyDescent="0.25">
      <c r="A52" s="59" t="str">
        <f t="shared" ca="1" si="0"/>
        <v>VENCIDO</v>
      </c>
      <c r="B52" s="60" t="s">
        <v>869</v>
      </c>
      <c r="C52" s="61" t="s">
        <v>1775</v>
      </c>
      <c r="D52" s="82" t="s">
        <v>1776</v>
      </c>
      <c r="E52" s="75" t="s">
        <v>261</v>
      </c>
      <c r="F52" s="75" t="s">
        <v>408</v>
      </c>
      <c r="G52" s="63">
        <v>45566</v>
      </c>
      <c r="H52" s="63">
        <f>G52-180</f>
        <v>45386</v>
      </c>
      <c r="I52" s="60">
        <f t="shared" si="5"/>
        <v>3</v>
      </c>
      <c r="J52" s="60">
        <f t="shared" si="3"/>
        <v>0</v>
      </c>
      <c r="K52" s="60"/>
      <c r="L52" s="60"/>
      <c r="M52" s="60"/>
      <c r="N52" s="60"/>
      <c r="O52" s="60">
        <v>1</v>
      </c>
      <c r="P52" s="60">
        <v>1</v>
      </c>
      <c r="Q52" s="60"/>
      <c r="R52" s="60"/>
      <c r="S52" s="60"/>
      <c r="T52" s="60"/>
      <c r="U52" s="60"/>
      <c r="V52" s="60"/>
      <c r="W52" s="60"/>
      <c r="X52" s="60"/>
      <c r="Y52" s="60"/>
      <c r="Z52" s="60">
        <v>1</v>
      </c>
      <c r="AA52" s="60"/>
      <c r="AB52" s="60"/>
      <c r="AC52" s="60"/>
      <c r="AD52" s="60"/>
      <c r="AE52" s="60"/>
      <c r="AF52" s="60"/>
      <c r="AG52" s="60"/>
      <c r="AH52" s="60"/>
      <c r="AI52" s="60"/>
      <c r="AJ52" s="64">
        <f t="shared" si="4"/>
        <v>757.28000000000009</v>
      </c>
    </row>
    <row r="53" spans="1:36" x14ac:dyDescent="0.25">
      <c r="A53" s="59" t="str">
        <f t="shared" ca="1" si="0"/>
        <v>VENCIDO</v>
      </c>
      <c r="B53" s="60" t="s">
        <v>1747</v>
      </c>
      <c r="C53" s="61" t="s">
        <v>1777</v>
      </c>
      <c r="D53" s="82" t="s">
        <v>1776</v>
      </c>
      <c r="E53" s="75" t="s">
        <v>261</v>
      </c>
      <c r="F53" s="75" t="s">
        <v>408</v>
      </c>
      <c r="G53" s="63">
        <v>45566</v>
      </c>
      <c r="H53" s="63">
        <f>G53-180</f>
        <v>45386</v>
      </c>
      <c r="I53" s="60">
        <f t="shared" si="5"/>
        <v>3</v>
      </c>
      <c r="J53" s="60">
        <f t="shared" si="3"/>
        <v>0</v>
      </c>
      <c r="K53" s="60">
        <v>1</v>
      </c>
      <c r="L53" s="60"/>
      <c r="M53" s="60"/>
      <c r="N53" s="60"/>
      <c r="O53" s="60">
        <v>1</v>
      </c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>
        <v>1</v>
      </c>
      <c r="AA53" s="60"/>
      <c r="AB53" s="60"/>
      <c r="AC53" s="60"/>
      <c r="AD53" s="60"/>
      <c r="AE53" s="60"/>
      <c r="AF53" s="60"/>
      <c r="AG53" s="60"/>
      <c r="AH53" s="60"/>
      <c r="AI53" s="60"/>
      <c r="AJ53" s="64">
        <f t="shared" si="4"/>
        <v>532.37</v>
      </c>
    </row>
    <row r="54" spans="1:36" x14ac:dyDescent="0.25">
      <c r="A54" s="59" t="str">
        <f t="shared" ca="1" si="0"/>
        <v>VENCIDO</v>
      </c>
      <c r="B54" s="60" t="s">
        <v>1110</v>
      </c>
      <c r="C54" s="61" t="s">
        <v>1778</v>
      </c>
      <c r="D54" s="82" t="s">
        <v>1779</v>
      </c>
      <c r="E54" s="75" t="s">
        <v>261</v>
      </c>
      <c r="F54" s="75" t="s">
        <v>408</v>
      </c>
      <c r="G54" s="63">
        <v>45536</v>
      </c>
      <c r="H54" s="63">
        <f>G54-180</f>
        <v>45356</v>
      </c>
      <c r="I54" s="60">
        <f t="shared" si="5"/>
        <v>3</v>
      </c>
      <c r="J54" s="60">
        <f t="shared" si="3"/>
        <v>0</v>
      </c>
      <c r="K54" s="60">
        <v>1</v>
      </c>
      <c r="L54" s="60"/>
      <c r="M54" s="60"/>
      <c r="N54" s="60"/>
      <c r="O54" s="60"/>
      <c r="P54" s="60">
        <v>1</v>
      </c>
      <c r="Q54" s="60"/>
      <c r="R54" s="60"/>
      <c r="S54" s="60"/>
      <c r="T54" s="60"/>
      <c r="U54" s="60"/>
      <c r="V54" s="60"/>
      <c r="W54" s="60"/>
      <c r="X54" s="60"/>
      <c r="Y54" s="60"/>
      <c r="Z54" s="60">
        <v>1</v>
      </c>
      <c r="AA54" s="60"/>
      <c r="AB54" s="60"/>
      <c r="AC54" s="60"/>
      <c r="AD54" s="60"/>
      <c r="AE54" s="60"/>
      <c r="AF54" s="60"/>
      <c r="AG54" s="60"/>
      <c r="AH54" s="60"/>
      <c r="AI54" s="60"/>
      <c r="AJ54" s="64">
        <f t="shared" si="4"/>
        <v>603.63</v>
      </c>
    </row>
    <row r="55" spans="1:36" x14ac:dyDescent="0.25">
      <c r="A55" s="59" t="str">
        <f t="shared" ca="1" si="0"/>
        <v>VENCIDO</v>
      </c>
      <c r="B55" s="60" t="s">
        <v>869</v>
      </c>
      <c r="C55" s="61" t="s">
        <v>1780</v>
      </c>
      <c r="D55" s="82" t="s">
        <v>260</v>
      </c>
      <c r="E55" s="75" t="s">
        <v>261</v>
      </c>
      <c r="F55" s="75" t="s">
        <v>408</v>
      </c>
      <c r="G55" s="63">
        <v>45505</v>
      </c>
      <c r="H55" s="63">
        <f>G55-180</f>
        <v>45325</v>
      </c>
      <c r="I55" s="60">
        <f t="shared" si="5"/>
        <v>4</v>
      </c>
      <c r="J55" s="60">
        <f t="shared" si="3"/>
        <v>0</v>
      </c>
      <c r="K55" s="60"/>
      <c r="L55" s="60"/>
      <c r="M55" s="60"/>
      <c r="N55" s="60"/>
      <c r="O55" s="60"/>
      <c r="P55" s="60">
        <v>3</v>
      </c>
      <c r="Q55" s="60"/>
      <c r="R55" s="60"/>
      <c r="S55" s="60"/>
      <c r="T55" s="60"/>
      <c r="U55" s="60"/>
      <c r="V55" s="60"/>
      <c r="W55" s="60"/>
      <c r="X55" s="60"/>
      <c r="Y55" s="60"/>
      <c r="Z55" s="60">
        <v>1</v>
      </c>
      <c r="AA55" s="60"/>
      <c r="AB55" s="60"/>
      <c r="AC55" s="60"/>
      <c r="AD55" s="60"/>
      <c r="AE55" s="60"/>
      <c r="AF55" s="60"/>
      <c r="AG55" s="60"/>
      <c r="AH55" s="60"/>
      <c r="AI55" s="60"/>
      <c r="AJ55" s="64">
        <f t="shared" si="4"/>
        <v>1143.8900000000001</v>
      </c>
    </row>
    <row r="56" spans="1:36" x14ac:dyDescent="0.25">
      <c r="A56" s="59" t="str">
        <f t="shared" ca="1" si="0"/>
        <v>VENCIDO</v>
      </c>
      <c r="B56" s="60" t="s">
        <v>869</v>
      </c>
      <c r="C56" s="61" t="s">
        <v>1781</v>
      </c>
      <c r="D56" s="83" t="s">
        <v>1782</v>
      </c>
      <c r="E56" s="75" t="s">
        <v>261</v>
      </c>
      <c r="F56" s="75" t="s">
        <v>408</v>
      </c>
      <c r="G56" s="63">
        <v>45323</v>
      </c>
      <c r="H56" s="63">
        <v>45444</v>
      </c>
      <c r="I56" s="60">
        <f t="shared" si="5"/>
        <v>3</v>
      </c>
      <c r="J56" s="60">
        <f t="shared" si="3"/>
        <v>0</v>
      </c>
      <c r="K56" s="60"/>
      <c r="L56" s="60"/>
      <c r="M56" s="60"/>
      <c r="N56" s="60"/>
      <c r="O56" s="60"/>
      <c r="P56" s="60">
        <v>2</v>
      </c>
      <c r="Q56" s="60"/>
      <c r="R56" s="60"/>
      <c r="S56" s="60"/>
      <c r="T56" s="60"/>
      <c r="U56" s="60"/>
      <c r="V56" s="60"/>
      <c r="W56" s="60"/>
      <c r="X56" s="60"/>
      <c r="Y56" s="60"/>
      <c r="Z56" s="60">
        <v>1</v>
      </c>
      <c r="AA56" s="60"/>
      <c r="AB56" s="60"/>
      <c r="AC56" s="60"/>
      <c r="AD56" s="60"/>
      <c r="AE56" s="60"/>
      <c r="AF56" s="60"/>
      <c r="AG56" s="60"/>
      <c r="AH56" s="60"/>
      <c r="AI56" s="60"/>
      <c r="AJ56" s="64">
        <f t="shared" si="4"/>
        <v>828.54000000000008</v>
      </c>
    </row>
    <row r="57" spans="1:36" x14ac:dyDescent="0.25">
      <c r="A57" s="59" t="str">
        <f t="shared" ca="1" si="0"/>
        <v>VENCIDO</v>
      </c>
      <c r="B57" s="60" t="s">
        <v>869</v>
      </c>
      <c r="C57" s="61" t="s">
        <v>1783</v>
      </c>
      <c r="D57" s="82" t="s">
        <v>260</v>
      </c>
      <c r="E57" s="75" t="s">
        <v>261</v>
      </c>
      <c r="F57" s="75" t="s">
        <v>408</v>
      </c>
      <c r="G57" s="63">
        <v>45505</v>
      </c>
      <c r="H57" s="63">
        <f>G57-180</f>
        <v>45325</v>
      </c>
      <c r="I57" s="60">
        <f t="shared" si="5"/>
        <v>3</v>
      </c>
      <c r="J57" s="60">
        <f t="shared" si="3"/>
        <v>0</v>
      </c>
      <c r="K57" s="60"/>
      <c r="L57" s="60"/>
      <c r="M57" s="60"/>
      <c r="N57" s="60"/>
      <c r="O57" s="60"/>
      <c r="P57" s="60">
        <v>2</v>
      </c>
      <c r="Q57" s="60"/>
      <c r="R57" s="60"/>
      <c r="S57" s="60"/>
      <c r="T57" s="60"/>
      <c r="U57" s="60"/>
      <c r="V57" s="60"/>
      <c r="W57" s="60"/>
      <c r="X57" s="60"/>
      <c r="Y57" s="60"/>
      <c r="Z57" s="60">
        <v>1</v>
      </c>
      <c r="AA57" s="60"/>
      <c r="AB57" s="60"/>
      <c r="AC57" s="60"/>
      <c r="AD57" s="60"/>
      <c r="AE57" s="60"/>
      <c r="AF57" s="60"/>
      <c r="AG57" s="60"/>
      <c r="AH57" s="60"/>
      <c r="AI57" s="60"/>
      <c r="AJ57" s="64">
        <f t="shared" si="4"/>
        <v>828.54000000000008</v>
      </c>
    </row>
    <row r="58" spans="1:36" x14ac:dyDescent="0.25">
      <c r="A58" s="59" t="str">
        <f t="shared" ca="1" si="0"/>
        <v>VENCIDO</v>
      </c>
      <c r="B58" s="60" t="s">
        <v>1747</v>
      </c>
      <c r="C58" s="61" t="s">
        <v>1784</v>
      </c>
      <c r="D58" s="82" t="s">
        <v>1785</v>
      </c>
      <c r="E58" s="75" t="s">
        <v>261</v>
      </c>
      <c r="F58" s="75" t="s">
        <v>408</v>
      </c>
      <c r="G58" s="63">
        <v>45536</v>
      </c>
      <c r="H58" s="63">
        <f>G58-180</f>
        <v>45356</v>
      </c>
      <c r="I58" s="60">
        <f t="shared" si="5"/>
        <v>2</v>
      </c>
      <c r="J58" s="60">
        <f t="shared" si="3"/>
        <v>0</v>
      </c>
      <c r="K58" s="60">
        <v>1</v>
      </c>
      <c r="L58" s="60"/>
      <c r="M58" s="60"/>
      <c r="N58" s="60"/>
      <c r="O58" s="60">
        <v>1</v>
      </c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4">
        <f t="shared" si="4"/>
        <v>334.53000000000003</v>
      </c>
    </row>
    <row r="59" spans="1:36" x14ac:dyDescent="0.25">
      <c r="A59" s="59" t="str">
        <f t="shared" ca="1" si="0"/>
        <v>VENCIDO</v>
      </c>
      <c r="B59" s="60" t="s">
        <v>869</v>
      </c>
      <c r="C59" s="61" t="s">
        <v>1786</v>
      </c>
      <c r="D59" s="82" t="s">
        <v>1701</v>
      </c>
      <c r="E59" s="75" t="s">
        <v>261</v>
      </c>
      <c r="F59" s="75" t="s">
        <v>408</v>
      </c>
      <c r="G59" s="63">
        <v>45566</v>
      </c>
      <c r="H59" s="63">
        <f>G59-180</f>
        <v>45386</v>
      </c>
      <c r="I59" s="60">
        <f t="shared" si="5"/>
        <v>3</v>
      </c>
      <c r="J59" s="60">
        <f t="shared" si="3"/>
        <v>0</v>
      </c>
      <c r="K59" s="60"/>
      <c r="L59" s="60"/>
      <c r="M59" s="60"/>
      <c r="N59" s="60"/>
      <c r="O59" s="60"/>
      <c r="P59" s="60">
        <v>2</v>
      </c>
      <c r="Q59" s="60"/>
      <c r="R59" s="60"/>
      <c r="S59" s="60"/>
      <c r="T59" s="60"/>
      <c r="U59" s="60"/>
      <c r="V59" s="60"/>
      <c r="W59" s="60"/>
      <c r="X59" s="60"/>
      <c r="Y59" s="60"/>
      <c r="Z59" s="60">
        <v>1</v>
      </c>
      <c r="AA59" s="60"/>
      <c r="AB59" s="60"/>
      <c r="AC59" s="60"/>
      <c r="AD59" s="60"/>
      <c r="AE59" s="60"/>
      <c r="AF59" s="60"/>
      <c r="AG59" s="60"/>
      <c r="AH59" s="60"/>
      <c r="AI59" s="60"/>
      <c r="AJ59" s="64">
        <f t="shared" si="4"/>
        <v>828.54000000000008</v>
      </c>
    </row>
    <row r="60" spans="1:36" x14ac:dyDescent="0.25">
      <c r="A60" s="59" t="str">
        <f t="shared" ca="1" si="0"/>
        <v>VENCIDO</v>
      </c>
      <c r="B60" s="60" t="s">
        <v>869</v>
      </c>
      <c r="C60" s="61" t="s">
        <v>1787</v>
      </c>
      <c r="D60" s="82" t="s">
        <v>1788</v>
      </c>
      <c r="E60" s="75" t="s">
        <v>261</v>
      </c>
      <c r="F60" s="75" t="s">
        <v>408</v>
      </c>
      <c r="G60" s="63">
        <v>45566</v>
      </c>
      <c r="H60" s="63">
        <f>G60-180</f>
        <v>45386</v>
      </c>
      <c r="I60" s="60">
        <f t="shared" si="5"/>
        <v>3</v>
      </c>
      <c r="J60" s="60">
        <f t="shared" si="3"/>
        <v>0</v>
      </c>
      <c r="K60" s="60"/>
      <c r="L60" s="60"/>
      <c r="M60" s="60"/>
      <c r="N60" s="60"/>
      <c r="O60" s="60"/>
      <c r="P60" s="60">
        <v>2</v>
      </c>
      <c r="Q60" s="60"/>
      <c r="R60" s="60"/>
      <c r="S60" s="60"/>
      <c r="T60" s="60"/>
      <c r="U60" s="60"/>
      <c r="V60" s="60"/>
      <c r="W60" s="60"/>
      <c r="X60" s="60"/>
      <c r="Y60" s="60"/>
      <c r="Z60" s="60">
        <v>1</v>
      </c>
      <c r="AA60" s="60"/>
      <c r="AB60" s="60"/>
      <c r="AC60" s="60"/>
      <c r="AD60" s="60"/>
      <c r="AE60" s="60"/>
      <c r="AF60" s="60"/>
      <c r="AG60" s="60"/>
      <c r="AH60" s="60"/>
      <c r="AI60" s="60"/>
      <c r="AJ60" s="64">
        <f t="shared" si="4"/>
        <v>828.54000000000008</v>
      </c>
    </row>
    <row r="61" spans="1:36" x14ac:dyDescent="0.25">
      <c r="A61" s="59" t="str">
        <f t="shared" ca="1" si="0"/>
        <v>VENCIDO</v>
      </c>
      <c r="B61" s="60" t="s">
        <v>869</v>
      </c>
      <c r="C61" s="61" t="s">
        <v>1789</v>
      </c>
      <c r="D61" s="82" t="s">
        <v>408</v>
      </c>
      <c r="E61" s="75" t="s">
        <v>261</v>
      </c>
      <c r="F61" s="75" t="s">
        <v>408</v>
      </c>
      <c r="G61" s="63">
        <v>45323</v>
      </c>
      <c r="H61" s="63">
        <v>45323</v>
      </c>
      <c r="I61" s="60">
        <f t="shared" si="5"/>
        <v>6</v>
      </c>
      <c r="J61" s="60">
        <f t="shared" si="3"/>
        <v>0</v>
      </c>
      <c r="K61" s="60"/>
      <c r="L61" s="60"/>
      <c r="M61" s="60"/>
      <c r="N61" s="60"/>
      <c r="O61" s="60">
        <v>5</v>
      </c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>
        <v>1</v>
      </c>
      <c r="AA61" s="60"/>
      <c r="AB61" s="60"/>
      <c r="AC61" s="60"/>
      <c r="AD61" s="60"/>
      <c r="AE61" s="60"/>
      <c r="AF61" s="60"/>
      <c r="AG61" s="60"/>
      <c r="AH61" s="60"/>
      <c r="AI61" s="60"/>
      <c r="AJ61" s="64">
        <f t="shared" si="4"/>
        <v>1418.29</v>
      </c>
    </row>
    <row r="62" spans="1:36" x14ac:dyDescent="0.25">
      <c r="A62" s="59" t="str">
        <f t="shared" ca="1" si="0"/>
        <v>VENCIDO</v>
      </c>
      <c r="B62" s="60" t="s">
        <v>869</v>
      </c>
      <c r="C62" s="61" t="s">
        <v>1790</v>
      </c>
      <c r="D62" s="82" t="s">
        <v>1791</v>
      </c>
      <c r="E62" s="75" t="s">
        <v>261</v>
      </c>
      <c r="F62" s="75" t="s">
        <v>408</v>
      </c>
      <c r="G62" s="63">
        <v>45352</v>
      </c>
      <c r="H62" s="63">
        <v>45352</v>
      </c>
      <c r="I62" s="60">
        <f t="shared" si="5"/>
        <v>2</v>
      </c>
      <c r="J62" s="60">
        <f t="shared" si="3"/>
        <v>0</v>
      </c>
      <c r="K62" s="60"/>
      <c r="L62" s="60"/>
      <c r="M62" s="60"/>
      <c r="N62" s="60"/>
      <c r="O62" s="60"/>
      <c r="P62" s="60"/>
      <c r="Q62" s="60"/>
      <c r="R62" s="60"/>
      <c r="S62" s="60">
        <v>1</v>
      </c>
      <c r="T62" s="60"/>
      <c r="U62" s="60"/>
      <c r="V62" s="60"/>
      <c r="W62" s="60"/>
      <c r="X62" s="60"/>
      <c r="Y62" s="60"/>
      <c r="Z62" s="60">
        <v>1</v>
      </c>
      <c r="AA62" s="60"/>
      <c r="AB62" s="60"/>
      <c r="AC62" s="60"/>
      <c r="AD62" s="60"/>
      <c r="AE62" s="60"/>
      <c r="AF62" s="60"/>
      <c r="AG62" s="60"/>
      <c r="AH62" s="60"/>
      <c r="AI62" s="60"/>
      <c r="AJ62" s="64">
        <f t="shared" si="4"/>
        <v>765.31000000000006</v>
      </c>
    </row>
    <row r="63" spans="1:36" x14ac:dyDescent="0.25">
      <c r="A63" s="59" t="str">
        <f t="shared" ca="1" si="0"/>
        <v>VENCIDO</v>
      </c>
      <c r="B63" s="60" t="s">
        <v>869</v>
      </c>
      <c r="C63" s="61" t="s">
        <v>1792</v>
      </c>
      <c r="D63" s="82" t="s">
        <v>1793</v>
      </c>
      <c r="E63" s="75" t="s">
        <v>261</v>
      </c>
      <c r="F63" s="75" t="s">
        <v>408</v>
      </c>
      <c r="G63" s="63">
        <v>45566</v>
      </c>
      <c r="H63" s="63">
        <v>45200</v>
      </c>
      <c r="I63" s="60">
        <f t="shared" si="5"/>
        <v>3</v>
      </c>
      <c r="J63" s="60">
        <f t="shared" si="3"/>
        <v>0</v>
      </c>
      <c r="K63" s="60"/>
      <c r="L63" s="60"/>
      <c r="M63" s="60"/>
      <c r="N63" s="60"/>
      <c r="O63" s="60"/>
      <c r="P63" s="60">
        <v>2</v>
      </c>
      <c r="Q63" s="60"/>
      <c r="R63" s="60"/>
      <c r="S63" s="60"/>
      <c r="T63" s="60"/>
      <c r="U63" s="60"/>
      <c r="V63" s="60"/>
      <c r="W63" s="60"/>
      <c r="X63" s="60"/>
      <c r="Y63" s="60"/>
      <c r="Z63" s="60">
        <v>1</v>
      </c>
      <c r="AA63" s="60"/>
      <c r="AB63" s="60"/>
      <c r="AC63" s="60"/>
      <c r="AD63" s="60"/>
      <c r="AE63" s="60"/>
      <c r="AF63" s="60"/>
      <c r="AG63" s="60"/>
      <c r="AH63" s="60"/>
      <c r="AI63" s="60"/>
      <c r="AJ63" s="64">
        <f t="shared" si="4"/>
        <v>828.54000000000008</v>
      </c>
    </row>
    <row r="64" spans="1:36" x14ac:dyDescent="0.25">
      <c r="A64" s="59" t="str">
        <f t="shared" ca="1" si="0"/>
        <v>VENCIDO</v>
      </c>
      <c r="B64" s="60" t="s">
        <v>869</v>
      </c>
      <c r="C64" s="61" t="s">
        <v>1794</v>
      </c>
      <c r="D64" s="82" t="s">
        <v>1793</v>
      </c>
      <c r="E64" s="75" t="s">
        <v>261</v>
      </c>
      <c r="F64" s="75" t="s">
        <v>408</v>
      </c>
      <c r="G64" s="63">
        <v>45566</v>
      </c>
      <c r="H64" s="63">
        <f>G64-180</f>
        <v>45386</v>
      </c>
      <c r="I64" s="60">
        <f t="shared" si="5"/>
        <v>3</v>
      </c>
      <c r="J64" s="60">
        <f t="shared" si="3"/>
        <v>0</v>
      </c>
      <c r="K64" s="60"/>
      <c r="L64" s="60"/>
      <c r="M64" s="60"/>
      <c r="N64" s="60"/>
      <c r="O64" s="60"/>
      <c r="P64" s="60">
        <v>2</v>
      </c>
      <c r="Q64" s="60"/>
      <c r="R64" s="60"/>
      <c r="S64" s="60"/>
      <c r="T64" s="60"/>
      <c r="U64" s="60"/>
      <c r="V64" s="60"/>
      <c r="W64" s="60"/>
      <c r="X64" s="60"/>
      <c r="Y64" s="60"/>
      <c r="Z64" s="60">
        <v>1</v>
      </c>
      <c r="AA64" s="60"/>
      <c r="AB64" s="60"/>
      <c r="AC64" s="60"/>
      <c r="AD64" s="60"/>
      <c r="AE64" s="60"/>
      <c r="AF64" s="60"/>
      <c r="AG64" s="60"/>
      <c r="AH64" s="60"/>
      <c r="AI64" s="60"/>
      <c r="AJ64" s="64">
        <f t="shared" si="4"/>
        <v>828.54000000000008</v>
      </c>
    </row>
    <row r="65" spans="1:36" x14ac:dyDescent="0.25">
      <c r="A65" s="59" t="str">
        <f t="shared" ca="1" si="0"/>
        <v>VENCIDO</v>
      </c>
      <c r="B65" s="60" t="s">
        <v>869</v>
      </c>
      <c r="C65" s="61" t="s">
        <v>1795</v>
      </c>
      <c r="D65" s="82" t="s">
        <v>1796</v>
      </c>
      <c r="E65" s="75" t="s">
        <v>261</v>
      </c>
      <c r="F65" s="75" t="s">
        <v>408</v>
      </c>
      <c r="G65" s="63">
        <v>45566</v>
      </c>
      <c r="H65" s="63">
        <f>G65-180</f>
        <v>45386</v>
      </c>
      <c r="I65" s="60">
        <f t="shared" si="5"/>
        <v>3</v>
      </c>
      <c r="J65" s="60">
        <f t="shared" si="3"/>
        <v>0</v>
      </c>
      <c r="K65" s="60"/>
      <c r="L65" s="60"/>
      <c r="M65" s="60"/>
      <c r="N65" s="60"/>
      <c r="O65" s="60"/>
      <c r="P65" s="60">
        <v>2</v>
      </c>
      <c r="Q65" s="60"/>
      <c r="R65" s="60"/>
      <c r="S65" s="60"/>
      <c r="T65" s="60"/>
      <c r="U65" s="60"/>
      <c r="V65" s="60"/>
      <c r="W65" s="60"/>
      <c r="X65" s="60"/>
      <c r="Y65" s="60"/>
      <c r="Z65" s="60">
        <v>1</v>
      </c>
      <c r="AA65" s="60"/>
      <c r="AB65" s="60"/>
      <c r="AC65" s="60"/>
      <c r="AD65" s="60"/>
      <c r="AE65" s="60"/>
      <c r="AF65" s="60"/>
      <c r="AG65" s="60"/>
      <c r="AH65" s="60"/>
      <c r="AI65" s="60"/>
      <c r="AJ65" s="64">
        <f t="shared" si="4"/>
        <v>828.54000000000008</v>
      </c>
    </row>
    <row r="66" spans="1:36" x14ac:dyDescent="0.25">
      <c r="A66" s="59" t="str">
        <f t="shared" ca="1" si="0"/>
        <v>VENCIDO</v>
      </c>
      <c r="B66" s="60" t="s">
        <v>869</v>
      </c>
      <c r="C66" s="61" t="s">
        <v>1797</v>
      </c>
      <c r="D66" s="82" t="s">
        <v>1798</v>
      </c>
      <c r="E66" s="75" t="s">
        <v>261</v>
      </c>
      <c r="F66" s="75" t="s">
        <v>408</v>
      </c>
      <c r="G66" s="63">
        <v>45383</v>
      </c>
      <c r="H66" s="63">
        <v>45383</v>
      </c>
      <c r="I66" s="60">
        <f t="shared" si="5"/>
        <v>3</v>
      </c>
      <c r="J66" s="60">
        <f t="shared" si="3"/>
        <v>0</v>
      </c>
      <c r="K66" s="60"/>
      <c r="L66" s="60"/>
      <c r="M66" s="60"/>
      <c r="N66" s="60"/>
      <c r="O66" s="60"/>
      <c r="P66" s="60">
        <v>1</v>
      </c>
      <c r="Q66" s="60"/>
      <c r="R66" s="60"/>
      <c r="S66" s="60">
        <v>1</v>
      </c>
      <c r="T66" s="60"/>
      <c r="U66" s="60"/>
      <c r="V66" s="60"/>
      <c r="W66" s="60"/>
      <c r="X66" s="60"/>
      <c r="Y66" s="60"/>
      <c r="Z66" s="60">
        <v>1</v>
      </c>
      <c r="AA66" s="60"/>
      <c r="AB66" s="60"/>
      <c r="AC66" s="60"/>
      <c r="AD66" s="60"/>
      <c r="AE66" s="60"/>
      <c r="AF66" s="60"/>
      <c r="AG66" s="60"/>
      <c r="AH66" s="60"/>
      <c r="AI66" s="60"/>
      <c r="AJ66" s="64">
        <f t="shared" si="4"/>
        <v>1080.6600000000001</v>
      </c>
    </row>
    <row r="67" spans="1:36" x14ac:dyDescent="0.25">
      <c r="A67" s="59" t="str">
        <f t="shared" ref="A67:A130" ca="1" si="6">IF(G67&lt;$A$1,"VENCIDO","NA VALIDADE")</f>
        <v>VENCIDO</v>
      </c>
      <c r="B67" s="60" t="s">
        <v>869</v>
      </c>
      <c r="C67" s="61" t="s">
        <v>1799</v>
      </c>
      <c r="D67" s="82" t="s">
        <v>1716</v>
      </c>
      <c r="E67" s="75" t="s">
        <v>261</v>
      </c>
      <c r="F67" s="75" t="s">
        <v>408</v>
      </c>
      <c r="G67" s="63">
        <v>45323</v>
      </c>
      <c r="H67" s="63">
        <v>45323</v>
      </c>
      <c r="I67" s="60">
        <f t="shared" ref="I67:I98" si="7">SUM(K67:AD67)</f>
        <v>7</v>
      </c>
      <c r="J67" s="60">
        <f t="shared" ref="J67:J130" si="8">SUM(AE67:AI67)</f>
        <v>0</v>
      </c>
      <c r="K67" s="60">
        <v>2</v>
      </c>
      <c r="L67" s="60"/>
      <c r="M67" s="60"/>
      <c r="N67" s="60">
        <v>3</v>
      </c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>
        <v>2</v>
      </c>
      <c r="AA67" s="60"/>
      <c r="AB67" s="60"/>
      <c r="AC67" s="60"/>
      <c r="AD67" s="60"/>
      <c r="AE67" s="60"/>
      <c r="AF67" s="60"/>
      <c r="AG67" s="60"/>
      <c r="AH67" s="60"/>
      <c r="AI67" s="60"/>
      <c r="AJ67" s="64">
        <f t="shared" ref="AJ67:AJ130" si="9">IF(K67&gt;0,K67*(82.29+8.15),0)+IF(L67&gt;0,L67*(8.15+339.97),0)+IF(M67&gt;0,M67*151.63,0)+IF(N67&gt;0,N67*197.82,0)+IF(O67&gt;0,O67*244.09,0)+IF(P67&gt;0,P67*315.35,0)+IF(Q67&gt;0,Q67*1067.3,0)+IF(S67&gt;0,S67*567.47,0)+IF(T67&gt;0,T67*151.63,0)+IF(U67&gt;0,U67*197.84,0)+IF(V67&gt;0,V67*470.51,0)+IF(W67&gt;0,W67*701.69,0)+IF(Y67&gt;0,Y67*151.63,0)+IF(Z67&gt;0,Z67*197.84)+IF(AA67&gt;0,AA67*308.4,0)+IF(AB67&gt;0,AB67*496.16,0)</f>
        <v>1170.02</v>
      </c>
    </row>
    <row r="68" spans="1:36" x14ac:dyDescent="0.25">
      <c r="A68" s="59" t="str">
        <f t="shared" ca="1" si="6"/>
        <v>VENCIDO</v>
      </c>
      <c r="B68" s="60" t="s">
        <v>869</v>
      </c>
      <c r="C68" s="61" t="s">
        <v>1800</v>
      </c>
      <c r="D68" s="82" t="s">
        <v>1800</v>
      </c>
      <c r="E68" s="75" t="s">
        <v>261</v>
      </c>
      <c r="F68" s="75" t="s">
        <v>408</v>
      </c>
      <c r="G68" s="63">
        <v>45505</v>
      </c>
      <c r="H68" s="63">
        <f>G68-180</f>
        <v>45325</v>
      </c>
      <c r="I68" s="60">
        <f t="shared" si="7"/>
        <v>3</v>
      </c>
      <c r="J68" s="60">
        <f t="shared" si="8"/>
        <v>0</v>
      </c>
      <c r="K68" s="60"/>
      <c r="L68" s="60"/>
      <c r="M68" s="60"/>
      <c r="N68" s="60"/>
      <c r="O68" s="60">
        <v>2</v>
      </c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>
        <v>1</v>
      </c>
      <c r="AA68" s="60"/>
      <c r="AB68" s="60"/>
      <c r="AC68" s="60"/>
      <c r="AD68" s="60"/>
      <c r="AE68" s="60"/>
      <c r="AF68" s="60"/>
      <c r="AG68" s="60"/>
      <c r="AH68" s="60"/>
      <c r="AI68" s="60"/>
      <c r="AJ68" s="64">
        <f t="shared" si="9"/>
        <v>686.02</v>
      </c>
    </row>
    <row r="69" spans="1:36" x14ac:dyDescent="0.25">
      <c r="A69" s="59" t="str">
        <f t="shared" ca="1" si="6"/>
        <v>VENCIDO</v>
      </c>
      <c r="B69" s="60" t="s">
        <v>869</v>
      </c>
      <c r="C69" s="61" t="s">
        <v>1801</v>
      </c>
      <c r="D69" s="82" t="s">
        <v>1802</v>
      </c>
      <c r="E69" s="75" t="s">
        <v>261</v>
      </c>
      <c r="F69" s="75" t="s">
        <v>408</v>
      </c>
      <c r="G69" s="63">
        <v>45474</v>
      </c>
      <c r="H69" s="63">
        <f>G69-180</f>
        <v>45294</v>
      </c>
      <c r="I69" s="60">
        <f t="shared" si="7"/>
        <v>3</v>
      </c>
      <c r="J69" s="60">
        <f t="shared" si="8"/>
        <v>0</v>
      </c>
      <c r="K69" s="60"/>
      <c r="L69" s="60"/>
      <c r="M69" s="60"/>
      <c r="N69" s="60"/>
      <c r="O69" s="60"/>
      <c r="P69" s="60">
        <v>2</v>
      </c>
      <c r="Q69" s="60"/>
      <c r="R69" s="60"/>
      <c r="S69" s="60"/>
      <c r="T69" s="60"/>
      <c r="U69" s="60"/>
      <c r="V69" s="60"/>
      <c r="W69" s="60"/>
      <c r="X69" s="60"/>
      <c r="Y69" s="60"/>
      <c r="Z69" s="60">
        <v>1</v>
      </c>
      <c r="AA69" s="60"/>
      <c r="AB69" s="60"/>
      <c r="AC69" s="60"/>
      <c r="AD69" s="60"/>
      <c r="AE69" s="60"/>
      <c r="AF69" s="60"/>
      <c r="AG69" s="60"/>
      <c r="AH69" s="60"/>
      <c r="AI69" s="60"/>
      <c r="AJ69" s="64">
        <f t="shared" si="9"/>
        <v>828.54000000000008</v>
      </c>
    </row>
    <row r="70" spans="1:36" x14ac:dyDescent="0.25">
      <c r="A70" s="59" t="str">
        <f t="shared" ca="1" si="6"/>
        <v>VENCIDO</v>
      </c>
      <c r="B70" s="60" t="s">
        <v>869</v>
      </c>
      <c r="C70" s="61" t="s">
        <v>1803</v>
      </c>
      <c r="D70" s="83" t="s">
        <v>1766</v>
      </c>
      <c r="E70" s="75" t="s">
        <v>261</v>
      </c>
      <c r="F70" s="75" t="s">
        <v>408</v>
      </c>
      <c r="G70" s="63">
        <v>45383</v>
      </c>
      <c r="H70" s="63">
        <v>45383</v>
      </c>
      <c r="I70" s="60">
        <f t="shared" si="7"/>
        <v>3</v>
      </c>
      <c r="J70" s="60">
        <f t="shared" si="8"/>
        <v>0</v>
      </c>
      <c r="K70" s="60"/>
      <c r="L70" s="60"/>
      <c r="M70" s="60"/>
      <c r="N70" s="60"/>
      <c r="O70" s="60"/>
      <c r="P70" s="60">
        <v>2</v>
      </c>
      <c r="Q70" s="60"/>
      <c r="R70" s="60"/>
      <c r="S70" s="60"/>
      <c r="T70" s="60"/>
      <c r="U70" s="60"/>
      <c r="V70" s="60"/>
      <c r="W70" s="60"/>
      <c r="X70" s="60"/>
      <c r="Y70" s="60"/>
      <c r="Z70" s="60">
        <v>1</v>
      </c>
      <c r="AA70" s="60"/>
      <c r="AB70" s="60"/>
      <c r="AC70" s="60"/>
      <c r="AD70" s="60"/>
      <c r="AE70" s="60"/>
      <c r="AF70" s="60"/>
      <c r="AG70" s="60"/>
      <c r="AH70" s="60"/>
      <c r="AI70" s="60"/>
      <c r="AJ70" s="64">
        <f t="shared" si="9"/>
        <v>828.54000000000008</v>
      </c>
    </row>
    <row r="71" spans="1:36" x14ac:dyDescent="0.25">
      <c r="A71" s="59" t="str">
        <f t="shared" ca="1" si="6"/>
        <v>VENCIDO</v>
      </c>
      <c r="B71" s="60" t="s">
        <v>869</v>
      </c>
      <c r="C71" s="61" t="s">
        <v>1804</v>
      </c>
      <c r="D71" s="82" t="s">
        <v>408</v>
      </c>
      <c r="E71" s="75" t="s">
        <v>261</v>
      </c>
      <c r="F71" s="75" t="s">
        <v>408</v>
      </c>
      <c r="G71" s="63">
        <v>45444</v>
      </c>
      <c r="H71" s="63">
        <v>45444</v>
      </c>
      <c r="I71" s="60">
        <f t="shared" si="7"/>
        <v>6</v>
      </c>
      <c r="J71" s="60">
        <f t="shared" si="8"/>
        <v>0</v>
      </c>
      <c r="K71" s="60">
        <v>0</v>
      </c>
      <c r="L71" s="60"/>
      <c r="M71" s="60"/>
      <c r="N71" s="60"/>
      <c r="O71" s="60"/>
      <c r="P71" s="60">
        <v>4</v>
      </c>
      <c r="Q71" s="60"/>
      <c r="R71" s="60"/>
      <c r="S71" s="60">
        <v>1</v>
      </c>
      <c r="T71" s="60"/>
      <c r="U71" s="60"/>
      <c r="V71" s="60"/>
      <c r="W71" s="60"/>
      <c r="X71" s="60"/>
      <c r="Y71" s="60"/>
      <c r="Z71" s="60">
        <v>1</v>
      </c>
      <c r="AA71" s="60"/>
      <c r="AB71" s="60"/>
      <c r="AC71" s="60"/>
      <c r="AD71" s="60"/>
      <c r="AE71" s="60"/>
      <c r="AF71" s="60"/>
      <c r="AG71" s="60"/>
      <c r="AH71" s="60"/>
      <c r="AI71" s="60"/>
      <c r="AJ71" s="64">
        <f t="shared" si="9"/>
        <v>2026.71</v>
      </c>
    </row>
    <row r="72" spans="1:36" x14ac:dyDescent="0.25">
      <c r="A72" s="59" t="str">
        <f t="shared" ca="1" si="6"/>
        <v>VENCIDO</v>
      </c>
      <c r="B72" s="60" t="s">
        <v>869</v>
      </c>
      <c r="C72" s="61" t="s">
        <v>1805</v>
      </c>
      <c r="D72" s="82" t="s">
        <v>1806</v>
      </c>
      <c r="E72" s="75" t="s">
        <v>261</v>
      </c>
      <c r="F72" s="75" t="s">
        <v>408</v>
      </c>
      <c r="G72" s="63">
        <v>45444</v>
      </c>
      <c r="H72" s="63">
        <v>45444</v>
      </c>
      <c r="I72" s="60">
        <f t="shared" si="7"/>
        <v>3</v>
      </c>
      <c r="J72" s="60">
        <f t="shared" si="8"/>
        <v>0</v>
      </c>
      <c r="K72" s="60"/>
      <c r="L72" s="60"/>
      <c r="M72" s="60"/>
      <c r="N72" s="60"/>
      <c r="O72" s="60"/>
      <c r="P72" s="60">
        <v>2</v>
      </c>
      <c r="Q72" s="60"/>
      <c r="R72" s="60"/>
      <c r="S72" s="60"/>
      <c r="T72" s="60"/>
      <c r="U72" s="60"/>
      <c r="V72" s="60"/>
      <c r="W72" s="60"/>
      <c r="X72" s="60"/>
      <c r="Y72" s="60"/>
      <c r="Z72" s="60">
        <v>1</v>
      </c>
      <c r="AA72" s="60"/>
      <c r="AB72" s="60"/>
      <c r="AC72" s="60"/>
      <c r="AD72" s="60"/>
      <c r="AE72" s="60"/>
      <c r="AF72" s="60"/>
      <c r="AG72" s="60"/>
      <c r="AH72" s="60"/>
      <c r="AI72" s="60"/>
      <c r="AJ72" s="64">
        <f t="shared" si="9"/>
        <v>828.54000000000008</v>
      </c>
    </row>
    <row r="73" spans="1:36" x14ac:dyDescent="0.25">
      <c r="A73" s="59" t="str">
        <f t="shared" ca="1" si="6"/>
        <v>VENCIDO</v>
      </c>
      <c r="B73" s="60" t="s">
        <v>869</v>
      </c>
      <c r="C73" s="61" t="s">
        <v>1807</v>
      </c>
      <c r="D73" s="82" t="s">
        <v>1808</v>
      </c>
      <c r="E73" s="75" t="s">
        <v>261</v>
      </c>
      <c r="F73" s="75" t="s">
        <v>408</v>
      </c>
      <c r="G73" s="63">
        <v>45474</v>
      </c>
      <c r="H73" s="63">
        <v>45474</v>
      </c>
      <c r="I73" s="60">
        <f t="shared" si="7"/>
        <v>3</v>
      </c>
      <c r="J73" s="60">
        <f t="shared" si="8"/>
        <v>0</v>
      </c>
      <c r="K73" s="60"/>
      <c r="L73" s="60"/>
      <c r="M73" s="60"/>
      <c r="N73" s="60"/>
      <c r="O73" s="60"/>
      <c r="P73" s="60">
        <v>2</v>
      </c>
      <c r="Q73" s="60"/>
      <c r="R73" s="60"/>
      <c r="S73" s="60"/>
      <c r="T73" s="60"/>
      <c r="U73" s="60"/>
      <c r="V73" s="60"/>
      <c r="W73" s="60"/>
      <c r="X73" s="60"/>
      <c r="Y73" s="60"/>
      <c r="Z73" s="60">
        <v>1</v>
      </c>
      <c r="AA73" s="60"/>
      <c r="AB73" s="60"/>
      <c r="AC73" s="60"/>
      <c r="AD73" s="60"/>
      <c r="AE73" s="60"/>
      <c r="AF73" s="60"/>
      <c r="AG73" s="60"/>
      <c r="AH73" s="60"/>
      <c r="AI73" s="60"/>
      <c r="AJ73" s="64">
        <f t="shared" si="9"/>
        <v>828.54000000000008</v>
      </c>
    </row>
    <row r="74" spans="1:36" x14ac:dyDescent="0.25">
      <c r="A74" s="59" t="str">
        <f t="shared" ca="1" si="6"/>
        <v>VENCIDO</v>
      </c>
      <c r="B74" s="60" t="s">
        <v>869</v>
      </c>
      <c r="C74" s="61" t="s">
        <v>1809</v>
      </c>
      <c r="D74" s="82" t="s">
        <v>1721</v>
      </c>
      <c r="E74" s="75" t="s">
        <v>261</v>
      </c>
      <c r="F74" s="75" t="s">
        <v>408</v>
      </c>
      <c r="G74" s="63">
        <v>45505</v>
      </c>
      <c r="H74" s="63">
        <f>G74-180</f>
        <v>45325</v>
      </c>
      <c r="I74" s="60">
        <f t="shared" si="7"/>
        <v>2</v>
      </c>
      <c r="J74" s="60">
        <f t="shared" si="8"/>
        <v>0</v>
      </c>
      <c r="K74" s="60"/>
      <c r="L74" s="60"/>
      <c r="M74" s="60"/>
      <c r="N74" s="60"/>
      <c r="O74" s="60"/>
      <c r="P74" s="60">
        <v>1</v>
      </c>
      <c r="Q74" s="60"/>
      <c r="R74" s="60"/>
      <c r="S74" s="60"/>
      <c r="T74" s="60"/>
      <c r="U74" s="60"/>
      <c r="V74" s="60"/>
      <c r="W74" s="60"/>
      <c r="X74" s="60"/>
      <c r="Y74" s="60"/>
      <c r="Z74" s="60">
        <v>1</v>
      </c>
      <c r="AA74" s="60"/>
      <c r="AB74" s="60"/>
      <c r="AC74" s="60"/>
      <c r="AD74" s="60"/>
      <c r="AE74" s="60"/>
      <c r="AF74" s="60"/>
      <c r="AG74" s="60"/>
      <c r="AH74" s="60"/>
      <c r="AI74" s="60"/>
      <c r="AJ74" s="64">
        <f t="shared" si="9"/>
        <v>513.19000000000005</v>
      </c>
    </row>
    <row r="75" spans="1:36" x14ac:dyDescent="0.25">
      <c r="A75" s="59" t="str">
        <f t="shared" ca="1" si="6"/>
        <v>VENCIDO</v>
      </c>
      <c r="B75" s="60" t="s">
        <v>869</v>
      </c>
      <c r="C75" s="61" t="s">
        <v>1810</v>
      </c>
      <c r="D75" s="82" t="s">
        <v>1721</v>
      </c>
      <c r="E75" s="75" t="s">
        <v>261</v>
      </c>
      <c r="F75" s="75" t="s">
        <v>408</v>
      </c>
      <c r="G75" s="63">
        <v>45352</v>
      </c>
      <c r="H75" s="63">
        <v>45352</v>
      </c>
      <c r="I75" s="60">
        <f t="shared" si="7"/>
        <v>2</v>
      </c>
      <c r="J75" s="60">
        <f t="shared" si="8"/>
        <v>0</v>
      </c>
      <c r="K75" s="60"/>
      <c r="L75" s="60"/>
      <c r="M75" s="60"/>
      <c r="N75" s="60"/>
      <c r="O75" s="60"/>
      <c r="P75" s="60"/>
      <c r="Q75" s="60"/>
      <c r="R75" s="60"/>
      <c r="S75" s="60">
        <v>1</v>
      </c>
      <c r="T75" s="60"/>
      <c r="U75" s="60"/>
      <c r="V75" s="60"/>
      <c r="W75" s="60"/>
      <c r="X75" s="60"/>
      <c r="Y75" s="60"/>
      <c r="Z75" s="60">
        <v>1</v>
      </c>
      <c r="AA75" s="60"/>
      <c r="AB75" s="60"/>
      <c r="AC75" s="60"/>
      <c r="AD75" s="60"/>
      <c r="AE75" s="60"/>
      <c r="AF75" s="60"/>
      <c r="AG75" s="60"/>
      <c r="AH75" s="60"/>
      <c r="AI75" s="60"/>
      <c r="AJ75" s="64">
        <f t="shared" si="9"/>
        <v>765.31000000000006</v>
      </c>
    </row>
    <row r="76" spans="1:36" x14ac:dyDescent="0.25">
      <c r="A76" s="59" t="str">
        <f t="shared" ca="1" si="6"/>
        <v>VENCIDO</v>
      </c>
      <c r="B76" s="60" t="s">
        <v>869</v>
      </c>
      <c r="C76" s="61" t="s">
        <v>1811</v>
      </c>
      <c r="D76" s="82" t="s">
        <v>1812</v>
      </c>
      <c r="E76" s="75" t="s">
        <v>261</v>
      </c>
      <c r="F76" s="75" t="s">
        <v>408</v>
      </c>
      <c r="G76" s="63">
        <v>45413</v>
      </c>
      <c r="H76" s="63">
        <v>45413</v>
      </c>
      <c r="I76" s="60">
        <f t="shared" si="7"/>
        <v>4</v>
      </c>
      <c r="J76" s="60">
        <f t="shared" si="8"/>
        <v>0</v>
      </c>
      <c r="K76" s="60"/>
      <c r="L76" s="60"/>
      <c r="M76" s="60"/>
      <c r="N76" s="60"/>
      <c r="O76" s="60"/>
      <c r="P76" s="60">
        <v>1</v>
      </c>
      <c r="Q76" s="60"/>
      <c r="R76" s="60"/>
      <c r="S76" s="60">
        <v>2</v>
      </c>
      <c r="T76" s="60"/>
      <c r="U76" s="60"/>
      <c r="V76" s="60"/>
      <c r="W76" s="60"/>
      <c r="X76" s="60"/>
      <c r="Y76" s="60"/>
      <c r="Z76" s="60">
        <v>1</v>
      </c>
      <c r="AA76" s="60"/>
      <c r="AB76" s="60"/>
      <c r="AC76" s="60"/>
      <c r="AD76" s="60"/>
      <c r="AE76" s="60"/>
      <c r="AF76" s="60"/>
      <c r="AG76" s="60"/>
      <c r="AH76" s="60"/>
      <c r="AI76" s="60"/>
      <c r="AJ76" s="64">
        <f t="shared" si="9"/>
        <v>1648.1299999999999</v>
      </c>
    </row>
    <row r="77" spans="1:36" x14ac:dyDescent="0.25">
      <c r="A77" s="59" t="str">
        <f t="shared" ca="1" si="6"/>
        <v>VENCIDO</v>
      </c>
      <c r="B77" s="60" t="s">
        <v>869</v>
      </c>
      <c r="C77" s="61" t="s">
        <v>1813</v>
      </c>
      <c r="D77" s="82" t="s">
        <v>1746</v>
      </c>
      <c r="E77" s="75" t="s">
        <v>261</v>
      </c>
      <c r="F77" s="75" t="s">
        <v>408</v>
      </c>
      <c r="G77" s="63">
        <v>45413</v>
      </c>
      <c r="H77" s="63">
        <v>45413</v>
      </c>
      <c r="I77" s="60">
        <f t="shared" si="7"/>
        <v>3</v>
      </c>
      <c r="J77" s="60">
        <f t="shared" si="8"/>
        <v>0</v>
      </c>
      <c r="K77" s="60"/>
      <c r="L77" s="60"/>
      <c r="M77" s="60"/>
      <c r="N77" s="60"/>
      <c r="O77" s="60"/>
      <c r="P77" s="60">
        <v>2</v>
      </c>
      <c r="Q77" s="60"/>
      <c r="R77" s="60"/>
      <c r="S77" s="60"/>
      <c r="T77" s="60"/>
      <c r="U77" s="60"/>
      <c r="V77" s="60"/>
      <c r="W77" s="60"/>
      <c r="X77" s="60"/>
      <c r="Y77" s="60"/>
      <c r="Z77" s="60">
        <v>1</v>
      </c>
      <c r="AA77" s="60"/>
      <c r="AB77" s="60"/>
      <c r="AC77" s="60"/>
      <c r="AD77" s="60"/>
      <c r="AE77" s="60"/>
      <c r="AF77" s="60"/>
      <c r="AG77" s="60"/>
      <c r="AH77" s="60"/>
      <c r="AI77" s="60"/>
      <c r="AJ77" s="64">
        <f t="shared" si="9"/>
        <v>828.54000000000008</v>
      </c>
    </row>
    <row r="78" spans="1:36" x14ac:dyDescent="0.25">
      <c r="A78" s="59" t="str">
        <f t="shared" ca="1" si="6"/>
        <v>VENCIDO</v>
      </c>
      <c r="B78" s="60" t="s">
        <v>869</v>
      </c>
      <c r="C78" s="61" t="s">
        <v>1814</v>
      </c>
      <c r="D78" s="83" t="s">
        <v>1815</v>
      </c>
      <c r="E78" s="75" t="s">
        <v>261</v>
      </c>
      <c r="F78" s="75" t="s">
        <v>408</v>
      </c>
      <c r="G78" s="63">
        <v>45474</v>
      </c>
      <c r="H78" s="63">
        <f t="shared" ref="H78:H86" si="10">G78-180</f>
        <v>45294</v>
      </c>
      <c r="I78" s="60">
        <f t="shared" si="7"/>
        <v>3</v>
      </c>
      <c r="J78" s="60">
        <f t="shared" si="8"/>
        <v>0</v>
      </c>
      <c r="K78" s="60"/>
      <c r="L78" s="60"/>
      <c r="M78" s="60"/>
      <c r="N78" s="60"/>
      <c r="O78" s="60">
        <v>1</v>
      </c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>
        <v>1</v>
      </c>
      <c r="AA78" s="60">
        <v>1</v>
      </c>
      <c r="AB78" s="60"/>
      <c r="AC78" s="60"/>
      <c r="AD78" s="60"/>
      <c r="AE78" s="60"/>
      <c r="AF78" s="60"/>
      <c r="AG78" s="60"/>
      <c r="AH78" s="60"/>
      <c r="AI78" s="60"/>
      <c r="AJ78" s="64">
        <f t="shared" si="9"/>
        <v>750.32999999999993</v>
      </c>
    </row>
    <row r="79" spans="1:36" x14ac:dyDescent="0.25">
      <c r="A79" s="59" t="str">
        <f t="shared" ca="1" si="6"/>
        <v>VENCIDO</v>
      </c>
      <c r="B79" s="60" t="s">
        <v>869</v>
      </c>
      <c r="C79" s="61" t="s">
        <v>1816</v>
      </c>
      <c r="D79" s="82" t="s">
        <v>1817</v>
      </c>
      <c r="E79" s="75" t="s">
        <v>261</v>
      </c>
      <c r="F79" s="75" t="s">
        <v>408</v>
      </c>
      <c r="G79" s="63">
        <v>45505</v>
      </c>
      <c r="H79" s="63">
        <f t="shared" si="10"/>
        <v>45325</v>
      </c>
      <c r="I79" s="60">
        <f t="shared" si="7"/>
        <v>3</v>
      </c>
      <c r="J79" s="60">
        <f t="shared" si="8"/>
        <v>0</v>
      </c>
      <c r="K79" s="60"/>
      <c r="L79" s="60"/>
      <c r="M79" s="60"/>
      <c r="N79" s="60"/>
      <c r="O79" s="60">
        <v>2</v>
      </c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>
        <v>1</v>
      </c>
      <c r="AA79" s="60"/>
      <c r="AB79" s="60"/>
      <c r="AC79" s="60"/>
      <c r="AD79" s="60"/>
      <c r="AE79" s="60"/>
      <c r="AF79" s="60"/>
      <c r="AG79" s="60"/>
      <c r="AH79" s="60"/>
      <c r="AI79" s="60"/>
      <c r="AJ79" s="64">
        <f t="shared" si="9"/>
        <v>686.02</v>
      </c>
    </row>
    <row r="80" spans="1:36" x14ac:dyDescent="0.25">
      <c r="A80" s="59" t="str">
        <f t="shared" ca="1" si="6"/>
        <v>VENCIDO</v>
      </c>
      <c r="B80" s="60" t="s">
        <v>869</v>
      </c>
      <c r="C80" s="61" t="s">
        <v>1818</v>
      </c>
      <c r="D80" s="83" t="s">
        <v>1770</v>
      </c>
      <c r="E80" s="75" t="s">
        <v>261</v>
      </c>
      <c r="F80" s="75" t="s">
        <v>408</v>
      </c>
      <c r="G80" s="63">
        <v>45536</v>
      </c>
      <c r="H80" s="63">
        <f t="shared" si="10"/>
        <v>45356</v>
      </c>
      <c r="I80" s="60">
        <f t="shared" si="7"/>
        <v>3</v>
      </c>
      <c r="J80" s="60">
        <f t="shared" si="8"/>
        <v>0</v>
      </c>
      <c r="K80" s="60"/>
      <c r="L80" s="60"/>
      <c r="M80" s="60"/>
      <c r="N80" s="60"/>
      <c r="O80" s="60">
        <v>1</v>
      </c>
      <c r="P80" s="60">
        <v>1</v>
      </c>
      <c r="Q80" s="60"/>
      <c r="R80" s="60"/>
      <c r="S80" s="60"/>
      <c r="T80" s="60"/>
      <c r="U80" s="60"/>
      <c r="V80" s="60"/>
      <c r="W80" s="60"/>
      <c r="X80" s="60"/>
      <c r="Y80" s="60"/>
      <c r="Z80" s="60">
        <v>1</v>
      </c>
      <c r="AA80" s="60"/>
      <c r="AB80" s="60"/>
      <c r="AC80" s="60"/>
      <c r="AD80" s="60"/>
      <c r="AE80" s="60"/>
      <c r="AF80" s="60"/>
      <c r="AG80" s="60"/>
      <c r="AH80" s="60"/>
      <c r="AI80" s="60"/>
      <c r="AJ80" s="64">
        <f t="shared" si="9"/>
        <v>757.28000000000009</v>
      </c>
    </row>
    <row r="81" spans="1:36" x14ac:dyDescent="0.25">
      <c r="A81" s="59" t="str">
        <f t="shared" ca="1" si="6"/>
        <v>VENCIDO</v>
      </c>
      <c r="B81" s="60" t="s">
        <v>869</v>
      </c>
      <c r="C81" s="61" t="s">
        <v>1819</v>
      </c>
      <c r="D81" s="83" t="s">
        <v>260</v>
      </c>
      <c r="E81" s="75" t="s">
        <v>261</v>
      </c>
      <c r="F81" s="75" t="s">
        <v>408</v>
      </c>
      <c r="G81" s="63">
        <v>45505</v>
      </c>
      <c r="H81" s="63">
        <f t="shared" si="10"/>
        <v>45325</v>
      </c>
      <c r="I81" s="60">
        <f t="shared" si="7"/>
        <v>5</v>
      </c>
      <c r="J81" s="60">
        <f t="shared" si="8"/>
        <v>0</v>
      </c>
      <c r="K81" s="60"/>
      <c r="L81" s="60"/>
      <c r="M81" s="60"/>
      <c r="N81" s="60"/>
      <c r="O81" s="60"/>
      <c r="P81" s="60"/>
      <c r="Q81" s="60"/>
      <c r="R81" s="60"/>
      <c r="S81" s="60">
        <v>2</v>
      </c>
      <c r="T81" s="60"/>
      <c r="U81" s="60"/>
      <c r="V81" s="60"/>
      <c r="W81" s="60"/>
      <c r="X81" s="60"/>
      <c r="Y81" s="60"/>
      <c r="Z81" s="60">
        <v>3</v>
      </c>
      <c r="AA81" s="60"/>
      <c r="AB81" s="60"/>
      <c r="AC81" s="60"/>
      <c r="AD81" s="60"/>
      <c r="AE81" s="60"/>
      <c r="AF81" s="60"/>
      <c r="AG81" s="60"/>
      <c r="AH81" s="60"/>
      <c r="AI81" s="60"/>
      <c r="AJ81" s="64">
        <f t="shared" si="9"/>
        <v>1728.46</v>
      </c>
    </row>
    <row r="82" spans="1:36" x14ac:dyDescent="0.25">
      <c r="A82" s="59" t="str">
        <f t="shared" ca="1" si="6"/>
        <v>VENCIDO</v>
      </c>
      <c r="B82" s="60" t="s">
        <v>869</v>
      </c>
      <c r="C82" s="61" t="s">
        <v>1820</v>
      </c>
      <c r="D82" s="82" t="s">
        <v>1755</v>
      </c>
      <c r="E82" s="75" t="s">
        <v>261</v>
      </c>
      <c r="F82" s="75" t="s">
        <v>408</v>
      </c>
      <c r="G82" s="63">
        <v>45566</v>
      </c>
      <c r="H82" s="63">
        <f t="shared" si="10"/>
        <v>45386</v>
      </c>
      <c r="I82" s="60">
        <f t="shared" si="7"/>
        <v>3</v>
      </c>
      <c r="J82" s="60">
        <f t="shared" si="8"/>
        <v>0</v>
      </c>
      <c r="K82" s="60"/>
      <c r="L82" s="60"/>
      <c r="M82" s="60"/>
      <c r="N82" s="60"/>
      <c r="O82" s="60"/>
      <c r="P82" s="60">
        <v>1</v>
      </c>
      <c r="Q82" s="60"/>
      <c r="R82" s="60"/>
      <c r="S82" s="60">
        <v>1</v>
      </c>
      <c r="T82" s="60"/>
      <c r="U82" s="60"/>
      <c r="V82" s="60"/>
      <c r="W82" s="60"/>
      <c r="X82" s="60"/>
      <c r="Y82" s="60"/>
      <c r="Z82" s="60">
        <v>1</v>
      </c>
      <c r="AA82" s="60"/>
      <c r="AB82" s="60"/>
      <c r="AC82" s="60"/>
      <c r="AD82" s="60"/>
      <c r="AE82" s="60"/>
      <c r="AF82" s="60"/>
      <c r="AG82" s="60"/>
      <c r="AH82" s="60"/>
      <c r="AI82" s="60"/>
      <c r="AJ82" s="64">
        <f t="shared" si="9"/>
        <v>1080.6600000000001</v>
      </c>
    </row>
    <row r="83" spans="1:36" x14ac:dyDescent="0.25">
      <c r="A83" s="59" t="str">
        <f t="shared" ca="1" si="6"/>
        <v>VENCIDO</v>
      </c>
      <c r="B83" s="60" t="s">
        <v>869</v>
      </c>
      <c r="C83" s="61" t="s">
        <v>1821</v>
      </c>
      <c r="D83" s="82" t="s">
        <v>1821</v>
      </c>
      <c r="E83" s="75" t="s">
        <v>261</v>
      </c>
      <c r="F83" s="75" t="s">
        <v>408</v>
      </c>
      <c r="G83" s="63">
        <v>45566</v>
      </c>
      <c r="H83" s="63">
        <f t="shared" si="10"/>
        <v>45386</v>
      </c>
      <c r="I83" s="60">
        <f t="shared" si="7"/>
        <v>3</v>
      </c>
      <c r="J83" s="60">
        <f t="shared" si="8"/>
        <v>0</v>
      </c>
      <c r="K83" s="60"/>
      <c r="L83" s="60"/>
      <c r="M83" s="60"/>
      <c r="N83" s="60">
        <v>1</v>
      </c>
      <c r="O83" s="60"/>
      <c r="P83" s="60">
        <v>1</v>
      </c>
      <c r="Q83" s="60"/>
      <c r="R83" s="60"/>
      <c r="S83" s="60"/>
      <c r="T83" s="60"/>
      <c r="U83" s="60"/>
      <c r="V83" s="60"/>
      <c r="W83" s="60"/>
      <c r="X83" s="60"/>
      <c r="Y83" s="60"/>
      <c r="Z83" s="60">
        <v>1</v>
      </c>
      <c r="AA83" s="60"/>
      <c r="AB83" s="60"/>
      <c r="AC83" s="60"/>
      <c r="AD83" s="60"/>
      <c r="AE83" s="60"/>
      <c r="AF83" s="60"/>
      <c r="AG83" s="60"/>
      <c r="AH83" s="60"/>
      <c r="AI83" s="60"/>
      <c r="AJ83" s="64">
        <f t="shared" si="9"/>
        <v>711.0100000000001</v>
      </c>
    </row>
    <row r="84" spans="1:36" x14ac:dyDescent="0.25">
      <c r="A84" s="59" t="str">
        <f t="shared" ca="1" si="6"/>
        <v>VENCIDO</v>
      </c>
      <c r="B84" s="60" t="s">
        <v>869</v>
      </c>
      <c r="C84" s="61" t="s">
        <v>1822</v>
      </c>
      <c r="D84" s="82" t="s">
        <v>1701</v>
      </c>
      <c r="E84" s="75" t="s">
        <v>261</v>
      </c>
      <c r="F84" s="75" t="s">
        <v>408</v>
      </c>
      <c r="G84" s="63">
        <v>45505</v>
      </c>
      <c r="H84" s="63">
        <f t="shared" si="10"/>
        <v>45325</v>
      </c>
      <c r="I84" s="60">
        <f t="shared" si="7"/>
        <v>4</v>
      </c>
      <c r="J84" s="60">
        <f t="shared" si="8"/>
        <v>0</v>
      </c>
      <c r="K84" s="60"/>
      <c r="L84" s="60"/>
      <c r="M84" s="60"/>
      <c r="N84" s="60"/>
      <c r="O84" s="60"/>
      <c r="P84" s="60">
        <v>2</v>
      </c>
      <c r="Q84" s="60"/>
      <c r="R84" s="60"/>
      <c r="S84" s="60"/>
      <c r="T84" s="60"/>
      <c r="U84" s="60"/>
      <c r="V84" s="60"/>
      <c r="W84" s="60"/>
      <c r="X84" s="60"/>
      <c r="Y84" s="60"/>
      <c r="Z84" s="60">
        <v>2</v>
      </c>
      <c r="AA84" s="60"/>
      <c r="AB84" s="60"/>
      <c r="AC84" s="60"/>
      <c r="AD84" s="60"/>
      <c r="AE84" s="60"/>
      <c r="AF84" s="60"/>
      <c r="AG84" s="60"/>
      <c r="AH84" s="60"/>
      <c r="AI84" s="60"/>
      <c r="AJ84" s="64">
        <f t="shared" si="9"/>
        <v>1026.3800000000001</v>
      </c>
    </row>
    <row r="85" spans="1:36" x14ac:dyDescent="0.25">
      <c r="A85" s="59" t="str">
        <f t="shared" ca="1" si="6"/>
        <v>VENCIDO</v>
      </c>
      <c r="B85" s="60" t="s">
        <v>869</v>
      </c>
      <c r="C85" s="61" t="s">
        <v>1823</v>
      </c>
      <c r="D85" s="82" t="s">
        <v>1791</v>
      </c>
      <c r="E85" s="75" t="s">
        <v>261</v>
      </c>
      <c r="F85" s="75" t="s">
        <v>408</v>
      </c>
      <c r="G85" s="63">
        <v>45566</v>
      </c>
      <c r="H85" s="63">
        <f t="shared" si="10"/>
        <v>45386</v>
      </c>
      <c r="I85" s="60">
        <f t="shared" si="7"/>
        <v>2</v>
      </c>
      <c r="J85" s="60">
        <f t="shared" si="8"/>
        <v>0</v>
      </c>
      <c r="K85" s="60"/>
      <c r="L85" s="60"/>
      <c r="M85" s="60"/>
      <c r="N85" s="60"/>
      <c r="O85" s="60"/>
      <c r="P85" s="60">
        <v>1</v>
      </c>
      <c r="Q85" s="60"/>
      <c r="R85" s="60"/>
      <c r="S85" s="60"/>
      <c r="T85" s="60"/>
      <c r="U85" s="60"/>
      <c r="V85" s="60"/>
      <c r="W85" s="60"/>
      <c r="X85" s="60"/>
      <c r="Y85" s="60"/>
      <c r="Z85" s="60">
        <v>1</v>
      </c>
      <c r="AA85" s="60"/>
      <c r="AB85" s="60"/>
      <c r="AC85" s="60"/>
      <c r="AD85" s="60"/>
      <c r="AE85" s="60"/>
      <c r="AF85" s="60"/>
      <c r="AG85" s="60"/>
      <c r="AH85" s="60"/>
      <c r="AI85" s="60"/>
      <c r="AJ85" s="64">
        <f t="shared" si="9"/>
        <v>513.19000000000005</v>
      </c>
    </row>
    <row r="86" spans="1:36" x14ac:dyDescent="0.25">
      <c r="A86" s="59" t="str">
        <f t="shared" ca="1" si="6"/>
        <v>VENCIDO</v>
      </c>
      <c r="B86" s="60" t="s">
        <v>869</v>
      </c>
      <c r="C86" s="61" t="s">
        <v>1350</v>
      </c>
      <c r="D86" s="82" t="s">
        <v>1824</v>
      </c>
      <c r="E86" s="75" t="s">
        <v>261</v>
      </c>
      <c r="F86" s="75" t="s">
        <v>408</v>
      </c>
      <c r="G86" s="63">
        <v>45536</v>
      </c>
      <c r="H86" s="63">
        <f t="shared" si="10"/>
        <v>45356</v>
      </c>
      <c r="I86" s="60">
        <f t="shared" si="7"/>
        <v>3</v>
      </c>
      <c r="J86" s="60">
        <f t="shared" si="8"/>
        <v>0</v>
      </c>
      <c r="K86" s="60"/>
      <c r="L86" s="60"/>
      <c r="M86" s="60"/>
      <c r="N86" s="60"/>
      <c r="O86" s="60"/>
      <c r="P86" s="60">
        <v>2</v>
      </c>
      <c r="Q86" s="60"/>
      <c r="R86" s="60"/>
      <c r="S86" s="60"/>
      <c r="T86" s="60"/>
      <c r="U86" s="60"/>
      <c r="V86" s="60"/>
      <c r="W86" s="60"/>
      <c r="X86" s="60"/>
      <c r="Y86" s="60"/>
      <c r="Z86" s="60">
        <v>1</v>
      </c>
      <c r="AA86" s="60"/>
      <c r="AB86" s="60"/>
      <c r="AC86" s="60"/>
      <c r="AD86" s="60"/>
      <c r="AE86" s="60"/>
      <c r="AF86" s="60"/>
      <c r="AG86" s="60"/>
      <c r="AH86" s="60"/>
      <c r="AI86" s="60"/>
      <c r="AJ86" s="64">
        <f t="shared" si="9"/>
        <v>828.54000000000008</v>
      </c>
    </row>
    <row r="87" spans="1:36" x14ac:dyDescent="0.25">
      <c r="A87" s="59" t="str">
        <f t="shared" ca="1" si="6"/>
        <v>VENCIDO</v>
      </c>
      <c r="B87" s="60" t="s">
        <v>869</v>
      </c>
      <c r="C87" s="61" t="s">
        <v>1825</v>
      </c>
      <c r="D87" s="82" t="s">
        <v>1728</v>
      </c>
      <c r="E87" s="75" t="s">
        <v>261</v>
      </c>
      <c r="F87" s="75" t="s">
        <v>408</v>
      </c>
      <c r="G87" s="63">
        <v>45474</v>
      </c>
      <c r="H87" s="63">
        <v>45474</v>
      </c>
      <c r="I87" s="60">
        <f t="shared" si="7"/>
        <v>1</v>
      </c>
      <c r="J87" s="60">
        <f t="shared" si="8"/>
        <v>0</v>
      </c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>
        <v>1</v>
      </c>
      <c r="AA87" s="60"/>
      <c r="AB87" s="60"/>
      <c r="AC87" s="60"/>
      <c r="AD87" s="60"/>
      <c r="AE87" s="60"/>
      <c r="AF87" s="60"/>
      <c r="AG87" s="60"/>
      <c r="AH87" s="60"/>
      <c r="AI87" s="60"/>
      <c r="AJ87" s="64">
        <f t="shared" si="9"/>
        <v>197.84</v>
      </c>
    </row>
    <row r="88" spans="1:36" x14ac:dyDescent="0.25">
      <c r="A88" s="59" t="str">
        <f t="shared" ca="1" si="6"/>
        <v>VENCIDO</v>
      </c>
      <c r="B88" s="60" t="s">
        <v>869</v>
      </c>
      <c r="C88" s="61" t="s">
        <v>1826</v>
      </c>
      <c r="D88" s="82" t="s">
        <v>507</v>
      </c>
      <c r="E88" s="75" t="s">
        <v>261</v>
      </c>
      <c r="F88" s="75" t="s">
        <v>408</v>
      </c>
      <c r="G88" s="63">
        <v>45566</v>
      </c>
      <c r="H88" s="63">
        <f>G88-180</f>
        <v>45386</v>
      </c>
      <c r="I88" s="60">
        <f t="shared" si="7"/>
        <v>2</v>
      </c>
      <c r="J88" s="60">
        <f t="shared" si="8"/>
        <v>0</v>
      </c>
      <c r="K88" s="60"/>
      <c r="L88" s="60"/>
      <c r="M88" s="60"/>
      <c r="N88" s="60"/>
      <c r="O88" s="60"/>
      <c r="P88" s="60">
        <v>2</v>
      </c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4">
        <f t="shared" si="9"/>
        <v>630.70000000000005</v>
      </c>
    </row>
    <row r="89" spans="1:36" x14ac:dyDescent="0.25">
      <c r="A89" s="59" t="str">
        <f t="shared" ca="1" si="6"/>
        <v>VENCIDO</v>
      </c>
      <c r="B89" s="60" t="s">
        <v>869</v>
      </c>
      <c r="C89" s="61" t="s">
        <v>1827</v>
      </c>
      <c r="D89" s="82" t="s">
        <v>1828</v>
      </c>
      <c r="E89" s="75" t="s">
        <v>261</v>
      </c>
      <c r="F89" s="75" t="s">
        <v>408</v>
      </c>
      <c r="G89" s="63">
        <v>45566</v>
      </c>
      <c r="H89" s="63">
        <f>G89-180</f>
        <v>45386</v>
      </c>
      <c r="I89" s="60">
        <f t="shared" si="7"/>
        <v>3</v>
      </c>
      <c r="J89" s="60">
        <f t="shared" si="8"/>
        <v>0</v>
      </c>
      <c r="K89" s="60"/>
      <c r="L89" s="60"/>
      <c r="M89" s="60"/>
      <c r="N89" s="60"/>
      <c r="O89" s="60"/>
      <c r="P89" s="60">
        <v>2</v>
      </c>
      <c r="Q89" s="60"/>
      <c r="R89" s="60"/>
      <c r="S89" s="60"/>
      <c r="T89" s="60"/>
      <c r="U89" s="60"/>
      <c r="V89" s="60"/>
      <c r="W89" s="60"/>
      <c r="X89" s="60"/>
      <c r="Y89" s="60"/>
      <c r="Z89" s="60">
        <v>1</v>
      </c>
      <c r="AA89" s="60"/>
      <c r="AB89" s="60"/>
      <c r="AC89" s="60"/>
      <c r="AD89" s="60"/>
      <c r="AE89" s="60"/>
      <c r="AF89" s="60"/>
      <c r="AG89" s="60"/>
      <c r="AH89" s="60"/>
      <c r="AI89" s="60"/>
      <c r="AJ89" s="64">
        <f t="shared" si="9"/>
        <v>828.54000000000008</v>
      </c>
    </row>
    <row r="90" spans="1:36" x14ac:dyDescent="0.25">
      <c r="A90" s="59" t="str">
        <f t="shared" ca="1" si="6"/>
        <v>VENCIDO</v>
      </c>
      <c r="B90" s="60" t="s">
        <v>869</v>
      </c>
      <c r="C90" s="61" t="s">
        <v>1829</v>
      </c>
      <c r="D90" s="82" t="s">
        <v>507</v>
      </c>
      <c r="E90" s="75" t="s">
        <v>261</v>
      </c>
      <c r="F90" s="75" t="s">
        <v>408</v>
      </c>
      <c r="G90" s="63">
        <v>45292</v>
      </c>
      <c r="H90" s="63">
        <f>G90-180</f>
        <v>45112</v>
      </c>
      <c r="I90" s="60">
        <f t="shared" si="7"/>
        <v>3</v>
      </c>
      <c r="J90" s="60">
        <f t="shared" si="8"/>
        <v>0</v>
      </c>
      <c r="K90" s="60"/>
      <c r="L90" s="60"/>
      <c r="M90" s="60">
        <v>1</v>
      </c>
      <c r="N90" s="60"/>
      <c r="O90" s="60"/>
      <c r="P90" s="60">
        <v>2</v>
      </c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4">
        <f t="shared" si="9"/>
        <v>782.33</v>
      </c>
    </row>
    <row r="91" spans="1:36" x14ac:dyDescent="0.25">
      <c r="A91" s="59" t="str">
        <f t="shared" ca="1" si="6"/>
        <v>VENCIDO</v>
      </c>
      <c r="B91" s="60" t="s">
        <v>869</v>
      </c>
      <c r="C91" s="61" t="s">
        <v>1830</v>
      </c>
      <c r="D91" s="82" t="s">
        <v>1831</v>
      </c>
      <c r="E91" s="75" t="s">
        <v>261</v>
      </c>
      <c r="F91" s="75" t="s">
        <v>408</v>
      </c>
      <c r="G91" s="63">
        <v>45566</v>
      </c>
      <c r="H91" s="63">
        <f>G91-180</f>
        <v>45386</v>
      </c>
      <c r="I91" s="60">
        <f t="shared" si="7"/>
        <v>3</v>
      </c>
      <c r="J91" s="60">
        <f t="shared" si="8"/>
        <v>0</v>
      </c>
      <c r="K91" s="60"/>
      <c r="L91" s="60"/>
      <c r="M91" s="60"/>
      <c r="N91" s="60"/>
      <c r="O91" s="60"/>
      <c r="P91" s="60">
        <v>2</v>
      </c>
      <c r="Q91" s="60"/>
      <c r="R91" s="60"/>
      <c r="S91" s="60"/>
      <c r="T91" s="60"/>
      <c r="U91" s="60"/>
      <c r="V91" s="60"/>
      <c r="W91" s="60"/>
      <c r="X91" s="60"/>
      <c r="Y91" s="60"/>
      <c r="Z91" s="60">
        <v>1</v>
      </c>
      <c r="AA91" s="60"/>
      <c r="AB91" s="60"/>
      <c r="AC91" s="60"/>
      <c r="AD91" s="60"/>
      <c r="AE91" s="60"/>
      <c r="AF91" s="60"/>
      <c r="AG91" s="60"/>
      <c r="AH91" s="60"/>
      <c r="AI91" s="60"/>
      <c r="AJ91" s="64">
        <f t="shared" si="9"/>
        <v>828.54000000000008</v>
      </c>
    </row>
    <row r="92" spans="1:36" x14ac:dyDescent="0.25">
      <c r="A92" s="59" t="str">
        <f t="shared" ca="1" si="6"/>
        <v>VENCIDO</v>
      </c>
      <c r="B92" s="60" t="s">
        <v>869</v>
      </c>
      <c r="C92" s="61" t="s">
        <v>1772</v>
      </c>
      <c r="D92" s="83" t="s">
        <v>1772</v>
      </c>
      <c r="E92" s="75" t="s">
        <v>261</v>
      </c>
      <c r="F92" s="75" t="s">
        <v>408</v>
      </c>
      <c r="G92" s="63">
        <v>45383</v>
      </c>
      <c r="H92" s="63">
        <v>45383</v>
      </c>
      <c r="I92" s="60">
        <f t="shared" si="7"/>
        <v>5</v>
      </c>
      <c r="J92" s="60">
        <f t="shared" si="8"/>
        <v>0</v>
      </c>
      <c r="K92" s="60"/>
      <c r="L92" s="60"/>
      <c r="M92" s="60"/>
      <c r="N92" s="60"/>
      <c r="O92" s="60"/>
      <c r="P92" s="60">
        <v>2</v>
      </c>
      <c r="Q92" s="60"/>
      <c r="R92" s="60"/>
      <c r="S92" s="60"/>
      <c r="T92" s="60"/>
      <c r="U92" s="60"/>
      <c r="V92" s="60"/>
      <c r="W92" s="60"/>
      <c r="X92" s="60"/>
      <c r="Y92" s="60"/>
      <c r="Z92" s="60">
        <v>3</v>
      </c>
      <c r="AA92" s="60"/>
      <c r="AB92" s="60"/>
      <c r="AC92" s="60"/>
      <c r="AD92" s="60"/>
      <c r="AE92" s="60"/>
      <c r="AF92" s="60"/>
      <c r="AG92" s="60"/>
      <c r="AH92" s="60"/>
      <c r="AI92" s="60"/>
      <c r="AJ92" s="64">
        <f t="shared" si="9"/>
        <v>1224.22</v>
      </c>
    </row>
    <row r="93" spans="1:36" x14ac:dyDescent="0.25">
      <c r="A93" s="59" t="str">
        <f t="shared" ca="1" si="6"/>
        <v>VENCIDO</v>
      </c>
      <c r="B93" s="60" t="s">
        <v>869</v>
      </c>
      <c r="C93" s="61" t="s">
        <v>1793</v>
      </c>
      <c r="D93" s="82" t="s">
        <v>1832</v>
      </c>
      <c r="E93" s="75" t="s">
        <v>261</v>
      </c>
      <c r="F93" s="75" t="s">
        <v>408</v>
      </c>
      <c r="G93" s="63">
        <v>45413</v>
      </c>
      <c r="H93" s="63">
        <v>45413</v>
      </c>
      <c r="I93" s="60">
        <f t="shared" si="7"/>
        <v>3</v>
      </c>
      <c r="J93" s="60">
        <f t="shared" si="8"/>
        <v>0</v>
      </c>
      <c r="K93" s="60"/>
      <c r="L93" s="60"/>
      <c r="M93" s="60"/>
      <c r="N93" s="60"/>
      <c r="O93" s="60"/>
      <c r="P93" s="60">
        <v>2</v>
      </c>
      <c r="Q93" s="60"/>
      <c r="R93" s="60"/>
      <c r="S93" s="60"/>
      <c r="T93" s="60"/>
      <c r="U93" s="60"/>
      <c r="V93" s="60"/>
      <c r="W93" s="60"/>
      <c r="X93" s="60"/>
      <c r="Y93" s="60"/>
      <c r="Z93" s="60">
        <v>1</v>
      </c>
      <c r="AA93" s="60"/>
      <c r="AB93" s="60"/>
      <c r="AC93" s="60"/>
      <c r="AD93" s="60"/>
      <c r="AE93" s="60"/>
      <c r="AF93" s="60"/>
      <c r="AG93" s="60"/>
      <c r="AH93" s="60"/>
      <c r="AI93" s="60"/>
      <c r="AJ93" s="64">
        <f t="shared" si="9"/>
        <v>828.54000000000008</v>
      </c>
    </row>
    <row r="94" spans="1:36" x14ac:dyDescent="0.25">
      <c r="A94" s="59" t="str">
        <f t="shared" ca="1" si="6"/>
        <v>VENCIDO</v>
      </c>
      <c r="B94" s="60" t="s">
        <v>869</v>
      </c>
      <c r="C94" s="61" t="s">
        <v>1833</v>
      </c>
      <c r="D94" s="82" t="s">
        <v>408</v>
      </c>
      <c r="E94" s="75" t="s">
        <v>261</v>
      </c>
      <c r="F94" s="75" t="s">
        <v>408</v>
      </c>
      <c r="G94" s="63">
        <v>45413</v>
      </c>
      <c r="H94" s="63">
        <v>45413</v>
      </c>
      <c r="I94" s="60">
        <f t="shared" si="7"/>
        <v>2</v>
      </c>
      <c r="J94" s="60">
        <f t="shared" si="8"/>
        <v>0</v>
      </c>
      <c r="K94" s="60"/>
      <c r="L94" s="60"/>
      <c r="M94" s="60"/>
      <c r="N94" s="60"/>
      <c r="O94" s="60"/>
      <c r="P94" s="60">
        <v>1</v>
      </c>
      <c r="Q94" s="60"/>
      <c r="R94" s="60"/>
      <c r="S94" s="60"/>
      <c r="T94" s="60"/>
      <c r="U94" s="60"/>
      <c r="V94" s="60"/>
      <c r="W94" s="60"/>
      <c r="X94" s="60"/>
      <c r="Y94" s="60"/>
      <c r="Z94" s="60">
        <v>1</v>
      </c>
      <c r="AA94" s="60"/>
      <c r="AB94" s="60"/>
      <c r="AC94" s="60"/>
      <c r="AD94" s="60"/>
      <c r="AE94" s="60"/>
      <c r="AF94" s="60"/>
      <c r="AG94" s="60"/>
      <c r="AH94" s="60"/>
      <c r="AI94" s="60"/>
      <c r="AJ94" s="64">
        <f t="shared" si="9"/>
        <v>513.19000000000005</v>
      </c>
    </row>
    <row r="95" spans="1:36" x14ac:dyDescent="0.25">
      <c r="A95" s="59" t="str">
        <f t="shared" ca="1" si="6"/>
        <v>VENCIDO</v>
      </c>
      <c r="B95" s="60" t="s">
        <v>869</v>
      </c>
      <c r="C95" s="61" t="s">
        <v>1834</v>
      </c>
      <c r="D95" s="82" t="s">
        <v>1835</v>
      </c>
      <c r="E95" s="75" t="s">
        <v>261</v>
      </c>
      <c r="F95" s="75" t="s">
        <v>408</v>
      </c>
      <c r="G95" s="63">
        <v>45383</v>
      </c>
      <c r="H95" s="63">
        <v>45383</v>
      </c>
      <c r="I95" s="60">
        <f t="shared" si="7"/>
        <v>3</v>
      </c>
      <c r="J95" s="60">
        <f t="shared" si="8"/>
        <v>0</v>
      </c>
      <c r="K95" s="60"/>
      <c r="L95" s="60"/>
      <c r="M95" s="60"/>
      <c r="N95" s="60"/>
      <c r="O95" s="60"/>
      <c r="P95" s="60">
        <v>1</v>
      </c>
      <c r="Q95" s="60"/>
      <c r="R95" s="60"/>
      <c r="S95" s="60">
        <v>1</v>
      </c>
      <c r="T95" s="60"/>
      <c r="U95" s="60"/>
      <c r="V95" s="60"/>
      <c r="W95" s="60"/>
      <c r="X95" s="60"/>
      <c r="Y95" s="60"/>
      <c r="Z95" s="60">
        <v>1</v>
      </c>
      <c r="AA95" s="60"/>
      <c r="AB95" s="60"/>
      <c r="AC95" s="60"/>
      <c r="AD95" s="60"/>
      <c r="AE95" s="60"/>
      <c r="AF95" s="60"/>
      <c r="AG95" s="60"/>
      <c r="AH95" s="60"/>
      <c r="AI95" s="60"/>
      <c r="AJ95" s="64">
        <f t="shared" si="9"/>
        <v>1080.6600000000001</v>
      </c>
    </row>
    <row r="96" spans="1:36" x14ac:dyDescent="0.25">
      <c r="A96" s="59" t="str">
        <f t="shared" ca="1" si="6"/>
        <v>VENCIDO</v>
      </c>
      <c r="B96" s="60" t="s">
        <v>869</v>
      </c>
      <c r="C96" s="61" t="s">
        <v>1836</v>
      </c>
      <c r="D96" s="82" t="s">
        <v>1774</v>
      </c>
      <c r="E96" s="75" t="s">
        <v>261</v>
      </c>
      <c r="F96" s="75" t="s">
        <v>408</v>
      </c>
      <c r="G96" s="63">
        <v>45323</v>
      </c>
      <c r="H96" s="63">
        <v>45323</v>
      </c>
      <c r="I96" s="60">
        <f t="shared" si="7"/>
        <v>3</v>
      </c>
      <c r="J96" s="60">
        <f t="shared" si="8"/>
        <v>0</v>
      </c>
      <c r="K96" s="60"/>
      <c r="L96" s="60"/>
      <c r="M96" s="60"/>
      <c r="N96" s="60"/>
      <c r="O96" s="60"/>
      <c r="P96" s="60">
        <v>2</v>
      </c>
      <c r="Q96" s="60"/>
      <c r="R96" s="60"/>
      <c r="S96" s="60"/>
      <c r="T96" s="60"/>
      <c r="U96" s="60"/>
      <c r="V96" s="60"/>
      <c r="W96" s="60"/>
      <c r="X96" s="60"/>
      <c r="Y96" s="60">
        <v>1</v>
      </c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4">
        <f t="shared" si="9"/>
        <v>782.33</v>
      </c>
    </row>
    <row r="97" spans="1:36" x14ac:dyDescent="0.25">
      <c r="A97" s="59" t="str">
        <f t="shared" ca="1" si="6"/>
        <v>VENCIDO</v>
      </c>
      <c r="B97" s="60" t="s">
        <v>869</v>
      </c>
      <c r="C97" s="61" t="s">
        <v>1837</v>
      </c>
      <c r="D97" s="82" t="s">
        <v>415</v>
      </c>
      <c r="E97" s="75" t="s">
        <v>261</v>
      </c>
      <c r="F97" s="75" t="s">
        <v>408</v>
      </c>
      <c r="G97" s="63">
        <v>45566</v>
      </c>
      <c r="H97" s="63">
        <f>G97-180</f>
        <v>45386</v>
      </c>
      <c r="I97" s="60">
        <f t="shared" si="7"/>
        <v>2</v>
      </c>
      <c r="J97" s="60">
        <f t="shared" si="8"/>
        <v>0</v>
      </c>
      <c r="K97" s="60"/>
      <c r="L97" s="60"/>
      <c r="M97" s="60"/>
      <c r="N97" s="60"/>
      <c r="O97" s="60"/>
      <c r="P97" s="60"/>
      <c r="Q97" s="60"/>
      <c r="R97" s="60"/>
      <c r="S97" s="60">
        <v>1</v>
      </c>
      <c r="T97" s="60"/>
      <c r="U97" s="60"/>
      <c r="V97" s="60"/>
      <c r="W97" s="60"/>
      <c r="X97" s="60"/>
      <c r="Y97" s="60"/>
      <c r="Z97" s="60">
        <v>1</v>
      </c>
      <c r="AA97" s="60"/>
      <c r="AB97" s="60"/>
      <c r="AC97" s="60"/>
      <c r="AD97" s="60"/>
      <c r="AE97" s="60"/>
      <c r="AF97" s="60"/>
      <c r="AG97" s="60"/>
      <c r="AH97" s="60"/>
      <c r="AI97" s="60"/>
      <c r="AJ97" s="64">
        <f t="shared" si="9"/>
        <v>765.31000000000006</v>
      </c>
    </row>
    <row r="98" spans="1:36" x14ac:dyDescent="0.25">
      <c r="A98" s="59" t="str">
        <f t="shared" ca="1" si="6"/>
        <v>VENCIDO</v>
      </c>
      <c r="B98" s="60" t="s">
        <v>869</v>
      </c>
      <c r="C98" s="61" t="s">
        <v>1838</v>
      </c>
      <c r="D98" s="82" t="s">
        <v>1733</v>
      </c>
      <c r="E98" s="75" t="s">
        <v>261</v>
      </c>
      <c r="F98" s="75" t="s">
        <v>408</v>
      </c>
      <c r="G98" s="63">
        <v>45474</v>
      </c>
      <c r="H98" s="63">
        <f>G98-180</f>
        <v>45294</v>
      </c>
      <c r="I98" s="60">
        <f t="shared" si="7"/>
        <v>3</v>
      </c>
      <c r="J98" s="60">
        <f t="shared" si="8"/>
        <v>0</v>
      </c>
      <c r="K98" s="60"/>
      <c r="L98" s="60"/>
      <c r="M98" s="60"/>
      <c r="N98" s="60"/>
      <c r="O98" s="60"/>
      <c r="P98" s="60">
        <v>2</v>
      </c>
      <c r="Q98" s="60"/>
      <c r="R98" s="60"/>
      <c r="S98" s="60"/>
      <c r="T98" s="60"/>
      <c r="U98" s="60"/>
      <c r="V98" s="60"/>
      <c r="W98" s="60"/>
      <c r="X98" s="60"/>
      <c r="Y98" s="60"/>
      <c r="Z98" s="60">
        <v>1</v>
      </c>
      <c r="AA98" s="60"/>
      <c r="AB98" s="60"/>
      <c r="AC98" s="60"/>
      <c r="AD98" s="60"/>
      <c r="AE98" s="60"/>
      <c r="AF98" s="60"/>
      <c r="AG98" s="60"/>
      <c r="AH98" s="60"/>
      <c r="AI98" s="60"/>
      <c r="AJ98" s="64">
        <f t="shared" si="9"/>
        <v>828.54000000000008</v>
      </c>
    </row>
    <row r="99" spans="1:36" x14ac:dyDescent="0.25">
      <c r="A99" s="59" t="str">
        <f t="shared" ca="1" si="6"/>
        <v>VENCIDO</v>
      </c>
      <c r="B99" s="60" t="s">
        <v>869</v>
      </c>
      <c r="C99" s="61" t="s">
        <v>1839</v>
      </c>
      <c r="D99" s="82" t="s">
        <v>1796</v>
      </c>
      <c r="E99" s="75" t="s">
        <v>261</v>
      </c>
      <c r="F99" s="75" t="s">
        <v>408</v>
      </c>
      <c r="G99" s="63">
        <v>45323</v>
      </c>
      <c r="H99" s="63">
        <v>45323</v>
      </c>
      <c r="I99" s="60">
        <f t="shared" ref="I99:I111" si="11">SUM(K99:AD99)</f>
        <v>3</v>
      </c>
      <c r="J99" s="60">
        <f t="shared" si="8"/>
        <v>0</v>
      </c>
      <c r="K99" s="60"/>
      <c r="L99" s="60"/>
      <c r="M99" s="60"/>
      <c r="N99" s="60"/>
      <c r="O99" s="60">
        <v>2</v>
      </c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>
        <v>1</v>
      </c>
      <c r="AA99" s="60"/>
      <c r="AB99" s="60"/>
      <c r="AC99" s="60"/>
      <c r="AD99" s="60"/>
      <c r="AE99" s="60"/>
      <c r="AF99" s="60"/>
      <c r="AG99" s="60"/>
      <c r="AH99" s="60"/>
      <c r="AI99" s="60"/>
      <c r="AJ99" s="64">
        <f t="shared" si="9"/>
        <v>686.02</v>
      </c>
    </row>
    <row r="100" spans="1:36" x14ac:dyDescent="0.25">
      <c r="A100" s="59" t="str">
        <f t="shared" ca="1" si="6"/>
        <v>VENCIDO</v>
      </c>
      <c r="B100" s="60" t="s">
        <v>869</v>
      </c>
      <c r="C100" s="61" t="s">
        <v>1840</v>
      </c>
      <c r="D100" s="82" t="s">
        <v>561</v>
      </c>
      <c r="E100" s="75" t="s">
        <v>261</v>
      </c>
      <c r="F100" s="75" t="s">
        <v>408</v>
      </c>
      <c r="G100" s="63">
        <v>45323</v>
      </c>
      <c r="H100" s="63">
        <v>45323</v>
      </c>
      <c r="I100" s="60">
        <f t="shared" si="11"/>
        <v>3</v>
      </c>
      <c r="J100" s="60">
        <f t="shared" si="8"/>
        <v>0</v>
      </c>
      <c r="K100" s="60"/>
      <c r="L100" s="60"/>
      <c r="M100" s="60"/>
      <c r="N100" s="60"/>
      <c r="O100" s="60">
        <v>1</v>
      </c>
      <c r="P100" s="60"/>
      <c r="Q100" s="60"/>
      <c r="R100" s="60"/>
      <c r="S100" s="60">
        <v>1</v>
      </c>
      <c r="T100" s="60"/>
      <c r="U100" s="60"/>
      <c r="V100" s="60"/>
      <c r="W100" s="60"/>
      <c r="X100" s="60"/>
      <c r="Y100" s="60"/>
      <c r="Z100" s="60">
        <v>1</v>
      </c>
      <c r="AA100" s="60"/>
      <c r="AB100" s="60"/>
      <c r="AC100" s="60"/>
      <c r="AD100" s="60"/>
      <c r="AE100" s="60"/>
      <c r="AF100" s="60"/>
      <c r="AG100" s="60"/>
      <c r="AH100" s="60"/>
      <c r="AI100" s="60"/>
      <c r="AJ100" s="64">
        <f t="shared" si="9"/>
        <v>1009.4000000000001</v>
      </c>
    </row>
    <row r="101" spans="1:36" x14ac:dyDescent="0.25">
      <c r="A101" s="59" t="str">
        <f t="shared" ca="1" si="6"/>
        <v>VENCIDO</v>
      </c>
      <c r="B101" s="60" t="s">
        <v>869</v>
      </c>
      <c r="C101" s="61" t="s">
        <v>1841</v>
      </c>
      <c r="D101" s="82" t="s">
        <v>1842</v>
      </c>
      <c r="E101" s="75" t="s">
        <v>261</v>
      </c>
      <c r="F101" s="75" t="s">
        <v>408</v>
      </c>
      <c r="G101" s="63">
        <v>45566</v>
      </c>
      <c r="H101" s="63">
        <f>G101-180</f>
        <v>45386</v>
      </c>
      <c r="I101" s="60">
        <f t="shared" si="11"/>
        <v>2</v>
      </c>
      <c r="J101" s="60">
        <f t="shared" si="8"/>
        <v>0</v>
      </c>
      <c r="K101" s="60"/>
      <c r="L101" s="60"/>
      <c r="M101" s="60"/>
      <c r="N101" s="60"/>
      <c r="O101" s="60"/>
      <c r="P101" s="60"/>
      <c r="Q101" s="60"/>
      <c r="R101" s="60"/>
      <c r="S101" s="60">
        <v>1</v>
      </c>
      <c r="T101" s="60"/>
      <c r="U101" s="60"/>
      <c r="V101" s="60"/>
      <c r="W101" s="60"/>
      <c r="X101" s="60"/>
      <c r="Y101" s="60"/>
      <c r="Z101" s="60">
        <v>1</v>
      </c>
      <c r="AA101" s="60"/>
      <c r="AB101" s="60"/>
      <c r="AC101" s="60"/>
      <c r="AD101" s="60"/>
      <c r="AE101" s="60"/>
      <c r="AF101" s="60"/>
      <c r="AG101" s="60"/>
      <c r="AH101" s="60"/>
      <c r="AI101" s="60"/>
      <c r="AJ101" s="64">
        <f t="shared" si="9"/>
        <v>765.31000000000006</v>
      </c>
    </row>
    <row r="102" spans="1:36" x14ac:dyDescent="0.25">
      <c r="A102" s="59" t="str">
        <f t="shared" ca="1" si="6"/>
        <v>VENCIDO</v>
      </c>
      <c r="B102" s="60" t="s">
        <v>869</v>
      </c>
      <c r="C102" s="61" t="s">
        <v>1843</v>
      </c>
      <c r="D102" s="83" t="s">
        <v>1843</v>
      </c>
      <c r="E102" s="75" t="s">
        <v>261</v>
      </c>
      <c r="F102" s="75" t="s">
        <v>408</v>
      </c>
      <c r="G102" s="63">
        <v>45566</v>
      </c>
      <c r="H102" s="63">
        <f>G102-180</f>
        <v>45386</v>
      </c>
      <c r="I102" s="60">
        <f t="shared" si="11"/>
        <v>2</v>
      </c>
      <c r="J102" s="60">
        <f t="shared" si="8"/>
        <v>0</v>
      </c>
      <c r="K102" s="60"/>
      <c r="L102" s="60"/>
      <c r="M102" s="60"/>
      <c r="N102" s="60"/>
      <c r="O102" s="60"/>
      <c r="P102" s="60"/>
      <c r="Q102" s="60"/>
      <c r="R102" s="60"/>
      <c r="S102" s="60">
        <v>1</v>
      </c>
      <c r="T102" s="60"/>
      <c r="U102" s="60"/>
      <c r="V102" s="60"/>
      <c r="W102" s="60"/>
      <c r="X102" s="60"/>
      <c r="Y102" s="60"/>
      <c r="Z102" s="60">
        <v>1</v>
      </c>
      <c r="AA102" s="60"/>
      <c r="AB102" s="60"/>
      <c r="AC102" s="60"/>
      <c r="AD102" s="60"/>
      <c r="AE102" s="60"/>
      <c r="AF102" s="60"/>
      <c r="AG102" s="60"/>
      <c r="AH102" s="60"/>
      <c r="AI102" s="60"/>
      <c r="AJ102" s="64">
        <f t="shared" si="9"/>
        <v>765.31000000000006</v>
      </c>
    </row>
    <row r="103" spans="1:36" x14ac:dyDescent="0.25">
      <c r="A103" s="59" t="str">
        <f t="shared" ca="1" si="6"/>
        <v>VENCIDO</v>
      </c>
      <c r="B103" s="60" t="s">
        <v>869</v>
      </c>
      <c r="C103" s="61" t="s">
        <v>1844</v>
      </c>
      <c r="D103" s="82" t="s">
        <v>1802</v>
      </c>
      <c r="E103" s="75" t="s">
        <v>261</v>
      </c>
      <c r="F103" s="75" t="s">
        <v>408</v>
      </c>
      <c r="G103" s="63">
        <v>45444</v>
      </c>
      <c r="H103" s="63">
        <v>45444</v>
      </c>
      <c r="I103" s="60">
        <f t="shared" si="11"/>
        <v>3</v>
      </c>
      <c r="J103" s="60">
        <f t="shared" si="8"/>
        <v>0</v>
      </c>
      <c r="K103" s="60"/>
      <c r="L103" s="60"/>
      <c r="M103" s="60"/>
      <c r="N103" s="60"/>
      <c r="O103" s="60"/>
      <c r="P103" s="60">
        <v>2</v>
      </c>
      <c r="Q103" s="60"/>
      <c r="R103" s="60"/>
      <c r="S103" s="60"/>
      <c r="T103" s="60"/>
      <c r="U103" s="60"/>
      <c r="V103" s="60"/>
      <c r="W103" s="60"/>
      <c r="X103" s="60"/>
      <c r="Y103" s="60"/>
      <c r="Z103" s="60">
        <v>1</v>
      </c>
      <c r="AA103" s="60"/>
      <c r="AB103" s="60"/>
      <c r="AC103" s="60"/>
      <c r="AD103" s="60"/>
      <c r="AE103" s="60"/>
      <c r="AF103" s="60"/>
      <c r="AG103" s="60"/>
      <c r="AH103" s="60"/>
      <c r="AI103" s="60"/>
      <c r="AJ103" s="64">
        <f t="shared" si="9"/>
        <v>828.54000000000008</v>
      </c>
    </row>
    <row r="104" spans="1:36" x14ac:dyDescent="0.25">
      <c r="A104" s="59" t="str">
        <f t="shared" ca="1" si="6"/>
        <v>VENCIDO</v>
      </c>
      <c r="B104" s="60" t="s">
        <v>869</v>
      </c>
      <c r="C104" s="61" t="s">
        <v>1845</v>
      </c>
      <c r="D104" s="82" t="s">
        <v>507</v>
      </c>
      <c r="E104" s="75" t="s">
        <v>261</v>
      </c>
      <c r="F104" s="75" t="s">
        <v>408</v>
      </c>
      <c r="G104" s="63">
        <v>45383</v>
      </c>
      <c r="H104" s="63">
        <v>45383</v>
      </c>
      <c r="I104" s="60">
        <f t="shared" si="11"/>
        <v>4</v>
      </c>
      <c r="J104" s="60">
        <f t="shared" si="8"/>
        <v>0</v>
      </c>
      <c r="K104" s="60"/>
      <c r="L104" s="60"/>
      <c r="M104" s="60"/>
      <c r="N104" s="60"/>
      <c r="O104" s="60"/>
      <c r="P104" s="60">
        <v>2</v>
      </c>
      <c r="Q104" s="60"/>
      <c r="R104" s="60"/>
      <c r="S104" s="60">
        <v>1</v>
      </c>
      <c r="T104" s="60"/>
      <c r="U104" s="60"/>
      <c r="V104" s="60"/>
      <c r="W104" s="60"/>
      <c r="X104" s="60"/>
      <c r="Y104" s="60"/>
      <c r="Z104" s="60">
        <v>1</v>
      </c>
      <c r="AA104" s="60"/>
      <c r="AB104" s="60"/>
      <c r="AC104" s="60"/>
      <c r="AD104" s="60"/>
      <c r="AE104" s="60"/>
      <c r="AF104" s="60"/>
      <c r="AG104" s="60"/>
      <c r="AH104" s="60"/>
      <c r="AI104" s="60"/>
      <c r="AJ104" s="64">
        <f t="shared" si="9"/>
        <v>1396.01</v>
      </c>
    </row>
    <row r="105" spans="1:36" x14ac:dyDescent="0.25">
      <c r="A105" s="59" t="str">
        <f t="shared" ca="1" si="6"/>
        <v>VENCIDO</v>
      </c>
      <c r="B105" s="60" t="s">
        <v>869</v>
      </c>
      <c r="C105" s="61" t="s">
        <v>1846</v>
      </c>
      <c r="D105" s="82" t="s">
        <v>260</v>
      </c>
      <c r="E105" s="75" t="s">
        <v>261</v>
      </c>
      <c r="F105" s="75" t="s">
        <v>408</v>
      </c>
      <c r="G105" s="63">
        <v>45505</v>
      </c>
      <c r="H105" s="63">
        <f>G105-180</f>
        <v>45325</v>
      </c>
      <c r="I105" s="60">
        <f t="shared" si="11"/>
        <v>3</v>
      </c>
      <c r="J105" s="60">
        <f t="shared" si="8"/>
        <v>0</v>
      </c>
      <c r="K105" s="60"/>
      <c r="L105" s="60"/>
      <c r="M105" s="60"/>
      <c r="N105" s="60"/>
      <c r="O105" s="60"/>
      <c r="P105" s="60">
        <v>2</v>
      </c>
      <c r="Q105" s="60"/>
      <c r="R105" s="60"/>
      <c r="S105" s="60"/>
      <c r="T105" s="60"/>
      <c r="U105" s="60"/>
      <c r="V105" s="60"/>
      <c r="W105" s="60"/>
      <c r="X105" s="60"/>
      <c r="Y105" s="60"/>
      <c r="Z105" s="60">
        <v>1</v>
      </c>
      <c r="AA105" s="60"/>
      <c r="AB105" s="60"/>
      <c r="AC105" s="60"/>
      <c r="AD105" s="60"/>
      <c r="AE105" s="60"/>
      <c r="AF105" s="60"/>
      <c r="AG105" s="60"/>
      <c r="AH105" s="60"/>
      <c r="AI105" s="60"/>
      <c r="AJ105" s="64">
        <f t="shared" si="9"/>
        <v>828.54000000000008</v>
      </c>
    </row>
    <row r="106" spans="1:36" x14ac:dyDescent="0.25">
      <c r="A106" s="59" t="str">
        <f t="shared" ca="1" si="6"/>
        <v>VENCIDO</v>
      </c>
      <c r="B106" s="60" t="s">
        <v>1847</v>
      </c>
      <c r="C106" s="61" t="s">
        <v>1848</v>
      </c>
      <c r="D106" s="82" t="s">
        <v>260</v>
      </c>
      <c r="E106" s="75" t="s">
        <v>261</v>
      </c>
      <c r="F106" s="75" t="s">
        <v>408</v>
      </c>
      <c r="G106" s="63">
        <v>45444</v>
      </c>
      <c r="H106" s="63">
        <f>G106-180</f>
        <v>45264</v>
      </c>
      <c r="I106" s="60">
        <f t="shared" si="11"/>
        <v>171</v>
      </c>
      <c r="J106" s="60">
        <f t="shared" si="8"/>
        <v>112</v>
      </c>
      <c r="K106" s="60">
        <v>8</v>
      </c>
      <c r="L106" s="60"/>
      <c r="M106" s="60">
        <v>37</v>
      </c>
      <c r="N106" s="60">
        <v>55</v>
      </c>
      <c r="O106" s="60">
        <v>10</v>
      </c>
      <c r="P106" s="60">
        <v>4</v>
      </c>
      <c r="Q106" s="60"/>
      <c r="R106" s="60"/>
      <c r="S106" s="60"/>
      <c r="T106" s="60"/>
      <c r="U106" s="60"/>
      <c r="V106" s="60"/>
      <c r="W106" s="60"/>
      <c r="X106" s="60"/>
      <c r="Y106" s="60"/>
      <c r="Z106" s="60">
        <v>57</v>
      </c>
      <c r="AA106" s="60"/>
      <c r="AB106" s="60"/>
      <c r="AC106" s="60"/>
      <c r="AD106" s="60"/>
      <c r="AE106" s="60">
        <v>112</v>
      </c>
      <c r="AF106" s="60"/>
      <c r="AG106" s="60"/>
      <c r="AH106" s="60"/>
      <c r="AI106" s="60"/>
      <c r="AJ106" s="64">
        <f t="shared" si="9"/>
        <v>32193.110000000004</v>
      </c>
    </row>
    <row r="107" spans="1:36" x14ac:dyDescent="0.25">
      <c r="A107" s="59" t="str">
        <f t="shared" ca="1" si="6"/>
        <v>VENCIDO</v>
      </c>
      <c r="B107" s="60" t="s">
        <v>869</v>
      </c>
      <c r="C107" s="61" t="s">
        <v>1849</v>
      </c>
      <c r="D107" s="82" t="s">
        <v>1849</v>
      </c>
      <c r="E107" s="75" t="s">
        <v>261</v>
      </c>
      <c r="F107" s="75" t="s">
        <v>408</v>
      </c>
      <c r="G107" s="63">
        <v>45444</v>
      </c>
      <c r="H107" s="63">
        <v>45444</v>
      </c>
      <c r="I107" s="60">
        <f t="shared" si="11"/>
        <v>2</v>
      </c>
      <c r="J107" s="60">
        <f t="shared" si="8"/>
        <v>0</v>
      </c>
      <c r="K107" s="60"/>
      <c r="L107" s="60"/>
      <c r="M107" s="60"/>
      <c r="N107" s="60"/>
      <c r="O107" s="60"/>
      <c r="P107" s="60"/>
      <c r="Q107" s="60"/>
      <c r="R107" s="60"/>
      <c r="S107" s="60">
        <v>1</v>
      </c>
      <c r="T107" s="60"/>
      <c r="U107" s="60"/>
      <c r="V107" s="60"/>
      <c r="W107" s="60"/>
      <c r="X107" s="60"/>
      <c r="Y107" s="60"/>
      <c r="Z107" s="60">
        <v>1</v>
      </c>
      <c r="AA107" s="60"/>
      <c r="AB107" s="60"/>
      <c r="AC107" s="60"/>
      <c r="AD107" s="60"/>
      <c r="AE107" s="60"/>
      <c r="AF107" s="60"/>
      <c r="AG107" s="60"/>
      <c r="AH107" s="60"/>
      <c r="AI107" s="60"/>
      <c r="AJ107" s="64">
        <f t="shared" si="9"/>
        <v>765.31000000000006</v>
      </c>
    </row>
    <row r="108" spans="1:36" x14ac:dyDescent="0.25">
      <c r="A108" s="59" t="str">
        <f t="shared" ca="1" si="6"/>
        <v>VENCIDO</v>
      </c>
      <c r="B108" s="60" t="s">
        <v>869</v>
      </c>
      <c r="C108" s="61" t="s">
        <v>1850</v>
      </c>
      <c r="D108" s="82" t="s">
        <v>1749</v>
      </c>
      <c r="E108" s="75" t="s">
        <v>261</v>
      </c>
      <c r="F108" s="75" t="s">
        <v>408</v>
      </c>
      <c r="G108" s="63">
        <v>45413</v>
      </c>
      <c r="H108" s="63">
        <v>45413</v>
      </c>
      <c r="I108" s="60">
        <f t="shared" si="11"/>
        <v>3</v>
      </c>
      <c r="J108" s="60">
        <f t="shared" si="8"/>
        <v>0</v>
      </c>
      <c r="K108" s="60"/>
      <c r="L108" s="60"/>
      <c r="M108" s="60"/>
      <c r="N108" s="60"/>
      <c r="O108" s="60"/>
      <c r="P108" s="60">
        <v>2</v>
      </c>
      <c r="Q108" s="60"/>
      <c r="R108" s="60"/>
      <c r="S108" s="60"/>
      <c r="T108" s="60"/>
      <c r="U108" s="60"/>
      <c r="V108" s="60"/>
      <c r="W108" s="60"/>
      <c r="X108" s="60"/>
      <c r="Y108" s="60"/>
      <c r="Z108" s="60">
        <v>1</v>
      </c>
      <c r="AA108" s="60"/>
      <c r="AB108" s="60"/>
      <c r="AC108" s="60"/>
      <c r="AD108" s="60"/>
      <c r="AE108" s="60"/>
      <c r="AF108" s="60"/>
      <c r="AG108" s="60"/>
      <c r="AH108" s="60"/>
      <c r="AI108" s="60"/>
      <c r="AJ108" s="64">
        <f t="shared" si="9"/>
        <v>828.54000000000008</v>
      </c>
    </row>
    <row r="109" spans="1:36" x14ac:dyDescent="0.25">
      <c r="A109" s="59" t="str">
        <f t="shared" ca="1" si="6"/>
        <v>VENCIDO</v>
      </c>
      <c r="B109" s="60" t="s">
        <v>869</v>
      </c>
      <c r="C109" s="61" t="s">
        <v>1851</v>
      </c>
      <c r="D109" s="82" t="s">
        <v>1710</v>
      </c>
      <c r="E109" s="75" t="s">
        <v>261</v>
      </c>
      <c r="F109" s="75" t="s">
        <v>408</v>
      </c>
      <c r="G109" s="63">
        <v>45536</v>
      </c>
      <c r="H109" s="63">
        <f>G109-180</f>
        <v>45356</v>
      </c>
      <c r="I109" s="60">
        <f t="shared" si="11"/>
        <v>2</v>
      </c>
      <c r="J109" s="60">
        <f t="shared" si="8"/>
        <v>0</v>
      </c>
      <c r="K109" s="60"/>
      <c r="L109" s="60"/>
      <c r="M109" s="60"/>
      <c r="N109" s="60"/>
      <c r="O109" s="60"/>
      <c r="P109" s="60"/>
      <c r="Q109" s="60"/>
      <c r="R109" s="60"/>
      <c r="S109" s="60">
        <v>1</v>
      </c>
      <c r="T109" s="60"/>
      <c r="U109" s="60"/>
      <c r="V109" s="60"/>
      <c r="W109" s="60"/>
      <c r="X109" s="60"/>
      <c r="Y109" s="60"/>
      <c r="Z109" s="60">
        <v>1</v>
      </c>
      <c r="AA109" s="60"/>
      <c r="AB109" s="60"/>
      <c r="AC109" s="60"/>
      <c r="AD109" s="60"/>
      <c r="AE109" s="60"/>
      <c r="AF109" s="60"/>
      <c r="AG109" s="60"/>
      <c r="AH109" s="60"/>
      <c r="AI109" s="60"/>
      <c r="AJ109" s="64">
        <f t="shared" si="9"/>
        <v>765.31000000000006</v>
      </c>
    </row>
    <row r="110" spans="1:36" x14ac:dyDescent="0.25">
      <c r="A110" s="59" t="str">
        <f t="shared" ca="1" si="6"/>
        <v>VENCIDO</v>
      </c>
      <c r="B110" s="60" t="s">
        <v>869</v>
      </c>
      <c r="C110" s="61" t="s">
        <v>1852</v>
      </c>
      <c r="D110" s="82" t="s">
        <v>1744</v>
      </c>
      <c r="E110" s="75" t="s">
        <v>261</v>
      </c>
      <c r="F110" s="75" t="s">
        <v>408</v>
      </c>
      <c r="G110" s="63">
        <v>45323</v>
      </c>
      <c r="H110" s="63">
        <v>45323</v>
      </c>
      <c r="I110" s="60">
        <f t="shared" si="11"/>
        <v>2</v>
      </c>
      <c r="J110" s="60">
        <f t="shared" si="8"/>
        <v>0</v>
      </c>
      <c r="K110" s="60"/>
      <c r="L110" s="60"/>
      <c r="M110" s="60"/>
      <c r="N110" s="60"/>
      <c r="O110" s="60"/>
      <c r="P110" s="60">
        <v>1</v>
      </c>
      <c r="Q110" s="60"/>
      <c r="R110" s="60"/>
      <c r="S110" s="60"/>
      <c r="T110" s="60"/>
      <c r="U110" s="60"/>
      <c r="V110" s="60"/>
      <c r="W110" s="60"/>
      <c r="X110" s="60"/>
      <c r="Y110" s="60"/>
      <c r="Z110" s="60">
        <v>1</v>
      </c>
      <c r="AA110" s="60"/>
      <c r="AB110" s="60"/>
      <c r="AC110" s="60"/>
      <c r="AD110" s="60"/>
      <c r="AE110" s="60"/>
      <c r="AF110" s="60"/>
      <c r="AG110" s="60"/>
      <c r="AH110" s="60"/>
      <c r="AI110" s="60"/>
      <c r="AJ110" s="64">
        <f t="shared" si="9"/>
        <v>513.19000000000005</v>
      </c>
    </row>
    <row r="111" spans="1:36" x14ac:dyDescent="0.25">
      <c r="A111" s="59" t="str">
        <f t="shared" ca="1" si="6"/>
        <v>VENCIDO</v>
      </c>
      <c r="B111" s="60" t="s">
        <v>869</v>
      </c>
      <c r="C111" s="61" t="s">
        <v>1853</v>
      </c>
      <c r="D111" s="82" t="s">
        <v>1735</v>
      </c>
      <c r="E111" s="75" t="s">
        <v>261</v>
      </c>
      <c r="F111" s="75" t="s">
        <v>408</v>
      </c>
      <c r="G111" s="63">
        <v>45597</v>
      </c>
      <c r="H111" s="63">
        <f>G111-180</f>
        <v>45417</v>
      </c>
      <c r="I111" s="60">
        <f t="shared" si="11"/>
        <v>2</v>
      </c>
      <c r="J111" s="60">
        <f t="shared" si="8"/>
        <v>0</v>
      </c>
      <c r="K111" s="60"/>
      <c r="L111" s="60"/>
      <c r="M111" s="60"/>
      <c r="N111" s="60"/>
      <c r="O111" s="60"/>
      <c r="P111" s="60"/>
      <c r="Q111" s="60"/>
      <c r="R111" s="60"/>
      <c r="S111" s="60">
        <v>1</v>
      </c>
      <c r="T111" s="60"/>
      <c r="U111" s="60"/>
      <c r="V111" s="60"/>
      <c r="W111" s="60"/>
      <c r="X111" s="60"/>
      <c r="Y111" s="60"/>
      <c r="Z111" s="60">
        <v>1</v>
      </c>
      <c r="AA111" s="60"/>
      <c r="AB111" s="60"/>
      <c r="AC111" s="60"/>
      <c r="AD111" s="60"/>
      <c r="AE111" s="60"/>
      <c r="AF111" s="60"/>
      <c r="AG111" s="60"/>
      <c r="AH111" s="60"/>
      <c r="AI111" s="60"/>
      <c r="AJ111" s="64">
        <f t="shared" si="9"/>
        <v>765.31000000000006</v>
      </c>
    </row>
    <row r="112" spans="1:36" x14ac:dyDescent="0.25">
      <c r="A112" s="59" t="str">
        <f t="shared" ca="1" si="6"/>
        <v>VENCIDO</v>
      </c>
      <c r="B112" s="60" t="s">
        <v>869</v>
      </c>
      <c r="C112" s="61" t="s">
        <v>1854</v>
      </c>
      <c r="D112" s="82" t="s">
        <v>1855</v>
      </c>
      <c r="E112" s="75" t="s">
        <v>261</v>
      </c>
      <c r="F112" s="75" t="s">
        <v>408</v>
      </c>
      <c r="G112" s="63">
        <v>45536</v>
      </c>
      <c r="H112" s="63">
        <f>G112-180</f>
        <v>45356</v>
      </c>
      <c r="I112" s="60">
        <v>3</v>
      </c>
      <c r="J112" s="60">
        <f t="shared" si="8"/>
        <v>0</v>
      </c>
      <c r="K112" s="60"/>
      <c r="L112" s="60"/>
      <c r="M112" s="60"/>
      <c r="N112" s="60"/>
      <c r="O112" s="60">
        <v>1</v>
      </c>
      <c r="P112" s="60">
        <v>1</v>
      </c>
      <c r="Q112" s="60"/>
      <c r="R112" s="60"/>
      <c r="S112" s="60"/>
      <c r="T112" s="60"/>
      <c r="U112" s="60"/>
      <c r="V112" s="60"/>
      <c r="W112" s="60"/>
      <c r="X112" s="60"/>
      <c r="Y112" s="60"/>
      <c r="Z112" s="60">
        <v>1</v>
      </c>
      <c r="AA112" s="60"/>
      <c r="AB112" s="60"/>
      <c r="AC112" s="60"/>
      <c r="AD112" s="60"/>
      <c r="AE112" s="60"/>
      <c r="AF112" s="60"/>
      <c r="AG112" s="60"/>
      <c r="AH112" s="60"/>
      <c r="AI112" s="60"/>
      <c r="AJ112" s="64">
        <f t="shared" si="9"/>
        <v>757.28000000000009</v>
      </c>
    </row>
    <row r="113" spans="1:36" x14ac:dyDescent="0.25">
      <c r="A113" s="59" t="str">
        <f t="shared" ca="1" si="6"/>
        <v>VENCIDO</v>
      </c>
      <c r="B113" s="60" t="s">
        <v>869</v>
      </c>
      <c r="C113" s="61" t="s">
        <v>1856</v>
      </c>
      <c r="D113" s="82" t="s">
        <v>1762</v>
      </c>
      <c r="E113" s="75" t="s">
        <v>261</v>
      </c>
      <c r="F113" s="75" t="s">
        <v>408</v>
      </c>
      <c r="G113" s="63">
        <v>45505</v>
      </c>
      <c r="H113" s="63">
        <f>G113-180</f>
        <v>45325</v>
      </c>
      <c r="I113" s="60">
        <f t="shared" ref="I113:I144" si="12">SUM(K113:AD113)</f>
        <v>3</v>
      </c>
      <c r="J113" s="60">
        <f t="shared" si="8"/>
        <v>0</v>
      </c>
      <c r="K113" s="60"/>
      <c r="L113" s="60"/>
      <c r="M113" s="60"/>
      <c r="N113" s="60"/>
      <c r="O113" s="60"/>
      <c r="P113" s="60">
        <v>2</v>
      </c>
      <c r="Q113" s="60"/>
      <c r="R113" s="60"/>
      <c r="S113" s="60"/>
      <c r="T113" s="60"/>
      <c r="U113" s="60"/>
      <c r="V113" s="60"/>
      <c r="W113" s="60"/>
      <c r="X113" s="60"/>
      <c r="Y113" s="60"/>
      <c r="Z113" s="60">
        <v>1</v>
      </c>
      <c r="AA113" s="60"/>
      <c r="AB113" s="60"/>
      <c r="AC113" s="60"/>
      <c r="AD113" s="60"/>
      <c r="AE113" s="60"/>
      <c r="AF113" s="60"/>
      <c r="AG113" s="60"/>
      <c r="AH113" s="60"/>
      <c r="AI113" s="60"/>
      <c r="AJ113" s="64">
        <f t="shared" si="9"/>
        <v>828.54000000000008</v>
      </c>
    </row>
    <row r="114" spans="1:36" x14ac:dyDescent="0.25">
      <c r="A114" s="59" t="str">
        <f t="shared" ca="1" si="6"/>
        <v>VENCIDO</v>
      </c>
      <c r="B114" s="60" t="s">
        <v>869</v>
      </c>
      <c r="C114" s="61" t="s">
        <v>1857</v>
      </c>
      <c r="D114" s="82" t="s">
        <v>260</v>
      </c>
      <c r="E114" s="75" t="s">
        <v>261</v>
      </c>
      <c r="F114" s="75" t="s">
        <v>408</v>
      </c>
      <c r="G114" s="63">
        <v>45383</v>
      </c>
      <c r="H114" s="63">
        <v>45383</v>
      </c>
      <c r="I114" s="60">
        <f t="shared" si="12"/>
        <v>3</v>
      </c>
      <c r="J114" s="60">
        <f t="shared" si="8"/>
        <v>0</v>
      </c>
      <c r="K114" s="60"/>
      <c r="L114" s="60"/>
      <c r="M114" s="60"/>
      <c r="N114" s="60"/>
      <c r="O114" s="60">
        <v>1</v>
      </c>
      <c r="P114" s="60">
        <v>1</v>
      </c>
      <c r="Q114" s="60"/>
      <c r="R114" s="60"/>
      <c r="S114" s="60"/>
      <c r="T114" s="60"/>
      <c r="U114" s="60"/>
      <c r="V114" s="60"/>
      <c r="W114" s="60"/>
      <c r="X114" s="60"/>
      <c r="Y114" s="60"/>
      <c r="Z114" s="60">
        <v>1</v>
      </c>
      <c r="AA114" s="60"/>
      <c r="AB114" s="60"/>
      <c r="AC114" s="60"/>
      <c r="AD114" s="60"/>
      <c r="AE114" s="60"/>
      <c r="AF114" s="60"/>
      <c r="AG114" s="60"/>
      <c r="AH114" s="60"/>
      <c r="AI114" s="60"/>
      <c r="AJ114" s="64">
        <f t="shared" si="9"/>
        <v>757.28000000000009</v>
      </c>
    </row>
    <row r="115" spans="1:36" x14ac:dyDescent="0.25">
      <c r="A115" s="59" t="str">
        <f t="shared" ca="1" si="6"/>
        <v>VENCIDO</v>
      </c>
      <c r="B115" s="60" t="s">
        <v>869</v>
      </c>
      <c r="C115" s="61" t="s">
        <v>1858</v>
      </c>
      <c r="D115" s="82" t="s">
        <v>1785</v>
      </c>
      <c r="E115" s="75" t="s">
        <v>261</v>
      </c>
      <c r="F115" s="75" t="s">
        <v>408</v>
      </c>
      <c r="G115" s="63">
        <v>45566</v>
      </c>
      <c r="H115" s="63">
        <f>G115-180</f>
        <v>45386</v>
      </c>
      <c r="I115" s="60">
        <f t="shared" si="12"/>
        <v>3</v>
      </c>
      <c r="J115" s="60">
        <f t="shared" si="8"/>
        <v>0</v>
      </c>
      <c r="K115" s="60"/>
      <c r="L115" s="60"/>
      <c r="M115" s="60"/>
      <c r="N115" s="60">
        <v>1</v>
      </c>
      <c r="O115" s="60"/>
      <c r="P115" s="60"/>
      <c r="Q115" s="60"/>
      <c r="R115" s="60"/>
      <c r="S115" s="60">
        <v>1</v>
      </c>
      <c r="T115" s="60"/>
      <c r="U115" s="60"/>
      <c r="V115" s="60"/>
      <c r="W115" s="60"/>
      <c r="X115" s="60"/>
      <c r="Y115" s="60"/>
      <c r="Z115" s="60">
        <v>1</v>
      </c>
      <c r="AA115" s="60"/>
      <c r="AB115" s="60"/>
      <c r="AC115" s="60"/>
      <c r="AD115" s="60"/>
      <c r="AE115" s="60"/>
      <c r="AF115" s="60"/>
      <c r="AG115" s="60"/>
      <c r="AH115" s="60"/>
      <c r="AI115" s="60"/>
      <c r="AJ115" s="64">
        <f t="shared" si="9"/>
        <v>963.13</v>
      </c>
    </row>
    <row r="116" spans="1:36" x14ac:dyDescent="0.25">
      <c r="A116" s="59" t="str">
        <f t="shared" ca="1" si="6"/>
        <v>VENCIDO</v>
      </c>
      <c r="B116" s="60" t="s">
        <v>869</v>
      </c>
      <c r="C116" s="61" t="s">
        <v>1859</v>
      </c>
      <c r="D116" s="82" t="s">
        <v>1860</v>
      </c>
      <c r="E116" s="75" t="s">
        <v>261</v>
      </c>
      <c r="F116" s="75" t="s">
        <v>408</v>
      </c>
      <c r="G116" s="63">
        <v>45536</v>
      </c>
      <c r="H116" s="63">
        <f>G116-180</f>
        <v>45356</v>
      </c>
      <c r="I116" s="60">
        <f t="shared" si="12"/>
        <v>3</v>
      </c>
      <c r="J116" s="60">
        <f t="shared" si="8"/>
        <v>0</v>
      </c>
      <c r="K116" s="60"/>
      <c r="L116" s="60"/>
      <c r="M116" s="60"/>
      <c r="N116" s="60"/>
      <c r="O116" s="60"/>
      <c r="P116" s="60">
        <v>2</v>
      </c>
      <c r="Q116" s="60"/>
      <c r="R116" s="60"/>
      <c r="S116" s="60"/>
      <c r="T116" s="60"/>
      <c r="U116" s="60"/>
      <c r="V116" s="60"/>
      <c r="W116" s="60"/>
      <c r="X116" s="60"/>
      <c r="Y116" s="60"/>
      <c r="Z116" s="60">
        <v>1</v>
      </c>
      <c r="AA116" s="60"/>
      <c r="AB116" s="60"/>
      <c r="AC116" s="60"/>
      <c r="AD116" s="60"/>
      <c r="AE116" s="60"/>
      <c r="AF116" s="60"/>
      <c r="AG116" s="60"/>
      <c r="AH116" s="60"/>
      <c r="AI116" s="60"/>
      <c r="AJ116" s="64">
        <f t="shared" si="9"/>
        <v>828.54000000000008</v>
      </c>
    </row>
    <row r="117" spans="1:36" x14ac:dyDescent="0.25">
      <c r="A117" s="59" t="str">
        <f t="shared" ca="1" si="6"/>
        <v>VENCIDO</v>
      </c>
      <c r="B117" s="60" t="s">
        <v>869</v>
      </c>
      <c r="C117" s="61" t="s">
        <v>1861</v>
      </c>
      <c r="D117" s="82" t="s">
        <v>260</v>
      </c>
      <c r="E117" s="75" t="s">
        <v>261</v>
      </c>
      <c r="F117" s="75" t="s">
        <v>408</v>
      </c>
      <c r="G117" s="63">
        <v>45658</v>
      </c>
      <c r="H117" s="63">
        <v>45474</v>
      </c>
      <c r="I117" s="60">
        <f t="shared" si="12"/>
        <v>85</v>
      </c>
      <c r="J117" s="60">
        <f t="shared" si="8"/>
        <v>0</v>
      </c>
      <c r="K117" s="60">
        <v>30</v>
      </c>
      <c r="L117" s="60"/>
      <c r="M117" s="60">
        <v>6</v>
      </c>
      <c r="N117" s="60">
        <v>15</v>
      </c>
      <c r="O117" s="60">
        <v>10</v>
      </c>
      <c r="P117" s="60">
        <v>4</v>
      </c>
      <c r="Q117" s="60"/>
      <c r="R117" s="60"/>
      <c r="S117" s="60"/>
      <c r="T117" s="60"/>
      <c r="U117" s="60"/>
      <c r="V117" s="60"/>
      <c r="W117" s="60"/>
      <c r="X117" s="60"/>
      <c r="Y117" s="60"/>
      <c r="Z117" s="60">
        <v>20</v>
      </c>
      <c r="AA117" s="60"/>
      <c r="AB117" s="60"/>
      <c r="AC117" s="60"/>
      <c r="AD117" s="60"/>
      <c r="AE117" s="60"/>
      <c r="AF117" s="60"/>
      <c r="AG117" s="60"/>
      <c r="AH117" s="60"/>
      <c r="AI117" s="60"/>
      <c r="AJ117" s="64">
        <f t="shared" si="9"/>
        <v>14249.380000000001</v>
      </c>
    </row>
    <row r="118" spans="1:36" x14ac:dyDescent="0.25">
      <c r="A118" s="59" t="str">
        <f t="shared" ca="1" si="6"/>
        <v>VENCIDO</v>
      </c>
      <c r="B118" s="60" t="s">
        <v>869</v>
      </c>
      <c r="C118" s="61" t="s">
        <v>1862</v>
      </c>
      <c r="D118" s="82" t="s">
        <v>1167</v>
      </c>
      <c r="E118" s="75" t="s">
        <v>261</v>
      </c>
      <c r="F118" s="75" t="s">
        <v>408</v>
      </c>
      <c r="G118" s="63">
        <v>45536</v>
      </c>
      <c r="H118" s="63">
        <f>G118-180</f>
        <v>45356</v>
      </c>
      <c r="I118" s="60">
        <f t="shared" si="12"/>
        <v>3</v>
      </c>
      <c r="J118" s="60">
        <f t="shared" si="8"/>
        <v>0</v>
      </c>
      <c r="K118" s="60"/>
      <c r="L118" s="60"/>
      <c r="M118" s="60"/>
      <c r="N118" s="60"/>
      <c r="O118" s="60"/>
      <c r="P118" s="60">
        <v>2</v>
      </c>
      <c r="Q118" s="60"/>
      <c r="R118" s="60"/>
      <c r="S118" s="60"/>
      <c r="T118" s="60"/>
      <c r="U118" s="60"/>
      <c r="V118" s="60"/>
      <c r="W118" s="60"/>
      <c r="X118" s="60"/>
      <c r="Y118" s="60"/>
      <c r="Z118" s="60">
        <v>1</v>
      </c>
      <c r="AA118" s="60"/>
      <c r="AB118" s="60"/>
      <c r="AC118" s="60"/>
      <c r="AD118" s="60"/>
      <c r="AE118" s="60"/>
      <c r="AF118" s="60"/>
      <c r="AG118" s="60"/>
      <c r="AH118" s="60"/>
      <c r="AI118" s="60"/>
      <c r="AJ118" s="64">
        <f t="shared" si="9"/>
        <v>828.54000000000008</v>
      </c>
    </row>
    <row r="119" spans="1:36" x14ac:dyDescent="0.25">
      <c r="A119" s="59" t="str">
        <f t="shared" ca="1" si="6"/>
        <v>VENCIDO</v>
      </c>
      <c r="B119" s="60" t="s">
        <v>869</v>
      </c>
      <c r="C119" s="61" t="s">
        <v>1863</v>
      </c>
      <c r="D119" s="82" t="s">
        <v>1864</v>
      </c>
      <c r="E119" s="75" t="s">
        <v>261</v>
      </c>
      <c r="F119" s="75" t="s">
        <v>408</v>
      </c>
      <c r="G119" s="63">
        <v>45566</v>
      </c>
      <c r="H119" s="63">
        <f>G119-180</f>
        <v>45386</v>
      </c>
      <c r="I119" s="60">
        <f t="shared" si="12"/>
        <v>2</v>
      </c>
      <c r="J119" s="60">
        <f t="shared" si="8"/>
        <v>0</v>
      </c>
      <c r="K119" s="60"/>
      <c r="L119" s="60"/>
      <c r="M119" s="60"/>
      <c r="N119" s="60"/>
      <c r="O119" s="60"/>
      <c r="P119" s="60">
        <v>1</v>
      </c>
      <c r="Q119" s="60"/>
      <c r="R119" s="60"/>
      <c r="S119" s="60"/>
      <c r="T119" s="60"/>
      <c r="U119" s="60"/>
      <c r="V119" s="60"/>
      <c r="W119" s="60"/>
      <c r="X119" s="60"/>
      <c r="Y119" s="60"/>
      <c r="Z119" s="60">
        <v>1</v>
      </c>
      <c r="AA119" s="60"/>
      <c r="AB119" s="60"/>
      <c r="AC119" s="60"/>
      <c r="AD119" s="60"/>
      <c r="AE119" s="60"/>
      <c r="AF119" s="60"/>
      <c r="AG119" s="60"/>
      <c r="AH119" s="60"/>
      <c r="AI119" s="60"/>
      <c r="AJ119" s="64">
        <f t="shared" si="9"/>
        <v>513.19000000000005</v>
      </c>
    </row>
    <row r="120" spans="1:36" x14ac:dyDescent="0.25">
      <c r="A120" s="59" t="str">
        <f t="shared" ca="1" si="6"/>
        <v>VENCIDO</v>
      </c>
      <c r="B120" s="60" t="s">
        <v>869</v>
      </c>
      <c r="C120" s="61" t="s">
        <v>1865</v>
      </c>
      <c r="D120" s="82" t="s">
        <v>1866</v>
      </c>
      <c r="E120" s="75" t="s">
        <v>261</v>
      </c>
      <c r="F120" s="75" t="s">
        <v>408</v>
      </c>
      <c r="G120" s="63">
        <v>45323</v>
      </c>
      <c r="H120" s="63">
        <v>45323</v>
      </c>
      <c r="I120" s="60">
        <f t="shared" si="12"/>
        <v>2</v>
      </c>
      <c r="J120" s="60">
        <f t="shared" si="8"/>
        <v>0</v>
      </c>
      <c r="K120" s="60"/>
      <c r="L120" s="60"/>
      <c r="M120" s="60"/>
      <c r="N120" s="60"/>
      <c r="O120" s="60">
        <v>1</v>
      </c>
      <c r="P120" s="60"/>
      <c r="Q120" s="60"/>
      <c r="R120" s="60"/>
      <c r="S120" s="60"/>
      <c r="T120" s="60"/>
      <c r="U120" s="60"/>
      <c r="V120" s="60"/>
      <c r="W120" s="60"/>
      <c r="X120" s="60"/>
      <c r="Y120" s="60">
        <v>1</v>
      </c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4">
        <f t="shared" si="9"/>
        <v>395.72</v>
      </c>
    </row>
    <row r="121" spans="1:36" x14ac:dyDescent="0.25">
      <c r="A121" s="59" t="str">
        <f t="shared" ca="1" si="6"/>
        <v>VENCIDO</v>
      </c>
      <c r="B121" s="60" t="s">
        <v>869</v>
      </c>
      <c r="C121" s="61" t="s">
        <v>1867</v>
      </c>
      <c r="D121" s="82" t="s">
        <v>1868</v>
      </c>
      <c r="E121" s="75" t="s">
        <v>261</v>
      </c>
      <c r="F121" s="75" t="s">
        <v>408</v>
      </c>
      <c r="G121" s="63">
        <v>45566</v>
      </c>
      <c r="H121" s="63">
        <f>G121-180</f>
        <v>45386</v>
      </c>
      <c r="I121" s="60">
        <f t="shared" si="12"/>
        <v>2</v>
      </c>
      <c r="J121" s="60">
        <f t="shared" si="8"/>
        <v>0</v>
      </c>
      <c r="K121" s="60"/>
      <c r="L121" s="60"/>
      <c r="M121" s="60"/>
      <c r="N121" s="60"/>
      <c r="O121" s="60"/>
      <c r="P121" s="60"/>
      <c r="Q121" s="60"/>
      <c r="R121" s="60"/>
      <c r="S121" s="60">
        <v>1</v>
      </c>
      <c r="T121" s="60"/>
      <c r="U121" s="60"/>
      <c r="V121" s="60"/>
      <c r="W121" s="60"/>
      <c r="X121" s="60"/>
      <c r="Y121" s="60"/>
      <c r="Z121" s="60">
        <v>1</v>
      </c>
      <c r="AA121" s="60"/>
      <c r="AB121" s="60"/>
      <c r="AC121" s="60"/>
      <c r="AD121" s="60"/>
      <c r="AE121" s="60"/>
      <c r="AF121" s="60"/>
      <c r="AG121" s="60"/>
      <c r="AH121" s="60"/>
      <c r="AI121" s="60"/>
      <c r="AJ121" s="64">
        <f t="shared" si="9"/>
        <v>765.31000000000006</v>
      </c>
    </row>
    <row r="122" spans="1:36" x14ac:dyDescent="0.25">
      <c r="A122" s="59" t="str">
        <f t="shared" ca="1" si="6"/>
        <v>VENCIDO</v>
      </c>
      <c r="B122" s="60" t="s">
        <v>869</v>
      </c>
      <c r="C122" s="61" t="s">
        <v>1869</v>
      </c>
      <c r="D122" s="82" t="s">
        <v>502</v>
      </c>
      <c r="E122" s="75" t="s">
        <v>261</v>
      </c>
      <c r="F122" s="75" t="s">
        <v>408</v>
      </c>
      <c r="G122" s="63">
        <v>45444</v>
      </c>
      <c r="H122" s="63">
        <v>45444</v>
      </c>
      <c r="I122" s="60">
        <f t="shared" si="12"/>
        <v>3</v>
      </c>
      <c r="J122" s="60">
        <f t="shared" si="8"/>
        <v>0</v>
      </c>
      <c r="K122" s="60"/>
      <c r="L122" s="60"/>
      <c r="M122" s="60"/>
      <c r="N122" s="60"/>
      <c r="O122" s="60"/>
      <c r="P122" s="60">
        <v>2</v>
      </c>
      <c r="Q122" s="60"/>
      <c r="R122" s="60"/>
      <c r="S122" s="60"/>
      <c r="T122" s="60"/>
      <c r="U122" s="60"/>
      <c r="V122" s="60"/>
      <c r="W122" s="60"/>
      <c r="X122" s="60"/>
      <c r="Y122" s="60"/>
      <c r="Z122" s="60">
        <v>1</v>
      </c>
      <c r="AA122" s="60"/>
      <c r="AB122" s="60"/>
      <c r="AC122" s="60"/>
      <c r="AD122" s="60"/>
      <c r="AE122" s="60"/>
      <c r="AF122" s="60"/>
      <c r="AG122" s="60"/>
      <c r="AH122" s="60"/>
      <c r="AI122" s="60"/>
      <c r="AJ122" s="64">
        <f t="shared" si="9"/>
        <v>828.54000000000008</v>
      </c>
    </row>
    <row r="123" spans="1:36" x14ac:dyDescent="0.25">
      <c r="A123" s="59" t="str">
        <f t="shared" ca="1" si="6"/>
        <v>VENCIDO</v>
      </c>
      <c r="B123" s="60" t="s">
        <v>869</v>
      </c>
      <c r="C123" s="61" t="s">
        <v>1870</v>
      </c>
      <c r="D123" s="82" t="s">
        <v>1871</v>
      </c>
      <c r="E123" s="75" t="s">
        <v>261</v>
      </c>
      <c r="F123" s="75" t="s">
        <v>408</v>
      </c>
      <c r="G123" s="63">
        <v>45352</v>
      </c>
      <c r="H123" s="63">
        <v>45352</v>
      </c>
      <c r="I123" s="60">
        <f t="shared" si="12"/>
        <v>3</v>
      </c>
      <c r="J123" s="60">
        <f t="shared" si="8"/>
        <v>0</v>
      </c>
      <c r="K123" s="60"/>
      <c r="L123" s="60"/>
      <c r="M123" s="60"/>
      <c r="N123" s="60"/>
      <c r="O123" s="60"/>
      <c r="P123" s="60">
        <v>2</v>
      </c>
      <c r="Q123" s="60"/>
      <c r="R123" s="60"/>
      <c r="S123" s="60"/>
      <c r="T123" s="60"/>
      <c r="U123" s="60"/>
      <c r="V123" s="60"/>
      <c r="W123" s="60"/>
      <c r="X123" s="60"/>
      <c r="Y123" s="60">
        <v>1</v>
      </c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4">
        <f t="shared" si="9"/>
        <v>782.33</v>
      </c>
    </row>
    <row r="124" spans="1:36" x14ac:dyDescent="0.25">
      <c r="A124" s="59" t="str">
        <f t="shared" ca="1" si="6"/>
        <v>VENCIDO</v>
      </c>
      <c r="B124" s="60" t="s">
        <v>869</v>
      </c>
      <c r="C124" s="61" t="s">
        <v>1872</v>
      </c>
      <c r="D124" s="82" t="s">
        <v>286</v>
      </c>
      <c r="E124" s="75" t="s">
        <v>261</v>
      </c>
      <c r="F124" s="75" t="s">
        <v>408</v>
      </c>
      <c r="G124" s="63">
        <v>45505</v>
      </c>
      <c r="H124" s="63">
        <f>G124-180</f>
        <v>45325</v>
      </c>
      <c r="I124" s="60">
        <f t="shared" si="12"/>
        <v>3</v>
      </c>
      <c r="J124" s="60">
        <f t="shared" si="8"/>
        <v>0</v>
      </c>
      <c r="K124" s="60"/>
      <c r="L124" s="60"/>
      <c r="M124" s="60"/>
      <c r="N124" s="60"/>
      <c r="O124" s="60"/>
      <c r="P124" s="60">
        <v>2</v>
      </c>
      <c r="Q124" s="60"/>
      <c r="R124" s="60"/>
      <c r="S124" s="60"/>
      <c r="T124" s="60"/>
      <c r="U124" s="60"/>
      <c r="V124" s="60"/>
      <c r="W124" s="60"/>
      <c r="X124" s="60"/>
      <c r="Y124" s="60"/>
      <c r="Z124" s="60">
        <v>1</v>
      </c>
      <c r="AA124" s="60"/>
      <c r="AB124" s="60"/>
      <c r="AC124" s="60"/>
      <c r="AD124" s="60"/>
      <c r="AE124" s="60"/>
      <c r="AF124" s="60"/>
      <c r="AG124" s="60"/>
      <c r="AH124" s="60"/>
      <c r="AI124" s="60"/>
      <c r="AJ124" s="64">
        <f t="shared" si="9"/>
        <v>828.54000000000008</v>
      </c>
    </row>
    <row r="125" spans="1:36" x14ac:dyDescent="0.25">
      <c r="A125" s="59" t="str">
        <f t="shared" ca="1" si="6"/>
        <v>VENCIDO</v>
      </c>
      <c r="B125" s="60" t="s">
        <v>869</v>
      </c>
      <c r="C125" s="61" t="s">
        <v>1873</v>
      </c>
      <c r="D125" s="82" t="s">
        <v>286</v>
      </c>
      <c r="E125" s="75" t="s">
        <v>261</v>
      </c>
      <c r="F125" s="75" t="s">
        <v>408</v>
      </c>
      <c r="G125" s="63">
        <v>45323</v>
      </c>
      <c r="H125" s="63">
        <v>45323</v>
      </c>
      <c r="I125" s="60">
        <f t="shared" si="12"/>
        <v>10</v>
      </c>
      <c r="J125" s="60">
        <f t="shared" si="8"/>
        <v>0</v>
      </c>
      <c r="K125" s="60"/>
      <c r="L125" s="60"/>
      <c r="M125" s="60"/>
      <c r="N125" s="60"/>
      <c r="O125" s="60">
        <v>1</v>
      </c>
      <c r="P125" s="60">
        <v>4</v>
      </c>
      <c r="Q125" s="60"/>
      <c r="R125" s="60"/>
      <c r="S125" s="60"/>
      <c r="T125" s="60"/>
      <c r="U125" s="60"/>
      <c r="V125" s="60"/>
      <c r="W125" s="60"/>
      <c r="X125" s="60"/>
      <c r="Y125" s="60"/>
      <c r="Z125" s="60">
        <v>5</v>
      </c>
      <c r="AA125" s="60"/>
      <c r="AB125" s="60"/>
      <c r="AC125" s="60"/>
      <c r="AD125" s="60"/>
      <c r="AE125" s="60"/>
      <c r="AF125" s="60"/>
      <c r="AG125" s="60"/>
      <c r="AH125" s="60"/>
      <c r="AI125" s="60"/>
      <c r="AJ125" s="64">
        <f t="shared" si="9"/>
        <v>2494.69</v>
      </c>
    </row>
    <row r="126" spans="1:36" x14ac:dyDescent="0.25">
      <c r="A126" s="59" t="str">
        <f t="shared" ca="1" si="6"/>
        <v>VENCIDO</v>
      </c>
      <c r="B126" s="60" t="s">
        <v>869</v>
      </c>
      <c r="C126" s="61" t="s">
        <v>1874</v>
      </c>
      <c r="D126" s="82" t="s">
        <v>260</v>
      </c>
      <c r="E126" s="75" t="s">
        <v>261</v>
      </c>
      <c r="F126" s="75" t="s">
        <v>408</v>
      </c>
      <c r="G126" s="63">
        <v>45474</v>
      </c>
      <c r="H126" s="63">
        <v>45474</v>
      </c>
      <c r="I126" s="60">
        <f t="shared" si="12"/>
        <v>4</v>
      </c>
      <c r="J126" s="60">
        <f t="shared" si="8"/>
        <v>0</v>
      </c>
      <c r="K126" s="60"/>
      <c r="L126" s="60"/>
      <c r="M126" s="60"/>
      <c r="N126" s="60"/>
      <c r="O126" s="60">
        <v>1</v>
      </c>
      <c r="P126" s="60">
        <v>1</v>
      </c>
      <c r="Q126" s="60"/>
      <c r="R126" s="60"/>
      <c r="S126" s="60">
        <v>1</v>
      </c>
      <c r="T126" s="60"/>
      <c r="U126" s="60"/>
      <c r="V126" s="60"/>
      <c r="W126" s="60"/>
      <c r="X126" s="60"/>
      <c r="Y126" s="60"/>
      <c r="Z126" s="60">
        <v>1</v>
      </c>
      <c r="AA126" s="60"/>
      <c r="AB126" s="60"/>
      <c r="AC126" s="60"/>
      <c r="AD126" s="60"/>
      <c r="AE126" s="60"/>
      <c r="AF126" s="60"/>
      <c r="AG126" s="60"/>
      <c r="AH126" s="60"/>
      <c r="AI126" s="60"/>
      <c r="AJ126" s="64">
        <f t="shared" si="9"/>
        <v>1324.75</v>
      </c>
    </row>
    <row r="127" spans="1:36" x14ac:dyDescent="0.25">
      <c r="A127" s="59" t="str">
        <f t="shared" ca="1" si="6"/>
        <v>VENCIDO</v>
      </c>
      <c r="B127" s="60" t="s">
        <v>869</v>
      </c>
      <c r="C127" s="61" t="s">
        <v>1875</v>
      </c>
      <c r="D127" s="82" t="s">
        <v>1876</v>
      </c>
      <c r="E127" s="75" t="s">
        <v>261</v>
      </c>
      <c r="F127" s="75" t="s">
        <v>408</v>
      </c>
      <c r="G127" s="63">
        <v>45566</v>
      </c>
      <c r="H127" s="63">
        <f>G127-180</f>
        <v>45386</v>
      </c>
      <c r="I127" s="60">
        <f t="shared" si="12"/>
        <v>2</v>
      </c>
      <c r="J127" s="60">
        <f t="shared" si="8"/>
        <v>0</v>
      </c>
      <c r="K127" s="60"/>
      <c r="L127" s="60"/>
      <c r="M127" s="60"/>
      <c r="N127" s="60"/>
      <c r="O127" s="60"/>
      <c r="P127" s="60">
        <v>1</v>
      </c>
      <c r="Q127" s="60"/>
      <c r="R127" s="60"/>
      <c r="S127" s="60"/>
      <c r="T127" s="60"/>
      <c r="U127" s="60"/>
      <c r="V127" s="60"/>
      <c r="W127" s="60"/>
      <c r="X127" s="60"/>
      <c r="Y127" s="60"/>
      <c r="Z127" s="60">
        <v>1</v>
      </c>
      <c r="AA127" s="60"/>
      <c r="AB127" s="60"/>
      <c r="AC127" s="60"/>
      <c r="AD127" s="60"/>
      <c r="AE127" s="60"/>
      <c r="AF127" s="60"/>
      <c r="AG127" s="60"/>
      <c r="AH127" s="60"/>
      <c r="AI127" s="60"/>
      <c r="AJ127" s="64">
        <f t="shared" si="9"/>
        <v>513.19000000000005</v>
      </c>
    </row>
    <row r="128" spans="1:36" x14ac:dyDescent="0.25">
      <c r="A128" s="59" t="str">
        <f t="shared" ca="1" si="6"/>
        <v>VENCIDO</v>
      </c>
      <c r="B128" s="60" t="s">
        <v>869</v>
      </c>
      <c r="C128" s="61" t="s">
        <v>1877</v>
      </c>
      <c r="D128" s="82" t="s">
        <v>1878</v>
      </c>
      <c r="E128" s="75" t="s">
        <v>261</v>
      </c>
      <c r="F128" s="75" t="s">
        <v>408</v>
      </c>
      <c r="G128" s="63">
        <v>45323</v>
      </c>
      <c r="H128" s="63">
        <v>45323</v>
      </c>
      <c r="I128" s="60">
        <f t="shared" si="12"/>
        <v>2</v>
      </c>
      <c r="J128" s="60">
        <f t="shared" si="8"/>
        <v>0</v>
      </c>
      <c r="K128" s="60"/>
      <c r="L128" s="60"/>
      <c r="M128" s="60"/>
      <c r="N128" s="60"/>
      <c r="O128" s="60"/>
      <c r="P128" s="60"/>
      <c r="Q128" s="60"/>
      <c r="R128" s="60"/>
      <c r="S128" s="60">
        <v>1</v>
      </c>
      <c r="T128" s="60"/>
      <c r="U128" s="60"/>
      <c r="V128" s="60"/>
      <c r="W128" s="60"/>
      <c r="X128" s="60"/>
      <c r="Y128" s="60">
        <v>1</v>
      </c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4">
        <f t="shared" si="9"/>
        <v>719.1</v>
      </c>
    </row>
    <row r="129" spans="1:36" x14ac:dyDescent="0.25">
      <c r="A129" s="59" t="str">
        <f t="shared" ca="1" si="6"/>
        <v>VENCIDO</v>
      </c>
      <c r="B129" s="60" t="s">
        <v>869</v>
      </c>
      <c r="C129" s="61" t="s">
        <v>1879</v>
      </c>
      <c r="D129" s="82" t="s">
        <v>303</v>
      </c>
      <c r="E129" s="75" t="s">
        <v>261</v>
      </c>
      <c r="F129" s="75" t="s">
        <v>408</v>
      </c>
      <c r="G129" s="63">
        <v>45505</v>
      </c>
      <c r="H129" s="63">
        <f>G129-180</f>
        <v>45325</v>
      </c>
      <c r="I129" s="60">
        <f t="shared" si="12"/>
        <v>2</v>
      </c>
      <c r="J129" s="60">
        <f t="shared" si="8"/>
        <v>0</v>
      </c>
      <c r="K129" s="60"/>
      <c r="L129" s="60"/>
      <c r="M129" s="60"/>
      <c r="N129" s="60"/>
      <c r="O129" s="60"/>
      <c r="P129" s="60"/>
      <c r="Q129" s="60"/>
      <c r="R129" s="60"/>
      <c r="S129" s="60">
        <v>1</v>
      </c>
      <c r="T129" s="60"/>
      <c r="U129" s="60"/>
      <c r="V129" s="60"/>
      <c r="W129" s="60"/>
      <c r="X129" s="60"/>
      <c r="Y129" s="60"/>
      <c r="Z129" s="60">
        <v>1</v>
      </c>
      <c r="AA129" s="60"/>
      <c r="AB129" s="60"/>
      <c r="AC129" s="60"/>
      <c r="AD129" s="60"/>
      <c r="AE129" s="60"/>
      <c r="AF129" s="60"/>
      <c r="AG129" s="60"/>
      <c r="AH129" s="60"/>
      <c r="AI129" s="60"/>
      <c r="AJ129" s="64">
        <f t="shared" si="9"/>
        <v>765.31000000000006</v>
      </c>
    </row>
    <row r="130" spans="1:36" x14ac:dyDescent="0.25">
      <c r="A130" s="59" t="str">
        <f t="shared" ca="1" si="6"/>
        <v>VENCIDO</v>
      </c>
      <c r="B130" s="60" t="s">
        <v>869</v>
      </c>
      <c r="C130" s="61" t="s">
        <v>1880</v>
      </c>
      <c r="D130" s="82" t="s">
        <v>260</v>
      </c>
      <c r="E130" s="75" t="s">
        <v>261</v>
      </c>
      <c r="F130" s="75" t="s">
        <v>408</v>
      </c>
      <c r="G130" s="63">
        <v>45383</v>
      </c>
      <c r="H130" s="63">
        <v>45383</v>
      </c>
      <c r="I130" s="60">
        <f t="shared" si="12"/>
        <v>5</v>
      </c>
      <c r="J130" s="60">
        <f t="shared" si="8"/>
        <v>0</v>
      </c>
      <c r="K130" s="60"/>
      <c r="L130" s="60"/>
      <c r="M130" s="60">
        <v>1</v>
      </c>
      <c r="N130" s="60"/>
      <c r="O130" s="60"/>
      <c r="P130" s="60">
        <v>2</v>
      </c>
      <c r="Q130" s="60"/>
      <c r="R130" s="60"/>
      <c r="S130" s="60">
        <v>1</v>
      </c>
      <c r="T130" s="60"/>
      <c r="U130" s="60"/>
      <c r="V130" s="60"/>
      <c r="W130" s="60"/>
      <c r="X130" s="60"/>
      <c r="Y130" s="60"/>
      <c r="Z130" s="60">
        <v>1</v>
      </c>
      <c r="AA130" s="60"/>
      <c r="AB130" s="60"/>
      <c r="AC130" s="60"/>
      <c r="AD130" s="60"/>
      <c r="AE130" s="60"/>
      <c r="AF130" s="60"/>
      <c r="AG130" s="60"/>
      <c r="AH130" s="60"/>
      <c r="AI130" s="60"/>
      <c r="AJ130" s="64">
        <f t="shared" si="9"/>
        <v>1547.64</v>
      </c>
    </row>
    <row r="131" spans="1:36" x14ac:dyDescent="0.25">
      <c r="A131" s="59" t="str">
        <f t="shared" ref="A131:A194" ca="1" si="13">IF(G131&lt;$A$1,"VENCIDO","NA VALIDADE")</f>
        <v>VENCIDO</v>
      </c>
      <c r="B131" s="60" t="s">
        <v>869</v>
      </c>
      <c r="C131" s="61" t="s">
        <v>1881</v>
      </c>
      <c r="D131" s="82" t="s">
        <v>1882</v>
      </c>
      <c r="E131" s="75" t="s">
        <v>261</v>
      </c>
      <c r="F131" s="75" t="s">
        <v>408</v>
      </c>
      <c r="G131" s="63">
        <v>45566</v>
      </c>
      <c r="H131" s="63">
        <f>G131-180</f>
        <v>45386</v>
      </c>
      <c r="I131" s="60">
        <f t="shared" si="12"/>
        <v>3</v>
      </c>
      <c r="J131" s="60">
        <f t="shared" ref="J131:J194" si="14">SUM(AE131:AI131)</f>
        <v>0</v>
      </c>
      <c r="K131" s="60"/>
      <c r="L131" s="60"/>
      <c r="M131" s="60"/>
      <c r="N131" s="60"/>
      <c r="O131" s="60"/>
      <c r="P131" s="60">
        <v>2</v>
      </c>
      <c r="Q131" s="60"/>
      <c r="R131" s="60"/>
      <c r="S131" s="60"/>
      <c r="T131" s="60"/>
      <c r="U131" s="60"/>
      <c r="V131" s="60"/>
      <c r="W131" s="60"/>
      <c r="X131" s="60"/>
      <c r="Y131" s="60"/>
      <c r="Z131" s="60">
        <v>1</v>
      </c>
      <c r="AA131" s="60"/>
      <c r="AB131" s="60"/>
      <c r="AC131" s="60"/>
      <c r="AD131" s="60"/>
      <c r="AE131" s="60"/>
      <c r="AF131" s="60"/>
      <c r="AG131" s="60"/>
      <c r="AH131" s="60"/>
      <c r="AI131" s="60"/>
      <c r="AJ131" s="64">
        <f t="shared" ref="AJ131:AJ194" si="15">IF(K131&gt;0,K131*(82.29+8.15),0)+IF(L131&gt;0,L131*(8.15+339.97),0)+IF(M131&gt;0,M131*151.63,0)+IF(N131&gt;0,N131*197.82,0)+IF(O131&gt;0,O131*244.09,0)+IF(P131&gt;0,P131*315.35,0)+IF(Q131&gt;0,Q131*1067.3,0)+IF(S131&gt;0,S131*567.47,0)+IF(T131&gt;0,T131*151.63,0)+IF(U131&gt;0,U131*197.84,0)+IF(V131&gt;0,V131*470.51,0)+IF(W131&gt;0,W131*701.69,0)+IF(Y131&gt;0,Y131*151.63,0)+IF(Z131&gt;0,Z131*197.84)+IF(AA131&gt;0,AA131*308.4,0)+IF(AB131&gt;0,AB131*496.16,0)</f>
        <v>828.54000000000008</v>
      </c>
    </row>
    <row r="132" spans="1:36" x14ac:dyDescent="0.25">
      <c r="A132" s="59" t="str">
        <f t="shared" ca="1" si="13"/>
        <v>VENCIDO</v>
      </c>
      <c r="B132" s="60" t="s">
        <v>1110</v>
      </c>
      <c r="C132" s="61" t="s">
        <v>1883</v>
      </c>
      <c r="D132" s="82" t="s">
        <v>1806</v>
      </c>
      <c r="E132" s="75" t="s">
        <v>261</v>
      </c>
      <c r="F132" s="75" t="s">
        <v>408</v>
      </c>
      <c r="G132" s="63">
        <v>45536</v>
      </c>
      <c r="H132" s="63">
        <f>G132-180</f>
        <v>45356</v>
      </c>
      <c r="I132" s="60">
        <f t="shared" si="12"/>
        <v>5</v>
      </c>
      <c r="J132" s="60">
        <f t="shared" si="14"/>
        <v>0</v>
      </c>
      <c r="K132" s="60"/>
      <c r="L132" s="60"/>
      <c r="M132" s="60">
        <v>1</v>
      </c>
      <c r="N132" s="60"/>
      <c r="O132" s="60"/>
      <c r="P132" s="60"/>
      <c r="Q132" s="60"/>
      <c r="R132" s="60"/>
      <c r="S132" s="60"/>
      <c r="T132" s="60">
        <v>2</v>
      </c>
      <c r="U132" s="60"/>
      <c r="V132" s="60"/>
      <c r="W132" s="60"/>
      <c r="X132" s="60"/>
      <c r="Y132" s="60"/>
      <c r="Z132" s="60">
        <v>2</v>
      </c>
      <c r="AA132" s="60"/>
      <c r="AB132" s="60"/>
      <c r="AC132" s="60"/>
      <c r="AD132" s="60"/>
      <c r="AE132" s="60"/>
      <c r="AF132" s="60"/>
      <c r="AG132" s="60"/>
      <c r="AH132" s="60"/>
      <c r="AI132" s="60"/>
      <c r="AJ132" s="64">
        <f t="shared" si="15"/>
        <v>850.56999999999994</v>
      </c>
    </row>
    <row r="133" spans="1:36" x14ac:dyDescent="0.25">
      <c r="A133" s="59" t="str">
        <f t="shared" ca="1" si="13"/>
        <v>VENCIDO</v>
      </c>
      <c r="B133" s="60" t="s">
        <v>869</v>
      </c>
      <c r="C133" s="61" t="s">
        <v>1884</v>
      </c>
      <c r="D133" s="82" t="s">
        <v>1885</v>
      </c>
      <c r="E133" s="75" t="s">
        <v>261</v>
      </c>
      <c r="F133" s="75" t="s">
        <v>408</v>
      </c>
      <c r="G133" s="63">
        <v>45413</v>
      </c>
      <c r="H133" s="63">
        <v>45413</v>
      </c>
      <c r="I133" s="60">
        <f t="shared" si="12"/>
        <v>3</v>
      </c>
      <c r="J133" s="60">
        <f t="shared" si="14"/>
        <v>0</v>
      </c>
      <c r="K133" s="60"/>
      <c r="L133" s="60"/>
      <c r="M133" s="60"/>
      <c r="N133" s="60"/>
      <c r="O133" s="60"/>
      <c r="P133" s="60">
        <v>2</v>
      </c>
      <c r="Q133" s="60"/>
      <c r="R133" s="60"/>
      <c r="S133" s="60"/>
      <c r="T133" s="60"/>
      <c r="U133" s="60"/>
      <c r="V133" s="60"/>
      <c r="W133" s="60"/>
      <c r="X133" s="60"/>
      <c r="Y133" s="60"/>
      <c r="Z133" s="60">
        <v>1</v>
      </c>
      <c r="AA133" s="60"/>
      <c r="AB133" s="60"/>
      <c r="AC133" s="60"/>
      <c r="AD133" s="60"/>
      <c r="AE133" s="60"/>
      <c r="AF133" s="60"/>
      <c r="AG133" s="60"/>
      <c r="AH133" s="60"/>
      <c r="AI133" s="60"/>
      <c r="AJ133" s="64">
        <f t="shared" si="15"/>
        <v>828.54000000000008</v>
      </c>
    </row>
    <row r="134" spans="1:36" x14ac:dyDescent="0.25">
      <c r="A134" s="59" t="str">
        <f t="shared" ca="1" si="13"/>
        <v>VENCIDO</v>
      </c>
      <c r="B134" s="60" t="s">
        <v>869</v>
      </c>
      <c r="C134" s="61" t="s">
        <v>1886</v>
      </c>
      <c r="D134" s="82" t="s">
        <v>260</v>
      </c>
      <c r="E134" s="75" t="s">
        <v>261</v>
      </c>
      <c r="F134" s="75" t="s">
        <v>408</v>
      </c>
      <c r="G134" s="63">
        <v>45505</v>
      </c>
      <c r="H134" s="63">
        <f>G134-180</f>
        <v>45325</v>
      </c>
      <c r="I134" s="60">
        <f t="shared" si="12"/>
        <v>3</v>
      </c>
      <c r="J134" s="60">
        <f t="shared" si="14"/>
        <v>0</v>
      </c>
      <c r="K134" s="60"/>
      <c r="L134" s="60"/>
      <c r="M134" s="60"/>
      <c r="N134" s="60">
        <v>1</v>
      </c>
      <c r="O134" s="60">
        <v>1</v>
      </c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>
        <v>1</v>
      </c>
      <c r="AA134" s="60"/>
      <c r="AB134" s="60"/>
      <c r="AC134" s="60"/>
      <c r="AD134" s="60"/>
      <c r="AE134" s="60"/>
      <c r="AF134" s="60"/>
      <c r="AG134" s="60"/>
      <c r="AH134" s="60"/>
      <c r="AI134" s="60"/>
      <c r="AJ134" s="64">
        <f t="shared" si="15"/>
        <v>639.75</v>
      </c>
    </row>
    <row r="135" spans="1:36" x14ac:dyDescent="0.25">
      <c r="A135" s="59" t="str">
        <f t="shared" ca="1" si="13"/>
        <v>VENCIDO</v>
      </c>
      <c r="B135" s="60" t="s">
        <v>869</v>
      </c>
      <c r="C135" s="61" t="s">
        <v>1887</v>
      </c>
      <c r="D135" s="82" t="s">
        <v>1723</v>
      </c>
      <c r="E135" s="75" t="s">
        <v>261</v>
      </c>
      <c r="F135" s="75" t="s">
        <v>408</v>
      </c>
      <c r="G135" s="63">
        <v>45505</v>
      </c>
      <c r="H135" s="63">
        <f>G135-180</f>
        <v>45325</v>
      </c>
      <c r="I135" s="60">
        <f t="shared" si="12"/>
        <v>3</v>
      </c>
      <c r="J135" s="60">
        <f t="shared" si="14"/>
        <v>0</v>
      </c>
      <c r="K135" s="60"/>
      <c r="L135" s="60"/>
      <c r="M135" s="60"/>
      <c r="N135" s="60"/>
      <c r="O135" s="60"/>
      <c r="P135" s="60">
        <v>2</v>
      </c>
      <c r="Q135" s="60"/>
      <c r="R135" s="60"/>
      <c r="S135" s="60"/>
      <c r="T135" s="60"/>
      <c r="U135" s="60"/>
      <c r="V135" s="60"/>
      <c r="W135" s="60"/>
      <c r="X135" s="60"/>
      <c r="Y135" s="60"/>
      <c r="Z135" s="60">
        <v>1</v>
      </c>
      <c r="AA135" s="60"/>
      <c r="AB135" s="60"/>
      <c r="AC135" s="60"/>
      <c r="AD135" s="60"/>
      <c r="AE135" s="60"/>
      <c r="AF135" s="60"/>
      <c r="AG135" s="60"/>
      <c r="AH135" s="60"/>
      <c r="AI135" s="60"/>
      <c r="AJ135" s="64">
        <f t="shared" si="15"/>
        <v>828.54000000000008</v>
      </c>
    </row>
    <row r="136" spans="1:36" x14ac:dyDescent="0.25">
      <c r="A136" s="59" t="str">
        <f t="shared" ca="1" si="13"/>
        <v>VENCIDO</v>
      </c>
      <c r="B136" s="60" t="s">
        <v>869</v>
      </c>
      <c r="C136" s="61" t="s">
        <v>1888</v>
      </c>
      <c r="D136" s="82" t="s">
        <v>1723</v>
      </c>
      <c r="E136" s="75" t="s">
        <v>261</v>
      </c>
      <c r="F136" s="75" t="s">
        <v>408</v>
      </c>
      <c r="G136" s="63">
        <v>45505</v>
      </c>
      <c r="H136" s="63">
        <f>G136-180</f>
        <v>45325</v>
      </c>
      <c r="I136" s="60">
        <f t="shared" si="12"/>
        <v>1</v>
      </c>
      <c r="J136" s="60">
        <f t="shared" si="14"/>
        <v>0</v>
      </c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>
        <v>1</v>
      </c>
      <c r="AA136" s="60"/>
      <c r="AB136" s="60"/>
      <c r="AC136" s="60"/>
      <c r="AD136" s="60"/>
      <c r="AE136" s="60"/>
      <c r="AF136" s="60"/>
      <c r="AG136" s="60"/>
      <c r="AH136" s="60"/>
      <c r="AI136" s="60"/>
      <c r="AJ136" s="64">
        <f t="shared" si="15"/>
        <v>197.84</v>
      </c>
    </row>
    <row r="137" spans="1:36" x14ac:dyDescent="0.25">
      <c r="A137" s="59" t="str">
        <f t="shared" ca="1" si="13"/>
        <v>VENCIDO</v>
      </c>
      <c r="B137" s="60" t="s">
        <v>869</v>
      </c>
      <c r="C137" s="61" t="s">
        <v>1889</v>
      </c>
      <c r="D137" s="82" t="s">
        <v>1885</v>
      </c>
      <c r="E137" s="75" t="s">
        <v>261</v>
      </c>
      <c r="F137" s="75" t="s">
        <v>408</v>
      </c>
      <c r="G137" s="63">
        <v>45413</v>
      </c>
      <c r="H137" s="63">
        <v>45413</v>
      </c>
      <c r="I137" s="60">
        <f t="shared" si="12"/>
        <v>2</v>
      </c>
      <c r="J137" s="60">
        <f t="shared" si="14"/>
        <v>0</v>
      </c>
      <c r="K137" s="60"/>
      <c r="L137" s="60"/>
      <c r="M137" s="60"/>
      <c r="N137" s="60"/>
      <c r="O137" s="60"/>
      <c r="P137" s="60"/>
      <c r="Q137" s="60"/>
      <c r="R137" s="60"/>
      <c r="S137" s="60">
        <v>1</v>
      </c>
      <c r="T137" s="60"/>
      <c r="U137" s="60"/>
      <c r="V137" s="60"/>
      <c r="W137" s="60"/>
      <c r="X137" s="60"/>
      <c r="Y137" s="60"/>
      <c r="Z137" s="60">
        <v>1</v>
      </c>
      <c r="AA137" s="60"/>
      <c r="AB137" s="60"/>
      <c r="AC137" s="60"/>
      <c r="AD137" s="60"/>
      <c r="AE137" s="60"/>
      <c r="AF137" s="60"/>
      <c r="AG137" s="60"/>
      <c r="AH137" s="60"/>
      <c r="AI137" s="60"/>
      <c r="AJ137" s="64">
        <f t="shared" si="15"/>
        <v>765.31000000000006</v>
      </c>
    </row>
    <row r="138" spans="1:36" x14ac:dyDescent="0.25">
      <c r="A138" s="59" t="str">
        <f t="shared" ca="1" si="13"/>
        <v>VENCIDO</v>
      </c>
      <c r="B138" s="60" t="s">
        <v>869</v>
      </c>
      <c r="C138" s="61" t="s">
        <v>1890</v>
      </c>
      <c r="D138" s="82" t="s">
        <v>1768</v>
      </c>
      <c r="E138" s="75" t="s">
        <v>261</v>
      </c>
      <c r="F138" s="75" t="s">
        <v>408</v>
      </c>
      <c r="G138" s="63">
        <v>45323</v>
      </c>
      <c r="H138" s="63">
        <v>45323</v>
      </c>
      <c r="I138" s="60">
        <f t="shared" si="12"/>
        <v>3</v>
      </c>
      <c r="J138" s="60">
        <f t="shared" si="14"/>
        <v>0</v>
      </c>
      <c r="K138" s="60"/>
      <c r="L138" s="60"/>
      <c r="M138" s="60"/>
      <c r="N138" s="60"/>
      <c r="O138" s="60"/>
      <c r="P138" s="60">
        <v>2</v>
      </c>
      <c r="Q138" s="60"/>
      <c r="R138" s="60"/>
      <c r="S138" s="60"/>
      <c r="T138" s="60"/>
      <c r="U138" s="60"/>
      <c r="V138" s="60"/>
      <c r="W138" s="60"/>
      <c r="X138" s="60"/>
      <c r="Y138" s="60"/>
      <c r="Z138" s="60">
        <v>1</v>
      </c>
      <c r="AA138" s="60"/>
      <c r="AB138" s="60"/>
      <c r="AC138" s="60"/>
      <c r="AD138" s="60"/>
      <c r="AE138" s="60"/>
      <c r="AF138" s="60"/>
      <c r="AG138" s="60"/>
      <c r="AH138" s="60"/>
      <c r="AI138" s="60"/>
      <c r="AJ138" s="64">
        <f t="shared" si="15"/>
        <v>828.54000000000008</v>
      </c>
    </row>
    <row r="139" spans="1:36" x14ac:dyDescent="0.25">
      <c r="A139" s="59" t="str">
        <f t="shared" ca="1" si="13"/>
        <v>VENCIDO</v>
      </c>
      <c r="B139" s="60" t="s">
        <v>869</v>
      </c>
      <c r="C139" s="61" t="s">
        <v>1891</v>
      </c>
      <c r="D139" s="82" t="s">
        <v>260</v>
      </c>
      <c r="E139" s="75" t="s">
        <v>261</v>
      </c>
      <c r="F139" s="75" t="s">
        <v>408</v>
      </c>
      <c r="G139" s="63">
        <v>45505</v>
      </c>
      <c r="H139" s="63">
        <f>G139-180</f>
        <v>45325</v>
      </c>
      <c r="I139" s="60">
        <f t="shared" si="12"/>
        <v>3</v>
      </c>
      <c r="J139" s="60">
        <f t="shared" si="14"/>
        <v>0</v>
      </c>
      <c r="K139" s="60"/>
      <c r="L139" s="60"/>
      <c r="M139" s="60"/>
      <c r="N139" s="60">
        <v>1</v>
      </c>
      <c r="O139" s="60"/>
      <c r="P139" s="60">
        <v>1</v>
      </c>
      <c r="Q139" s="60"/>
      <c r="R139" s="60"/>
      <c r="S139" s="60"/>
      <c r="T139" s="60"/>
      <c r="U139" s="60"/>
      <c r="V139" s="60"/>
      <c r="W139" s="60"/>
      <c r="X139" s="60"/>
      <c r="Y139" s="60"/>
      <c r="Z139" s="60">
        <v>1</v>
      </c>
      <c r="AA139" s="60"/>
      <c r="AB139" s="60"/>
      <c r="AC139" s="60"/>
      <c r="AD139" s="60"/>
      <c r="AE139" s="60"/>
      <c r="AF139" s="60"/>
      <c r="AG139" s="60"/>
      <c r="AH139" s="60"/>
      <c r="AI139" s="60"/>
      <c r="AJ139" s="64">
        <f t="shared" si="15"/>
        <v>711.0100000000001</v>
      </c>
    </row>
    <row r="140" spans="1:36" x14ac:dyDescent="0.25">
      <c r="A140" s="59" t="str">
        <f t="shared" ca="1" si="13"/>
        <v>VENCIDO</v>
      </c>
      <c r="B140" s="60" t="s">
        <v>869</v>
      </c>
      <c r="C140" s="61" t="s">
        <v>1892</v>
      </c>
      <c r="D140" s="82" t="s">
        <v>1701</v>
      </c>
      <c r="E140" s="75" t="s">
        <v>261</v>
      </c>
      <c r="F140" s="75" t="s">
        <v>408</v>
      </c>
      <c r="G140" s="63">
        <v>45413</v>
      </c>
      <c r="H140" s="63">
        <v>45413</v>
      </c>
      <c r="I140" s="60">
        <f t="shared" si="12"/>
        <v>3</v>
      </c>
      <c r="J140" s="60">
        <f t="shared" si="14"/>
        <v>0</v>
      </c>
      <c r="K140" s="60"/>
      <c r="L140" s="60"/>
      <c r="M140" s="60"/>
      <c r="N140" s="60"/>
      <c r="O140" s="60"/>
      <c r="P140" s="60">
        <v>2</v>
      </c>
      <c r="Q140" s="60"/>
      <c r="R140" s="60"/>
      <c r="S140" s="60"/>
      <c r="T140" s="60"/>
      <c r="U140" s="60"/>
      <c r="V140" s="60"/>
      <c r="W140" s="60"/>
      <c r="X140" s="60"/>
      <c r="Y140" s="60"/>
      <c r="Z140" s="60">
        <v>1</v>
      </c>
      <c r="AA140" s="60"/>
      <c r="AB140" s="60"/>
      <c r="AC140" s="60"/>
      <c r="AD140" s="60"/>
      <c r="AE140" s="60"/>
      <c r="AF140" s="60"/>
      <c r="AG140" s="60"/>
      <c r="AH140" s="60"/>
      <c r="AI140" s="60"/>
      <c r="AJ140" s="64">
        <f t="shared" si="15"/>
        <v>828.54000000000008</v>
      </c>
    </row>
    <row r="141" spans="1:36" x14ac:dyDescent="0.25">
      <c r="A141" s="59" t="str">
        <f t="shared" ca="1" si="13"/>
        <v>VENCIDO</v>
      </c>
      <c r="B141" s="60" t="s">
        <v>869</v>
      </c>
      <c r="C141" s="61" t="s">
        <v>1893</v>
      </c>
      <c r="D141" s="82" t="s">
        <v>260</v>
      </c>
      <c r="E141" s="75" t="s">
        <v>261</v>
      </c>
      <c r="F141" s="75" t="s">
        <v>408</v>
      </c>
      <c r="G141" s="63">
        <v>45383</v>
      </c>
      <c r="H141" s="63">
        <v>45383</v>
      </c>
      <c r="I141" s="60">
        <f t="shared" si="12"/>
        <v>5</v>
      </c>
      <c r="J141" s="60">
        <f t="shared" si="14"/>
        <v>0</v>
      </c>
      <c r="K141" s="60"/>
      <c r="L141" s="60"/>
      <c r="M141" s="60"/>
      <c r="N141" s="60"/>
      <c r="O141" s="60"/>
      <c r="P141" s="60"/>
      <c r="Q141" s="60"/>
      <c r="R141" s="60"/>
      <c r="S141" s="60">
        <v>3</v>
      </c>
      <c r="T141" s="60"/>
      <c r="U141" s="60"/>
      <c r="V141" s="60"/>
      <c r="W141" s="60"/>
      <c r="X141" s="60"/>
      <c r="Y141" s="60"/>
      <c r="Z141" s="60">
        <v>2</v>
      </c>
      <c r="AA141" s="60"/>
      <c r="AB141" s="60"/>
      <c r="AC141" s="60"/>
      <c r="AD141" s="60"/>
      <c r="AE141" s="60"/>
      <c r="AF141" s="60"/>
      <c r="AG141" s="60"/>
      <c r="AH141" s="60"/>
      <c r="AI141" s="60"/>
      <c r="AJ141" s="64">
        <f t="shared" si="15"/>
        <v>2098.09</v>
      </c>
    </row>
    <row r="142" spans="1:36" x14ac:dyDescent="0.25">
      <c r="A142" s="59" t="str">
        <f t="shared" ca="1" si="13"/>
        <v>VENCIDO</v>
      </c>
      <c r="B142" s="60" t="s">
        <v>869</v>
      </c>
      <c r="C142" s="61" t="s">
        <v>1894</v>
      </c>
      <c r="D142" s="82" t="s">
        <v>1895</v>
      </c>
      <c r="E142" s="75" t="s">
        <v>261</v>
      </c>
      <c r="F142" s="75" t="s">
        <v>408</v>
      </c>
      <c r="G142" s="63">
        <v>45444</v>
      </c>
      <c r="H142" s="63">
        <v>45444</v>
      </c>
      <c r="I142" s="60">
        <f t="shared" si="12"/>
        <v>3</v>
      </c>
      <c r="J142" s="60">
        <f t="shared" si="14"/>
        <v>0</v>
      </c>
      <c r="K142" s="60"/>
      <c r="L142" s="60"/>
      <c r="M142" s="60"/>
      <c r="N142" s="60"/>
      <c r="O142" s="60"/>
      <c r="P142" s="60">
        <v>2</v>
      </c>
      <c r="Q142" s="60"/>
      <c r="R142" s="60"/>
      <c r="S142" s="60"/>
      <c r="T142" s="60"/>
      <c r="U142" s="60"/>
      <c r="V142" s="60"/>
      <c r="W142" s="60"/>
      <c r="X142" s="60"/>
      <c r="Y142" s="60"/>
      <c r="Z142" s="60">
        <v>1</v>
      </c>
      <c r="AA142" s="60"/>
      <c r="AB142" s="60"/>
      <c r="AC142" s="60"/>
      <c r="AD142" s="60"/>
      <c r="AE142" s="60"/>
      <c r="AF142" s="60"/>
      <c r="AG142" s="60"/>
      <c r="AH142" s="60"/>
      <c r="AI142" s="60"/>
      <c r="AJ142" s="64">
        <f t="shared" si="15"/>
        <v>828.54000000000008</v>
      </c>
    </row>
    <row r="143" spans="1:36" x14ac:dyDescent="0.25">
      <c r="A143" s="59" t="str">
        <f t="shared" ca="1" si="13"/>
        <v>VENCIDO</v>
      </c>
      <c r="B143" s="60" t="s">
        <v>869</v>
      </c>
      <c r="C143" s="61" t="s">
        <v>1896</v>
      </c>
      <c r="D143" s="82" t="s">
        <v>260</v>
      </c>
      <c r="E143" s="75" t="s">
        <v>261</v>
      </c>
      <c r="F143" s="75" t="s">
        <v>408</v>
      </c>
      <c r="G143" s="63">
        <v>45413</v>
      </c>
      <c r="H143" s="63">
        <v>45413</v>
      </c>
      <c r="I143" s="60">
        <f t="shared" si="12"/>
        <v>3</v>
      </c>
      <c r="J143" s="60">
        <f t="shared" si="14"/>
        <v>0</v>
      </c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>
        <v>3</v>
      </c>
      <c r="AA143" s="60"/>
      <c r="AB143" s="60"/>
      <c r="AC143" s="60"/>
      <c r="AD143" s="60"/>
      <c r="AE143" s="60"/>
      <c r="AF143" s="60"/>
      <c r="AG143" s="60"/>
      <c r="AH143" s="60"/>
      <c r="AI143" s="60"/>
      <c r="AJ143" s="64">
        <f t="shared" si="15"/>
        <v>593.52</v>
      </c>
    </row>
    <row r="144" spans="1:36" x14ac:dyDescent="0.25">
      <c r="A144" s="59" t="str">
        <f t="shared" ca="1" si="13"/>
        <v>VENCIDO</v>
      </c>
      <c r="B144" s="60" t="s">
        <v>869</v>
      </c>
      <c r="C144" s="61" t="s">
        <v>1897</v>
      </c>
      <c r="D144" s="82" t="s">
        <v>260</v>
      </c>
      <c r="E144" s="75" t="s">
        <v>261</v>
      </c>
      <c r="F144" s="75" t="s">
        <v>408</v>
      </c>
      <c r="G144" s="63">
        <v>45444</v>
      </c>
      <c r="H144" s="63">
        <v>45444</v>
      </c>
      <c r="I144" s="60">
        <f t="shared" si="12"/>
        <v>5</v>
      </c>
      <c r="J144" s="60">
        <f t="shared" si="14"/>
        <v>0</v>
      </c>
      <c r="K144" s="60"/>
      <c r="L144" s="60"/>
      <c r="M144" s="60"/>
      <c r="N144" s="60"/>
      <c r="O144" s="60"/>
      <c r="P144" s="60"/>
      <c r="Q144" s="60">
        <v>1</v>
      </c>
      <c r="R144" s="60"/>
      <c r="S144" s="60">
        <v>2</v>
      </c>
      <c r="T144" s="60"/>
      <c r="U144" s="60"/>
      <c r="V144" s="60"/>
      <c r="W144" s="60"/>
      <c r="X144" s="60"/>
      <c r="Y144" s="60"/>
      <c r="Z144" s="60">
        <v>2</v>
      </c>
      <c r="AA144" s="60"/>
      <c r="AB144" s="60"/>
      <c r="AC144" s="60"/>
      <c r="AD144" s="60"/>
      <c r="AE144" s="60"/>
      <c r="AF144" s="60"/>
      <c r="AG144" s="60"/>
      <c r="AH144" s="60"/>
      <c r="AI144" s="60"/>
      <c r="AJ144" s="64">
        <f t="shared" si="15"/>
        <v>2597.9199999999996</v>
      </c>
    </row>
    <row r="145" spans="1:36" x14ac:dyDescent="0.25">
      <c r="A145" s="59" t="str">
        <f t="shared" ca="1" si="13"/>
        <v>VENCIDO</v>
      </c>
      <c r="B145" s="60" t="s">
        <v>869</v>
      </c>
      <c r="C145" s="61" t="s">
        <v>1898</v>
      </c>
      <c r="D145" s="82" t="s">
        <v>1899</v>
      </c>
      <c r="E145" s="75" t="s">
        <v>261</v>
      </c>
      <c r="F145" s="75" t="s">
        <v>408</v>
      </c>
      <c r="G145" s="63">
        <v>45323</v>
      </c>
      <c r="H145" s="63">
        <v>45323</v>
      </c>
      <c r="I145" s="60">
        <f t="shared" ref="I145:I176" si="16">SUM(K145:AD145)</f>
        <v>3</v>
      </c>
      <c r="J145" s="60">
        <f t="shared" si="14"/>
        <v>0</v>
      </c>
      <c r="K145" s="60"/>
      <c r="L145" s="60"/>
      <c r="M145" s="60"/>
      <c r="N145" s="60">
        <v>2</v>
      </c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>
        <v>1</v>
      </c>
      <c r="AA145" s="60"/>
      <c r="AB145" s="60"/>
      <c r="AC145" s="60"/>
      <c r="AD145" s="60"/>
      <c r="AE145" s="60"/>
      <c r="AF145" s="60"/>
      <c r="AG145" s="60"/>
      <c r="AH145" s="60"/>
      <c r="AI145" s="60"/>
      <c r="AJ145" s="64">
        <f t="shared" si="15"/>
        <v>593.48</v>
      </c>
    </row>
    <row r="146" spans="1:36" x14ac:dyDescent="0.25">
      <c r="A146" s="59" t="str">
        <f t="shared" ca="1" si="13"/>
        <v>VENCIDO</v>
      </c>
      <c r="B146" s="60" t="s">
        <v>772</v>
      </c>
      <c r="C146" s="61" t="s">
        <v>1900</v>
      </c>
      <c r="D146" s="82" t="s">
        <v>1753</v>
      </c>
      <c r="E146" s="75" t="s">
        <v>261</v>
      </c>
      <c r="F146" s="75" t="s">
        <v>408</v>
      </c>
      <c r="G146" s="63">
        <v>45474</v>
      </c>
      <c r="H146" s="63">
        <f>G146-180</f>
        <v>45294</v>
      </c>
      <c r="I146" s="60">
        <f t="shared" si="16"/>
        <v>3</v>
      </c>
      <c r="J146" s="60">
        <f t="shared" si="14"/>
        <v>0</v>
      </c>
      <c r="K146" s="60"/>
      <c r="L146" s="60"/>
      <c r="M146" s="60"/>
      <c r="N146" s="60">
        <v>1</v>
      </c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>
        <v>2</v>
      </c>
      <c r="AA146" s="60"/>
      <c r="AB146" s="60"/>
      <c r="AC146" s="60"/>
      <c r="AD146" s="60"/>
      <c r="AE146" s="60"/>
      <c r="AF146" s="60"/>
      <c r="AG146" s="60"/>
      <c r="AH146" s="60"/>
      <c r="AI146" s="60"/>
      <c r="AJ146" s="64">
        <f t="shared" si="15"/>
        <v>593.5</v>
      </c>
    </row>
    <row r="147" spans="1:36" x14ac:dyDescent="0.25">
      <c r="A147" s="59" t="str">
        <f t="shared" ca="1" si="13"/>
        <v>VENCIDO</v>
      </c>
      <c r="B147" s="60" t="s">
        <v>869</v>
      </c>
      <c r="C147" s="61" t="s">
        <v>1901</v>
      </c>
      <c r="D147" s="82" t="s">
        <v>260</v>
      </c>
      <c r="E147" s="75" t="s">
        <v>261</v>
      </c>
      <c r="F147" s="75" t="s">
        <v>408</v>
      </c>
      <c r="G147" s="63">
        <v>45444</v>
      </c>
      <c r="H147" s="63">
        <v>45444</v>
      </c>
      <c r="I147" s="60">
        <f t="shared" si="16"/>
        <v>4</v>
      </c>
      <c r="J147" s="60">
        <f t="shared" si="14"/>
        <v>0</v>
      </c>
      <c r="K147" s="60"/>
      <c r="L147" s="60"/>
      <c r="M147" s="60"/>
      <c r="N147" s="60"/>
      <c r="O147" s="60"/>
      <c r="P147" s="60">
        <v>2</v>
      </c>
      <c r="Q147" s="60"/>
      <c r="R147" s="60"/>
      <c r="S147" s="60"/>
      <c r="T147" s="60"/>
      <c r="U147" s="60"/>
      <c r="V147" s="60"/>
      <c r="W147" s="60"/>
      <c r="X147" s="60"/>
      <c r="Y147" s="60"/>
      <c r="Z147" s="60">
        <v>2</v>
      </c>
      <c r="AA147" s="60"/>
      <c r="AB147" s="60"/>
      <c r="AC147" s="60"/>
      <c r="AD147" s="60"/>
      <c r="AE147" s="60"/>
      <c r="AF147" s="60"/>
      <c r="AG147" s="60"/>
      <c r="AH147" s="60"/>
      <c r="AI147" s="60"/>
      <c r="AJ147" s="64">
        <f t="shared" si="15"/>
        <v>1026.3800000000001</v>
      </c>
    </row>
    <row r="148" spans="1:36" x14ac:dyDescent="0.25">
      <c r="A148" s="59" t="str">
        <f t="shared" ca="1" si="13"/>
        <v>VENCIDO</v>
      </c>
      <c r="B148" s="60" t="s">
        <v>869</v>
      </c>
      <c r="C148" s="61" t="s">
        <v>1902</v>
      </c>
      <c r="D148" s="82" t="s">
        <v>1699</v>
      </c>
      <c r="E148" s="75" t="s">
        <v>261</v>
      </c>
      <c r="F148" s="75" t="s">
        <v>408</v>
      </c>
      <c r="G148" s="63">
        <v>45536</v>
      </c>
      <c r="H148" s="63">
        <f>G148-180</f>
        <v>45356</v>
      </c>
      <c r="I148" s="60">
        <f t="shared" si="16"/>
        <v>1</v>
      </c>
      <c r="J148" s="60">
        <f t="shared" si="14"/>
        <v>0</v>
      </c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>
        <v>1</v>
      </c>
      <c r="AA148" s="60"/>
      <c r="AB148" s="60"/>
      <c r="AC148" s="60"/>
      <c r="AD148" s="60"/>
      <c r="AE148" s="60"/>
      <c r="AF148" s="60"/>
      <c r="AG148" s="60"/>
      <c r="AH148" s="60"/>
      <c r="AI148" s="60"/>
      <c r="AJ148" s="64">
        <f t="shared" si="15"/>
        <v>197.84</v>
      </c>
    </row>
    <row r="149" spans="1:36" x14ac:dyDescent="0.25">
      <c r="A149" s="59" t="str">
        <f t="shared" ca="1" si="13"/>
        <v>VENCIDO</v>
      </c>
      <c r="B149" s="60" t="s">
        <v>869</v>
      </c>
      <c r="C149" s="61" t="s">
        <v>1903</v>
      </c>
      <c r="D149" s="82" t="s">
        <v>260</v>
      </c>
      <c r="E149" s="75" t="s">
        <v>261</v>
      </c>
      <c r="F149" s="75" t="s">
        <v>408</v>
      </c>
      <c r="G149" s="63">
        <v>45505</v>
      </c>
      <c r="H149" s="63">
        <f>G149-180</f>
        <v>45325</v>
      </c>
      <c r="I149" s="60">
        <f t="shared" si="16"/>
        <v>3</v>
      </c>
      <c r="J149" s="60">
        <f t="shared" si="14"/>
        <v>0</v>
      </c>
      <c r="K149" s="60"/>
      <c r="L149" s="60"/>
      <c r="M149" s="60"/>
      <c r="N149" s="60"/>
      <c r="O149" s="60"/>
      <c r="P149" s="60">
        <v>2</v>
      </c>
      <c r="Q149" s="60"/>
      <c r="R149" s="60"/>
      <c r="S149" s="60"/>
      <c r="T149" s="60"/>
      <c r="U149" s="60"/>
      <c r="V149" s="60"/>
      <c r="W149" s="60"/>
      <c r="X149" s="60"/>
      <c r="Y149" s="60"/>
      <c r="Z149" s="60">
        <v>1</v>
      </c>
      <c r="AA149" s="60"/>
      <c r="AB149" s="60"/>
      <c r="AC149" s="60"/>
      <c r="AD149" s="60"/>
      <c r="AE149" s="60"/>
      <c r="AF149" s="60"/>
      <c r="AG149" s="60"/>
      <c r="AH149" s="60"/>
      <c r="AI149" s="60"/>
      <c r="AJ149" s="64">
        <f t="shared" si="15"/>
        <v>828.54000000000008</v>
      </c>
    </row>
    <row r="150" spans="1:36" x14ac:dyDescent="0.25">
      <c r="A150" s="59" t="str">
        <f t="shared" ca="1" si="13"/>
        <v>VENCIDO</v>
      </c>
      <c r="B150" s="60" t="s">
        <v>869</v>
      </c>
      <c r="C150" s="61" t="s">
        <v>1904</v>
      </c>
      <c r="D150" s="82" t="s">
        <v>303</v>
      </c>
      <c r="E150" s="75" t="s">
        <v>261</v>
      </c>
      <c r="F150" s="75" t="s">
        <v>408</v>
      </c>
      <c r="G150" s="63">
        <v>45383</v>
      </c>
      <c r="H150" s="63">
        <v>45017</v>
      </c>
      <c r="I150" s="60">
        <f t="shared" si="16"/>
        <v>4</v>
      </c>
      <c r="J150" s="60">
        <f t="shared" si="14"/>
        <v>0</v>
      </c>
      <c r="K150" s="60"/>
      <c r="L150" s="60"/>
      <c r="M150" s="60"/>
      <c r="N150" s="60"/>
      <c r="O150" s="60"/>
      <c r="P150" s="60">
        <v>2</v>
      </c>
      <c r="Q150" s="60"/>
      <c r="R150" s="60"/>
      <c r="S150" s="60"/>
      <c r="T150" s="60"/>
      <c r="U150" s="60"/>
      <c r="V150" s="60"/>
      <c r="W150" s="60"/>
      <c r="X150" s="60"/>
      <c r="Y150" s="60"/>
      <c r="Z150" s="60">
        <v>2</v>
      </c>
      <c r="AA150" s="60"/>
      <c r="AB150" s="60"/>
      <c r="AC150" s="60"/>
      <c r="AD150" s="60"/>
      <c r="AE150" s="60"/>
      <c r="AF150" s="60"/>
      <c r="AG150" s="60"/>
      <c r="AH150" s="60"/>
      <c r="AI150" s="60"/>
      <c r="AJ150" s="64">
        <f t="shared" si="15"/>
        <v>1026.3800000000001</v>
      </c>
    </row>
    <row r="151" spans="1:36" x14ac:dyDescent="0.25">
      <c r="A151" s="59" t="str">
        <f t="shared" ca="1" si="13"/>
        <v>VENCIDO</v>
      </c>
      <c r="B151" s="60" t="s">
        <v>869</v>
      </c>
      <c r="C151" s="61" t="s">
        <v>1905</v>
      </c>
      <c r="D151" s="82" t="s">
        <v>303</v>
      </c>
      <c r="E151" s="75" t="s">
        <v>261</v>
      </c>
      <c r="F151" s="75" t="s">
        <v>408</v>
      </c>
      <c r="G151" s="63">
        <v>45536</v>
      </c>
      <c r="H151" s="63">
        <f>G151-180</f>
        <v>45356</v>
      </c>
      <c r="I151" s="60">
        <f t="shared" si="16"/>
        <v>4</v>
      </c>
      <c r="J151" s="60">
        <f t="shared" si="14"/>
        <v>0</v>
      </c>
      <c r="K151" s="60"/>
      <c r="L151" s="60"/>
      <c r="M151" s="60"/>
      <c r="N151" s="60"/>
      <c r="O151" s="60"/>
      <c r="P151" s="60">
        <v>2</v>
      </c>
      <c r="Q151" s="60"/>
      <c r="R151" s="60"/>
      <c r="S151" s="60"/>
      <c r="T151" s="60"/>
      <c r="U151" s="60"/>
      <c r="V151" s="60"/>
      <c r="W151" s="60"/>
      <c r="X151" s="60"/>
      <c r="Y151" s="60"/>
      <c r="Z151" s="60">
        <v>2</v>
      </c>
      <c r="AA151" s="60"/>
      <c r="AB151" s="60"/>
      <c r="AC151" s="60"/>
      <c r="AD151" s="60"/>
      <c r="AE151" s="60"/>
      <c r="AF151" s="60"/>
      <c r="AG151" s="60"/>
      <c r="AH151" s="60"/>
      <c r="AI151" s="60"/>
      <c r="AJ151" s="64">
        <f t="shared" si="15"/>
        <v>1026.3800000000001</v>
      </c>
    </row>
    <row r="152" spans="1:36" x14ac:dyDescent="0.25">
      <c r="A152" s="59" t="str">
        <f t="shared" ca="1" si="13"/>
        <v>VENCIDO</v>
      </c>
      <c r="B152" s="60" t="s">
        <v>869</v>
      </c>
      <c r="C152" s="61" t="s">
        <v>1327</v>
      </c>
      <c r="D152" s="82" t="s">
        <v>303</v>
      </c>
      <c r="E152" s="75" t="s">
        <v>261</v>
      </c>
      <c r="F152" s="75" t="s">
        <v>408</v>
      </c>
      <c r="G152" s="63">
        <v>45536</v>
      </c>
      <c r="H152" s="63">
        <f>G152-180</f>
        <v>45356</v>
      </c>
      <c r="I152" s="60">
        <f t="shared" si="16"/>
        <v>3</v>
      </c>
      <c r="J152" s="60">
        <f t="shared" si="14"/>
        <v>0</v>
      </c>
      <c r="K152" s="60"/>
      <c r="L152" s="60"/>
      <c r="M152" s="60"/>
      <c r="N152" s="60"/>
      <c r="O152" s="60"/>
      <c r="P152" s="60">
        <v>2</v>
      </c>
      <c r="Q152" s="60"/>
      <c r="R152" s="60"/>
      <c r="S152" s="60"/>
      <c r="T152" s="60"/>
      <c r="U152" s="60"/>
      <c r="V152" s="60"/>
      <c r="W152" s="60"/>
      <c r="X152" s="60"/>
      <c r="Y152" s="60"/>
      <c r="Z152" s="60">
        <v>1</v>
      </c>
      <c r="AA152" s="60"/>
      <c r="AB152" s="60"/>
      <c r="AC152" s="60"/>
      <c r="AD152" s="60"/>
      <c r="AE152" s="60"/>
      <c r="AF152" s="60"/>
      <c r="AG152" s="60"/>
      <c r="AH152" s="60"/>
      <c r="AI152" s="60"/>
      <c r="AJ152" s="64">
        <f t="shared" si="15"/>
        <v>828.54000000000008</v>
      </c>
    </row>
    <row r="153" spans="1:36" x14ac:dyDescent="0.25">
      <c r="A153" s="59" t="str">
        <f t="shared" ca="1" si="13"/>
        <v>VENCIDO</v>
      </c>
      <c r="B153" s="60" t="s">
        <v>869</v>
      </c>
      <c r="C153" s="61" t="s">
        <v>1906</v>
      </c>
      <c r="D153" s="82" t="s">
        <v>303</v>
      </c>
      <c r="E153" s="75" t="s">
        <v>261</v>
      </c>
      <c r="F153" s="75" t="s">
        <v>408</v>
      </c>
      <c r="G153" s="63">
        <v>45536</v>
      </c>
      <c r="H153" s="63">
        <f>G153-180</f>
        <v>45356</v>
      </c>
      <c r="I153" s="60">
        <f t="shared" si="16"/>
        <v>3</v>
      </c>
      <c r="J153" s="60">
        <f t="shared" si="14"/>
        <v>0</v>
      </c>
      <c r="K153" s="60"/>
      <c r="L153" s="60"/>
      <c r="M153" s="60"/>
      <c r="N153" s="60"/>
      <c r="O153" s="60">
        <v>1</v>
      </c>
      <c r="P153" s="60">
        <v>1</v>
      </c>
      <c r="Q153" s="60"/>
      <c r="R153" s="60"/>
      <c r="S153" s="60"/>
      <c r="T153" s="60"/>
      <c r="U153" s="60"/>
      <c r="V153" s="60"/>
      <c r="W153" s="60"/>
      <c r="X153" s="60"/>
      <c r="Y153" s="60"/>
      <c r="Z153" s="60">
        <v>1</v>
      </c>
      <c r="AA153" s="60"/>
      <c r="AB153" s="60"/>
      <c r="AC153" s="60"/>
      <c r="AD153" s="60"/>
      <c r="AE153" s="60"/>
      <c r="AF153" s="60"/>
      <c r="AG153" s="60"/>
      <c r="AH153" s="60"/>
      <c r="AI153" s="60"/>
      <c r="AJ153" s="64">
        <f t="shared" si="15"/>
        <v>757.28000000000009</v>
      </c>
    </row>
    <row r="154" spans="1:36" x14ac:dyDescent="0.25">
      <c r="A154" s="59" t="str">
        <f t="shared" ca="1" si="13"/>
        <v>VENCIDO</v>
      </c>
      <c r="B154" s="60" t="s">
        <v>869</v>
      </c>
      <c r="C154" s="61" t="s">
        <v>1907</v>
      </c>
      <c r="D154" s="82" t="s">
        <v>1908</v>
      </c>
      <c r="E154" s="75" t="s">
        <v>261</v>
      </c>
      <c r="F154" s="75" t="s">
        <v>408</v>
      </c>
      <c r="G154" s="63">
        <v>45474</v>
      </c>
      <c r="H154" s="63">
        <v>45474</v>
      </c>
      <c r="I154" s="60">
        <f t="shared" si="16"/>
        <v>3</v>
      </c>
      <c r="J154" s="60">
        <f t="shared" si="14"/>
        <v>0</v>
      </c>
      <c r="K154" s="60"/>
      <c r="L154" s="60"/>
      <c r="M154" s="60"/>
      <c r="N154" s="60"/>
      <c r="O154" s="60"/>
      <c r="P154" s="60">
        <v>2</v>
      </c>
      <c r="Q154" s="60"/>
      <c r="R154" s="60"/>
      <c r="S154" s="60"/>
      <c r="T154" s="60"/>
      <c r="U154" s="60"/>
      <c r="V154" s="60"/>
      <c r="W154" s="60"/>
      <c r="X154" s="60"/>
      <c r="Y154" s="60"/>
      <c r="Z154" s="60">
        <v>1</v>
      </c>
      <c r="AA154" s="60"/>
      <c r="AB154" s="60"/>
      <c r="AC154" s="60"/>
      <c r="AD154" s="60"/>
      <c r="AE154" s="60"/>
      <c r="AF154" s="60"/>
      <c r="AG154" s="60"/>
      <c r="AH154" s="60"/>
      <c r="AI154" s="60"/>
      <c r="AJ154" s="64">
        <f t="shared" si="15"/>
        <v>828.54000000000008</v>
      </c>
    </row>
    <row r="155" spans="1:36" x14ac:dyDescent="0.25">
      <c r="A155" s="59" t="str">
        <f t="shared" ca="1" si="13"/>
        <v>VENCIDO</v>
      </c>
      <c r="B155" s="60" t="s">
        <v>869</v>
      </c>
      <c r="C155" s="61" t="s">
        <v>1909</v>
      </c>
      <c r="D155" s="82" t="s">
        <v>561</v>
      </c>
      <c r="E155" s="75" t="s">
        <v>261</v>
      </c>
      <c r="F155" s="75" t="s">
        <v>408</v>
      </c>
      <c r="G155" s="63">
        <v>45444</v>
      </c>
      <c r="H155" s="63">
        <f>G155-180</f>
        <v>45264</v>
      </c>
      <c r="I155" s="60">
        <f t="shared" si="16"/>
        <v>1</v>
      </c>
      <c r="J155" s="60">
        <f t="shared" si="14"/>
        <v>0</v>
      </c>
      <c r="K155" s="60"/>
      <c r="L155" s="60"/>
      <c r="M155" s="60"/>
      <c r="N155" s="60"/>
      <c r="O155" s="60">
        <v>1</v>
      </c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4">
        <f t="shared" si="15"/>
        <v>244.09</v>
      </c>
    </row>
    <row r="156" spans="1:36" x14ac:dyDescent="0.25">
      <c r="A156" s="59" t="str">
        <f t="shared" ca="1" si="13"/>
        <v>VENCIDO</v>
      </c>
      <c r="B156" s="60" t="s">
        <v>869</v>
      </c>
      <c r="C156" s="61" t="s">
        <v>1910</v>
      </c>
      <c r="D156" s="82" t="s">
        <v>1726</v>
      </c>
      <c r="E156" s="75" t="s">
        <v>261</v>
      </c>
      <c r="F156" s="75" t="s">
        <v>408</v>
      </c>
      <c r="G156" s="63">
        <v>45383</v>
      </c>
      <c r="H156" s="63">
        <v>45383</v>
      </c>
      <c r="I156" s="60">
        <f t="shared" si="16"/>
        <v>3</v>
      </c>
      <c r="J156" s="60">
        <f t="shared" si="14"/>
        <v>0</v>
      </c>
      <c r="K156" s="60"/>
      <c r="L156" s="60"/>
      <c r="M156" s="60"/>
      <c r="N156" s="60"/>
      <c r="O156" s="60"/>
      <c r="P156" s="60">
        <v>2</v>
      </c>
      <c r="Q156" s="60"/>
      <c r="R156" s="60"/>
      <c r="S156" s="60"/>
      <c r="T156" s="60"/>
      <c r="U156" s="60"/>
      <c r="V156" s="60"/>
      <c r="W156" s="60"/>
      <c r="X156" s="60"/>
      <c r="Y156" s="60"/>
      <c r="Z156" s="60">
        <v>1</v>
      </c>
      <c r="AA156" s="60"/>
      <c r="AB156" s="60"/>
      <c r="AC156" s="60"/>
      <c r="AD156" s="60"/>
      <c r="AE156" s="60"/>
      <c r="AF156" s="60"/>
      <c r="AG156" s="60"/>
      <c r="AH156" s="60"/>
      <c r="AI156" s="60"/>
      <c r="AJ156" s="64">
        <f t="shared" si="15"/>
        <v>828.54000000000008</v>
      </c>
    </row>
    <row r="157" spans="1:36" x14ac:dyDescent="0.25">
      <c r="A157" s="59" t="str">
        <f t="shared" ca="1" si="13"/>
        <v>VENCIDO</v>
      </c>
      <c r="B157" s="60" t="s">
        <v>869</v>
      </c>
      <c r="C157" s="61" t="s">
        <v>1620</v>
      </c>
      <c r="D157" s="82" t="s">
        <v>1548</v>
      </c>
      <c r="E157" s="75" t="s">
        <v>261</v>
      </c>
      <c r="F157" s="75" t="s">
        <v>408</v>
      </c>
      <c r="G157" s="63">
        <v>45383</v>
      </c>
      <c r="H157" s="63">
        <v>45383</v>
      </c>
      <c r="I157" s="60">
        <f t="shared" si="16"/>
        <v>3</v>
      </c>
      <c r="J157" s="60">
        <f t="shared" si="14"/>
        <v>0</v>
      </c>
      <c r="K157" s="60"/>
      <c r="L157" s="60"/>
      <c r="M157" s="60"/>
      <c r="N157" s="60"/>
      <c r="O157" s="60"/>
      <c r="P157" s="60">
        <v>2</v>
      </c>
      <c r="Q157" s="60"/>
      <c r="R157" s="60"/>
      <c r="S157" s="60"/>
      <c r="T157" s="60"/>
      <c r="U157" s="60"/>
      <c r="V157" s="60"/>
      <c r="W157" s="60"/>
      <c r="X157" s="60"/>
      <c r="Y157" s="60"/>
      <c r="Z157" s="60">
        <v>1</v>
      </c>
      <c r="AA157" s="60"/>
      <c r="AB157" s="60"/>
      <c r="AC157" s="60"/>
      <c r="AD157" s="60"/>
      <c r="AE157" s="60"/>
      <c r="AF157" s="60"/>
      <c r="AG157" s="60"/>
      <c r="AH157" s="60"/>
      <c r="AI157" s="60"/>
      <c r="AJ157" s="64">
        <f t="shared" si="15"/>
        <v>828.54000000000008</v>
      </c>
    </row>
    <row r="158" spans="1:36" x14ac:dyDescent="0.25">
      <c r="A158" s="59" t="str">
        <f t="shared" ca="1" si="13"/>
        <v>VENCIDO</v>
      </c>
      <c r="B158" s="60" t="s">
        <v>869</v>
      </c>
      <c r="C158" s="61" t="s">
        <v>1911</v>
      </c>
      <c r="D158" s="82" t="s">
        <v>260</v>
      </c>
      <c r="E158" s="75" t="s">
        <v>261</v>
      </c>
      <c r="F158" s="75" t="s">
        <v>408</v>
      </c>
      <c r="G158" s="63">
        <v>45474</v>
      </c>
      <c r="H158" s="63">
        <f>G158-180</f>
        <v>45294</v>
      </c>
      <c r="I158" s="60">
        <f t="shared" si="16"/>
        <v>5</v>
      </c>
      <c r="J158" s="60">
        <f t="shared" si="14"/>
        <v>0</v>
      </c>
      <c r="K158" s="60"/>
      <c r="L158" s="60"/>
      <c r="M158" s="60"/>
      <c r="N158" s="60"/>
      <c r="O158" s="60"/>
      <c r="P158" s="60">
        <v>2</v>
      </c>
      <c r="Q158" s="60"/>
      <c r="R158" s="60"/>
      <c r="S158" s="60">
        <v>2</v>
      </c>
      <c r="T158" s="60"/>
      <c r="U158" s="60"/>
      <c r="V158" s="60"/>
      <c r="W158" s="60"/>
      <c r="X158" s="60"/>
      <c r="Y158" s="60"/>
      <c r="Z158" s="60">
        <v>1</v>
      </c>
      <c r="AA158" s="60"/>
      <c r="AB158" s="60"/>
      <c r="AC158" s="60"/>
      <c r="AD158" s="60"/>
      <c r="AE158" s="60"/>
      <c r="AF158" s="60"/>
      <c r="AG158" s="60"/>
      <c r="AH158" s="60"/>
      <c r="AI158" s="60"/>
      <c r="AJ158" s="64">
        <f t="shared" si="15"/>
        <v>1963.48</v>
      </c>
    </row>
    <row r="159" spans="1:36" x14ac:dyDescent="0.25">
      <c r="A159" s="59" t="str">
        <f t="shared" ca="1" si="13"/>
        <v>VENCIDO</v>
      </c>
      <c r="B159" s="60" t="s">
        <v>869</v>
      </c>
      <c r="C159" s="61" t="s">
        <v>1912</v>
      </c>
      <c r="D159" s="82" t="s">
        <v>303</v>
      </c>
      <c r="E159" s="75" t="s">
        <v>261</v>
      </c>
      <c r="F159" s="75" t="s">
        <v>408</v>
      </c>
      <c r="G159" s="63">
        <v>45566</v>
      </c>
      <c r="H159" s="63">
        <f>G159-180</f>
        <v>45386</v>
      </c>
      <c r="I159" s="60">
        <f t="shared" si="16"/>
        <v>3</v>
      </c>
      <c r="J159" s="60">
        <f t="shared" si="14"/>
        <v>0</v>
      </c>
      <c r="K159" s="60"/>
      <c r="L159" s="60"/>
      <c r="M159" s="60"/>
      <c r="N159" s="60">
        <v>1</v>
      </c>
      <c r="O159" s="60"/>
      <c r="P159" s="60">
        <v>1</v>
      </c>
      <c r="Q159" s="60"/>
      <c r="R159" s="60"/>
      <c r="S159" s="60"/>
      <c r="T159" s="60"/>
      <c r="U159" s="60"/>
      <c r="V159" s="60"/>
      <c r="W159" s="60"/>
      <c r="X159" s="60"/>
      <c r="Y159" s="60"/>
      <c r="Z159" s="60">
        <v>1</v>
      </c>
      <c r="AA159" s="60"/>
      <c r="AB159" s="60"/>
      <c r="AC159" s="60"/>
      <c r="AD159" s="60"/>
      <c r="AE159" s="60"/>
      <c r="AF159" s="60"/>
      <c r="AG159" s="60"/>
      <c r="AH159" s="60"/>
      <c r="AI159" s="60"/>
      <c r="AJ159" s="64">
        <f t="shared" si="15"/>
        <v>711.0100000000001</v>
      </c>
    </row>
    <row r="160" spans="1:36" x14ac:dyDescent="0.25">
      <c r="A160" s="59" t="str">
        <f t="shared" ca="1" si="13"/>
        <v>VENCIDO</v>
      </c>
      <c r="B160" s="60" t="s">
        <v>869</v>
      </c>
      <c r="C160" s="61" t="s">
        <v>1913</v>
      </c>
      <c r="D160" s="82" t="s">
        <v>303</v>
      </c>
      <c r="E160" s="75" t="s">
        <v>261</v>
      </c>
      <c r="F160" s="75" t="s">
        <v>408</v>
      </c>
      <c r="G160" s="63">
        <v>45536</v>
      </c>
      <c r="H160" s="63">
        <f>G160-180</f>
        <v>45356</v>
      </c>
      <c r="I160" s="60">
        <f t="shared" si="16"/>
        <v>3</v>
      </c>
      <c r="J160" s="60">
        <f t="shared" si="14"/>
        <v>0</v>
      </c>
      <c r="K160" s="60"/>
      <c r="L160" s="60"/>
      <c r="M160" s="60"/>
      <c r="N160" s="60"/>
      <c r="O160" s="60">
        <v>1</v>
      </c>
      <c r="P160" s="60">
        <v>1</v>
      </c>
      <c r="Q160" s="60"/>
      <c r="R160" s="60"/>
      <c r="S160" s="60"/>
      <c r="T160" s="60"/>
      <c r="U160" s="60"/>
      <c r="V160" s="60"/>
      <c r="W160" s="60"/>
      <c r="X160" s="60"/>
      <c r="Y160" s="60"/>
      <c r="Z160" s="60">
        <v>1</v>
      </c>
      <c r="AA160" s="60"/>
      <c r="AB160" s="60"/>
      <c r="AC160" s="60"/>
      <c r="AD160" s="60"/>
      <c r="AE160" s="60"/>
      <c r="AF160" s="60"/>
      <c r="AG160" s="60"/>
      <c r="AH160" s="60"/>
      <c r="AI160" s="60"/>
      <c r="AJ160" s="64">
        <f t="shared" si="15"/>
        <v>757.28000000000009</v>
      </c>
    </row>
    <row r="161" spans="1:36" x14ac:dyDescent="0.25">
      <c r="A161" s="59" t="str">
        <f t="shared" ca="1" si="13"/>
        <v>VENCIDO</v>
      </c>
      <c r="B161" s="60" t="s">
        <v>869</v>
      </c>
      <c r="C161" s="61" t="s">
        <v>1914</v>
      </c>
      <c r="D161" s="82" t="s">
        <v>415</v>
      </c>
      <c r="E161" s="75" t="s">
        <v>261</v>
      </c>
      <c r="F161" s="75" t="s">
        <v>408</v>
      </c>
      <c r="G161" s="63">
        <v>45444</v>
      </c>
      <c r="H161" s="63">
        <v>45444</v>
      </c>
      <c r="I161" s="60">
        <f t="shared" si="16"/>
        <v>3</v>
      </c>
      <c r="J161" s="60">
        <f t="shared" si="14"/>
        <v>0</v>
      </c>
      <c r="K161" s="60"/>
      <c r="L161" s="60"/>
      <c r="M161" s="60"/>
      <c r="N161" s="60"/>
      <c r="O161" s="60"/>
      <c r="P161" s="60">
        <v>2</v>
      </c>
      <c r="Q161" s="60"/>
      <c r="R161" s="60"/>
      <c r="S161" s="60"/>
      <c r="T161" s="60"/>
      <c r="U161" s="60"/>
      <c r="V161" s="60"/>
      <c r="W161" s="60"/>
      <c r="X161" s="60"/>
      <c r="Y161" s="60"/>
      <c r="Z161" s="60">
        <v>1</v>
      </c>
      <c r="AA161" s="60"/>
      <c r="AB161" s="60"/>
      <c r="AC161" s="60"/>
      <c r="AD161" s="60"/>
      <c r="AE161" s="60"/>
      <c r="AF161" s="60"/>
      <c r="AG161" s="60"/>
      <c r="AH161" s="60"/>
      <c r="AI161" s="60"/>
      <c r="AJ161" s="64">
        <f t="shared" si="15"/>
        <v>828.54000000000008</v>
      </c>
    </row>
    <row r="162" spans="1:36" x14ac:dyDescent="0.25">
      <c r="A162" s="59" t="str">
        <f t="shared" ca="1" si="13"/>
        <v>VENCIDO</v>
      </c>
      <c r="B162" s="60" t="s">
        <v>869</v>
      </c>
      <c r="C162" s="61" t="s">
        <v>1915</v>
      </c>
      <c r="D162" s="82" t="s">
        <v>260</v>
      </c>
      <c r="E162" s="75" t="s">
        <v>261</v>
      </c>
      <c r="F162" s="75" t="s">
        <v>408</v>
      </c>
      <c r="G162" s="63">
        <v>45536</v>
      </c>
      <c r="H162" s="63">
        <f>G162-180</f>
        <v>45356</v>
      </c>
      <c r="I162" s="60">
        <f t="shared" si="16"/>
        <v>4</v>
      </c>
      <c r="J162" s="60">
        <f t="shared" si="14"/>
        <v>0</v>
      </c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>
        <v>4</v>
      </c>
      <c r="AA162" s="60"/>
      <c r="AB162" s="60"/>
      <c r="AC162" s="60"/>
      <c r="AD162" s="60"/>
      <c r="AE162" s="60"/>
      <c r="AF162" s="60"/>
      <c r="AG162" s="60"/>
      <c r="AH162" s="60"/>
      <c r="AI162" s="60"/>
      <c r="AJ162" s="64">
        <f t="shared" si="15"/>
        <v>791.36</v>
      </c>
    </row>
    <row r="163" spans="1:36" x14ac:dyDescent="0.25">
      <c r="A163" s="59" t="str">
        <f t="shared" ca="1" si="13"/>
        <v>VENCIDO</v>
      </c>
      <c r="B163" s="60" t="s">
        <v>869</v>
      </c>
      <c r="C163" s="61" t="s">
        <v>1833</v>
      </c>
      <c r="D163" s="82" t="s">
        <v>408</v>
      </c>
      <c r="E163" s="75" t="s">
        <v>261</v>
      </c>
      <c r="F163" s="75" t="s">
        <v>408</v>
      </c>
      <c r="G163" s="63">
        <v>45413</v>
      </c>
      <c r="H163" s="63">
        <v>45413</v>
      </c>
      <c r="I163" s="60">
        <f t="shared" si="16"/>
        <v>2</v>
      </c>
      <c r="J163" s="60">
        <f t="shared" si="14"/>
        <v>0</v>
      </c>
      <c r="K163" s="60"/>
      <c r="L163" s="60"/>
      <c r="M163" s="60"/>
      <c r="N163" s="60"/>
      <c r="O163" s="60"/>
      <c r="P163" s="60">
        <v>1</v>
      </c>
      <c r="Q163" s="60"/>
      <c r="R163" s="60"/>
      <c r="S163" s="60"/>
      <c r="T163" s="60"/>
      <c r="U163" s="60"/>
      <c r="V163" s="60"/>
      <c r="W163" s="60"/>
      <c r="X163" s="60"/>
      <c r="Y163" s="60"/>
      <c r="Z163" s="60">
        <v>1</v>
      </c>
      <c r="AA163" s="60"/>
      <c r="AB163" s="60"/>
      <c r="AC163" s="60"/>
      <c r="AD163" s="60"/>
      <c r="AE163" s="60"/>
      <c r="AF163" s="60"/>
      <c r="AG163" s="60"/>
      <c r="AH163" s="60"/>
      <c r="AI163" s="60"/>
      <c r="AJ163" s="64">
        <f t="shared" si="15"/>
        <v>513.19000000000005</v>
      </c>
    </row>
    <row r="164" spans="1:36" x14ac:dyDescent="0.25">
      <c r="A164" s="59" t="str">
        <f t="shared" ca="1" si="13"/>
        <v>VENCIDO</v>
      </c>
      <c r="B164" s="60" t="s">
        <v>869</v>
      </c>
      <c r="C164" s="61" t="s">
        <v>1916</v>
      </c>
      <c r="D164" s="82" t="s">
        <v>1917</v>
      </c>
      <c r="E164" s="75" t="s">
        <v>261</v>
      </c>
      <c r="F164" s="75" t="s">
        <v>408</v>
      </c>
      <c r="G164" s="63">
        <v>45474</v>
      </c>
      <c r="H164" s="63">
        <f>G164-180</f>
        <v>45294</v>
      </c>
      <c r="I164" s="60">
        <f t="shared" si="16"/>
        <v>2</v>
      </c>
      <c r="J164" s="60">
        <f t="shared" si="14"/>
        <v>0</v>
      </c>
      <c r="K164" s="60"/>
      <c r="L164" s="60"/>
      <c r="M164" s="60"/>
      <c r="N164" s="60"/>
      <c r="O164" s="60"/>
      <c r="P164" s="60">
        <v>1</v>
      </c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>
        <v>1</v>
      </c>
      <c r="AB164" s="60"/>
      <c r="AC164" s="60"/>
      <c r="AD164" s="60"/>
      <c r="AE164" s="60"/>
      <c r="AF164" s="60"/>
      <c r="AG164" s="60"/>
      <c r="AH164" s="60"/>
      <c r="AI164" s="60"/>
      <c r="AJ164" s="64">
        <f t="shared" si="15"/>
        <v>623.75</v>
      </c>
    </row>
    <row r="165" spans="1:36" x14ac:dyDescent="0.25">
      <c r="A165" s="59" t="str">
        <f t="shared" ca="1" si="13"/>
        <v>VENCIDO</v>
      </c>
      <c r="B165" s="60" t="s">
        <v>869</v>
      </c>
      <c r="C165" s="61" t="s">
        <v>1918</v>
      </c>
      <c r="D165" s="82" t="s">
        <v>303</v>
      </c>
      <c r="E165" s="75" t="s">
        <v>261</v>
      </c>
      <c r="F165" s="75" t="s">
        <v>408</v>
      </c>
      <c r="G165" s="63">
        <v>45536</v>
      </c>
      <c r="H165" s="63">
        <f>G165-180</f>
        <v>45356</v>
      </c>
      <c r="I165" s="60">
        <f t="shared" si="16"/>
        <v>3</v>
      </c>
      <c r="J165" s="60">
        <f t="shared" si="14"/>
        <v>0</v>
      </c>
      <c r="K165" s="60"/>
      <c r="L165" s="60"/>
      <c r="M165" s="60"/>
      <c r="N165" s="60">
        <v>1</v>
      </c>
      <c r="O165" s="60"/>
      <c r="P165" s="60">
        <v>1</v>
      </c>
      <c r="Q165" s="60"/>
      <c r="R165" s="60"/>
      <c r="S165" s="60"/>
      <c r="T165" s="60"/>
      <c r="U165" s="60"/>
      <c r="V165" s="60"/>
      <c r="W165" s="60"/>
      <c r="X165" s="60"/>
      <c r="Y165" s="60"/>
      <c r="Z165" s="60">
        <v>1</v>
      </c>
      <c r="AA165" s="60"/>
      <c r="AB165" s="60"/>
      <c r="AC165" s="60"/>
      <c r="AD165" s="60"/>
      <c r="AE165" s="60"/>
      <c r="AF165" s="60"/>
      <c r="AG165" s="60"/>
      <c r="AH165" s="60"/>
      <c r="AI165" s="60"/>
      <c r="AJ165" s="64">
        <f t="shared" si="15"/>
        <v>711.0100000000001</v>
      </c>
    </row>
    <row r="166" spans="1:36" x14ac:dyDescent="0.25">
      <c r="A166" s="59" t="str">
        <f t="shared" ca="1" si="13"/>
        <v>VENCIDO</v>
      </c>
      <c r="B166" s="60" t="s">
        <v>869</v>
      </c>
      <c r="C166" s="61" t="s">
        <v>1919</v>
      </c>
      <c r="D166" s="82" t="s">
        <v>303</v>
      </c>
      <c r="E166" s="75" t="s">
        <v>261</v>
      </c>
      <c r="F166" s="75" t="s">
        <v>408</v>
      </c>
      <c r="G166" s="63">
        <v>45383</v>
      </c>
      <c r="H166" s="63">
        <v>45383</v>
      </c>
      <c r="I166" s="60">
        <f t="shared" si="16"/>
        <v>3</v>
      </c>
      <c r="J166" s="60">
        <f t="shared" si="14"/>
        <v>0</v>
      </c>
      <c r="K166" s="60"/>
      <c r="L166" s="60"/>
      <c r="M166" s="60"/>
      <c r="N166" s="60"/>
      <c r="O166" s="60"/>
      <c r="P166" s="60">
        <v>1</v>
      </c>
      <c r="Q166" s="60"/>
      <c r="R166" s="60"/>
      <c r="S166" s="60">
        <v>1</v>
      </c>
      <c r="T166" s="60"/>
      <c r="U166" s="60"/>
      <c r="V166" s="60"/>
      <c r="W166" s="60"/>
      <c r="X166" s="60"/>
      <c r="Y166" s="60"/>
      <c r="Z166" s="60">
        <v>1</v>
      </c>
      <c r="AA166" s="60"/>
      <c r="AB166" s="60"/>
      <c r="AC166" s="60"/>
      <c r="AD166" s="60"/>
      <c r="AE166" s="60"/>
      <c r="AF166" s="60"/>
      <c r="AG166" s="60"/>
      <c r="AH166" s="60"/>
      <c r="AI166" s="60"/>
      <c r="AJ166" s="64">
        <f t="shared" si="15"/>
        <v>1080.6600000000001</v>
      </c>
    </row>
    <row r="167" spans="1:36" x14ac:dyDescent="0.25">
      <c r="A167" s="59" t="str">
        <f t="shared" ca="1" si="13"/>
        <v>VENCIDO</v>
      </c>
      <c r="B167" s="60" t="s">
        <v>869</v>
      </c>
      <c r="C167" s="61" t="s">
        <v>1920</v>
      </c>
      <c r="D167" s="82" t="s">
        <v>415</v>
      </c>
      <c r="E167" s="75" t="s">
        <v>261</v>
      </c>
      <c r="F167" s="75" t="s">
        <v>408</v>
      </c>
      <c r="G167" s="63">
        <v>45078</v>
      </c>
      <c r="H167" s="63">
        <f>G167-180</f>
        <v>44898</v>
      </c>
      <c r="I167" s="60">
        <f t="shared" si="16"/>
        <v>3</v>
      </c>
      <c r="J167" s="60">
        <f t="shared" si="14"/>
        <v>0</v>
      </c>
      <c r="K167" s="60"/>
      <c r="L167" s="60"/>
      <c r="M167" s="60"/>
      <c r="N167" s="60"/>
      <c r="O167" s="60"/>
      <c r="P167" s="60">
        <v>2</v>
      </c>
      <c r="Q167" s="60"/>
      <c r="R167" s="60"/>
      <c r="S167" s="60"/>
      <c r="T167" s="60"/>
      <c r="U167" s="60"/>
      <c r="V167" s="60"/>
      <c r="W167" s="60"/>
      <c r="X167" s="60"/>
      <c r="Y167" s="60"/>
      <c r="Z167" s="60">
        <v>1</v>
      </c>
      <c r="AA167" s="60"/>
      <c r="AB167" s="60"/>
      <c r="AC167" s="60"/>
      <c r="AD167" s="60"/>
      <c r="AE167" s="60"/>
      <c r="AF167" s="60"/>
      <c r="AG167" s="60"/>
      <c r="AH167" s="60"/>
      <c r="AI167" s="60"/>
      <c r="AJ167" s="64">
        <f t="shared" si="15"/>
        <v>828.54000000000008</v>
      </c>
    </row>
    <row r="168" spans="1:36" x14ac:dyDescent="0.25">
      <c r="A168" s="59" t="str">
        <f t="shared" ca="1" si="13"/>
        <v>VENCIDO</v>
      </c>
      <c r="B168" s="60" t="s">
        <v>869</v>
      </c>
      <c r="C168" s="61" t="s">
        <v>1921</v>
      </c>
      <c r="D168" s="82" t="s">
        <v>408</v>
      </c>
      <c r="E168" s="75" t="s">
        <v>261</v>
      </c>
      <c r="F168" s="75" t="s">
        <v>408</v>
      </c>
      <c r="G168" s="63">
        <v>45170</v>
      </c>
      <c r="H168" s="63">
        <f>G168-180</f>
        <v>44990</v>
      </c>
      <c r="I168" s="60">
        <f t="shared" si="16"/>
        <v>3</v>
      </c>
      <c r="J168" s="60">
        <f t="shared" si="14"/>
        <v>0</v>
      </c>
      <c r="K168" s="60"/>
      <c r="L168" s="60"/>
      <c r="M168" s="60"/>
      <c r="N168" s="60"/>
      <c r="O168" s="60"/>
      <c r="P168" s="60">
        <v>2</v>
      </c>
      <c r="Q168" s="60"/>
      <c r="R168" s="60"/>
      <c r="S168" s="60"/>
      <c r="T168" s="60"/>
      <c r="U168" s="60"/>
      <c r="V168" s="60"/>
      <c r="W168" s="60"/>
      <c r="X168" s="60"/>
      <c r="Y168" s="60"/>
      <c r="Z168" s="60">
        <v>1</v>
      </c>
      <c r="AA168" s="60"/>
      <c r="AB168" s="60"/>
      <c r="AC168" s="60"/>
      <c r="AD168" s="60"/>
      <c r="AE168" s="60"/>
      <c r="AF168" s="60"/>
      <c r="AG168" s="60"/>
      <c r="AH168" s="60"/>
      <c r="AI168" s="60"/>
      <c r="AJ168" s="64">
        <f t="shared" si="15"/>
        <v>828.54000000000008</v>
      </c>
    </row>
    <row r="169" spans="1:36" x14ac:dyDescent="0.25">
      <c r="A169" s="59" t="str">
        <f t="shared" ca="1" si="13"/>
        <v>VENCIDO</v>
      </c>
      <c r="B169" s="60" t="s">
        <v>869</v>
      </c>
      <c r="C169" s="61" t="s">
        <v>1922</v>
      </c>
      <c r="D169" s="82" t="s">
        <v>1167</v>
      </c>
      <c r="E169" s="75" t="s">
        <v>261</v>
      </c>
      <c r="F169" s="75" t="s">
        <v>408</v>
      </c>
      <c r="G169" s="63">
        <v>45566</v>
      </c>
      <c r="H169" s="63">
        <f>G169-180</f>
        <v>45386</v>
      </c>
      <c r="I169" s="60">
        <f t="shared" si="16"/>
        <v>3</v>
      </c>
      <c r="J169" s="60">
        <f t="shared" si="14"/>
        <v>0</v>
      </c>
      <c r="K169" s="60"/>
      <c r="L169" s="60"/>
      <c r="M169" s="60"/>
      <c r="N169" s="60"/>
      <c r="O169" s="60"/>
      <c r="P169" s="60">
        <v>2</v>
      </c>
      <c r="Q169" s="60"/>
      <c r="R169" s="60"/>
      <c r="S169" s="60"/>
      <c r="T169" s="60"/>
      <c r="U169" s="60"/>
      <c r="V169" s="60"/>
      <c r="W169" s="60"/>
      <c r="X169" s="60"/>
      <c r="Y169" s="60"/>
      <c r="Z169" s="60">
        <v>1</v>
      </c>
      <c r="AA169" s="60"/>
      <c r="AB169" s="60"/>
      <c r="AC169" s="60"/>
      <c r="AD169" s="60"/>
      <c r="AE169" s="60"/>
      <c r="AF169" s="60"/>
      <c r="AG169" s="60"/>
      <c r="AH169" s="60"/>
      <c r="AI169" s="60"/>
      <c r="AJ169" s="64">
        <f t="shared" si="15"/>
        <v>828.54000000000008</v>
      </c>
    </row>
    <row r="170" spans="1:36" x14ac:dyDescent="0.25">
      <c r="A170" s="59" t="str">
        <f t="shared" ca="1" si="13"/>
        <v>VENCIDO</v>
      </c>
      <c r="B170" s="60" t="s">
        <v>869</v>
      </c>
      <c r="C170" s="61" t="s">
        <v>1923</v>
      </c>
      <c r="D170" s="82" t="s">
        <v>1924</v>
      </c>
      <c r="E170" s="75" t="s">
        <v>261</v>
      </c>
      <c r="F170" s="75" t="s">
        <v>408</v>
      </c>
      <c r="G170" s="63">
        <v>45323</v>
      </c>
      <c r="H170" s="63">
        <v>45323</v>
      </c>
      <c r="I170" s="60">
        <f t="shared" si="16"/>
        <v>3</v>
      </c>
      <c r="J170" s="60">
        <f t="shared" si="14"/>
        <v>0</v>
      </c>
      <c r="K170" s="60"/>
      <c r="L170" s="60"/>
      <c r="M170" s="60"/>
      <c r="N170" s="60"/>
      <c r="O170" s="60"/>
      <c r="P170" s="60">
        <v>2</v>
      </c>
      <c r="Q170" s="60"/>
      <c r="R170" s="60"/>
      <c r="S170" s="60"/>
      <c r="T170" s="60"/>
      <c r="U170" s="60"/>
      <c r="V170" s="60"/>
      <c r="W170" s="60"/>
      <c r="X170" s="60"/>
      <c r="Y170" s="60">
        <v>1</v>
      </c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4">
        <f t="shared" si="15"/>
        <v>782.33</v>
      </c>
    </row>
    <row r="171" spans="1:36" x14ac:dyDescent="0.25">
      <c r="A171" s="59" t="str">
        <f t="shared" ca="1" si="13"/>
        <v>VENCIDO</v>
      </c>
      <c r="B171" s="60" t="s">
        <v>869</v>
      </c>
      <c r="C171" s="61" t="s">
        <v>1925</v>
      </c>
      <c r="D171" s="82" t="s">
        <v>1796</v>
      </c>
      <c r="E171" s="75" t="s">
        <v>261</v>
      </c>
      <c r="F171" s="75" t="s">
        <v>408</v>
      </c>
      <c r="G171" s="63">
        <v>45536</v>
      </c>
      <c r="H171" s="63">
        <f>G171-180</f>
        <v>45356</v>
      </c>
      <c r="I171" s="60">
        <f t="shared" si="16"/>
        <v>3</v>
      </c>
      <c r="J171" s="60">
        <f t="shared" si="14"/>
        <v>0</v>
      </c>
      <c r="K171" s="60"/>
      <c r="L171" s="60"/>
      <c r="M171" s="60"/>
      <c r="N171" s="60">
        <v>2</v>
      </c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>
        <v>1</v>
      </c>
      <c r="AA171" s="60"/>
      <c r="AB171" s="60"/>
      <c r="AC171" s="60"/>
      <c r="AD171" s="60"/>
      <c r="AE171" s="60"/>
      <c r="AF171" s="60"/>
      <c r="AG171" s="60"/>
      <c r="AH171" s="60"/>
      <c r="AI171" s="60"/>
      <c r="AJ171" s="64">
        <f t="shared" si="15"/>
        <v>593.48</v>
      </c>
    </row>
    <row r="172" spans="1:36" x14ac:dyDescent="0.25">
      <c r="A172" s="59" t="str">
        <f t="shared" ca="1" si="13"/>
        <v>VENCIDO</v>
      </c>
      <c r="B172" s="60" t="s">
        <v>869</v>
      </c>
      <c r="C172" s="61" t="s">
        <v>1926</v>
      </c>
      <c r="D172" s="82" t="s">
        <v>1746</v>
      </c>
      <c r="E172" s="75" t="s">
        <v>261</v>
      </c>
      <c r="F172" s="75" t="s">
        <v>408</v>
      </c>
      <c r="G172" s="63">
        <v>45383</v>
      </c>
      <c r="H172" s="63">
        <v>45383</v>
      </c>
      <c r="I172" s="60">
        <f t="shared" si="16"/>
        <v>4</v>
      </c>
      <c r="J172" s="60">
        <f t="shared" si="14"/>
        <v>0</v>
      </c>
      <c r="K172" s="60"/>
      <c r="L172" s="60"/>
      <c r="M172" s="60"/>
      <c r="N172" s="60"/>
      <c r="O172" s="60"/>
      <c r="P172" s="60">
        <v>1</v>
      </c>
      <c r="Q172" s="60"/>
      <c r="R172" s="60"/>
      <c r="S172" s="60">
        <v>2</v>
      </c>
      <c r="T172" s="60"/>
      <c r="U172" s="60"/>
      <c r="V172" s="60"/>
      <c r="W172" s="60"/>
      <c r="X172" s="60"/>
      <c r="Y172" s="60"/>
      <c r="Z172" s="60">
        <v>1</v>
      </c>
      <c r="AA172" s="60"/>
      <c r="AB172" s="60"/>
      <c r="AC172" s="60"/>
      <c r="AD172" s="60"/>
      <c r="AE172" s="60"/>
      <c r="AF172" s="60"/>
      <c r="AG172" s="60"/>
      <c r="AH172" s="60"/>
      <c r="AI172" s="60"/>
      <c r="AJ172" s="64">
        <f t="shared" si="15"/>
        <v>1648.1299999999999</v>
      </c>
    </row>
    <row r="173" spans="1:36" x14ac:dyDescent="0.25">
      <c r="A173" s="59" t="str">
        <f t="shared" ca="1" si="13"/>
        <v>VENCIDO</v>
      </c>
      <c r="B173" s="60" t="s">
        <v>869</v>
      </c>
      <c r="C173" s="61" t="s">
        <v>1927</v>
      </c>
      <c r="D173" s="82" t="s">
        <v>1928</v>
      </c>
      <c r="E173" s="75" t="s">
        <v>261</v>
      </c>
      <c r="F173" s="75" t="s">
        <v>408</v>
      </c>
      <c r="G173" s="63">
        <v>45536</v>
      </c>
      <c r="H173" s="63">
        <f>G173-180</f>
        <v>45356</v>
      </c>
      <c r="I173" s="60">
        <f t="shared" si="16"/>
        <v>2</v>
      </c>
      <c r="J173" s="60">
        <f t="shared" si="14"/>
        <v>0</v>
      </c>
      <c r="K173" s="60"/>
      <c r="L173" s="60"/>
      <c r="M173" s="60"/>
      <c r="N173" s="60"/>
      <c r="O173" s="60"/>
      <c r="P173" s="60"/>
      <c r="Q173" s="60"/>
      <c r="R173" s="60"/>
      <c r="S173" s="60">
        <v>1</v>
      </c>
      <c r="T173" s="60"/>
      <c r="U173" s="60"/>
      <c r="V173" s="60"/>
      <c r="W173" s="60"/>
      <c r="X173" s="60"/>
      <c r="Y173" s="60"/>
      <c r="Z173" s="60">
        <v>1</v>
      </c>
      <c r="AA173" s="60"/>
      <c r="AB173" s="60"/>
      <c r="AC173" s="60"/>
      <c r="AD173" s="60"/>
      <c r="AE173" s="60"/>
      <c r="AF173" s="60"/>
      <c r="AG173" s="60"/>
      <c r="AH173" s="60"/>
      <c r="AI173" s="60"/>
      <c r="AJ173" s="64">
        <f t="shared" si="15"/>
        <v>765.31000000000006</v>
      </c>
    </row>
    <row r="174" spans="1:36" x14ac:dyDescent="0.25">
      <c r="A174" s="59" t="str">
        <f t="shared" ca="1" si="13"/>
        <v>VENCIDO</v>
      </c>
      <c r="B174" s="60" t="s">
        <v>869</v>
      </c>
      <c r="C174" s="61" t="s">
        <v>1929</v>
      </c>
      <c r="D174" s="82" t="s">
        <v>561</v>
      </c>
      <c r="E174" s="75" t="s">
        <v>261</v>
      </c>
      <c r="F174" s="75" t="s">
        <v>408</v>
      </c>
      <c r="G174" s="63">
        <v>45383</v>
      </c>
      <c r="H174" s="63">
        <v>45383</v>
      </c>
      <c r="I174" s="60">
        <f t="shared" si="16"/>
        <v>3</v>
      </c>
      <c r="J174" s="60">
        <f t="shared" si="14"/>
        <v>0</v>
      </c>
      <c r="K174" s="60"/>
      <c r="L174" s="60"/>
      <c r="M174" s="60"/>
      <c r="N174" s="60"/>
      <c r="O174" s="60"/>
      <c r="P174" s="60">
        <v>2</v>
      </c>
      <c r="Q174" s="60"/>
      <c r="R174" s="60"/>
      <c r="S174" s="60"/>
      <c r="T174" s="60"/>
      <c r="U174" s="60"/>
      <c r="V174" s="60"/>
      <c r="W174" s="60"/>
      <c r="X174" s="60"/>
      <c r="Y174" s="60"/>
      <c r="Z174" s="60">
        <v>1</v>
      </c>
      <c r="AA174" s="60"/>
      <c r="AB174" s="60"/>
      <c r="AC174" s="60"/>
      <c r="AD174" s="60"/>
      <c r="AE174" s="60"/>
      <c r="AF174" s="60"/>
      <c r="AG174" s="60"/>
      <c r="AH174" s="60"/>
      <c r="AI174" s="60"/>
      <c r="AJ174" s="64">
        <f t="shared" si="15"/>
        <v>828.54000000000008</v>
      </c>
    </row>
    <row r="175" spans="1:36" x14ac:dyDescent="0.25">
      <c r="A175" s="59" t="str">
        <f t="shared" ca="1" si="13"/>
        <v>VENCIDO</v>
      </c>
      <c r="B175" s="60" t="s">
        <v>869</v>
      </c>
      <c r="C175" s="61" t="s">
        <v>1930</v>
      </c>
      <c r="D175" s="82" t="s">
        <v>1563</v>
      </c>
      <c r="E175" s="75" t="s">
        <v>261</v>
      </c>
      <c r="F175" s="75" t="s">
        <v>408</v>
      </c>
      <c r="G175" s="63">
        <v>45444</v>
      </c>
      <c r="H175" s="63">
        <v>45444</v>
      </c>
      <c r="I175" s="60">
        <f t="shared" si="16"/>
        <v>2</v>
      </c>
      <c r="J175" s="60">
        <f t="shared" si="14"/>
        <v>21</v>
      </c>
      <c r="K175" s="60"/>
      <c r="L175" s="60"/>
      <c r="M175" s="60"/>
      <c r="N175" s="60"/>
      <c r="O175" s="60"/>
      <c r="P175" s="60"/>
      <c r="Q175" s="60"/>
      <c r="R175" s="60"/>
      <c r="S175" s="60">
        <v>1</v>
      </c>
      <c r="T175" s="60"/>
      <c r="U175" s="60"/>
      <c r="V175" s="60"/>
      <c r="W175" s="60"/>
      <c r="X175" s="60"/>
      <c r="Y175" s="60"/>
      <c r="Z175" s="60">
        <v>1</v>
      </c>
      <c r="AA175" s="60"/>
      <c r="AB175" s="60"/>
      <c r="AC175" s="60"/>
      <c r="AD175" s="60"/>
      <c r="AE175" s="60">
        <v>21</v>
      </c>
      <c r="AF175" s="60"/>
      <c r="AG175" s="60"/>
      <c r="AH175" s="60"/>
      <c r="AI175" s="60"/>
      <c r="AJ175" s="64">
        <f t="shared" si="15"/>
        <v>765.31000000000006</v>
      </c>
    </row>
    <row r="176" spans="1:36" x14ac:dyDescent="0.25">
      <c r="A176" s="59" t="str">
        <f t="shared" ca="1" si="13"/>
        <v>VENCIDO</v>
      </c>
      <c r="B176" s="60" t="s">
        <v>869</v>
      </c>
      <c r="C176" s="61" t="s">
        <v>1931</v>
      </c>
      <c r="D176" s="82" t="s">
        <v>1932</v>
      </c>
      <c r="E176" s="75" t="s">
        <v>261</v>
      </c>
      <c r="F176" s="75" t="s">
        <v>408</v>
      </c>
      <c r="G176" s="63">
        <v>45352</v>
      </c>
      <c r="H176" s="63">
        <v>45352</v>
      </c>
      <c r="I176" s="60">
        <f t="shared" si="16"/>
        <v>3</v>
      </c>
      <c r="J176" s="60">
        <f t="shared" si="14"/>
        <v>0</v>
      </c>
      <c r="K176" s="60"/>
      <c r="L176" s="60"/>
      <c r="M176" s="60"/>
      <c r="N176" s="60"/>
      <c r="O176" s="60">
        <v>1</v>
      </c>
      <c r="P176" s="60">
        <v>1</v>
      </c>
      <c r="Q176" s="60"/>
      <c r="R176" s="60"/>
      <c r="S176" s="60"/>
      <c r="T176" s="60"/>
      <c r="U176" s="60"/>
      <c r="V176" s="60"/>
      <c r="W176" s="60"/>
      <c r="X176" s="60"/>
      <c r="Y176" s="60">
        <v>1</v>
      </c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4">
        <f t="shared" si="15"/>
        <v>711.07</v>
      </c>
    </row>
    <row r="177" spans="1:36" x14ac:dyDescent="0.25">
      <c r="A177" s="59" t="str">
        <f t="shared" ca="1" si="13"/>
        <v>VENCIDO</v>
      </c>
      <c r="B177" s="60" t="s">
        <v>1110</v>
      </c>
      <c r="C177" s="61" t="s">
        <v>1933</v>
      </c>
      <c r="D177" s="82" t="s">
        <v>1796</v>
      </c>
      <c r="E177" s="75" t="s">
        <v>261</v>
      </c>
      <c r="F177" s="75" t="s">
        <v>408</v>
      </c>
      <c r="G177" s="63">
        <v>45323</v>
      </c>
      <c r="H177" s="63">
        <v>45323</v>
      </c>
      <c r="I177" s="60">
        <f t="shared" ref="I177:I208" si="17">SUM(K177:AD177)</f>
        <v>5</v>
      </c>
      <c r="J177" s="60">
        <f t="shared" si="14"/>
        <v>0</v>
      </c>
      <c r="K177" s="60">
        <v>2</v>
      </c>
      <c r="L177" s="60"/>
      <c r="M177" s="60"/>
      <c r="N177" s="60">
        <v>1</v>
      </c>
      <c r="O177" s="60"/>
      <c r="P177" s="60">
        <v>1</v>
      </c>
      <c r="Q177" s="60"/>
      <c r="R177" s="60"/>
      <c r="S177" s="60"/>
      <c r="T177" s="60"/>
      <c r="U177" s="60"/>
      <c r="V177" s="60"/>
      <c r="W177" s="60"/>
      <c r="X177" s="60"/>
      <c r="Y177" s="60"/>
      <c r="Z177" s="60">
        <v>1</v>
      </c>
      <c r="AA177" s="60"/>
      <c r="AB177" s="60"/>
      <c r="AC177" s="60"/>
      <c r="AD177" s="60"/>
      <c r="AE177" s="60"/>
      <c r="AF177" s="60"/>
      <c r="AG177" s="60"/>
      <c r="AH177" s="60"/>
      <c r="AI177" s="60"/>
      <c r="AJ177" s="64">
        <f t="shared" si="15"/>
        <v>891.8900000000001</v>
      </c>
    </row>
    <row r="178" spans="1:36" x14ac:dyDescent="0.25">
      <c r="A178" s="59" t="str">
        <f t="shared" ca="1" si="13"/>
        <v>VENCIDO</v>
      </c>
      <c r="B178" s="60" t="s">
        <v>869</v>
      </c>
      <c r="C178" s="61" t="s">
        <v>1934</v>
      </c>
      <c r="D178" s="82" t="s">
        <v>1796</v>
      </c>
      <c r="E178" s="75" t="s">
        <v>261</v>
      </c>
      <c r="F178" s="75" t="s">
        <v>408</v>
      </c>
      <c r="G178" s="63">
        <v>45536</v>
      </c>
      <c r="H178" s="63">
        <f>G178-180</f>
        <v>45356</v>
      </c>
      <c r="I178" s="60">
        <f t="shared" si="17"/>
        <v>3</v>
      </c>
      <c r="J178" s="60">
        <f t="shared" si="14"/>
        <v>0</v>
      </c>
      <c r="K178" s="60"/>
      <c r="L178" s="60"/>
      <c r="M178" s="60"/>
      <c r="N178" s="60"/>
      <c r="O178" s="60">
        <v>1</v>
      </c>
      <c r="P178" s="60">
        <v>1</v>
      </c>
      <c r="Q178" s="60"/>
      <c r="R178" s="60"/>
      <c r="S178" s="60"/>
      <c r="T178" s="60"/>
      <c r="U178" s="60"/>
      <c r="V178" s="60"/>
      <c r="W178" s="60"/>
      <c r="X178" s="60"/>
      <c r="Y178" s="60"/>
      <c r="Z178" s="60">
        <v>1</v>
      </c>
      <c r="AA178" s="60"/>
      <c r="AB178" s="60"/>
      <c r="AC178" s="60"/>
      <c r="AD178" s="60"/>
      <c r="AE178" s="60"/>
      <c r="AF178" s="60"/>
      <c r="AG178" s="60"/>
      <c r="AH178" s="60"/>
      <c r="AI178" s="60"/>
      <c r="AJ178" s="64">
        <f t="shared" si="15"/>
        <v>757.28000000000009</v>
      </c>
    </row>
    <row r="179" spans="1:36" x14ac:dyDescent="0.25">
      <c r="A179" s="59" t="str">
        <f t="shared" ca="1" si="13"/>
        <v>VENCIDO</v>
      </c>
      <c r="B179" s="60" t="s">
        <v>772</v>
      </c>
      <c r="C179" s="61" t="s">
        <v>1935</v>
      </c>
      <c r="D179" s="82" t="s">
        <v>1735</v>
      </c>
      <c r="E179" s="75" t="s">
        <v>261</v>
      </c>
      <c r="F179" s="75" t="s">
        <v>408</v>
      </c>
      <c r="G179" s="63">
        <v>45505</v>
      </c>
      <c r="H179" s="63">
        <f>G179-180</f>
        <v>45325</v>
      </c>
      <c r="I179" s="60">
        <f t="shared" si="17"/>
        <v>3</v>
      </c>
      <c r="J179" s="60">
        <f t="shared" si="14"/>
        <v>0</v>
      </c>
      <c r="K179" s="60">
        <v>1</v>
      </c>
      <c r="L179" s="60"/>
      <c r="M179" s="60">
        <v>1</v>
      </c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>
        <v>1</v>
      </c>
      <c r="AA179" s="60"/>
      <c r="AB179" s="60"/>
      <c r="AC179" s="60"/>
      <c r="AD179" s="60"/>
      <c r="AE179" s="60"/>
      <c r="AF179" s="60"/>
      <c r="AG179" s="60"/>
      <c r="AH179" s="60"/>
      <c r="AI179" s="60"/>
      <c r="AJ179" s="64">
        <f t="shared" si="15"/>
        <v>439.90999999999997</v>
      </c>
    </row>
    <row r="180" spans="1:36" x14ac:dyDescent="0.25">
      <c r="A180" s="59" t="str">
        <f t="shared" ca="1" si="13"/>
        <v>VENCIDO</v>
      </c>
      <c r="B180" s="60" t="s">
        <v>869</v>
      </c>
      <c r="C180" s="61" t="s">
        <v>1936</v>
      </c>
      <c r="D180" s="82" t="s">
        <v>1735</v>
      </c>
      <c r="E180" s="75" t="s">
        <v>261</v>
      </c>
      <c r="F180" s="75" t="s">
        <v>408</v>
      </c>
      <c r="G180" s="63">
        <v>45323</v>
      </c>
      <c r="H180" s="63">
        <v>45323</v>
      </c>
      <c r="I180" s="60">
        <f t="shared" si="17"/>
        <v>6</v>
      </c>
      <c r="J180" s="60">
        <f t="shared" si="14"/>
        <v>0</v>
      </c>
      <c r="K180" s="60"/>
      <c r="L180" s="60"/>
      <c r="M180" s="60"/>
      <c r="N180" s="60"/>
      <c r="O180" s="60">
        <v>1</v>
      </c>
      <c r="P180" s="60">
        <v>1</v>
      </c>
      <c r="Q180" s="60"/>
      <c r="R180" s="60"/>
      <c r="S180" s="60">
        <v>3</v>
      </c>
      <c r="T180" s="60"/>
      <c r="U180" s="60"/>
      <c r="V180" s="60"/>
      <c r="W180" s="60"/>
      <c r="X180" s="60"/>
      <c r="Y180" s="60"/>
      <c r="Z180" s="60">
        <v>1</v>
      </c>
      <c r="AA180" s="60"/>
      <c r="AB180" s="60"/>
      <c r="AC180" s="60"/>
      <c r="AD180" s="60"/>
      <c r="AE180" s="60"/>
      <c r="AF180" s="60"/>
      <c r="AG180" s="60"/>
      <c r="AH180" s="60"/>
      <c r="AI180" s="60"/>
      <c r="AJ180" s="64">
        <f t="shared" si="15"/>
        <v>2459.6900000000005</v>
      </c>
    </row>
    <row r="181" spans="1:36" x14ac:dyDescent="0.25">
      <c r="A181" s="59" t="str">
        <f t="shared" ca="1" si="13"/>
        <v>VENCIDO</v>
      </c>
      <c r="B181" s="60" t="s">
        <v>869</v>
      </c>
      <c r="C181" s="61" t="s">
        <v>1937</v>
      </c>
      <c r="D181" s="82" t="s">
        <v>1938</v>
      </c>
      <c r="E181" s="75" t="s">
        <v>261</v>
      </c>
      <c r="F181" s="75" t="s">
        <v>408</v>
      </c>
      <c r="G181" s="63">
        <v>45323</v>
      </c>
      <c r="H181" s="63">
        <v>45323</v>
      </c>
      <c r="I181" s="60">
        <f t="shared" si="17"/>
        <v>3</v>
      </c>
      <c r="J181" s="60">
        <f t="shared" si="14"/>
        <v>0</v>
      </c>
      <c r="K181" s="60"/>
      <c r="L181" s="60"/>
      <c r="M181" s="60"/>
      <c r="N181" s="60"/>
      <c r="O181" s="60"/>
      <c r="P181" s="60">
        <v>2</v>
      </c>
      <c r="Q181" s="60"/>
      <c r="R181" s="60"/>
      <c r="S181" s="60"/>
      <c r="T181" s="60"/>
      <c r="U181" s="60"/>
      <c r="V181" s="60"/>
      <c r="W181" s="60"/>
      <c r="X181" s="60"/>
      <c r="Y181" s="60">
        <v>1</v>
      </c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4">
        <f t="shared" si="15"/>
        <v>782.33</v>
      </c>
    </row>
    <row r="182" spans="1:36" x14ac:dyDescent="0.25">
      <c r="A182" s="59" t="str">
        <f t="shared" ca="1" si="13"/>
        <v>VENCIDO</v>
      </c>
      <c r="B182" s="60" t="s">
        <v>869</v>
      </c>
      <c r="C182" s="61" t="s">
        <v>1939</v>
      </c>
      <c r="D182" s="82" t="s">
        <v>1940</v>
      </c>
      <c r="E182" s="75" t="s">
        <v>261</v>
      </c>
      <c r="F182" s="75" t="s">
        <v>408</v>
      </c>
      <c r="G182" s="63">
        <v>45566</v>
      </c>
      <c r="H182" s="63">
        <f>G182-180</f>
        <v>45386</v>
      </c>
      <c r="I182" s="60">
        <f t="shared" si="17"/>
        <v>3</v>
      </c>
      <c r="J182" s="60">
        <f t="shared" si="14"/>
        <v>0</v>
      </c>
      <c r="K182" s="60"/>
      <c r="L182" s="60"/>
      <c r="M182" s="60"/>
      <c r="N182" s="60"/>
      <c r="O182" s="60"/>
      <c r="P182" s="60">
        <v>2</v>
      </c>
      <c r="Q182" s="60"/>
      <c r="R182" s="60"/>
      <c r="S182" s="60"/>
      <c r="T182" s="60"/>
      <c r="U182" s="60"/>
      <c r="V182" s="60"/>
      <c r="W182" s="60"/>
      <c r="X182" s="60"/>
      <c r="Y182" s="60"/>
      <c r="Z182" s="60">
        <v>1</v>
      </c>
      <c r="AA182" s="60"/>
      <c r="AB182" s="60"/>
      <c r="AC182" s="60"/>
      <c r="AD182" s="60"/>
      <c r="AE182" s="60"/>
      <c r="AF182" s="60"/>
      <c r="AG182" s="60"/>
      <c r="AH182" s="60"/>
      <c r="AI182" s="60"/>
      <c r="AJ182" s="64">
        <f t="shared" si="15"/>
        <v>828.54000000000008</v>
      </c>
    </row>
    <row r="183" spans="1:36" x14ac:dyDescent="0.25">
      <c r="A183" s="59" t="str">
        <f t="shared" ca="1" si="13"/>
        <v>VENCIDO</v>
      </c>
      <c r="B183" s="60" t="s">
        <v>772</v>
      </c>
      <c r="C183" s="61" t="s">
        <v>1941</v>
      </c>
      <c r="D183" s="82" t="s">
        <v>1885</v>
      </c>
      <c r="E183" s="75" t="s">
        <v>261</v>
      </c>
      <c r="F183" s="75" t="s">
        <v>408</v>
      </c>
      <c r="G183" s="63">
        <v>45658</v>
      </c>
      <c r="H183" s="63">
        <f>G183-180</f>
        <v>45478</v>
      </c>
      <c r="I183" s="60">
        <f t="shared" si="17"/>
        <v>2</v>
      </c>
      <c r="J183" s="60">
        <f t="shared" si="14"/>
        <v>0</v>
      </c>
      <c r="K183" s="60"/>
      <c r="L183" s="60"/>
      <c r="M183" s="60">
        <v>1</v>
      </c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>
        <v>1</v>
      </c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4">
        <f t="shared" si="15"/>
        <v>303.26</v>
      </c>
    </row>
    <row r="184" spans="1:36" x14ac:dyDescent="0.25">
      <c r="A184" s="59" t="str">
        <f t="shared" ca="1" si="13"/>
        <v>VENCIDO</v>
      </c>
      <c r="B184" s="60" t="s">
        <v>869</v>
      </c>
      <c r="C184" s="61" t="s">
        <v>1942</v>
      </c>
      <c r="D184" s="82" t="s">
        <v>1885</v>
      </c>
      <c r="E184" s="75" t="s">
        <v>261</v>
      </c>
      <c r="F184" s="75" t="s">
        <v>408</v>
      </c>
      <c r="G184" s="63">
        <v>45536</v>
      </c>
      <c r="H184" s="63">
        <v>45200</v>
      </c>
      <c r="I184" s="60">
        <f t="shared" si="17"/>
        <v>2</v>
      </c>
      <c r="J184" s="60">
        <f t="shared" si="14"/>
        <v>0</v>
      </c>
      <c r="K184" s="60"/>
      <c r="L184" s="60"/>
      <c r="M184" s="60"/>
      <c r="N184" s="60"/>
      <c r="O184" s="60"/>
      <c r="P184" s="60">
        <v>1</v>
      </c>
      <c r="Q184" s="60"/>
      <c r="R184" s="60"/>
      <c r="S184" s="60"/>
      <c r="T184" s="60"/>
      <c r="U184" s="60"/>
      <c r="V184" s="60"/>
      <c r="W184" s="60"/>
      <c r="X184" s="60"/>
      <c r="Y184" s="60"/>
      <c r="Z184" s="60">
        <v>1</v>
      </c>
      <c r="AA184" s="60"/>
      <c r="AB184" s="60"/>
      <c r="AC184" s="60"/>
      <c r="AD184" s="60"/>
      <c r="AE184" s="60"/>
      <c r="AF184" s="60"/>
      <c r="AG184" s="60"/>
      <c r="AH184" s="60"/>
      <c r="AI184" s="60"/>
      <c r="AJ184" s="64">
        <f t="shared" si="15"/>
        <v>513.19000000000005</v>
      </c>
    </row>
    <row r="185" spans="1:36" x14ac:dyDescent="0.25">
      <c r="A185" s="59" t="str">
        <f t="shared" ca="1" si="13"/>
        <v>VENCIDO</v>
      </c>
      <c r="B185" s="60" t="s">
        <v>869</v>
      </c>
      <c r="C185" s="61" t="s">
        <v>1943</v>
      </c>
      <c r="D185" s="82" t="s">
        <v>415</v>
      </c>
      <c r="E185" s="75" t="s">
        <v>261</v>
      </c>
      <c r="F185" s="75" t="s">
        <v>408</v>
      </c>
      <c r="G185" s="63">
        <v>45413</v>
      </c>
      <c r="H185" s="63">
        <v>45413</v>
      </c>
      <c r="I185" s="60">
        <f t="shared" si="17"/>
        <v>3</v>
      </c>
      <c r="J185" s="60">
        <f t="shared" si="14"/>
        <v>0</v>
      </c>
      <c r="K185" s="60"/>
      <c r="L185" s="60"/>
      <c r="M185" s="60"/>
      <c r="N185" s="60"/>
      <c r="O185" s="60"/>
      <c r="P185" s="60">
        <v>2</v>
      </c>
      <c r="Q185" s="60"/>
      <c r="R185" s="60"/>
      <c r="S185" s="60"/>
      <c r="T185" s="60"/>
      <c r="U185" s="60"/>
      <c r="V185" s="60"/>
      <c r="W185" s="60"/>
      <c r="X185" s="60"/>
      <c r="Y185" s="60"/>
      <c r="Z185" s="60">
        <v>1</v>
      </c>
      <c r="AA185" s="60"/>
      <c r="AB185" s="60"/>
      <c r="AC185" s="60"/>
      <c r="AD185" s="60"/>
      <c r="AE185" s="60"/>
      <c r="AF185" s="60"/>
      <c r="AG185" s="60"/>
      <c r="AH185" s="60"/>
      <c r="AI185" s="60"/>
      <c r="AJ185" s="64">
        <f t="shared" si="15"/>
        <v>828.54000000000008</v>
      </c>
    </row>
    <row r="186" spans="1:36" x14ac:dyDescent="0.25">
      <c r="A186" s="59" t="str">
        <f t="shared" ca="1" si="13"/>
        <v>VENCIDO</v>
      </c>
      <c r="B186" s="60" t="s">
        <v>869</v>
      </c>
      <c r="C186" s="61" t="s">
        <v>1944</v>
      </c>
      <c r="D186" s="82" t="s">
        <v>303</v>
      </c>
      <c r="E186" s="75" t="s">
        <v>261</v>
      </c>
      <c r="F186" s="75" t="s">
        <v>408</v>
      </c>
      <c r="G186" s="63">
        <v>45536</v>
      </c>
      <c r="H186" s="63">
        <f>G186-180</f>
        <v>45356</v>
      </c>
      <c r="I186" s="60">
        <f t="shared" si="17"/>
        <v>3</v>
      </c>
      <c r="J186" s="60">
        <f t="shared" si="14"/>
        <v>0</v>
      </c>
      <c r="K186" s="60"/>
      <c r="L186" s="60"/>
      <c r="M186" s="60"/>
      <c r="N186" s="60">
        <v>1</v>
      </c>
      <c r="O186" s="60"/>
      <c r="P186" s="60">
        <v>1</v>
      </c>
      <c r="Q186" s="60"/>
      <c r="R186" s="60"/>
      <c r="S186" s="60"/>
      <c r="T186" s="60"/>
      <c r="U186" s="60"/>
      <c r="V186" s="60"/>
      <c r="W186" s="60"/>
      <c r="X186" s="60"/>
      <c r="Y186" s="60"/>
      <c r="Z186" s="60">
        <v>1</v>
      </c>
      <c r="AA186" s="60"/>
      <c r="AB186" s="60"/>
      <c r="AC186" s="60"/>
      <c r="AD186" s="60"/>
      <c r="AE186" s="60"/>
      <c r="AF186" s="60"/>
      <c r="AG186" s="60"/>
      <c r="AH186" s="60"/>
      <c r="AI186" s="60"/>
      <c r="AJ186" s="64">
        <f t="shared" si="15"/>
        <v>711.0100000000001</v>
      </c>
    </row>
    <row r="187" spans="1:36" x14ac:dyDescent="0.25">
      <c r="A187" s="59" t="str">
        <f t="shared" ca="1" si="13"/>
        <v>VENCIDO</v>
      </c>
      <c r="B187" s="60" t="s">
        <v>869</v>
      </c>
      <c r="C187" s="61" t="s">
        <v>1945</v>
      </c>
      <c r="D187" s="82" t="s">
        <v>408</v>
      </c>
      <c r="E187" s="75" t="s">
        <v>261</v>
      </c>
      <c r="F187" s="75" t="s">
        <v>408</v>
      </c>
      <c r="G187" s="63">
        <v>45352</v>
      </c>
      <c r="H187" s="63">
        <v>45352</v>
      </c>
      <c r="I187" s="60">
        <f t="shared" si="17"/>
        <v>5</v>
      </c>
      <c r="J187" s="60">
        <f t="shared" si="14"/>
        <v>0</v>
      </c>
      <c r="K187" s="60"/>
      <c r="L187" s="60"/>
      <c r="M187" s="60"/>
      <c r="N187" s="60">
        <v>1</v>
      </c>
      <c r="O187" s="60">
        <v>2</v>
      </c>
      <c r="P187" s="60"/>
      <c r="Q187" s="60"/>
      <c r="R187" s="60"/>
      <c r="S187" s="60">
        <v>1</v>
      </c>
      <c r="T187" s="60"/>
      <c r="U187" s="60"/>
      <c r="V187" s="60"/>
      <c r="W187" s="60"/>
      <c r="X187" s="60"/>
      <c r="Y187" s="60"/>
      <c r="Z187" s="60">
        <v>1</v>
      </c>
      <c r="AA187" s="60"/>
      <c r="AB187" s="60"/>
      <c r="AC187" s="60"/>
      <c r="AD187" s="60"/>
      <c r="AE187" s="60"/>
      <c r="AF187" s="60"/>
      <c r="AG187" s="60"/>
      <c r="AH187" s="60"/>
      <c r="AI187" s="60"/>
      <c r="AJ187" s="64">
        <f t="shared" si="15"/>
        <v>1451.31</v>
      </c>
    </row>
    <row r="188" spans="1:36" x14ac:dyDescent="0.25">
      <c r="A188" s="59" t="str">
        <f t="shared" ca="1" si="13"/>
        <v>VENCIDO</v>
      </c>
      <c r="B188" s="60" t="s">
        <v>869</v>
      </c>
      <c r="C188" s="61" t="s">
        <v>1946</v>
      </c>
      <c r="D188" s="82" t="s">
        <v>415</v>
      </c>
      <c r="E188" s="75" t="s">
        <v>261</v>
      </c>
      <c r="F188" s="75" t="s">
        <v>408</v>
      </c>
      <c r="G188" s="63">
        <v>45658</v>
      </c>
      <c r="H188" s="63">
        <v>45474</v>
      </c>
      <c r="I188" s="60">
        <f t="shared" si="17"/>
        <v>6</v>
      </c>
      <c r="J188" s="60">
        <f t="shared" si="14"/>
        <v>0</v>
      </c>
      <c r="K188" s="60"/>
      <c r="L188" s="60"/>
      <c r="M188" s="60">
        <v>2</v>
      </c>
      <c r="N188" s="60">
        <v>2</v>
      </c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>
        <v>2</v>
      </c>
      <c r="AA188" s="60"/>
      <c r="AB188" s="60"/>
      <c r="AC188" s="60"/>
      <c r="AD188" s="60"/>
      <c r="AE188" s="60"/>
      <c r="AF188" s="60"/>
      <c r="AG188" s="60"/>
      <c r="AH188" s="60"/>
      <c r="AI188" s="60"/>
      <c r="AJ188" s="64">
        <f t="shared" si="15"/>
        <v>1094.58</v>
      </c>
    </row>
    <row r="189" spans="1:36" x14ac:dyDescent="0.25">
      <c r="A189" s="59" t="str">
        <f t="shared" ca="1" si="13"/>
        <v>VENCIDO</v>
      </c>
      <c r="B189" s="60" t="s">
        <v>869</v>
      </c>
      <c r="C189" s="61" t="s">
        <v>1947</v>
      </c>
      <c r="D189" s="82" t="s">
        <v>1948</v>
      </c>
      <c r="E189" s="75" t="s">
        <v>261</v>
      </c>
      <c r="F189" s="75" t="s">
        <v>408</v>
      </c>
      <c r="G189" s="63">
        <v>45231</v>
      </c>
      <c r="H189" s="63">
        <f>G189-180</f>
        <v>45051</v>
      </c>
      <c r="I189" s="60">
        <f t="shared" si="17"/>
        <v>2</v>
      </c>
      <c r="J189" s="60">
        <f t="shared" si="14"/>
        <v>0</v>
      </c>
      <c r="K189" s="60"/>
      <c r="L189" s="60"/>
      <c r="M189" s="60"/>
      <c r="N189" s="60"/>
      <c r="O189" s="60"/>
      <c r="P189" s="60">
        <v>1</v>
      </c>
      <c r="Q189" s="60"/>
      <c r="R189" s="60"/>
      <c r="S189" s="60"/>
      <c r="T189" s="60"/>
      <c r="U189" s="60"/>
      <c r="V189" s="60"/>
      <c r="W189" s="60"/>
      <c r="X189" s="60"/>
      <c r="Y189" s="60"/>
      <c r="Z189" s="60">
        <v>1</v>
      </c>
      <c r="AA189" s="60"/>
      <c r="AB189" s="60"/>
      <c r="AC189" s="60"/>
      <c r="AD189" s="60"/>
      <c r="AE189" s="60"/>
      <c r="AF189" s="60"/>
      <c r="AG189" s="60"/>
      <c r="AH189" s="60"/>
      <c r="AI189" s="60"/>
      <c r="AJ189" s="64">
        <f t="shared" si="15"/>
        <v>513.19000000000005</v>
      </c>
    </row>
    <row r="190" spans="1:36" x14ac:dyDescent="0.25">
      <c r="A190" s="59" t="str">
        <f t="shared" ca="1" si="13"/>
        <v>VENCIDO</v>
      </c>
      <c r="B190" s="60" t="s">
        <v>869</v>
      </c>
      <c r="C190" s="61" t="s">
        <v>1949</v>
      </c>
      <c r="D190" s="82" t="s">
        <v>415</v>
      </c>
      <c r="E190" s="75" t="s">
        <v>261</v>
      </c>
      <c r="F190" s="75" t="s">
        <v>408</v>
      </c>
      <c r="G190" s="63">
        <v>45383</v>
      </c>
      <c r="H190" s="63">
        <v>45383</v>
      </c>
      <c r="I190" s="60">
        <f t="shared" si="17"/>
        <v>2</v>
      </c>
      <c r="J190" s="60">
        <f t="shared" si="14"/>
        <v>0</v>
      </c>
      <c r="K190" s="60"/>
      <c r="L190" s="60"/>
      <c r="M190" s="60"/>
      <c r="N190" s="60"/>
      <c r="O190" s="60"/>
      <c r="P190" s="60"/>
      <c r="Q190" s="60"/>
      <c r="R190" s="60"/>
      <c r="S190" s="60">
        <v>1</v>
      </c>
      <c r="T190" s="60"/>
      <c r="U190" s="60"/>
      <c r="V190" s="60"/>
      <c r="W190" s="60"/>
      <c r="X190" s="60"/>
      <c r="Y190" s="60"/>
      <c r="Z190" s="60">
        <v>1</v>
      </c>
      <c r="AA190" s="60"/>
      <c r="AB190" s="60"/>
      <c r="AC190" s="60"/>
      <c r="AD190" s="60"/>
      <c r="AE190" s="60"/>
      <c r="AF190" s="60"/>
      <c r="AG190" s="60"/>
      <c r="AH190" s="60"/>
      <c r="AI190" s="60"/>
      <c r="AJ190" s="64">
        <f t="shared" si="15"/>
        <v>765.31000000000006</v>
      </c>
    </row>
    <row r="191" spans="1:36" x14ac:dyDescent="0.25">
      <c r="A191" s="59" t="str">
        <f t="shared" ca="1" si="13"/>
        <v>VENCIDO</v>
      </c>
      <c r="B191" s="60" t="s">
        <v>869</v>
      </c>
      <c r="C191" s="61" t="s">
        <v>1950</v>
      </c>
      <c r="D191" s="82" t="s">
        <v>1951</v>
      </c>
      <c r="E191" s="75" t="s">
        <v>261</v>
      </c>
      <c r="F191" s="75" t="s">
        <v>408</v>
      </c>
      <c r="G191" s="63">
        <v>45383</v>
      </c>
      <c r="H191" s="63">
        <v>45383</v>
      </c>
      <c r="I191" s="60">
        <f t="shared" si="17"/>
        <v>3</v>
      </c>
      <c r="J191" s="60">
        <f t="shared" si="14"/>
        <v>0</v>
      </c>
      <c r="K191" s="60"/>
      <c r="L191" s="60"/>
      <c r="M191" s="60"/>
      <c r="N191" s="60"/>
      <c r="O191" s="60"/>
      <c r="P191" s="60">
        <v>2</v>
      </c>
      <c r="Q191" s="60"/>
      <c r="R191" s="60"/>
      <c r="S191" s="60"/>
      <c r="T191" s="60"/>
      <c r="U191" s="60"/>
      <c r="V191" s="60"/>
      <c r="W191" s="60"/>
      <c r="X191" s="60"/>
      <c r="Y191" s="60"/>
      <c r="Z191" s="60">
        <v>1</v>
      </c>
      <c r="AA191" s="60"/>
      <c r="AB191" s="60"/>
      <c r="AC191" s="60"/>
      <c r="AD191" s="60"/>
      <c r="AE191" s="60"/>
      <c r="AF191" s="60"/>
      <c r="AG191" s="60"/>
      <c r="AH191" s="60"/>
      <c r="AI191" s="60"/>
      <c r="AJ191" s="64">
        <f t="shared" si="15"/>
        <v>828.54000000000008</v>
      </c>
    </row>
    <row r="192" spans="1:36" x14ac:dyDescent="0.25">
      <c r="A192" s="59" t="str">
        <f t="shared" ca="1" si="13"/>
        <v>VENCIDO</v>
      </c>
      <c r="B192" s="60" t="s">
        <v>869</v>
      </c>
      <c r="C192" s="61" t="s">
        <v>1952</v>
      </c>
      <c r="D192" s="82" t="s">
        <v>1953</v>
      </c>
      <c r="E192" s="75" t="s">
        <v>261</v>
      </c>
      <c r="F192" s="75" t="s">
        <v>408</v>
      </c>
      <c r="G192" s="63">
        <v>45383</v>
      </c>
      <c r="H192" s="63">
        <v>45383</v>
      </c>
      <c r="I192" s="60">
        <f t="shared" si="17"/>
        <v>4</v>
      </c>
      <c r="J192" s="60">
        <f t="shared" si="14"/>
        <v>0</v>
      </c>
      <c r="K192" s="60"/>
      <c r="L192" s="60"/>
      <c r="M192" s="60"/>
      <c r="N192" s="60"/>
      <c r="O192" s="60"/>
      <c r="P192" s="60">
        <v>1</v>
      </c>
      <c r="Q192" s="60"/>
      <c r="R192" s="60"/>
      <c r="S192" s="60">
        <v>2</v>
      </c>
      <c r="T192" s="60"/>
      <c r="U192" s="60"/>
      <c r="V192" s="60"/>
      <c r="W192" s="60"/>
      <c r="X192" s="60"/>
      <c r="Y192" s="60"/>
      <c r="Z192" s="60">
        <v>1</v>
      </c>
      <c r="AA192" s="60"/>
      <c r="AB192" s="60"/>
      <c r="AC192" s="60"/>
      <c r="AD192" s="60"/>
      <c r="AE192" s="60"/>
      <c r="AF192" s="60"/>
      <c r="AG192" s="60"/>
      <c r="AH192" s="60"/>
      <c r="AI192" s="60"/>
      <c r="AJ192" s="64">
        <f t="shared" si="15"/>
        <v>1648.1299999999999</v>
      </c>
    </row>
    <row r="193" spans="1:36" x14ac:dyDescent="0.25">
      <c r="A193" s="59" t="str">
        <f t="shared" ca="1" si="13"/>
        <v>VENCIDO</v>
      </c>
      <c r="B193" s="60" t="s">
        <v>869</v>
      </c>
      <c r="C193" s="61" t="s">
        <v>1954</v>
      </c>
      <c r="D193" s="82" t="s">
        <v>1955</v>
      </c>
      <c r="E193" s="75" t="s">
        <v>261</v>
      </c>
      <c r="F193" s="75" t="s">
        <v>408</v>
      </c>
      <c r="G193" s="63">
        <v>45413</v>
      </c>
      <c r="H193" s="63">
        <v>45413</v>
      </c>
      <c r="I193" s="60">
        <f t="shared" si="17"/>
        <v>2</v>
      </c>
      <c r="J193" s="60">
        <f t="shared" si="14"/>
        <v>0</v>
      </c>
      <c r="K193" s="60"/>
      <c r="L193" s="60"/>
      <c r="M193" s="60"/>
      <c r="N193" s="60"/>
      <c r="O193" s="60"/>
      <c r="P193" s="60">
        <v>1</v>
      </c>
      <c r="Q193" s="60"/>
      <c r="R193" s="60"/>
      <c r="S193" s="60"/>
      <c r="T193" s="60"/>
      <c r="U193" s="60"/>
      <c r="V193" s="60"/>
      <c r="W193" s="60"/>
      <c r="X193" s="60"/>
      <c r="Y193" s="60"/>
      <c r="Z193" s="60">
        <v>1</v>
      </c>
      <c r="AA193" s="60"/>
      <c r="AB193" s="60"/>
      <c r="AC193" s="60"/>
      <c r="AD193" s="60"/>
      <c r="AE193" s="60"/>
      <c r="AF193" s="60"/>
      <c r="AG193" s="60"/>
      <c r="AH193" s="60"/>
      <c r="AI193" s="60"/>
      <c r="AJ193" s="64">
        <f t="shared" si="15"/>
        <v>513.19000000000005</v>
      </c>
    </row>
    <row r="194" spans="1:36" x14ac:dyDescent="0.25">
      <c r="A194" s="59" t="str">
        <f t="shared" ca="1" si="13"/>
        <v>VENCIDO</v>
      </c>
      <c r="B194" s="60" t="s">
        <v>869</v>
      </c>
      <c r="C194" s="61" t="s">
        <v>1956</v>
      </c>
      <c r="D194" s="82" t="s">
        <v>1957</v>
      </c>
      <c r="E194" s="75" t="s">
        <v>261</v>
      </c>
      <c r="F194" s="75" t="s">
        <v>408</v>
      </c>
      <c r="G194" s="63">
        <v>45474</v>
      </c>
      <c r="H194" s="63">
        <f>G194-180</f>
        <v>45294</v>
      </c>
      <c r="I194" s="60">
        <f t="shared" si="17"/>
        <v>3</v>
      </c>
      <c r="J194" s="60">
        <f t="shared" si="14"/>
        <v>0</v>
      </c>
      <c r="K194" s="60"/>
      <c r="L194" s="60"/>
      <c r="M194" s="60"/>
      <c r="N194" s="60"/>
      <c r="O194" s="60"/>
      <c r="P194" s="60">
        <v>2</v>
      </c>
      <c r="Q194" s="60"/>
      <c r="R194" s="60"/>
      <c r="S194" s="60"/>
      <c r="T194" s="60"/>
      <c r="U194" s="60"/>
      <c r="V194" s="60"/>
      <c r="W194" s="60"/>
      <c r="X194" s="60"/>
      <c r="Y194" s="60"/>
      <c r="Z194" s="60">
        <v>1</v>
      </c>
      <c r="AA194" s="60"/>
      <c r="AB194" s="60"/>
      <c r="AC194" s="60"/>
      <c r="AD194" s="60"/>
      <c r="AE194" s="60"/>
      <c r="AF194" s="60"/>
      <c r="AG194" s="60"/>
      <c r="AH194" s="60"/>
      <c r="AI194" s="60"/>
      <c r="AJ194" s="64">
        <f t="shared" si="15"/>
        <v>828.54000000000008</v>
      </c>
    </row>
    <row r="195" spans="1:36" x14ac:dyDescent="0.25">
      <c r="A195" s="59" t="str">
        <f t="shared" ref="A195:A231" ca="1" si="18">IF(G195&lt;$A$1,"VENCIDO","NA VALIDADE")</f>
        <v>VENCIDO</v>
      </c>
      <c r="B195" s="60" t="s">
        <v>869</v>
      </c>
      <c r="C195" s="61" t="s">
        <v>1958</v>
      </c>
      <c r="D195" s="82" t="s">
        <v>260</v>
      </c>
      <c r="E195" s="75" t="s">
        <v>261</v>
      </c>
      <c r="F195" s="75" t="s">
        <v>408</v>
      </c>
      <c r="G195" s="63">
        <v>45474</v>
      </c>
      <c r="H195" s="63">
        <v>45474</v>
      </c>
      <c r="I195" s="60">
        <f t="shared" si="17"/>
        <v>2</v>
      </c>
      <c r="J195" s="60">
        <f t="shared" ref="J195:J231" si="19">SUM(AE195:AI195)</f>
        <v>0</v>
      </c>
      <c r="K195" s="60"/>
      <c r="L195" s="60"/>
      <c r="M195" s="60"/>
      <c r="N195" s="60"/>
      <c r="O195" s="60"/>
      <c r="P195" s="60"/>
      <c r="Q195" s="60"/>
      <c r="R195" s="60"/>
      <c r="S195" s="60">
        <v>1</v>
      </c>
      <c r="T195" s="60"/>
      <c r="U195" s="60"/>
      <c r="V195" s="60"/>
      <c r="W195" s="60"/>
      <c r="X195" s="60"/>
      <c r="Y195" s="60"/>
      <c r="Z195" s="60">
        <v>1</v>
      </c>
      <c r="AA195" s="60"/>
      <c r="AB195" s="60"/>
      <c r="AC195" s="60"/>
      <c r="AD195" s="60"/>
      <c r="AE195" s="60"/>
      <c r="AF195" s="60"/>
      <c r="AG195" s="60"/>
      <c r="AH195" s="60"/>
      <c r="AI195" s="60"/>
      <c r="AJ195" s="64">
        <f t="shared" ref="AJ195:AJ231" si="20">IF(K195&gt;0,K195*(82.29+8.15),0)+IF(L195&gt;0,L195*(8.15+339.97),0)+IF(M195&gt;0,M195*151.63,0)+IF(N195&gt;0,N195*197.82,0)+IF(O195&gt;0,O195*244.09,0)+IF(P195&gt;0,P195*315.35,0)+IF(Q195&gt;0,Q195*1067.3,0)+IF(S195&gt;0,S195*567.47,0)+IF(T195&gt;0,T195*151.63,0)+IF(U195&gt;0,U195*197.84,0)+IF(V195&gt;0,V195*470.51,0)+IF(W195&gt;0,W195*701.69,0)+IF(Y195&gt;0,Y195*151.63,0)+IF(Z195&gt;0,Z195*197.84)+IF(AA195&gt;0,AA195*308.4,0)+IF(AB195&gt;0,AB195*496.16,0)</f>
        <v>765.31000000000006</v>
      </c>
    </row>
    <row r="196" spans="1:36" x14ac:dyDescent="0.25">
      <c r="A196" s="59" t="str">
        <f t="shared" ca="1" si="18"/>
        <v>VENCIDO</v>
      </c>
      <c r="B196" s="60" t="s">
        <v>869</v>
      </c>
      <c r="C196" s="61" t="s">
        <v>1959</v>
      </c>
      <c r="D196" s="82" t="s">
        <v>260</v>
      </c>
      <c r="E196" s="75" t="s">
        <v>261</v>
      </c>
      <c r="F196" s="75" t="s">
        <v>408</v>
      </c>
      <c r="G196" s="63">
        <v>45505</v>
      </c>
      <c r="H196" s="63">
        <f>G196-180</f>
        <v>45325</v>
      </c>
      <c r="I196" s="60">
        <f t="shared" si="17"/>
        <v>3</v>
      </c>
      <c r="J196" s="60">
        <f t="shared" si="19"/>
        <v>0</v>
      </c>
      <c r="K196" s="60"/>
      <c r="L196" s="60"/>
      <c r="M196" s="60"/>
      <c r="N196" s="60"/>
      <c r="O196" s="60"/>
      <c r="P196" s="60">
        <v>2</v>
      </c>
      <c r="Q196" s="60"/>
      <c r="R196" s="60"/>
      <c r="S196" s="60"/>
      <c r="T196" s="60"/>
      <c r="U196" s="60"/>
      <c r="V196" s="60"/>
      <c r="W196" s="60"/>
      <c r="X196" s="60"/>
      <c r="Y196" s="60"/>
      <c r="Z196" s="60">
        <v>1</v>
      </c>
      <c r="AA196" s="60"/>
      <c r="AB196" s="60"/>
      <c r="AC196" s="60"/>
      <c r="AD196" s="60"/>
      <c r="AE196" s="60"/>
      <c r="AF196" s="60"/>
      <c r="AG196" s="60"/>
      <c r="AH196" s="60"/>
      <c r="AI196" s="60"/>
      <c r="AJ196" s="64">
        <f t="shared" si="20"/>
        <v>828.54000000000008</v>
      </c>
    </row>
    <row r="197" spans="1:36" x14ac:dyDescent="0.25">
      <c r="A197" s="59" t="str">
        <f t="shared" ca="1" si="18"/>
        <v>VENCIDO</v>
      </c>
      <c r="B197" s="60" t="s">
        <v>869</v>
      </c>
      <c r="C197" s="61" t="s">
        <v>1960</v>
      </c>
      <c r="D197" s="82" t="s">
        <v>1721</v>
      </c>
      <c r="E197" s="75" t="s">
        <v>261</v>
      </c>
      <c r="F197" s="75" t="s">
        <v>408</v>
      </c>
      <c r="G197" s="63">
        <v>45383</v>
      </c>
      <c r="H197" s="63">
        <v>45383</v>
      </c>
      <c r="I197" s="60">
        <f t="shared" si="17"/>
        <v>5</v>
      </c>
      <c r="J197" s="60">
        <f t="shared" si="19"/>
        <v>0</v>
      </c>
      <c r="K197" s="60"/>
      <c r="L197" s="60"/>
      <c r="M197" s="60"/>
      <c r="N197" s="60"/>
      <c r="O197" s="60"/>
      <c r="P197" s="60"/>
      <c r="Q197" s="60"/>
      <c r="R197" s="60"/>
      <c r="S197" s="60">
        <v>4</v>
      </c>
      <c r="T197" s="60"/>
      <c r="U197" s="60"/>
      <c r="V197" s="60"/>
      <c r="W197" s="60"/>
      <c r="X197" s="60"/>
      <c r="Y197" s="60"/>
      <c r="Z197" s="60">
        <v>1</v>
      </c>
      <c r="AA197" s="60"/>
      <c r="AB197" s="60"/>
      <c r="AC197" s="60"/>
      <c r="AD197" s="60"/>
      <c r="AE197" s="60"/>
      <c r="AF197" s="60"/>
      <c r="AG197" s="60"/>
      <c r="AH197" s="60"/>
      <c r="AI197" s="60"/>
      <c r="AJ197" s="64">
        <f t="shared" si="20"/>
        <v>2467.7200000000003</v>
      </c>
    </row>
    <row r="198" spans="1:36" x14ac:dyDescent="0.25">
      <c r="A198" s="59" t="str">
        <f t="shared" ca="1" si="18"/>
        <v>VENCIDO</v>
      </c>
      <c r="B198" s="60" t="s">
        <v>869</v>
      </c>
      <c r="C198" s="61" t="s">
        <v>1961</v>
      </c>
      <c r="D198" s="82" t="s">
        <v>1779</v>
      </c>
      <c r="E198" s="75" t="s">
        <v>261</v>
      </c>
      <c r="F198" s="75" t="s">
        <v>408</v>
      </c>
      <c r="G198" s="63">
        <v>45536</v>
      </c>
      <c r="H198" s="63">
        <f>G198-180</f>
        <v>45356</v>
      </c>
      <c r="I198" s="60">
        <f t="shared" si="17"/>
        <v>2</v>
      </c>
      <c r="J198" s="60">
        <f t="shared" si="19"/>
        <v>0</v>
      </c>
      <c r="K198" s="60"/>
      <c r="L198" s="60"/>
      <c r="M198" s="60"/>
      <c r="N198" s="60"/>
      <c r="O198" s="60"/>
      <c r="P198" s="60">
        <v>1</v>
      </c>
      <c r="Q198" s="60"/>
      <c r="R198" s="60"/>
      <c r="S198" s="60"/>
      <c r="T198" s="60"/>
      <c r="U198" s="60"/>
      <c r="V198" s="60"/>
      <c r="W198" s="60"/>
      <c r="X198" s="60"/>
      <c r="Y198" s="60"/>
      <c r="Z198" s="60">
        <v>1</v>
      </c>
      <c r="AA198" s="60"/>
      <c r="AB198" s="60"/>
      <c r="AC198" s="60"/>
      <c r="AD198" s="60"/>
      <c r="AE198" s="60"/>
      <c r="AF198" s="60"/>
      <c r="AG198" s="60"/>
      <c r="AH198" s="60"/>
      <c r="AI198" s="60"/>
      <c r="AJ198" s="64">
        <f t="shared" si="20"/>
        <v>513.19000000000005</v>
      </c>
    </row>
    <row r="199" spans="1:36" x14ac:dyDescent="0.25">
      <c r="A199" s="59" t="str">
        <f t="shared" ca="1" si="18"/>
        <v>VENCIDO</v>
      </c>
      <c r="B199" s="60" t="s">
        <v>869</v>
      </c>
      <c r="C199" s="61" t="s">
        <v>1962</v>
      </c>
      <c r="D199" s="82" t="s">
        <v>1963</v>
      </c>
      <c r="E199" s="75" t="s">
        <v>261</v>
      </c>
      <c r="F199" s="75" t="s">
        <v>408</v>
      </c>
      <c r="G199" s="63">
        <v>45566</v>
      </c>
      <c r="H199" s="63">
        <f>G199-180</f>
        <v>45386</v>
      </c>
      <c r="I199" s="60">
        <f t="shared" si="17"/>
        <v>2</v>
      </c>
      <c r="J199" s="60">
        <f t="shared" si="19"/>
        <v>0</v>
      </c>
      <c r="K199" s="60"/>
      <c r="L199" s="60"/>
      <c r="M199" s="60"/>
      <c r="N199" s="60"/>
      <c r="O199" s="60"/>
      <c r="P199" s="60">
        <v>1</v>
      </c>
      <c r="Q199" s="60"/>
      <c r="R199" s="60"/>
      <c r="S199" s="60"/>
      <c r="T199" s="60"/>
      <c r="U199" s="60"/>
      <c r="V199" s="60"/>
      <c r="W199" s="60"/>
      <c r="X199" s="60"/>
      <c r="Y199" s="60"/>
      <c r="Z199" s="60">
        <v>1</v>
      </c>
      <c r="AA199" s="60"/>
      <c r="AB199" s="60"/>
      <c r="AC199" s="60"/>
      <c r="AD199" s="60"/>
      <c r="AE199" s="60"/>
      <c r="AF199" s="60"/>
      <c r="AG199" s="60"/>
      <c r="AH199" s="60"/>
      <c r="AI199" s="60"/>
      <c r="AJ199" s="64">
        <f t="shared" si="20"/>
        <v>513.19000000000005</v>
      </c>
    </row>
    <row r="200" spans="1:36" x14ac:dyDescent="0.25">
      <c r="A200" s="59" t="str">
        <f t="shared" ca="1" si="18"/>
        <v>VENCIDO</v>
      </c>
      <c r="B200" s="60" t="s">
        <v>869</v>
      </c>
      <c r="C200" s="61" t="s">
        <v>1964</v>
      </c>
      <c r="D200" s="82" t="s">
        <v>1965</v>
      </c>
      <c r="E200" s="75" t="s">
        <v>261</v>
      </c>
      <c r="F200" s="75" t="s">
        <v>408</v>
      </c>
      <c r="G200" s="63">
        <v>45566</v>
      </c>
      <c r="H200" s="63">
        <f>G200-180</f>
        <v>45386</v>
      </c>
      <c r="I200" s="60">
        <f t="shared" si="17"/>
        <v>3</v>
      </c>
      <c r="J200" s="60">
        <f t="shared" si="19"/>
        <v>0</v>
      </c>
      <c r="K200" s="60"/>
      <c r="L200" s="60"/>
      <c r="M200" s="60"/>
      <c r="N200" s="60"/>
      <c r="O200" s="60"/>
      <c r="P200" s="60">
        <v>2</v>
      </c>
      <c r="Q200" s="60"/>
      <c r="R200" s="60"/>
      <c r="S200" s="60"/>
      <c r="T200" s="60"/>
      <c r="U200" s="60"/>
      <c r="V200" s="60"/>
      <c r="W200" s="60"/>
      <c r="X200" s="60"/>
      <c r="Y200" s="60"/>
      <c r="Z200" s="60">
        <v>1</v>
      </c>
      <c r="AA200" s="60"/>
      <c r="AB200" s="60"/>
      <c r="AC200" s="60"/>
      <c r="AD200" s="60"/>
      <c r="AE200" s="60"/>
      <c r="AF200" s="60"/>
      <c r="AG200" s="60"/>
      <c r="AH200" s="60"/>
      <c r="AI200" s="60"/>
      <c r="AJ200" s="64">
        <f t="shared" si="20"/>
        <v>828.54000000000008</v>
      </c>
    </row>
    <row r="201" spans="1:36" x14ac:dyDescent="0.25">
      <c r="A201" s="59" t="str">
        <f t="shared" ca="1" si="18"/>
        <v>VENCIDO</v>
      </c>
      <c r="B201" s="60" t="s">
        <v>869</v>
      </c>
      <c r="C201" s="61" t="s">
        <v>1966</v>
      </c>
      <c r="D201" s="82" t="s">
        <v>1967</v>
      </c>
      <c r="E201" s="75" t="s">
        <v>261</v>
      </c>
      <c r="F201" s="75" t="s">
        <v>408</v>
      </c>
      <c r="G201" s="63">
        <v>45444</v>
      </c>
      <c r="H201" s="63">
        <v>45444</v>
      </c>
      <c r="I201" s="60">
        <f t="shared" si="17"/>
        <v>4</v>
      </c>
      <c r="J201" s="60">
        <f t="shared" si="19"/>
        <v>0</v>
      </c>
      <c r="K201" s="60"/>
      <c r="L201" s="60"/>
      <c r="M201" s="60"/>
      <c r="N201" s="60"/>
      <c r="O201" s="60"/>
      <c r="P201" s="60">
        <v>1</v>
      </c>
      <c r="Q201" s="60"/>
      <c r="R201" s="60"/>
      <c r="S201" s="60">
        <v>2</v>
      </c>
      <c r="T201" s="60"/>
      <c r="U201" s="60"/>
      <c r="V201" s="60"/>
      <c r="W201" s="60"/>
      <c r="X201" s="60"/>
      <c r="Y201" s="60"/>
      <c r="Z201" s="60">
        <v>1</v>
      </c>
      <c r="AA201" s="60"/>
      <c r="AB201" s="60"/>
      <c r="AC201" s="60"/>
      <c r="AD201" s="60"/>
      <c r="AE201" s="60"/>
      <c r="AF201" s="60"/>
      <c r="AG201" s="60"/>
      <c r="AH201" s="60"/>
      <c r="AI201" s="60"/>
      <c r="AJ201" s="64">
        <f t="shared" si="20"/>
        <v>1648.1299999999999</v>
      </c>
    </row>
    <row r="202" spans="1:36" x14ac:dyDescent="0.25">
      <c r="A202" s="59" t="str">
        <f t="shared" ca="1" si="18"/>
        <v>VENCIDO</v>
      </c>
      <c r="B202" s="60" t="s">
        <v>869</v>
      </c>
      <c r="C202" s="61" t="s">
        <v>1968</v>
      </c>
      <c r="D202" s="82" t="s">
        <v>1969</v>
      </c>
      <c r="E202" s="75" t="s">
        <v>261</v>
      </c>
      <c r="F202" s="75" t="s">
        <v>408</v>
      </c>
      <c r="G202" s="63">
        <v>45536</v>
      </c>
      <c r="H202" s="63">
        <f>G202-180</f>
        <v>45356</v>
      </c>
      <c r="I202" s="60">
        <f t="shared" si="17"/>
        <v>2</v>
      </c>
      <c r="J202" s="60">
        <f t="shared" si="19"/>
        <v>0</v>
      </c>
      <c r="K202" s="60"/>
      <c r="L202" s="60"/>
      <c r="M202" s="60"/>
      <c r="N202" s="60"/>
      <c r="O202" s="60"/>
      <c r="P202" s="60">
        <v>1</v>
      </c>
      <c r="Q202" s="60"/>
      <c r="R202" s="60"/>
      <c r="S202" s="60"/>
      <c r="T202" s="60"/>
      <c r="U202" s="60"/>
      <c r="V202" s="60"/>
      <c r="W202" s="60"/>
      <c r="X202" s="60"/>
      <c r="Y202" s="60"/>
      <c r="Z202" s="60">
        <v>1</v>
      </c>
      <c r="AA202" s="60"/>
      <c r="AB202" s="60"/>
      <c r="AC202" s="60"/>
      <c r="AD202" s="60"/>
      <c r="AE202" s="60"/>
      <c r="AF202" s="60"/>
      <c r="AG202" s="60"/>
      <c r="AH202" s="60"/>
      <c r="AI202" s="60"/>
      <c r="AJ202" s="64">
        <f t="shared" si="20"/>
        <v>513.19000000000005</v>
      </c>
    </row>
    <row r="203" spans="1:36" x14ac:dyDescent="0.25">
      <c r="A203" s="59" t="str">
        <f t="shared" ca="1" si="18"/>
        <v>VENCIDO</v>
      </c>
      <c r="B203" s="60" t="s">
        <v>869</v>
      </c>
      <c r="C203" s="61" t="s">
        <v>1970</v>
      </c>
      <c r="D203" s="82" t="s">
        <v>1971</v>
      </c>
      <c r="E203" s="75" t="s">
        <v>261</v>
      </c>
      <c r="F203" s="75" t="s">
        <v>408</v>
      </c>
      <c r="G203" s="63">
        <v>45597</v>
      </c>
      <c r="H203" s="63">
        <f>G203-180</f>
        <v>45417</v>
      </c>
      <c r="I203" s="60">
        <f t="shared" si="17"/>
        <v>2</v>
      </c>
      <c r="J203" s="60">
        <f t="shared" si="19"/>
        <v>0</v>
      </c>
      <c r="K203" s="60"/>
      <c r="L203" s="60"/>
      <c r="M203" s="60"/>
      <c r="N203" s="60"/>
      <c r="O203" s="60"/>
      <c r="P203" s="60"/>
      <c r="Q203" s="60"/>
      <c r="R203" s="60"/>
      <c r="S203" s="60">
        <v>1</v>
      </c>
      <c r="T203" s="60"/>
      <c r="U203" s="60"/>
      <c r="V203" s="60"/>
      <c r="W203" s="60"/>
      <c r="X203" s="60"/>
      <c r="Y203" s="60"/>
      <c r="Z203" s="60">
        <v>1</v>
      </c>
      <c r="AA203" s="60"/>
      <c r="AB203" s="60"/>
      <c r="AC203" s="60"/>
      <c r="AD203" s="60"/>
      <c r="AE203" s="60"/>
      <c r="AF203" s="60"/>
      <c r="AG203" s="60"/>
      <c r="AH203" s="60"/>
      <c r="AI203" s="60"/>
      <c r="AJ203" s="64">
        <f t="shared" si="20"/>
        <v>765.31000000000006</v>
      </c>
    </row>
    <row r="204" spans="1:36" x14ac:dyDescent="0.25">
      <c r="A204" s="59" t="str">
        <f t="shared" ca="1" si="18"/>
        <v>VENCIDO</v>
      </c>
      <c r="B204" s="60" t="s">
        <v>869</v>
      </c>
      <c r="C204" s="61" t="s">
        <v>1972</v>
      </c>
      <c r="D204" s="82" t="s">
        <v>1973</v>
      </c>
      <c r="E204" s="75" t="s">
        <v>261</v>
      </c>
      <c r="F204" s="75" t="s">
        <v>408</v>
      </c>
      <c r="G204" s="63">
        <v>45474</v>
      </c>
      <c r="H204" s="63">
        <v>45474</v>
      </c>
      <c r="I204" s="60">
        <f t="shared" si="17"/>
        <v>3</v>
      </c>
      <c r="J204" s="60">
        <f t="shared" si="19"/>
        <v>0</v>
      </c>
      <c r="K204" s="60">
        <v>1</v>
      </c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>
        <v>2</v>
      </c>
      <c r="AA204" s="60"/>
      <c r="AB204" s="60"/>
      <c r="AC204" s="60"/>
      <c r="AD204" s="60"/>
      <c r="AE204" s="60"/>
      <c r="AF204" s="60"/>
      <c r="AG204" s="60"/>
      <c r="AH204" s="60"/>
      <c r="AI204" s="60"/>
      <c r="AJ204" s="64">
        <f t="shared" si="20"/>
        <v>486.12</v>
      </c>
    </row>
    <row r="205" spans="1:36" x14ac:dyDescent="0.25">
      <c r="A205" s="59" t="str">
        <f t="shared" ca="1" si="18"/>
        <v>VENCIDO</v>
      </c>
      <c r="B205" s="60" t="s">
        <v>869</v>
      </c>
      <c r="C205" s="61" t="s">
        <v>1974</v>
      </c>
      <c r="D205" s="82" t="s">
        <v>404</v>
      </c>
      <c r="E205" s="75" t="s">
        <v>261</v>
      </c>
      <c r="F205" s="75" t="s">
        <v>408</v>
      </c>
      <c r="G205" s="63">
        <v>45658</v>
      </c>
      <c r="H205" s="63">
        <f>G205-180</f>
        <v>45478</v>
      </c>
      <c r="I205" s="60">
        <f t="shared" si="17"/>
        <v>6</v>
      </c>
      <c r="J205" s="60">
        <f t="shared" si="19"/>
        <v>0</v>
      </c>
      <c r="K205" s="60">
        <v>0</v>
      </c>
      <c r="L205" s="60"/>
      <c r="M205" s="60"/>
      <c r="N205" s="60">
        <v>0</v>
      </c>
      <c r="O205" s="60">
        <v>1</v>
      </c>
      <c r="P205" s="60">
        <v>3</v>
      </c>
      <c r="Q205" s="60"/>
      <c r="R205" s="60"/>
      <c r="S205" s="60"/>
      <c r="T205" s="60"/>
      <c r="U205" s="60"/>
      <c r="V205" s="60"/>
      <c r="W205" s="60"/>
      <c r="X205" s="60"/>
      <c r="Y205" s="60"/>
      <c r="Z205" s="60">
        <v>2</v>
      </c>
      <c r="AA205" s="60"/>
      <c r="AB205" s="60"/>
      <c r="AC205" s="60"/>
      <c r="AD205" s="60"/>
      <c r="AE205" s="60"/>
      <c r="AF205" s="60"/>
      <c r="AG205" s="60"/>
      <c r="AH205" s="60"/>
      <c r="AI205" s="60"/>
      <c r="AJ205" s="64">
        <f t="shared" si="20"/>
        <v>1585.8200000000002</v>
      </c>
    </row>
    <row r="206" spans="1:36" x14ac:dyDescent="0.25">
      <c r="A206" s="59" t="str">
        <f t="shared" ca="1" si="18"/>
        <v>VENCIDO</v>
      </c>
      <c r="B206" s="60" t="s">
        <v>869</v>
      </c>
      <c r="C206" s="61" t="s">
        <v>1975</v>
      </c>
      <c r="D206" s="82" t="s">
        <v>404</v>
      </c>
      <c r="E206" s="75" t="s">
        <v>261</v>
      </c>
      <c r="F206" s="75" t="s">
        <v>408</v>
      </c>
      <c r="G206" s="63">
        <v>45474</v>
      </c>
      <c r="H206" s="63">
        <v>45474</v>
      </c>
      <c r="I206" s="60">
        <f t="shared" si="17"/>
        <v>3</v>
      </c>
      <c r="J206" s="60">
        <f t="shared" si="19"/>
        <v>0</v>
      </c>
      <c r="K206" s="60"/>
      <c r="L206" s="60"/>
      <c r="M206" s="60"/>
      <c r="N206" s="60"/>
      <c r="O206" s="60"/>
      <c r="P206" s="60"/>
      <c r="Q206" s="60"/>
      <c r="R206" s="60"/>
      <c r="S206" s="60">
        <v>1</v>
      </c>
      <c r="T206" s="60"/>
      <c r="U206" s="60"/>
      <c r="V206" s="60"/>
      <c r="W206" s="60"/>
      <c r="X206" s="60"/>
      <c r="Y206" s="60"/>
      <c r="Z206" s="60">
        <v>2</v>
      </c>
      <c r="AA206" s="60"/>
      <c r="AB206" s="60"/>
      <c r="AC206" s="60"/>
      <c r="AD206" s="60"/>
      <c r="AE206" s="60"/>
      <c r="AF206" s="60"/>
      <c r="AG206" s="60"/>
      <c r="AH206" s="60"/>
      <c r="AI206" s="60"/>
      <c r="AJ206" s="64">
        <f t="shared" si="20"/>
        <v>963.15000000000009</v>
      </c>
    </row>
    <row r="207" spans="1:36" x14ac:dyDescent="0.25">
      <c r="A207" s="59" t="str">
        <f t="shared" ca="1" si="18"/>
        <v>VENCIDO</v>
      </c>
      <c r="B207" s="60" t="s">
        <v>869</v>
      </c>
      <c r="C207" s="61" t="s">
        <v>1976</v>
      </c>
      <c r="D207" s="82" t="s">
        <v>502</v>
      </c>
      <c r="E207" s="75" t="s">
        <v>261</v>
      </c>
      <c r="F207" s="75" t="s">
        <v>408</v>
      </c>
      <c r="G207" s="63">
        <v>45474</v>
      </c>
      <c r="H207" s="63">
        <v>45474</v>
      </c>
      <c r="I207" s="60">
        <f t="shared" si="17"/>
        <v>3</v>
      </c>
      <c r="J207" s="60">
        <f t="shared" si="19"/>
        <v>0</v>
      </c>
      <c r="K207" s="60"/>
      <c r="L207" s="60"/>
      <c r="M207" s="60"/>
      <c r="N207" s="60">
        <v>2</v>
      </c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>
        <v>1</v>
      </c>
      <c r="AA207" s="60"/>
      <c r="AB207" s="60"/>
      <c r="AC207" s="60"/>
      <c r="AD207" s="60"/>
      <c r="AE207" s="60"/>
      <c r="AF207" s="60"/>
      <c r="AG207" s="60"/>
      <c r="AH207" s="60"/>
      <c r="AI207" s="60"/>
      <c r="AJ207" s="64">
        <f t="shared" si="20"/>
        <v>593.48</v>
      </c>
    </row>
    <row r="208" spans="1:36" x14ac:dyDescent="0.25">
      <c r="A208" s="59" t="str">
        <f t="shared" ca="1" si="18"/>
        <v>VENCIDO</v>
      </c>
      <c r="B208" s="60" t="s">
        <v>1110</v>
      </c>
      <c r="C208" s="61" t="s">
        <v>1977</v>
      </c>
      <c r="D208" s="82" t="s">
        <v>1744</v>
      </c>
      <c r="E208" s="75" t="s">
        <v>261</v>
      </c>
      <c r="F208" s="75" t="s">
        <v>408</v>
      </c>
      <c r="G208" s="63">
        <v>45323</v>
      </c>
      <c r="H208" s="63">
        <v>45323</v>
      </c>
      <c r="I208" s="60">
        <f t="shared" si="17"/>
        <v>9</v>
      </c>
      <c r="J208" s="60">
        <f t="shared" si="19"/>
        <v>0</v>
      </c>
      <c r="K208" s="60">
        <v>2</v>
      </c>
      <c r="L208" s="60"/>
      <c r="M208" s="60"/>
      <c r="N208" s="60">
        <v>5</v>
      </c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>
        <v>2</v>
      </c>
      <c r="AA208" s="60"/>
      <c r="AB208" s="60"/>
      <c r="AC208" s="60"/>
      <c r="AD208" s="60"/>
      <c r="AE208" s="60"/>
      <c r="AF208" s="60"/>
      <c r="AG208" s="60"/>
      <c r="AH208" s="60"/>
      <c r="AI208" s="60"/>
      <c r="AJ208" s="64">
        <f t="shared" si="20"/>
        <v>1565.66</v>
      </c>
    </row>
    <row r="209" spans="1:36" x14ac:dyDescent="0.25">
      <c r="A209" s="59" t="str">
        <f t="shared" ca="1" si="18"/>
        <v>VENCIDO</v>
      </c>
      <c r="B209" s="60" t="s">
        <v>869</v>
      </c>
      <c r="C209" s="61" t="s">
        <v>1978</v>
      </c>
      <c r="D209" s="82" t="s">
        <v>1712</v>
      </c>
      <c r="E209" s="75" t="s">
        <v>261</v>
      </c>
      <c r="F209" s="75" t="s">
        <v>408</v>
      </c>
      <c r="G209" s="63">
        <v>45323</v>
      </c>
      <c r="H209" s="63">
        <v>45323</v>
      </c>
      <c r="I209" s="60">
        <f t="shared" ref="I209:I231" si="21">SUM(K209:AD209)</f>
        <v>1</v>
      </c>
      <c r="J209" s="60">
        <f t="shared" si="19"/>
        <v>0</v>
      </c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>
        <v>1</v>
      </c>
      <c r="AA209" s="60"/>
      <c r="AB209" s="60"/>
      <c r="AC209" s="60"/>
      <c r="AD209" s="60"/>
      <c r="AE209" s="60"/>
      <c r="AF209" s="60"/>
      <c r="AG209" s="60"/>
      <c r="AH209" s="60"/>
      <c r="AI209" s="60"/>
      <c r="AJ209" s="64">
        <f t="shared" si="20"/>
        <v>197.84</v>
      </c>
    </row>
    <row r="210" spans="1:36" x14ac:dyDescent="0.25">
      <c r="A210" s="59" t="str">
        <f t="shared" ca="1" si="18"/>
        <v>VENCIDO</v>
      </c>
      <c r="B210" s="60" t="s">
        <v>1110</v>
      </c>
      <c r="C210" s="61" t="s">
        <v>1979</v>
      </c>
      <c r="D210" s="82" t="s">
        <v>286</v>
      </c>
      <c r="E210" s="75" t="s">
        <v>261</v>
      </c>
      <c r="F210" s="75" t="s">
        <v>408</v>
      </c>
      <c r="G210" s="63">
        <v>45505</v>
      </c>
      <c r="H210" s="63">
        <f>G210-180</f>
        <v>45325</v>
      </c>
      <c r="I210" s="60">
        <f t="shared" si="21"/>
        <v>19</v>
      </c>
      <c r="J210" s="60">
        <f t="shared" si="19"/>
        <v>0</v>
      </c>
      <c r="K210" s="60">
        <v>2</v>
      </c>
      <c r="L210" s="60"/>
      <c r="M210" s="60">
        <v>1</v>
      </c>
      <c r="N210" s="60"/>
      <c r="O210" s="60">
        <v>6</v>
      </c>
      <c r="P210" s="60">
        <v>3</v>
      </c>
      <c r="Q210" s="60"/>
      <c r="R210" s="60"/>
      <c r="S210" s="60">
        <v>1</v>
      </c>
      <c r="T210" s="60"/>
      <c r="U210" s="60"/>
      <c r="V210" s="60"/>
      <c r="W210" s="60"/>
      <c r="X210" s="60"/>
      <c r="Y210" s="60"/>
      <c r="Z210" s="60">
        <v>6</v>
      </c>
      <c r="AA210" s="60"/>
      <c r="AB210" s="60"/>
      <c r="AC210" s="60"/>
      <c r="AD210" s="60"/>
      <c r="AE210" s="60"/>
      <c r="AF210" s="60"/>
      <c r="AG210" s="60"/>
      <c r="AH210" s="60"/>
      <c r="AI210" s="60"/>
      <c r="AJ210" s="64">
        <f t="shared" si="20"/>
        <v>4497.6099999999997</v>
      </c>
    </row>
    <row r="211" spans="1:36" x14ac:dyDescent="0.25">
      <c r="A211" s="59" t="str">
        <f t="shared" ca="1" si="18"/>
        <v>VENCIDO</v>
      </c>
      <c r="B211" s="60" t="s">
        <v>1110</v>
      </c>
      <c r="C211" s="61" t="s">
        <v>1980</v>
      </c>
      <c r="D211" s="82" t="s">
        <v>408</v>
      </c>
      <c r="E211" s="75" t="s">
        <v>261</v>
      </c>
      <c r="F211" s="75" t="s">
        <v>408</v>
      </c>
      <c r="G211" s="63">
        <v>45474</v>
      </c>
      <c r="H211" s="63">
        <v>45474</v>
      </c>
      <c r="I211" s="60">
        <f t="shared" si="21"/>
        <v>23</v>
      </c>
      <c r="J211" s="60">
        <f t="shared" si="19"/>
        <v>0</v>
      </c>
      <c r="K211" s="60">
        <v>5</v>
      </c>
      <c r="L211" s="60"/>
      <c r="M211" s="60"/>
      <c r="N211" s="60">
        <v>5</v>
      </c>
      <c r="O211" s="60">
        <v>3</v>
      </c>
      <c r="P211" s="60">
        <v>8</v>
      </c>
      <c r="Q211" s="60"/>
      <c r="R211" s="60"/>
      <c r="S211" s="60"/>
      <c r="T211" s="60"/>
      <c r="U211" s="60"/>
      <c r="V211" s="60"/>
      <c r="W211" s="60"/>
      <c r="X211" s="60"/>
      <c r="Y211" s="60"/>
      <c r="Z211" s="60">
        <v>2</v>
      </c>
      <c r="AA211" s="60"/>
      <c r="AB211" s="60"/>
      <c r="AC211" s="60"/>
      <c r="AD211" s="60"/>
      <c r="AE211" s="60"/>
      <c r="AF211" s="60"/>
      <c r="AG211" s="60"/>
      <c r="AH211" s="60"/>
      <c r="AI211" s="60"/>
      <c r="AJ211" s="64">
        <f t="shared" si="20"/>
        <v>5092.05</v>
      </c>
    </row>
    <row r="212" spans="1:36" x14ac:dyDescent="0.25">
      <c r="A212" s="59" t="str">
        <f t="shared" ca="1" si="18"/>
        <v>VENCIDO</v>
      </c>
      <c r="B212" s="60" t="s">
        <v>1110</v>
      </c>
      <c r="C212" s="61" t="s">
        <v>1981</v>
      </c>
      <c r="D212" s="82" t="s">
        <v>1716</v>
      </c>
      <c r="E212" s="75" t="s">
        <v>261</v>
      </c>
      <c r="F212" s="75" t="s">
        <v>408</v>
      </c>
      <c r="G212" s="63">
        <v>45323</v>
      </c>
      <c r="H212" s="63">
        <v>45323</v>
      </c>
      <c r="I212" s="60">
        <f t="shared" si="21"/>
        <v>10</v>
      </c>
      <c r="J212" s="60">
        <f t="shared" si="19"/>
        <v>27</v>
      </c>
      <c r="K212" s="60">
        <v>2</v>
      </c>
      <c r="L212" s="60"/>
      <c r="M212" s="60">
        <v>1</v>
      </c>
      <c r="N212" s="60">
        <v>4</v>
      </c>
      <c r="O212" s="60"/>
      <c r="P212" s="60">
        <v>2</v>
      </c>
      <c r="Q212" s="60"/>
      <c r="R212" s="60"/>
      <c r="S212" s="60"/>
      <c r="T212" s="60"/>
      <c r="U212" s="60"/>
      <c r="V212" s="60"/>
      <c r="W212" s="60"/>
      <c r="X212" s="60"/>
      <c r="Y212" s="60"/>
      <c r="Z212" s="60">
        <v>1</v>
      </c>
      <c r="AA212" s="60"/>
      <c r="AB212" s="60"/>
      <c r="AC212" s="60"/>
      <c r="AD212" s="60"/>
      <c r="AE212" s="60">
        <v>27</v>
      </c>
      <c r="AF212" s="60"/>
      <c r="AG212" s="60"/>
      <c r="AH212" s="60"/>
      <c r="AI212" s="60"/>
      <c r="AJ212" s="64">
        <f t="shared" si="20"/>
        <v>1952.33</v>
      </c>
    </row>
    <row r="213" spans="1:36" x14ac:dyDescent="0.25">
      <c r="A213" s="59" t="str">
        <f t="shared" ca="1" si="18"/>
        <v>VENCIDO</v>
      </c>
      <c r="B213" s="60" t="s">
        <v>1110</v>
      </c>
      <c r="C213" s="61" t="s">
        <v>1982</v>
      </c>
      <c r="D213" s="82" t="s">
        <v>1885</v>
      </c>
      <c r="E213" s="75" t="s">
        <v>261</v>
      </c>
      <c r="F213" s="75" t="s">
        <v>408</v>
      </c>
      <c r="G213" s="63">
        <v>45536</v>
      </c>
      <c r="H213" s="63">
        <v>45200</v>
      </c>
      <c r="I213" s="60">
        <f t="shared" si="21"/>
        <v>12</v>
      </c>
      <c r="J213" s="60">
        <f t="shared" si="19"/>
        <v>0</v>
      </c>
      <c r="K213" s="60">
        <v>5</v>
      </c>
      <c r="L213" s="60"/>
      <c r="M213" s="60"/>
      <c r="N213" s="60">
        <v>1</v>
      </c>
      <c r="O213" s="60">
        <v>4</v>
      </c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>
        <v>2</v>
      </c>
      <c r="AA213" s="60"/>
      <c r="AB213" s="60"/>
      <c r="AC213" s="60"/>
      <c r="AD213" s="60"/>
      <c r="AE213" s="60"/>
      <c r="AF213" s="60"/>
      <c r="AG213" s="60"/>
      <c r="AH213" s="60"/>
      <c r="AI213" s="60"/>
      <c r="AJ213" s="64">
        <f t="shared" si="20"/>
        <v>2022.0600000000002</v>
      </c>
    </row>
    <row r="214" spans="1:36" x14ac:dyDescent="0.25">
      <c r="A214" s="59" t="str">
        <f t="shared" ca="1" si="18"/>
        <v>VENCIDO</v>
      </c>
      <c r="B214" s="60" t="s">
        <v>1110</v>
      </c>
      <c r="C214" s="61" t="s">
        <v>1983</v>
      </c>
      <c r="D214" s="82" t="s">
        <v>1721</v>
      </c>
      <c r="E214" s="75" t="s">
        <v>261</v>
      </c>
      <c r="F214" s="75" t="s">
        <v>408</v>
      </c>
      <c r="G214" s="63">
        <v>45505</v>
      </c>
      <c r="H214" s="63">
        <f>G214-180</f>
        <v>45325</v>
      </c>
      <c r="I214" s="60">
        <f t="shared" si="21"/>
        <v>5</v>
      </c>
      <c r="J214" s="60">
        <f t="shared" si="19"/>
        <v>0</v>
      </c>
      <c r="K214" s="60">
        <v>1</v>
      </c>
      <c r="L214" s="60"/>
      <c r="M214" s="60"/>
      <c r="N214" s="60"/>
      <c r="O214" s="60"/>
      <c r="P214" s="60">
        <v>1</v>
      </c>
      <c r="Q214" s="60"/>
      <c r="R214" s="60"/>
      <c r="S214" s="60"/>
      <c r="T214" s="60"/>
      <c r="U214" s="60"/>
      <c r="V214" s="60"/>
      <c r="W214" s="60"/>
      <c r="X214" s="60"/>
      <c r="Y214" s="60"/>
      <c r="Z214" s="60">
        <v>3</v>
      </c>
      <c r="AA214" s="60"/>
      <c r="AB214" s="60"/>
      <c r="AC214" s="60"/>
      <c r="AD214" s="60"/>
      <c r="AE214" s="60"/>
      <c r="AF214" s="60"/>
      <c r="AG214" s="60"/>
      <c r="AH214" s="60"/>
      <c r="AI214" s="60"/>
      <c r="AJ214" s="64">
        <f t="shared" si="20"/>
        <v>999.31</v>
      </c>
    </row>
    <row r="215" spans="1:36" x14ac:dyDescent="0.25">
      <c r="A215" s="59" t="str">
        <f t="shared" ca="1" si="18"/>
        <v>VENCIDO</v>
      </c>
      <c r="B215" s="60" t="s">
        <v>1110</v>
      </c>
      <c r="C215" s="61" t="s">
        <v>1984</v>
      </c>
      <c r="D215" s="82" t="s">
        <v>561</v>
      </c>
      <c r="E215" s="75" t="s">
        <v>261</v>
      </c>
      <c r="F215" s="75" t="s">
        <v>408</v>
      </c>
      <c r="G215" s="63">
        <v>45658</v>
      </c>
      <c r="H215" s="63">
        <f>G215-180</f>
        <v>45478</v>
      </c>
      <c r="I215" s="60">
        <f t="shared" si="21"/>
        <v>5</v>
      </c>
      <c r="J215" s="60">
        <f t="shared" si="19"/>
        <v>4</v>
      </c>
      <c r="K215" s="60"/>
      <c r="L215" s="60"/>
      <c r="M215" s="60">
        <v>2</v>
      </c>
      <c r="N215" s="60"/>
      <c r="O215" s="60"/>
      <c r="P215" s="60"/>
      <c r="Q215" s="60"/>
      <c r="R215" s="60"/>
      <c r="S215" s="60"/>
      <c r="T215" s="60"/>
      <c r="U215" s="60">
        <v>2</v>
      </c>
      <c r="V215" s="60"/>
      <c r="W215" s="60"/>
      <c r="X215" s="60"/>
      <c r="Y215" s="60"/>
      <c r="Z215" s="60">
        <v>1</v>
      </c>
      <c r="AA215" s="60"/>
      <c r="AB215" s="60"/>
      <c r="AC215" s="60"/>
      <c r="AD215" s="60"/>
      <c r="AE215" s="60">
        <v>4</v>
      </c>
      <c r="AF215" s="60"/>
      <c r="AG215" s="60"/>
      <c r="AH215" s="60"/>
      <c r="AI215" s="60"/>
      <c r="AJ215" s="64">
        <f t="shared" si="20"/>
        <v>896.78000000000009</v>
      </c>
    </row>
    <row r="216" spans="1:36" x14ac:dyDescent="0.25">
      <c r="A216" s="59" t="str">
        <f t="shared" ca="1" si="18"/>
        <v>VENCIDO</v>
      </c>
      <c r="B216" s="60" t="s">
        <v>1110</v>
      </c>
      <c r="C216" s="61" t="s">
        <v>1985</v>
      </c>
      <c r="D216" s="82" t="s">
        <v>1726</v>
      </c>
      <c r="E216" s="75" t="s">
        <v>261</v>
      </c>
      <c r="F216" s="75" t="s">
        <v>408</v>
      </c>
      <c r="G216" s="63">
        <v>45383</v>
      </c>
      <c r="H216" s="63">
        <v>45383</v>
      </c>
      <c r="I216" s="60">
        <f t="shared" si="21"/>
        <v>6</v>
      </c>
      <c r="J216" s="60">
        <f t="shared" si="19"/>
        <v>0</v>
      </c>
      <c r="K216" s="60">
        <v>2</v>
      </c>
      <c r="L216" s="60"/>
      <c r="M216" s="60">
        <v>1</v>
      </c>
      <c r="N216" s="60"/>
      <c r="O216" s="60">
        <v>1</v>
      </c>
      <c r="P216" s="60">
        <v>1</v>
      </c>
      <c r="Q216" s="60"/>
      <c r="R216" s="60"/>
      <c r="S216" s="60"/>
      <c r="T216" s="60"/>
      <c r="U216" s="60"/>
      <c r="V216" s="60"/>
      <c r="W216" s="60"/>
      <c r="X216" s="60"/>
      <c r="Y216" s="60"/>
      <c r="Z216" s="60">
        <v>1</v>
      </c>
      <c r="AA216" s="60"/>
      <c r="AB216" s="60"/>
      <c r="AC216" s="60"/>
      <c r="AD216" s="60"/>
      <c r="AE216" s="60"/>
      <c r="AF216" s="60"/>
      <c r="AG216" s="60"/>
      <c r="AH216" s="60"/>
      <c r="AI216" s="60"/>
      <c r="AJ216" s="64">
        <f t="shared" si="20"/>
        <v>1089.79</v>
      </c>
    </row>
    <row r="217" spans="1:36" x14ac:dyDescent="0.25">
      <c r="A217" s="59" t="str">
        <f t="shared" ca="1" si="18"/>
        <v>VENCIDO</v>
      </c>
      <c r="B217" s="60" t="s">
        <v>1110</v>
      </c>
      <c r="C217" s="61" t="s">
        <v>1986</v>
      </c>
      <c r="D217" s="82" t="s">
        <v>1728</v>
      </c>
      <c r="E217" s="75" t="s">
        <v>261</v>
      </c>
      <c r="F217" s="75" t="s">
        <v>408</v>
      </c>
      <c r="G217" s="63">
        <v>45505</v>
      </c>
      <c r="H217" s="63">
        <f>G217-180</f>
        <v>45325</v>
      </c>
      <c r="I217" s="60">
        <f t="shared" si="21"/>
        <v>12</v>
      </c>
      <c r="J217" s="60">
        <f t="shared" si="19"/>
        <v>4</v>
      </c>
      <c r="K217" s="60">
        <v>4</v>
      </c>
      <c r="L217" s="60"/>
      <c r="M217" s="60">
        <v>4</v>
      </c>
      <c r="N217" s="60">
        <v>1</v>
      </c>
      <c r="O217" s="60">
        <v>1</v>
      </c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>
        <v>2</v>
      </c>
      <c r="AA217" s="60"/>
      <c r="AB217" s="60"/>
      <c r="AC217" s="60"/>
      <c r="AD217" s="60"/>
      <c r="AE217" s="60">
        <v>4</v>
      </c>
      <c r="AF217" s="60"/>
      <c r="AG217" s="60"/>
      <c r="AH217" s="60"/>
      <c r="AI217" s="60"/>
      <c r="AJ217" s="64">
        <f t="shared" si="20"/>
        <v>1805.87</v>
      </c>
    </row>
    <row r="218" spans="1:36" x14ac:dyDescent="0.25">
      <c r="A218" s="59" t="str">
        <f t="shared" ca="1" si="18"/>
        <v>VENCIDO</v>
      </c>
      <c r="B218" s="60" t="s">
        <v>1110</v>
      </c>
      <c r="C218" s="61" t="s">
        <v>1987</v>
      </c>
      <c r="D218" s="82" t="s">
        <v>303</v>
      </c>
      <c r="E218" s="75" t="s">
        <v>261</v>
      </c>
      <c r="F218" s="75" t="s">
        <v>408</v>
      </c>
      <c r="G218" s="63">
        <v>45536</v>
      </c>
      <c r="H218" s="63">
        <f>G218-180</f>
        <v>45356</v>
      </c>
      <c r="I218" s="60">
        <f t="shared" si="21"/>
        <v>20</v>
      </c>
      <c r="J218" s="60">
        <f t="shared" si="19"/>
        <v>17</v>
      </c>
      <c r="K218" s="60">
        <v>8</v>
      </c>
      <c r="L218" s="60"/>
      <c r="M218" s="60"/>
      <c r="N218" s="60">
        <v>5</v>
      </c>
      <c r="O218" s="60">
        <v>2</v>
      </c>
      <c r="P218" s="60">
        <v>1</v>
      </c>
      <c r="Q218" s="60"/>
      <c r="R218" s="60"/>
      <c r="S218" s="60"/>
      <c r="T218" s="60"/>
      <c r="U218" s="60"/>
      <c r="V218" s="60"/>
      <c r="W218" s="60"/>
      <c r="X218" s="60"/>
      <c r="Y218" s="60"/>
      <c r="Z218" s="60">
        <v>4</v>
      </c>
      <c r="AA218" s="60"/>
      <c r="AB218" s="60"/>
      <c r="AC218" s="60"/>
      <c r="AD218" s="60"/>
      <c r="AE218" s="60"/>
      <c r="AF218" s="60"/>
      <c r="AG218" s="60">
        <v>17</v>
      </c>
      <c r="AH218" s="60"/>
      <c r="AI218" s="60"/>
      <c r="AJ218" s="64">
        <f t="shared" si="20"/>
        <v>3307.5099999999998</v>
      </c>
    </row>
    <row r="219" spans="1:36" x14ac:dyDescent="0.25">
      <c r="A219" s="59" t="str">
        <f t="shared" ca="1" si="18"/>
        <v>VENCIDO</v>
      </c>
      <c r="B219" s="60" t="s">
        <v>1110</v>
      </c>
      <c r="C219" s="61" t="s">
        <v>1988</v>
      </c>
      <c r="D219" s="82" t="s">
        <v>1733</v>
      </c>
      <c r="E219" s="75" t="s">
        <v>261</v>
      </c>
      <c r="F219" s="75" t="s">
        <v>408</v>
      </c>
      <c r="G219" s="63">
        <v>45474</v>
      </c>
      <c r="H219" s="63">
        <f>G219-180</f>
        <v>45294</v>
      </c>
      <c r="I219" s="60">
        <f t="shared" si="21"/>
        <v>9</v>
      </c>
      <c r="J219" s="60">
        <f t="shared" si="19"/>
        <v>0</v>
      </c>
      <c r="K219" s="60">
        <v>4</v>
      </c>
      <c r="L219" s="60"/>
      <c r="M219" s="60">
        <v>1</v>
      </c>
      <c r="N219" s="60"/>
      <c r="O219" s="60">
        <v>2</v>
      </c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>
        <v>2</v>
      </c>
      <c r="AA219" s="60"/>
      <c r="AB219" s="60"/>
      <c r="AC219" s="60"/>
      <c r="AD219" s="60"/>
      <c r="AE219" s="60"/>
      <c r="AF219" s="60"/>
      <c r="AG219" s="60"/>
      <c r="AH219" s="60"/>
      <c r="AI219" s="60"/>
      <c r="AJ219" s="64">
        <f t="shared" si="20"/>
        <v>1397.2500000000002</v>
      </c>
    </row>
    <row r="220" spans="1:36" x14ac:dyDescent="0.25">
      <c r="A220" s="59" t="str">
        <f t="shared" ca="1" si="18"/>
        <v>VENCIDO</v>
      </c>
      <c r="B220" s="60" t="s">
        <v>1110</v>
      </c>
      <c r="C220" s="61" t="s">
        <v>1989</v>
      </c>
      <c r="D220" s="82" t="s">
        <v>1735</v>
      </c>
      <c r="E220" s="75" t="s">
        <v>261</v>
      </c>
      <c r="F220" s="75" t="s">
        <v>408</v>
      </c>
      <c r="G220" s="63">
        <v>45352</v>
      </c>
      <c r="H220" s="63">
        <v>45352</v>
      </c>
      <c r="I220" s="60">
        <f t="shared" si="21"/>
        <v>10</v>
      </c>
      <c r="J220" s="60">
        <f t="shared" si="19"/>
        <v>0</v>
      </c>
      <c r="K220" s="60">
        <v>2</v>
      </c>
      <c r="L220" s="60"/>
      <c r="M220" s="60"/>
      <c r="N220" s="60">
        <v>2</v>
      </c>
      <c r="O220" s="60"/>
      <c r="P220" s="60">
        <v>5</v>
      </c>
      <c r="Q220" s="60"/>
      <c r="R220" s="60"/>
      <c r="S220" s="60"/>
      <c r="T220" s="60"/>
      <c r="U220" s="60"/>
      <c r="V220" s="60"/>
      <c r="W220" s="60"/>
      <c r="X220" s="60"/>
      <c r="Y220" s="60"/>
      <c r="Z220" s="60">
        <v>1</v>
      </c>
      <c r="AA220" s="60"/>
      <c r="AB220" s="60"/>
      <c r="AC220" s="60"/>
      <c r="AD220" s="60"/>
      <c r="AE220" s="60"/>
      <c r="AF220" s="60"/>
      <c r="AG220" s="60"/>
      <c r="AH220" s="60"/>
      <c r="AI220" s="60"/>
      <c r="AJ220" s="64">
        <f t="shared" si="20"/>
        <v>2351.11</v>
      </c>
    </row>
    <row r="221" spans="1:36" x14ac:dyDescent="0.25">
      <c r="A221" s="59" t="str">
        <f t="shared" ca="1" si="18"/>
        <v>VENCIDO</v>
      </c>
      <c r="B221" s="60" t="s">
        <v>1110</v>
      </c>
      <c r="C221" s="61" t="s">
        <v>1990</v>
      </c>
      <c r="D221" s="82" t="s">
        <v>1738</v>
      </c>
      <c r="E221" s="75" t="s">
        <v>261</v>
      </c>
      <c r="F221" s="75" t="s">
        <v>408</v>
      </c>
      <c r="G221" s="63">
        <v>45536</v>
      </c>
      <c r="H221" s="63">
        <f t="shared" ref="H221:H226" si="22">G221-180</f>
        <v>45356</v>
      </c>
      <c r="I221" s="60">
        <f t="shared" si="21"/>
        <v>27</v>
      </c>
      <c r="J221" s="60">
        <f t="shared" si="19"/>
        <v>0</v>
      </c>
      <c r="K221" s="60">
        <v>12</v>
      </c>
      <c r="L221" s="60"/>
      <c r="M221" s="60"/>
      <c r="N221" s="60">
        <v>2</v>
      </c>
      <c r="O221" s="60">
        <v>2</v>
      </c>
      <c r="P221" s="60">
        <v>4</v>
      </c>
      <c r="Q221" s="60"/>
      <c r="R221" s="60"/>
      <c r="S221" s="60"/>
      <c r="T221" s="60"/>
      <c r="U221" s="60"/>
      <c r="V221" s="60"/>
      <c r="W221" s="60"/>
      <c r="X221" s="60"/>
      <c r="Y221" s="60"/>
      <c r="Z221" s="60">
        <v>7</v>
      </c>
      <c r="AA221" s="60"/>
      <c r="AB221" s="60"/>
      <c r="AC221" s="60"/>
      <c r="AD221" s="60"/>
      <c r="AE221" s="60"/>
      <c r="AF221" s="60"/>
      <c r="AG221" s="60"/>
      <c r="AH221" s="60"/>
      <c r="AI221" s="60"/>
      <c r="AJ221" s="64">
        <f t="shared" si="20"/>
        <v>4615.38</v>
      </c>
    </row>
    <row r="222" spans="1:36" x14ac:dyDescent="0.25">
      <c r="A222" s="59" t="str">
        <f t="shared" ca="1" si="18"/>
        <v>VENCIDO</v>
      </c>
      <c r="B222" s="60" t="s">
        <v>772</v>
      </c>
      <c r="C222" s="61" t="s">
        <v>1991</v>
      </c>
      <c r="D222" s="82" t="s">
        <v>415</v>
      </c>
      <c r="E222" s="75" t="s">
        <v>261</v>
      </c>
      <c r="F222" s="75" t="s">
        <v>408</v>
      </c>
      <c r="G222" s="63">
        <v>45413</v>
      </c>
      <c r="H222" s="63">
        <f t="shared" si="22"/>
        <v>45233</v>
      </c>
      <c r="I222" s="60">
        <f t="shared" si="21"/>
        <v>2</v>
      </c>
      <c r="J222" s="60">
        <f t="shared" si="19"/>
        <v>0</v>
      </c>
      <c r="K222" s="60"/>
      <c r="L222" s="60"/>
      <c r="M222" s="60"/>
      <c r="N222" s="60"/>
      <c r="O222" s="60">
        <v>2</v>
      </c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4">
        <f t="shared" si="20"/>
        <v>488.18</v>
      </c>
    </row>
    <row r="223" spans="1:36" x14ac:dyDescent="0.25">
      <c r="A223" s="59" t="str">
        <f t="shared" ca="1" si="18"/>
        <v>VENCIDO</v>
      </c>
      <c r="B223" s="60" t="s">
        <v>1110</v>
      </c>
      <c r="C223" s="61" t="s">
        <v>1992</v>
      </c>
      <c r="D223" s="82" t="s">
        <v>1753</v>
      </c>
      <c r="E223" s="75" t="s">
        <v>261</v>
      </c>
      <c r="F223" s="75" t="s">
        <v>408</v>
      </c>
      <c r="G223" s="63">
        <v>45566</v>
      </c>
      <c r="H223" s="63">
        <f t="shared" si="22"/>
        <v>45386</v>
      </c>
      <c r="I223" s="60">
        <f t="shared" si="21"/>
        <v>6</v>
      </c>
      <c r="J223" s="60">
        <f t="shared" si="19"/>
        <v>4</v>
      </c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>
        <v>6</v>
      </c>
      <c r="AA223" s="60"/>
      <c r="AB223" s="60"/>
      <c r="AC223" s="60"/>
      <c r="AD223" s="60"/>
      <c r="AE223" s="60">
        <v>4</v>
      </c>
      <c r="AF223" s="60"/>
      <c r="AG223" s="60"/>
      <c r="AH223" s="60"/>
      <c r="AI223" s="60"/>
      <c r="AJ223" s="64">
        <f t="shared" si="20"/>
        <v>1187.04</v>
      </c>
    </row>
    <row r="224" spans="1:36" x14ac:dyDescent="0.25">
      <c r="A224" s="59" t="str">
        <f t="shared" ca="1" si="18"/>
        <v>VENCIDO</v>
      </c>
      <c r="B224" s="60" t="s">
        <v>869</v>
      </c>
      <c r="C224" s="61" t="s">
        <v>1993</v>
      </c>
      <c r="D224" s="82" t="s">
        <v>1994</v>
      </c>
      <c r="E224" s="75" t="s">
        <v>261</v>
      </c>
      <c r="F224" s="75" t="s">
        <v>408</v>
      </c>
      <c r="G224" s="63">
        <v>45566</v>
      </c>
      <c r="H224" s="63">
        <f t="shared" si="22"/>
        <v>45386</v>
      </c>
      <c r="I224" s="60">
        <f t="shared" si="21"/>
        <v>3</v>
      </c>
      <c r="J224" s="60">
        <f t="shared" si="19"/>
        <v>0</v>
      </c>
      <c r="K224" s="60"/>
      <c r="L224" s="60"/>
      <c r="M224" s="60"/>
      <c r="N224" s="60">
        <v>1</v>
      </c>
      <c r="O224" s="60"/>
      <c r="P224" s="60"/>
      <c r="Q224" s="60"/>
      <c r="R224" s="60"/>
      <c r="S224" s="60">
        <v>1</v>
      </c>
      <c r="T224" s="60"/>
      <c r="U224" s="60"/>
      <c r="V224" s="60"/>
      <c r="W224" s="60"/>
      <c r="X224" s="60"/>
      <c r="Y224" s="60"/>
      <c r="Z224" s="60">
        <v>1</v>
      </c>
      <c r="AA224" s="60"/>
      <c r="AB224" s="60"/>
      <c r="AC224" s="60"/>
      <c r="AD224" s="60"/>
      <c r="AE224" s="60"/>
      <c r="AF224" s="60"/>
      <c r="AG224" s="60"/>
      <c r="AH224" s="60"/>
      <c r="AI224" s="60"/>
      <c r="AJ224" s="64">
        <f t="shared" si="20"/>
        <v>963.13</v>
      </c>
    </row>
    <row r="225" spans="1:36" x14ac:dyDescent="0.25">
      <c r="A225" s="59" t="str">
        <f t="shared" ca="1" si="18"/>
        <v>VENCIDO</v>
      </c>
      <c r="B225" s="60" t="s">
        <v>1110</v>
      </c>
      <c r="C225" s="61" t="s">
        <v>1995</v>
      </c>
      <c r="D225" s="82" t="s">
        <v>1994</v>
      </c>
      <c r="E225" s="75" t="s">
        <v>261</v>
      </c>
      <c r="F225" s="75" t="s">
        <v>408</v>
      </c>
      <c r="G225" s="63">
        <v>45536</v>
      </c>
      <c r="H225" s="63">
        <f t="shared" si="22"/>
        <v>45356</v>
      </c>
      <c r="I225" s="60">
        <f t="shared" si="21"/>
        <v>7</v>
      </c>
      <c r="J225" s="60">
        <f t="shared" si="19"/>
        <v>0</v>
      </c>
      <c r="K225" s="60">
        <v>1</v>
      </c>
      <c r="L225" s="60"/>
      <c r="M225" s="60"/>
      <c r="N225" s="60">
        <v>1</v>
      </c>
      <c r="O225" s="60">
        <v>2</v>
      </c>
      <c r="P225" s="60">
        <v>1</v>
      </c>
      <c r="Q225" s="60"/>
      <c r="R225" s="60"/>
      <c r="S225" s="60"/>
      <c r="T225" s="60"/>
      <c r="U225" s="60"/>
      <c r="V225" s="60"/>
      <c r="W225" s="60"/>
      <c r="X225" s="60"/>
      <c r="Y225" s="60"/>
      <c r="Z225" s="60">
        <v>2</v>
      </c>
      <c r="AA225" s="60"/>
      <c r="AB225" s="60"/>
      <c r="AC225" s="60"/>
      <c r="AD225" s="60"/>
      <c r="AE225" s="60"/>
      <c r="AF225" s="60"/>
      <c r="AG225" s="60"/>
      <c r="AH225" s="60"/>
      <c r="AI225" s="60"/>
      <c r="AJ225" s="64">
        <f t="shared" si="20"/>
        <v>1487.47</v>
      </c>
    </row>
    <row r="226" spans="1:36" x14ac:dyDescent="0.25">
      <c r="A226" s="59" t="str">
        <f t="shared" ca="1" si="18"/>
        <v>VENCIDO</v>
      </c>
      <c r="B226" s="60" t="s">
        <v>1110</v>
      </c>
      <c r="C226" s="61" t="s">
        <v>1996</v>
      </c>
      <c r="D226" s="82" t="s">
        <v>404</v>
      </c>
      <c r="E226" s="75" t="s">
        <v>261</v>
      </c>
      <c r="F226" s="75" t="s">
        <v>408</v>
      </c>
      <c r="G226" s="63">
        <v>45658</v>
      </c>
      <c r="H226" s="63">
        <f t="shared" si="22"/>
        <v>45478</v>
      </c>
      <c r="I226" s="60">
        <f t="shared" si="21"/>
        <v>9</v>
      </c>
      <c r="J226" s="60">
        <f t="shared" si="19"/>
        <v>0</v>
      </c>
      <c r="K226" s="60">
        <v>1</v>
      </c>
      <c r="L226" s="60"/>
      <c r="M226" s="60">
        <v>3</v>
      </c>
      <c r="N226" s="60">
        <v>2</v>
      </c>
      <c r="O226" s="60">
        <v>1</v>
      </c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>
        <v>2</v>
      </c>
      <c r="AA226" s="60"/>
      <c r="AB226" s="60"/>
      <c r="AC226" s="60"/>
      <c r="AD226" s="60"/>
      <c r="AE226" s="60"/>
      <c r="AF226" s="60"/>
      <c r="AG226" s="60"/>
      <c r="AH226" s="60"/>
      <c r="AI226" s="60"/>
      <c r="AJ226" s="64">
        <f t="shared" si="20"/>
        <v>1580.74</v>
      </c>
    </row>
    <row r="227" spans="1:36" x14ac:dyDescent="0.25">
      <c r="A227" s="59" t="str">
        <f t="shared" ca="1" si="18"/>
        <v>VENCIDO</v>
      </c>
      <c r="B227" s="60" t="s">
        <v>1747</v>
      </c>
      <c r="C227" s="61" t="s">
        <v>1997</v>
      </c>
      <c r="D227" s="82" t="s">
        <v>1973</v>
      </c>
      <c r="E227" s="75" t="s">
        <v>261</v>
      </c>
      <c r="F227" s="75" t="s">
        <v>408</v>
      </c>
      <c r="G227" s="63">
        <v>45474</v>
      </c>
      <c r="H227" s="63">
        <v>45474</v>
      </c>
      <c r="I227" s="60">
        <f t="shared" si="21"/>
        <v>3</v>
      </c>
      <c r="J227" s="60">
        <f t="shared" si="19"/>
        <v>0</v>
      </c>
      <c r="K227" s="60"/>
      <c r="L227" s="60"/>
      <c r="M227" s="60"/>
      <c r="N227" s="60"/>
      <c r="O227" s="60"/>
      <c r="P227" s="60">
        <v>2</v>
      </c>
      <c r="Q227" s="60"/>
      <c r="R227" s="60"/>
      <c r="S227" s="60"/>
      <c r="T227" s="60"/>
      <c r="U227" s="60"/>
      <c r="V227" s="60"/>
      <c r="W227" s="60"/>
      <c r="X227" s="60"/>
      <c r="Y227" s="60"/>
      <c r="Z227" s="60">
        <v>1</v>
      </c>
      <c r="AA227" s="60"/>
      <c r="AB227" s="60"/>
      <c r="AC227" s="60"/>
      <c r="AD227" s="60"/>
      <c r="AE227" s="60"/>
      <c r="AF227" s="60"/>
      <c r="AG227" s="60"/>
      <c r="AH227" s="60"/>
      <c r="AI227" s="60"/>
      <c r="AJ227" s="64">
        <f t="shared" si="20"/>
        <v>828.54000000000008</v>
      </c>
    </row>
    <row r="228" spans="1:36" x14ac:dyDescent="0.25">
      <c r="A228" s="59" t="str">
        <f t="shared" ca="1" si="18"/>
        <v>VENCIDO</v>
      </c>
      <c r="B228" s="60" t="s">
        <v>1110</v>
      </c>
      <c r="C228" s="66" t="s">
        <v>1981</v>
      </c>
      <c r="D228" s="84" t="s">
        <v>1716</v>
      </c>
      <c r="E228" s="75" t="s">
        <v>261</v>
      </c>
      <c r="F228" s="75" t="s">
        <v>408</v>
      </c>
      <c r="G228" s="63">
        <v>45323</v>
      </c>
      <c r="H228" s="63">
        <f>G228-180</f>
        <v>45143</v>
      </c>
      <c r="I228" s="60">
        <f t="shared" si="21"/>
        <v>10</v>
      </c>
      <c r="J228" s="60">
        <f t="shared" si="19"/>
        <v>0</v>
      </c>
      <c r="K228" s="60">
        <v>2</v>
      </c>
      <c r="L228" s="60"/>
      <c r="M228" s="60">
        <v>1</v>
      </c>
      <c r="N228" s="60">
        <v>4</v>
      </c>
      <c r="O228" s="60"/>
      <c r="P228" s="60">
        <v>2</v>
      </c>
      <c r="Q228" s="60"/>
      <c r="R228" s="60"/>
      <c r="S228" s="60"/>
      <c r="T228" s="60"/>
      <c r="U228" s="60"/>
      <c r="V228" s="60"/>
      <c r="W228" s="60"/>
      <c r="X228" s="60"/>
      <c r="Y228" s="60"/>
      <c r="Z228" s="60">
        <v>1</v>
      </c>
      <c r="AA228" s="60"/>
      <c r="AB228" s="60"/>
      <c r="AC228" s="60"/>
      <c r="AD228" s="60"/>
      <c r="AE228" s="60"/>
      <c r="AF228" s="60"/>
      <c r="AG228" s="60"/>
      <c r="AH228" s="60"/>
      <c r="AI228" s="60"/>
      <c r="AJ228" s="64">
        <f t="shared" si="20"/>
        <v>1952.33</v>
      </c>
    </row>
    <row r="229" spans="1:36" x14ac:dyDescent="0.25">
      <c r="A229" s="59" t="str">
        <f t="shared" ca="1" si="18"/>
        <v>VENCIDO</v>
      </c>
      <c r="B229" s="60" t="s">
        <v>1110</v>
      </c>
      <c r="C229" s="66" t="s">
        <v>1998</v>
      </c>
      <c r="D229" s="84" t="s">
        <v>1726</v>
      </c>
      <c r="E229" s="75" t="s">
        <v>261</v>
      </c>
      <c r="F229" s="75" t="s">
        <v>408</v>
      </c>
      <c r="G229" s="63">
        <v>45383</v>
      </c>
      <c r="H229" s="63">
        <f>G229-180</f>
        <v>45203</v>
      </c>
      <c r="I229" s="60">
        <f t="shared" si="21"/>
        <v>5</v>
      </c>
      <c r="J229" s="60">
        <f t="shared" si="19"/>
        <v>0</v>
      </c>
      <c r="K229" s="60">
        <v>2</v>
      </c>
      <c r="L229" s="60"/>
      <c r="M229" s="60"/>
      <c r="N229" s="60"/>
      <c r="O229" s="60">
        <v>1</v>
      </c>
      <c r="P229" s="60">
        <v>1</v>
      </c>
      <c r="Q229" s="60"/>
      <c r="R229" s="60"/>
      <c r="S229" s="60"/>
      <c r="T229" s="60"/>
      <c r="U229" s="60"/>
      <c r="V229" s="60"/>
      <c r="W229" s="60"/>
      <c r="X229" s="60"/>
      <c r="Y229" s="60"/>
      <c r="Z229" s="60">
        <v>1</v>
      </c>
      <c r="AA229" s="60"/>
      <c r="AB229" s="60"/>
      <c r="AC229" s="60"/>
      <c r="AD229" s="60"/>
      <c r="AE229" s="60"/>
      <c r="AF229" s="60"/>
      <c r="AG229" s="60"/>
      <c r="AH229" s="60"/>
      <c r="AI229" s="60"/>
      <c r="AJ229" s="64">
        <f t="shared" si="20"/>
        <v>938.16000000000008</v>
      </c>
    </row>
    <row r="230" spans="1:36" x14ac:dyDescent="0.25">
      <c r="A230" s="59" t="str">
        <f t="shared" ca="1" si="18"/>
        <v>VENCIDO</v>
      </c>
      <c r="B230" s="60" t="s">
        <v>1110</v>
      </c>
      <c r="C230" s="66" t="s">
        <v>1986</v>
      </c>
      <c r="D230" s="84" t="s">
        <v>1728</v>
      </c>
      <c r="E230" s="75" t="s">
        <v>261</v>
      </c>
      <c r="F230" s="75" t="s">
        <v>408</v>
      </c>
      <c r="G230" s="63">
        <v>45139</v>
      </c>
      <c r="H230" s="63">
        <f>G230-180</f>
        <v>44959</v>
      </c>
      <c r="I230" s="60">
        <f t="shared" si="21"/>
        <v>12</v>
      </c>
      <c r="J230" s="60">
        <f t="shared" si="19"/>
        <v>0</v>
      </c>
      <c r="K230" s="60">
        <v>4</v>
      </c>
      <c r="L230" s="60"/>
      <c r="M230" s="60">
        <v>2</v>
      </c>
      <c r="N230" s="60">
        <v>3</v>
      </c>
      <c r="O230" s="60">
        <v>1</v>
      </c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>
        <v>2</v>
      </c>
      <c r="AA230" s="60"/>
      <c r="AB230" s="60"/>
      <c r="AC230" s="60"/>
      <c r="AD230" s="60"/>
      <c r="AE230" s="60"/>
      <c r="AF230" s="60"/>
      <c r="AG230" s="60"/>
      <c r="AH230" s="60"/>
      <c r="AI230" s="60"/>
      <c r="AJ230" s="64">
        <f t="shared" si="20"/>
        <v>1898.25</v>
      </c>
    </row>
    <row r="231" spans="1:36" x14ac:dyDescent="0.25">
      <c r="A231" s="59" t="str">
        <f t="shared" ca="1" si="18"/>
        <v>VENCIDO</v>
      </c>
      <c r="B231" s="60" t="s">
        <v>1110</v>
      </c>
      <c r="C231" s="66" t="s">
        <v>1996</v>
      </c>
      <c r="D231" s="84" t="s">
        <v>404</v>
      </c>
      <c r="E231" s="75" t="s">
        <v>261</v>
      </c>
      <c r="F231" s="75" t="s">
        <v>408</v>
      </c>
      <c r="G231" s="63">
        <v>45323</v>
      </c>
      <c r="H231" s="63">
        <f>G231-180</f>
        <v>45143</v>
      </c>
      <c r="I231" s="60">
        <f t="shared" si="21"/>
        <v>9</v>
      </c>
      <c r="J231" s="60">
        <f t="shared" si="19"/>
        <v>0</v>
      </c>
      <c r="K231" s="60">
        <v>1</v>
      </c>
      <c r="L231" s="60"/>
      <c r="M231" s="60">
        <v>2</v>
      </c>
      <c r="N231" s="60">
        <v>3</v>
      </c>
      <c r="O231" s="60">
        <v>1</v>
      </c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>
        <v>2</v>
      </c>
      <c r="AA231" s="60"/>
      <c r="AB231" s="60"/>
      <c r="AC231" s="60"/>
      <c r="AD231" s="60"/>
      <c r="AE231" s="60"/>
      <c r="AF231" s="60"/>
      <c r="AG231" s="60"/>
      <c r="AH231" s="60"/>
      <c r="AI231" s="60"/>
      <c r="AJ231" s="64">
        <f t="shared" si="20"/>
        <v>1626.93</v>
      </c>
    </row>
    <row r="232" spans="1:36" ht="15.75" customHeight="1" x14ac:dyDescent="0.25">
      <c r="A232" s="61"/>
      <c r="B232" s="61"/>
      <c r="C232" s="61"/>
      <c r="D232" s="85"/>
      <c r="E232" s="61"/>
      <c r="F232" s="61"/>
      <c r="G232" s="63"/>
      <c r="H232" s="78" t="s">
        <v>757</v>
      </c>
      <c r="I232" s="79">
        <f t="shared" ref="I232:Q232" si="23">SUBTOTAL(109,I3:I228)</f>
        <v>1106</v>
      </c>
      <c r="J232" s="79">
        <f t="shared" si="23"/>
        <v>189</v>
      </c>
      <c r="K232" s="79">
        <f t="shared" si="23"/>
        <v>137</v>
      </c>
      <c r="L232" s="79">
        <f t="shared" si="23"/>
        <v>0</v>
      </c>
      <c r="M232" s="79">
        <f t="shared" si="23"/>
        <v>84</v>
      </c>
      <c r="N232" s="79">
        <f t="shared" si="23"/>
        <v>141</v>
      </c>
      <c r="O232" s="79">
        <f t="shared" si="23"/>
        <v>97</v>
      </c>
      <c r="P232" s="79">
        <f t="shared" si="23"/>
        <v>231</v>
      </c>
      <c r="Q232" s="79">
        <f t="shared" si="23"/>
        <v>1</v>
      </c>
      <c r="R232" s="79"/>
      <c r="S232" s="79">
        <f t="shared" ref="S232:AH232" si="24">SUBTOTAL(109,S3:S228)</f>
        <v>57</v>
      </c>
      <c r="T232" s="79">
        <f t="shared" si="24"/>
        <v>2</v>
      </c>
      <c r="U232" s="79">
        <f t="shared" si="24"/>
        <v>2</v>
      </c>
      <c r="V232" s="79">
        <f t="shared" si="24"/>
        <v>0</v>
      </c>
      <c r="W232" s="79">
        <f t="shared" si="24"/>
        <v>0</v>
      </c>
      <c r="X232" s="79">
        <f t="shared" si="24"/>
        <v>0</v>
      </c>
      <c r="Y232" s="79">
        <f t="shared" si="24"/>
        <v>8</v>
      </c>
      <c r="Z232" s="79">
        <f t="shared" si="24"/>
        <v>344</v>
      </c>
      <c r="AA232" s="79">
        <f t="shared" si="24"/>
        <v>2</v>
      </c>
      <c r="AB232" s="79">
        <f t="shared" si="24"/>
        <v>0</v>
      </c>
      <c r="AC232" s="79">
        <f t="shared" si="24"/>
        <v>0</v>
      </c>
      <c r="AD232" s="79">
        <f t="shared" si="24"/>
        <v>0</v>
      </c>
      <c r="AE232" s="79">
        <f t="shared" si="24"/>
        <v>172</v>
      </c>
      <c r="AF232" s="79">
        <f t="shared" si="24"/>
        <v>0</v>
      </c>
      <c r="AG232" s="79">
        <f t="shared" si="24"/>
        <v>17</v>
      </c>
      <c r="AH232" s="79">
        <f t="shared" si="24"/>
        <v>0</v>
      </c>
      <c r="AI232" s="79"/>
      <c r="AJ232" s="80">
        <f>SUBTOTAL(109,AJ3:AJ228)</f>
        <v>253541.23000000019</v>
      </c>
    </row>
  </sheetData>
  <autoFilter ref="A2:AJ231" xr:uid="{00000000-0009-0000-0000-000004000000}"/>
  <mergeCells count="7">
    <mergeCell ref="AC1:AD1"/>
    <mergeCell ref="AE1:AJ1"/>
    <mergeCell ref="I1:J1"/>
    <mergeCell ref="K1:L1"/>
    <mergeCell ref="M1:S1"/>
    <mergeCell ref="T1:X1"/>
    <mergeCell ref="Y1:AB1"/>
  </mergeCells>
  <conditionalFormatting sqref="A2">
    <cfRule type="containsText" dxfId="56" priority="5" operator="containsText" text="ENVIADO">
      <formula>NOT(ISERROR(SEARCH("ENVIADO",A2)))</formula>
    </cfRule>
    <cfRule type="cellIs" dxfId="55" priority="6" operator="equal">
      <formula>#REF!</formula>
    </cfRule>
    <cfRule type="cellIs" dxfId="54" priority="7" operator="equal">
      <formula>#REF!</formula>
    </cfRule>
    <cfRule type="cellIs" dxfId="53" priority="8" operator="equal">
      <formula>#REF!</formula>
    </cfRule>
    <cfRule type="cellIs" dxfId="52" priority="9" operator="equal">
      <formula>#REF!</formula>
    </cfRule>
  </conditionalFormatting>
  <conditionalFormatting sqref="A3:A231">
    <cfRule type="containsText" dxfId="51" priority="2" operator="containsText" text="NA VALIDADE">
      <formula>NOT(ISERROR(SEARCH("NA VALIDADE",A3)))</formula>
    </cfRule>
    <cfRule type="containsText" dxfId="50" priority="3" operator="containsText" text="VENCIDO">
      <formula>NOT(ISERROR(SEARCH("VENCIDO",A3)))</formula>
    </cfRule>
  </conditionalFormatting>
  <conditionalFormatting sqref="I3:AJ231">
    <cfRule type="cellIs" dxfId="49" priority="4" operator="greaterThan">
      <formula>0</formula>
    </cfRule>
  </conditionalFormatting>
  <conditionalFormatting sqref="I232:AJ232">
    <cfRule type="cellIs" dxfId="48" priority="10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1" fitToHeight="0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C55A11"/>
    <pageSetUpPr fitToPage="1"/>
  </sheetPr>
  <dimension ref="A1:AK36"/>
  <sheetViews>
    <sheetView view="pageBreakPreview" zoomScale="80" zoomScaleNormal="100" zoomScalePageLayoutView="80" workbookViewId="0">
      <selection activeCell="AG15" sqref="AG15"/>
    </sheetView>
  </sheetViews>
  <sheetFormatPr defaultColWidth="8.7109375" defaultRowHeight="15" x14ac:dyDescent="0.25"/>
  <cols>
    <col min="1" max="1" width="12.42578125" customWidth="1"/>
    <col min="2" max="2" width="13.5703125" customWidth="1"/>
    <col min="3" max="3" width="10.85546875" customWidth="1"/>
    <col min="4" max="4" width="98.5703125" customWidth="1"/>
    <col min="5" max="5" width="13.85546875" customWidth="1"/>
    <col min="6" max="6" width="3.85546875" customWidth="1"/>
    <col min="7" max="7" width="24.140625" customWidth="1"/>
    <col min="8" max="9" width="13.5703125" customWidth="1"/>
    <col min="36" max="36" width="11.85546875" customWidth="1"/>
    <col min="37" max="37" width="17" hidden="1" customWidth="1"/>
  </cols>
  <sheetData>
    <row r="1" spans="1:37" ht="49.5" customHeight="1" x14ac:dyDescent="0.25">
      <c r="A1" s="72">
        <f ca="1">TODAY()</f>
        <v>46308</v>
      </c>
      <c r="B1" s="72">
        <f ca="1">TODAY()</f>
        <v>46308</v>
      </c>
      <c r="C1" s="48"/>
      <c r="D1" s="49">
        <f>SUBTOTAL(3,D3:D515)</f>
        <v>2</v>
      </c>
      <c r="E1" s="51" t="s">
        <v>1531</v>
      </c>
      <c r="F1" s="48"/>
      <c r="G1" s="48"/>
      <c r="H1" s="52" t="s">
        <v>756</v>
      </c>
      <c r="I1" s="53"/>
      <c r="J1" s="5" t="s">
        <v>757</v>
      </c>
      <c r="K1" s="5"/>
      <c r="L1" s="4" t="s">
        <v>758</v>
      </c>
      <c r="M1" s="4"/>
      <c r="N1" s="3" t="s">
        <v>759</v>
      </c>
      <c r="O1" s="3"/>
      <c r="P1" s="3"/>
      <c r="Q1" s="3"/>
      <c r="R1" s="3"/>
      <c r="S1" s="3"/>
      <c r="T1" s="3"/>
      <c r="U1" s="2" t="s">
        <v>760</v>
      </c>
      <c r="V1" s="2"/>
      <c r="W1" s="2"/>
      <c r="X1" s="2"/>
      <c r="Y1" s="2"/>
      <c r="Z1" s="1" t="s">
        <v>761</v>
      </c>
      <c r="AA1" s="1"/>
      <c r="AB1" s="1"/>
      <c r="AC1" s="1"/>
      <c r="AD1" s="98" t="s">
        <v>762</v>
      </c>
      <c r="AE1" s="98"/>
      <c r="AF1" s="99" t="s">
        <v>739</v>
      </c>
      <c r="AG1" s="99"/>
      <c r="AH1" s="99"/>
      <c r="AI1" s="99"/>
      <c r="AJ1" s="99"/>
      <c r="AK1" s="99"/>
    </row>
    <row r="2" spans="1:37" ht="45" customHeight="1" x14ac:dyDescent="0.25">
      <c r="A2" s="54" t="s">
        <v>763</v>
      </c>
      <c r="B2" s="54" t="s">
        <v>62</v>
      </c>
      <c r="C2" s="54" t="s">
        <v>764</v>
      </c>
      <c r="D2" s="54" t="s">
        <v>30</v>
      </c>
      <c r="E2" s="54" t="s">
        <v>32</v>
      </c>
      <c r="F2" s="54" t="s">
        <v>33</v>
      </c>
      <c r="G2" s="54" t="s">
        <v>765</v>
      </c>
      <c r="H2" s="54" t="s">
        <v>34</v>
      </c>
      <c r="I2" s="54" t="s">
        <v>766</v>
      </c>
      <c r="J2" s="55" t="s">
        <v>63</v>
      </c>
      <c r="K2" s="55" t="s">
        <v>64</v>
      </c>
      <c r="L2" s="56" t="s">
        <v>35</v>
      </c>
      <c r="M2" s="56" t="s">
        <v>36</v>
      </c>
      <c r="N2" s="56" t="s">
        <v>37</v>
      </c>
      <c r="O2" s="56" t="s">
        <v>38</v>
      </c>
      <c r="P2" s="56" t="s">
        <v>39</v>
      </c>
      <c r="Q2" s="56" t="s">
        <v>40</v>
      </c>
      <c r="R2" s="56" t="s">
        <v>41</v>
      </c>
      <c r="S2" s="56" t="s">
        <v>42</v>
      </c>
      <c r="T2" s="56" t="s">
        <v>43</v>
      </c>
      <c r="U2" s="56" t="s">
        <v>37</v>
      </c>
      <c r="V2" s="56" t="s">
        <v>38</v>
      </c>
      <c r="W2" s="56" t="s">
        <v>39</v>
      </c>
      <c r="X2" s="56" t="s">
        <v>44</v>
      </c>
      <c r="Y2" s="56" t="s">
        <v>768</v>
      </c>
      <c r="Z2" s="56" t="s">
        <v>37</v>
      </c>
      <c r="AA2" s="56" t="s">
        <v>38</v>
      </c>
      <c r="AB2" s="56" t="s">
        <v>47</v>
      </c>
      <c r="AC2" s="56" t="s">
        <v>48</v>
      </c>
      <c r="AD2" s="56" t="s">
        <v>49</v>
      </c>
      <c r="AE2" s="56" t="s">
        <v>50</v>
      </c>
      <c r="AF2" s="57" t="s">
        <v>51</v>
      </c>
      <c r="AG2" s="57" t="s">
        <v>52</v>
      </c>
      <c r="AH2" s="57" t="s">
        <v>53</v>
      </c>
      <c r="AI2" s="57" t="s">
        <v>54</v>
      </c>
      <c r="AJ2" s="57" t="s">
        <v>55</v>
      </c>
      <c r="AK2" s="57" t="s">
        <v>769</v>
      </c>
    </row>
    <row r="3" spans="1:37" hidden="1" x14ac:dyDescent="0.25">
      <c r="A3" s="59"/>
      <c r="B3" s="59" t="str">
        <f t="shared" ref="B3:B34" ca="1" si="0">IF(H3&lt;$B$1,"VENCIDO","NA VALIDADE")</f>
        <v>VENCIDO</v>
      </c>
      <c r="C3" s="60" t="s">
        <v>1999</v>
      </c>
      <c r="D3" s="61" t="s">
        <v>2000</v>
      </c>
      <c r="E3" s="75"/>
      <c r="F3" s="60" t="s">
        <v>229</v>
      </c>
      <c r="G3" s="60" t="s">
        <v>228</v>
      </c>
      <c r="H3" s="63">
        <v>45102</v>
      </c>
      <c r="I3" s="63">
        <f>H3-180</f>
        <v>44922</v>
      </c>
      <c r="J3" s="60">
        <f t="shared" ref="J3:J34" si="1">SUM(L3:AE3)</f>
        <v>42</v>
      </c>
      <c r="K3" s="60">
        <f t="shared" ref="K3:K34" si="2">SUM(AF3:AJ3)</f>
        <v>0</v>
      </c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>
        <v>42</v>
      </c>
      <c r="AB3" s="60"/>
      <c r="AC3" s="60"/>
      <c r="AD3" s="60"/>
      <c r="AE3" s="60"/>
      <c r="AF3" s="60"/>
      <c r="AG3" s="60"/>
      <c r="AH3" s="60"/>
      <c r="AI3" s="60"/>
      <c r="AJ3" s="60"/>
      <c r="AK3" s="64">
        <f t="shared" ref="AK3:AK34" si="3"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8309.2800000000007</v>
      </c>
    </row>
    <row r="4" spans="1:37" hidden="1" x14ac:dyDescent="0.25">
      <c r="A4" s="59" t="s">
        <v>770</v>
      </c>
      <c r="B4" s="59" t="str">
        <f t="shared" ca="1" si="0"/>
        <v>VENCIDO</v>
      </c>
      <c r="C4" s="60" t="s">
        <v>1999</v>
      </c>
      <c r="D4" s="61" t="s">
        <v>2001</v>
      </c>
      <c r="E4" s="75"/>
      <c r="F4" s="60" t="s">
        <v>229</v>
      </c>
      <c r="G4" s="60" t="s">
        <v>228</v>
      </c>
      <c r="H4" s="63">
        <v>45074</v>
      </c>
      <c r="I4" s="63">
        <f>H4-180</f>
        <v>44894</v>
      </c>
      <c r="J4" s="60">
        <f t="shared" si="1"/>
        <v>11</v>
      </c>
      <c r="K4" s="60">
        <f t="shared" si="2"/>
        <v>0</v>
      </c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>
        <v>11</v>
      </c>
      <c r="AB4" s="60"/>
      <c r="AC4" s="60"/>
      <c r="AD4" s="60"/>
      <c r="AE4" s="60"/>
      <c r="AF4" s="60"/>
      <c r="AG4" s="60"/>
      <c r="AH4" s="60"/>
      <c r="AI4" s="60"/>
      <c r="AJ4" s="60"/>
      <c r="AK4" s="64">
        <f t="shared" si="3"/>
        <v>2176.2400000000002</v>
      </c>
    </row>
    <row r="5" spans="1:37" hidden="1" x14ac:dyDescent="0.25">
      <c r="A5" s="59"/>
      <c r="B5" s="59" t="str">
        <f t="shared" ca="1" si="0"/>
        <v>VENCIDO</v>
      </c>
      <c r="C5" s="60" t="s">
        <v>1999</v>
      </c>
      <c r="D5" s="61" t="s">
        <v>2002</v>
      </c>
      <c r="E5" s="60" t="s">
        <v>868</v>
      </c>
      <c r="F5" s="60" t="s">
        <v>213</v>
      </c>
      <c r="G5" s="61" t="s">
        <v>778</v>
      </c>
      <c r="H5" s="63">
        <v>44927</v>
      </c>
      <c r="I5" s="63">
        <f>H5-180</f>
        <v>44747</v>
      </c>
      <c r="J5" s="60">
        <f t="shared" si="1"/>
        <v>22</v>
      </c>
      <c r="K5" s="60">
        <f t="shared" si="2"/>
        <v>0</v>
      </c>
      <c r="L5" s="60"/>
      <c r="M5" s="60"/>
      <c r="N5" s="60"/>
      <c r="O5" s="60"/>
      <c r="P5" s="60"/>
      <c r="Q5" s="60"/>
      <c r="R5" s="60"/>
      <c r="S5" s="60"/>
      <c r="T5" s="60">
        <v>1</v>
      </c>
      <c r="U5" s="60"/>
      <c r="V5" s="60">
        <v>6</v>
      </c>
      <c r="W5" s="60"/>
      <c r="X5" s="60">
        <v>5</v>
      </c>
      <c r="Y5" s="60"/>
      <c r="Z5" s="60"/>
      <c r="AA5" s="60">
        <v>10</v>
      </c>
      <c r="AB5" s="60"/>
      <c r="AC5" s="60"/>
      <c r="AD5" s="60"/>
      <c r="AE5" s="60"/>
      <c r="AF5" s="60"/>
      <c r="AG5" s="60"/>
      <c r="AH5" s="60"/>
      <c r="AI5" s="60"/>
      <c r="AJ5" s="60"/>
      <c r="AK5" s="64">
        <f t="shared" si="3"/>
        <v>7241.3600000000006</v>
      </c>
    </row>
    <row r="6" spans="1:37" hidden="1" x14ac:dyDescent="0.25">
      <c r="A6" s="59"/>
      <c r="B6" s="59" t="str">
        <f t="shared" ca="1" si="0"/>
        <v>VENCIDO</v>
      </c>
      <c r="C6" s="60" t="s">
        <v>1999</v>
      </c>
      <c r="D6" s="61" t="s">
        <v>2003</v>
      </c>
      <c r="E6" s="75"/>
      <c r="F6" s="60" t="s">
        <v>229</v>
      </c>
      <c r="G6" s="60" t="s">
        <v>228</v>
      </c>
      <c r="H6" s="63">
        <v>44621</v>
      </c>
      <c r="I6" s="63">
        <f>H6-180</f>
        <v>44441</v>
      </c>
      <c r="J6" s="60">
        <f t="shared" si="1"/>
        <v>30</v>
      </c>
      <c r="K6" s="60">
        <f t="shared" si="2"/>
        <v>0</v>
      </c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>
        <v>30</v>
      </c>
      <c r="AB6" s="60"/>
      <c r="AC6" s="60"/>
      <c r="AD6" s="60"/>
      <c r="AE6" s="60"/>
      <c r="AF6" s="60"/>
      <c r="AG6" s="60"/>
      <c r="AH6" s="60"/>
      <c r="AI6" s="60"/>
      <c r="AJ6" s="60"/>
      <c r="AK6" s="64">
        <f t="shared" si="3"/>
        <v>5935.2</v>
      </c>
    </row>
    <row r="7" spans="1:37" hidden="1" x14ac:dyDescent="0.25">
      <c r="A7" s="59" t="s">
        <v>770</v>
      </c>
      <c r="B7" s="59" t="str">
        <f t="shared" ca="1" si="0"/>
        <v>VENCIDO</v>
      </c>
      <c r="C7" s="60" t="s">
        <v>869</v>
      </c>
      <c r="D7" s="61" t="s">
        <v>2004</v>
      </c>
      <c r="E7" s="86" t="s">
        <v>1636</v>
      </c>
      <c r="F7" s="60" t="s">
        <v>229</v>
      </c>
      <c r="G7" s="60" t="s">
        <v>228</v>
      </c>
      <c r="H7" s="63">
        <v>45566</v>
      </c>
      <c r="I7" s="63">
        <f>H7-180</f>
        <v>45386</v>
      </c>
      <c r="J7" s="60">
        <f t="shared" si="1"/>
        <v>14</v>
      </c>
      <c r="K7" s="60">
        <f t="shared" si="2"/>
        <v>0</v>
      </c>
      <c r="L7" s="60"/>
      <c r="M7" s="60"/>
      <c r="N7" s="60"/>
      <c r="O7" s="60"/>
      <c r="P7" s="60"/>
      <c r="Q7" s="60">
        <v>2</v>
      </c>
      <c r="R7" s="60"/>
      <c r="S7" s="60"/>
      <c r="T7" s="60"/>
      <c r="U7" s="60"/>
      <c r="V7" s="60"/>
      <c r="W7" s="60"/>
      <c r="X7" s="60"/>
      <c r="Y7" s="60"/>
      <c r="Z7" s="60"/>
      <c r="AA7" s="60">
        <v>10</v>
      </c>
      <c r="AB7" s="60"/>
      <c r="AC7" s="60">
        <v>2</v>
      </c>
      <c r="AD7" s="60"/>
      <c r="AE7" s="60"/>
      <c r="AF7" s="60"/>
      <c r="AG7" s="60"/>
      <c r="AH7" s="60"/>
      <c r="AI7" s="60"/>
      <c r="AJ7" s="60"/>
      <c r="AK7" s="64">
        <f t="shared" si="3"/>
        <v>3601.4200000000005</v>
      </c>
    </row>
    <row r="8" spans="1:37" hidden="1" x14ac:dyDescent="0.25">
      <c r="A8" s="59" t="s">
        <v>770</v>
      </c>
      <c r="B8" s="59" t="str">
        <f t="shared" ca="1" si="0"/>
        <v>VENCIDO</v>
      </c>
      <c r="C8" s="60" t="s">
        <v>869</v>
      </c>
      <c r="D8" s="61" t="s">
        <v>2005</v>
      </c>
      <c r="E8" s="86" t="s">
        <v>2006</v>
      </c>
      <c r="F8" s="60" t="s">
        <v>229</v>
      </c>
      <c r="G8" s="60" t="s">
        <v>228</v>
      </c>
      <c r="H8" s="63">
        <v>45383</v>
      </c>
      <c r="I8" s="63">
        <v>45383</v>
      </c>
      <c r="J8" s="60">
        <f t="shared" si="1"/>
        <v>23</v>
      </c>
      <c r="K8" s="60">
        <f t="shared" si="2"/>
        <v>0</v>
      </c>
      <c r="L8" s="60">
        <v>5</v>
      </c>
      <c r="M8" s="60"/>
      <c r="N8" s="60"/>
      <c r="O8" s="60">
        <v>7</v>
      </c>
      <c r="P8" s="60"/>
      <c r="Q8" s="60"/>
      <c r="R8" s="60"/>
      <c r="S8" s="60"/>
      <c r="T8" s="60">
        <v>1</v>
      </c>
      <c r="U8" s="60"/>
      <c r="V8" s="60"/>
      <c r="W8" s="60"/>
      <c r="X8" s="60"/>
      <c r="Y8" s="60"/>
      <c r="Z8" s="60"/>
      <c r="AA8" s="60">
        <v>9</v>
      </c>
      <c r="AB8" s="60">
        <v>1</v>
      </c>
      <c r="AC8" s="60"/>
      <c r="AD8" s="60"/>
      <c r="AE8" s="60"/>
      <c r="AF8" s="60"/>
      <c r="AG8" s="60"/>
      <c r="AH8" s="60"/>
      <c r="AI8" s="60"/>
      <c r="AJ8" s="60"/>
      <c r="AK8" s="64">
        <f t="shared" si="3"/>
        <v>4493.369999999999</v>
      </c>
    </row>
    <row r="9" spans="1:37" hidden="1" x14ac:dyDescent="0.25">
      <c r="A9" s="59" t="s">
        <v>770</v>
      </c>
      <c r="B9" s="59" t="str">
        <f t="shared" ca="1" si="0"/>
        <v>VENCIDO</v>
      </c>
      <c r="C9" s="60" t="s">
        <v>1999</v>
      </c>
      <c r="D9" s="61" t="s">
        <v>2007</v>
      </c>
      <c r="E9" s="75"/>
      <c r="F9" s="60" t="s">
        <v>229</v>
      </c>
      <c r="G9" s="60" t="s">
        <v>228</v>
      </c>
      <c r="H9" s="63">
        <v>44621</v>
      </c>
      <c r="I9" s="63">
        <f>H9-180</f>
        <v>44441</v>
      </c>
      <c r="J9" s="60">
        <f t="shared" si="1"/>
        <v>30</v>
      </c>
      <c r="K9" s="60">
        <f t="shared" si="2"/>
        <v>0</v>
      </c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>
        <v>30</v>
      </c>
      <c r="AB9" s="60"/>
      <c r="AC9" s="60"/>
      <c r="AD9" s="60"/>
      <c r="AE9" s="60"/>
      <c r="AF9" s="60"/>
      <c r="AG9" s="60"/>
      <c r="AH9" s="60"/>
      <c r="AI9" s="60"/>
      <c r="AJ9" s="60"/>
      <c r="AK9" s="64">
        <f t="shared" si="3"/>
        <v>5935.2</v>
      </c>
    </row>
    <row r="10" spans="1:37" hidden="1" x14ac:dyDescent="0.25">
      <c r="A10" s="59" t="s">
        <v>770</v>
      </c>
      <c r="B10" s="59" t="str">
        <f t="shared" ca="1" si="0"/>
        <v>VENCIDO</v>
      </c>
      <c r="C10" s="60" t="s">
        <v>1999</v>
      </c>
      <c r="D10" t="s">
        <v>2008</v>
      </c>
      <c r="E10" s="75"/>
      <c r="F10" s="60" t="s">
        <v>229</v>
      </c>
      <c r="G10" s="60" t="s">
        <v>228</v>
      </c>
      <c r="H10" s="63">
        <v>44682</v>
      </c>
      <c r="I10" s="63">
        <f>H10-180</f>
        <v>44502</v>
      </c>
      <c r="J10" s="60">
        <f t="shared" si="1"/>
        <v>30</v>
      </c>
      <c r="K10" s="60">
        <f t="shared" si="2"/>
        <v>0</v>
      </c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>
        <v>30</v>
      </c>
      <c r="AB10" s="60"/>
      <c r="AC10" s="60"/>
      <c r="AD10" s="60"/>
      <c r="AE10" s="60"/>
      <c r="AF10" s="60"/>
      <c r="AG10" s="60"/>
      <c r="AH10" s="60"/>
      <c r="AI10" s="60"/>
      <c r="AJ10" s="60"/>
      <c r="AK10" s="64">
        <f t="shared" si="3"/>
        <v>5935.2</v>
      </c>
    </row>
    <row r="11" spans="1:37" hidden="1" x14ac:dyDescent="0.25">
      <c r="A11" s="59" t="s">
        <v>770</v>
      </c>
      <c r="B11" s="59" t="str">
        <f t="shared" ca="1" si="0"/>
        <v>VENCIDO</v>
      </c>
      <c r="C11" s="60" t="s">
        <v>869</v>
      </c>
      <c r="D11" s="61" t="s">
        <v>2009</v>
      </c>
      <c r="E11" s="86" t="s">
        <v>2010</v>
      </c>
      <c r="F11" s="60" t="s">
        <v>229</v>
      </c>
      <c r="G11" s="60" t="s">
        <v>228</v>
      </c>
      <c r="H11" s="63">
        <v>45323</v>
      </c>
      <c r="I11" s="63">
        <v>45323</v>
      </c>
      <c r="J11" s="60">
        <f t="shared" si="1"/>
        <v>23</v>
      </c>
      <c r="K11" s="60">
        <f t="shared" si="2"/>
        <v>0</v>
      </c>
      <c r="L11" s="60">
        <v>4</v>
      </c>
      <c r="M11" s="60"/>
      <c r="N11" s="60">
        <v>1</v>
      </c>
      <c r="O11" s="60">
        <v>7</v>
      </c>
      <c r="P11" s="60"/>
      <c r="Q11" s="60"/>
      <c r="R11" s="60"/>
      <c r="S11" s="60"/>
      <c r="T11" s="60">
        <v>1</v>
      </c>
      <c r="U11" s="60"/>
      <c r="V11" s="60"/>
      <c r="W11" s="60"/>
      <c r="X11" s="60"/>
      <c r="Y11" s="60"/>
      <c r="Z11" s="60"/>
      <c r="AA11" s="60">
        <v>10</v>
      </c>
      <c r="AB11" s="60"/>
      <c r="AC11" s="60"/>
      <c r="AD11" s="60"/>
      <c r="AE11" s="60"/>
      <c r="AF11" s="60"/>
      <c r="AG11" s="60"/>
      <c r="AH11" s="60"/>
      <c r="AI11" s="60"/>
      <c r="AJ11" s="60"/>
      <c r="AK11" s="64">
        <f t="shared" si="3"/>
        <v>4444</v>
      </c>
    </row>
    <row r="12" spans="1:37" hidden="1" x14ac:dyDescent="0.25">
      <c r="A12" s="59" t="s">
        <v>770</v>
      </c>
      <c r="B12" s="59" t="str">
        <f t="shared" ca="1" si="0"/>
        <v>VENCIDO</v>
      </c>
      <c r="C12" s="60" t="s">
        <v>1999</v>
      </c>
      <c r="D12" s="61" t="s">
        <v>2011</v>
      </c>
      <c r="E12" s="75"/>
      <c r="F12" s="60" t="s">
        <v>229</v>
      </c>
      <c r="G12" s="60" t="s">
        <v>228</v>
      </c>
      <c r="H12" s="63">
        <v>45073</v>
      </c>
      <c r="I12" s="63">
        <f>H12-180</f>
        <v>44893</v>
      </c>
      <c r="J12" s="60">
        <f t="shared" si="1"/>
        <v>138</v>
      </c>
      <c r="K12" s="60">
        <f t="shared" si="2"/>
        <v>0</v>
      </c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>
        <v>138</v>
      </c>
      <c r="AB12" s="60"/>
      <c r="AC12" s="60"/>
      <c r="AD12" s="60"/>
      <c r="AE12" s="60"/>
      <c r="AF12" s="60"/>
      <c r="AG12" s="60"/>
      <c r="AH12" s="60"/>
      <c r="AI12" s="60"/>
      <c r="AJ12" s="60"/>
      <c r="AK12" s="64">
        <f t="shared" si="3"/>
        <v>27301.920000000002</v>
      </c>
    </row>
    <row r="13" spans="1:37" hidden="1" x14ac:dyDescent="0.25">
      <c r="A13" s="59" t="s">
        <v>770</v>
      </c>
      <c r="B13" s="59" t="str">
        <f t="shared" ca="1" si="0"/>
        <v>VENCIDO</v>
      </c>
      <c r="C13" s="60" t="s">
        <v>1999</v>
      </c>
      <c r="D13" s="61" t="s">
        <v>2012</v>
      </c>
      <c r="E13" s="75"/>
      <c r="F13" s="60" t="s">
        <v>213</v>
      </c>
      <c r="G13" s="60" t="s">
        <v>778</v>
      </c>
      <c r="H13" s="63">
        <v>44927</v>
      </c>
      <c r="I13" s="63">
        <f>H13-180</f>
        <v>44747</v>
      </c>
      <c r="J13" s="60">
        <f t="shared" si="1"/>
        <v>4</v>
      </c>
      <c r="K13" s="60">
        <f t="shared" si="2"/>
        <v>0</v>
      </c>
      <c r="L13" s="60"/>
      <c r="M13" s="60"/>
      <c r="N13" s="60"/>
      <c r="O13" s="60">
        <v>1</v>
      </c>
      <c r="P13" s="60"/>
      <c r="Q13" s="60">
        <v>3</v>
      </c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4">
        <f t="shared" si="3"/>
        <v>1143.8700000000001</v>
      </c>
    </row>
    <row r="14" spans="1:37" hidden="1" x14ac:dyDescent="0.25">
      <c r="A14" s="59" t="s">
        <v>770</v>
      </c>
      <c r="B14" s="59" t="str">
        <f t="shared" ca="1" si="0"/>
        <v>VENCIDO</v>
      </c>
      <c r="C14" s="60" t="s">
        <v>1999</v>
      </c>
      <c r="D14" s="61" t="s">
        <v>2013</v>
      </c>
      <c r="E14" s="75"/>
      <c r="F14" s="60" t="s">
        <v>246</v>
      </c>
      <c r="G14" s="60" t="s">
        <v>228</v>
      </c>
      <c r="H14" s="63">
        <v>44706</v>
      </c>
      <c r="I14" s="63">
        <f>H14-180</f>
        <v>44526</v>
      </c>
      <c r="J14" s="60">
        <f t="shared" si="1"/>
        <v>6</v>
      </c>
      <c r="K14" s="60">
        <f t="shared" si="2"/>
        <v>0</v>
      </c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>
        <v>6</v>
      </c>
      <c r="AB14" s="60"/>
      <c r="AC14" s="60"/>
      <c r="AD14" s="60"/>
      <c r="AE14" s="60"/>
      <c r="AF14" s="60"/>
      <c r="AG14" s="60"/>
      <c r="AH14" s="60"/>
      <c r="AI14" s="60"/>
      <c r="AJ14" s="60"/>
      <c r="AK14" s="64">
        <f t="shared" si="3"/>
        <v>1187.04</v>
      </c>
    </row>
    <row r="15" spans="1:37" hidden="1" x14ac:dyDescent="0.25">
      <c r="A15" s="59"/>
      <c r="B15" s="59" t="str">
        <f t="shared" ca="1" si="0"/>
        <v>VENCIDO</v>
      </c>
      <c r="C15" s="60" t="s">
        <v>1999</v>
      </c>
      <c r="D15" s="61" t="s">
        <v>2014</v>
      </c>
      <c r="E15" s="75"/>
      <c r="F15" s="60" t="s">
        <v>246</v>
      </c>
      <c r="G15" s="60" t="s">
        <v>228</v>
      </c>
      <c r="H15" s="63">
        <v>44706</v>
      </c>
      <c r="I15" s="63">
        <f>H15-180</f>
        <v>44526</v>
      </c>
      <c r="J15" s="60">
        <f t="shared" si="1"/>
        <v>4</v>
      </c>
      <c r="K15" s="60">
        <f t="shared" si="2"/>
        <v>0</v>
      </c>
      <c r="L15" s="60"/>
      <c r="M15" s="60"/>
      <c r="N15" s="60"/>
      <c r="O15" s="60"/>
      <c r="P15" s="60"/>
      <c r="Q15" s="60"/>
      <c r="R15" s="60"/>
      <c r="S15" s="60"/>
      <c r="T15" s="60">
        <v>4</v>
      </c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4">
        <f t="shared" si="3"/>
        <v>2269.88</v>
      </c>
    </row>
    <row r="16" spans="1:37" hidden="1" x14ac:dyDescent="0.25">
      <c r="A16" s="59" t="s">
        <v>770</v>
      </c>
      <c r="B16" s="59" t="str">
        <f t="shared" ca="1" si="0"/>
        <v>VENCIDO</v>
      </c>
      <c r="C16" s="60" t="s">
        <v>1999</v>
      </c>
      <c r="D16" s="61" t="s">
        <v>2015</v>
      </c>
      <c r="E16" s="75"/>
      <c r="F16" s="60" t="s">
        <v>229</v>
      </c>
      <c r="G16" s="60" t="s">
        <v>228</v>
      </c>
      <c r="H16" s="63">
        <v>44682</v>
      </c>
      <c r="I16" s="63">
        <f>H16-180</f>
        <v>44502</v>
      </c>
      <c r="J16" s="60">
        <f t="shared" si="1"/>
        <v>1</v>
      </c>
      <c r="K16" s="60">
        <f t="shared" si="2"/>
        <v>0</v>
      </c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>
        <v>1</v>
      </c>
      <c r="AB16" s="60"/>
      <c r="AC16" s="60"/>
      <c r="AD16" s="60"/>
      <c r="AE16" s="60"/>
      <c r="AF16" s="60"/>
      <c r="AG16" s="60"/>
      <c r="AH16" s="60"/>
      <c r="AI16" s="60"/>
      <c r="AJ16" s="60"/>
      <c r="AK16" s="64">
        <f t="shared" si="3"/>
        <v>197.84</v>
      </c>
    </row>
    <row r="17" spans="1:37" hidden="1" x14ac:dyDescent="0.25">
      <c r="A17" s="59"/>
      <c r="B17" s="59" t="str">
        <f t="shared" ca="1" si="0"/>
        <v>VENCIDO</v>
      </c>
      <c r="C17" s="60" t="s">
        <v>869</v>
      </c>
      <c r="D17" s="61" t="s">
        <v>2016</v>
      </c>
      <c r="E17" s="87" t="s">
        <v>2017</v>
      </c>
      <c r="F17" s="60" t="s">
        <v>213</v>
      </c>
      <c r="G17" s="60" t="s">
        <v>778</v>
      </c>
      <c r="H17" s="63">
        <v>45292</v>
      </c>
      <c r="I17" s="63">
        <v>45292</v>
      </c>
      <c r="J17" s="60">
        <f t="shared" si="1"/>
        <v>22</v>
      </c>
      <c r="K17" s="60">
        <f t="shared" si="2"/>
        <v>0</v>
      </c>
      <c r="L17" s="60"/>
      <c r="M17" s="60"/>
      <c r="N17" s="60"/>
      <c r="O17" s="60"/>
      <c r="P17" s="60"/>
      <c r="Q17" s="60"/>
      <c r="R17" s="60"/>
      <c r="S17" s="60"/>
      <c r="T17" s="60">
        <v>1</v>
      </c>
      <c r="U17" s="60"/>
      <c r="V17" s="60">
        <v>6</v>
      </c>
      <c r="W17" s="60"/>
      <c r="X17" s="60">
        <v>5</v>
      </c>
      <c r="Y17" s="60"/>
      <c r="Z17" s="60"/>
      <c r="AA17" s="60">
        <v>10</v>
      </c>
      <c r="AB17" s="60"/>
      <c r="AC17" s="60"/>
      <c r="AD17" s="60"/>
      <c r="AE17" s="60"/>
      <c r="AF17" s="60"/>
      <c r="AG17" s="60"/>
      <c r="AH17" s="60"/>
      <c r="AI17" s="60"/>
      <c r="AJ17" s="60"/>
      <c r="AK17" s="64">
        <f t="shared" si="3"/>
        <v>7241.3600000000006</v>
      </c>
    </row>
    <row r="18" spans="1:37" hidden="1" x14ac:dyDescent="0.25">
      <c r="A18" s="59"/>
      <c r="B18" s="59" t="str">
        <f t="shared" ca="1" si="0"/>
        <v>VENCIDO</v>
      </c>
      <c r="C18" s="60" t="s">
        <v>869</v>
      </c>
      <c r="D18" s="61" t="s">
        <v>2018</v>
      </c>
      <c r="E18" s="86" t="s">
        <v>1629</v>
      </c>
      <c r="F18" s="60" t="s">
        <v>229</v>
      </c>
      <c r="G18" s="60" t="s">
        <v>228</v>
      </c>
      <c r="H18" s="63">
        <v>45383</v>
      </c>
      <c r="I18" s="63">
        <v>45383</v>
      </c>
      <c r="J18" s="60">
        <f t="shared" si="1"/>
        <v>11</v>
      </c>
      <c r="K18" s="60">
        <f t="shared" si="2"/>
        <v>0</v>
      </c>
      <c r="L18" s="60"/>
      <c r="M18" s="60"/>
      <c r="N18" s="60"/>
      <c r="O18" s="60"/>
      <c r="P18" s="60"/>
      <c r="Q18" s="60"/>
      <c r="R18" s="60"/>
      <c r="S18" s="60"/>
      <c r="T18" s="60">
        <v>1</v>
      </c>
      <c r="U18" s="60"/>
      <c r="V18" s="60"/>
      <c r="W18" s="60"/>
      <c r="X18" s="60"/>
      <c r="Y18" s="60"/>
      <c r="Z18" s="60"/>
      <c r="AA18" s="60">
        <v>10</v>
      </c>
      <c r="AB18" s="60"/>
      <c r="AC18" s="60"/>
      <c r="AD18" s="60"/>
      <c r="AE18" s="60"/>
      <c r="AF18" s="60"/>
      <c r="AG18" s="60"/>
      <c r="AH18" s="60"/>
      <c r="AI18" s="60"/>
      <c r="AJ18" s="60"/>
      <c r="AK18" s="64">
        <f t="shared" si="3"/>
        <v>2545.87</v>
      </c>
    </row>
    <row r="19" spans="1:37" x14ac:dyDescent="0.25">
      <c r="A19" s="59"/>
      <c r="B19" s="59" t="str">
        <f t="shared" ca="1" si="0"/>
        <v>VENCIDO</v>
      </c>
      <c r="C19" s="60" t="s">
        <v>869</v>
      </c>
      <c r="D19" s="61" t="s">
        <v>2019</v>
      </c>
      <c r="E19" s="86" t="s">
        <v>2020</v>
      </c>
      <c r="F19" s="60" t="s">
        <v>232</v>
      </c>
      <c r="G19" s="60" t="s">
        <v>212</v>
      </c>
      <c r="H19" s="63">
        <v>45536</v>
      </c>
      <c r="I19" s="63">
        <f>H19-180</f>
        <v>45356</v>
      </c>
      <c r="J19" s="60">
        <f t="shared" si="1"/>
        <v>42</v>
      </c>
      <c r="K19" s="60">
        <f t="shared" si="2"/>
        <v>0</v>
      </c>
      <c r="L19" s="60">
        <v>1</v>
      </c>
      <c r="M19" s="60"/>
      <c r="N19" s="60"/>
      <c r="O19" s="60"/>
      <c r="P19" s="60"/>
      <c r="Q19" s="60">
        <v>15</v>
      </c>
      <c r="R19" s="60">
        <v>2</v>
      </c>
      <c r="S19" s="60"/>
      <c r="T19" s="60">
        <v>4</v>
      </c>
      <c r="U19" s="60">
        <v>12</v>
      </c>
      <c r="V19" s="60">
        <v>2</v>
      </c>
      <c r="W19" s="60"/>
      <c r="X19" s="60"/>
      <c r="Y19" s="60"/>
      <c r="Z19" s="60"/>
      <c r="AA19" s="60">
        <v>6</v>
      </c>
      <c r="AB19" s="60"/>
      <c r="AC19" s="60"/>
      <c r="AD19" s="60"/>
      <c r="AE19" s="60"/>
      <c r="AF19" s="60"/>
      <c r="AG19" s="60"/>
      <c r="AH19" s="60"/>
      <c r="AI19" s="60"/>
      <c r="AJ19" s="60"/>
      <c r="AK19" s="64">
        <f t="shared" si="3"/>
        <v>12627.449999999997</v>
      </c>
    </row>
    <row r="20" spans="1:37" x14ac:dyDescent="0.25">
      <c r="A20" s="59"/>
      <c r="B20" s="59" t="str">
        <f t="shared" ca="1" si="0"/>
        <v>VENCIDO</v>
      </c>
      <c r="C20" s="60" t="s">
        <v>869</v>
      </c>
      <c r="D20" s="61" t="s">
        <v>2021</v>
      </c>
      <c r="E20" s="86" t="s">
        <v>2022</v>
      </c>
      <c r="F20" s="60" t="s">
        <v>232</v>
      </c>
      <c r="G20" s="60" t="s">
        <v>212</v>
      </c>
      <c r="H20" s="63">
        <v>45323</v>
      </c>
      <c r="I20" s="63">
        <v>45323</v>
      </c>
      <c r="J20" s="60">
        <f t="shared" si="1"/>
        <v>13</v>
      </c>
      <c r="K20" s="60">
        <f t="shared" si="2"/>
        <v>0</v>
      </c>
      <c r="L20" s="60"/>
      <c r="M20" s="60"/>
      <c r="N20" s="60"/>
      <c r="O20" s="60"/>
      <c r="P20" s="60"/>
      <c r="Q20" s="60">
        <v>2</v>
      </c>
      <c r="R20" s="60"/>
      <c r="S20" s="60"/>
      <c r="T20" s="60">
        <v>6</v>
      </c>
      <c r="U20" s="60">
        <v>1</v>
      </c>
      <c r="V20" s="60">
        <v>4</v>
      </c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4">
        <f t="shared" si="3"/>
        <v>4978.51</v>
      </c>
    </row>
    <row r="21" spans="1:37" hidden="1" x14ac:dyDescent="0.25">
      <c r="A21" s="59" t="s">
        <v>770</v>
      </c>
      <c r="B21" s="59" t="str">
        <f t="shared" ca="1" si="0"/>
        <v>VENCIDO</v>
      </c>
      <c r="C21" s="60" t="s">
        <v>869</v>
      </c>
      <c r="D21" s="61" t="s">
        <v>2023</v>
      </c>
      <c r="E21" s="86" t="s">
        <v>1159</v>
      </c>
      <c r="F21" s="60" t="s">
        <v>246</v>
      </c>
      <c r="G21" s="60" t="s">
        <v>228</v>
      </c>
      <c r="H21" s="63">
        <v>45505</v>
      </c>
      <c r="I21" s="63">
        <f>H21-180</f>
        <v>45325</v>
      </c>
      <c r="J21" s="60">
        <f t="shared" si="1"/>
        <v>18</v>
      </c>
      <c r="K21" s="60">
        <f t="shared" si="2"/>
        <v>0</v>
      </c>
      <c r="L21" s="60"/>
      <c r="M21" s="60"/>
      <c r="N21" s="60"/>
      <c r="O21" s="60">
        <v>10</v>
      </c>
      <c r="P21" s="60"/>
      <c r="Q21" s="60"/>
      <c r="R21" s="60">
        <v>1</v>
      </c>
      <c r="S21" s="60"/>
      <c r="T21" s="60">
        <v>2</v>
      </c>
      <c r="U21" s="60"/>
      <c r="V21" s="60"/>
      <c r="W21" s="60"/>
      <c r="X21" s="60"/>
      <c r="Y21" s="60"/>
      <c r="Z21" s="60"/>
      <c r="AA21" s="60">
        <v>5</v>
      </c>
      <c r="AB21" s="60"/>
      <c r="AC21" s="60"/>
      <c r="AD21" s="60"/>
      <c r="AE21" s="60"/>
      <c r="AF21" s="60"/>
      <c r="AG21" s="60"/>
      <c r="AH21" s="60"/>
      <c r="AI21" s="60"/>
      <c r="AJ21" s="60"/>
      <c r="AK21" s="64">
        <f t="shared" si="3"/>
        <v>5169.6400000000003</v>
      </c>
    </row>
    <row r="22" spans="1:37" hidden="1" x14ac:dyDescent="0.25">
      <c r="A22" s="59" t="s">
        <v>770</v>
      </c>
      <c r="B22" s="59" t="str">
        <f t="shared" ca="1" si="0"/>
        <v>VENCIDO</v>
      </c>
      <c r="C22" s="60" t="s">
        <v>869</v>
      </c>
      <c r="D22" s="61" t="s">
        <v>2024</v>
      </c>
      <c r="E22" s="86" t="s">
        <v>1159</v>
      </c>
      <c r="F22" s="60" t="s">
        <v>246</v>
      </c>
      <c r="G22" s="60" t="s">
        <v>228</v>
      </c>
      <c r="H22" s="63">
        <v>45536</v>
      </c>
      <c r="I22" s="63">
        <f>H22-180</f>
        <v>45356</v>
      </c>
      <c r="J22" s="60">
        <f t="shared" si="1"/>
        <v>8</v>
      </c>
      <c r="K22" s="60">
        <f t="shared" si="2"/>
        <v>0</v>
      </c>
      <c r="L22" s="60"/>
      <c r="M22" s="60"/>
      <c r="N22" s="60">
        <v>1</v>
      </c>
      <c r="O22" s="60"/>
      <c r="P22" s="60"/>
      <c r="Q22" s="60">
        <v>4</v>
      </c>
      <c r="R22" s="60"/>
      <c r="S22" s="60"/>
      <c r="T22" s="60">
        <v>2</v>
      </c>
      <c r="U22" s="60"/>
      <c r="V22" s="60"/>
      <c r="W22" s="60"/>
      <c r="X22" s="60"/>
      <c r="Y22" s="60"/>
      <c r="Z22" s="60"/>
      <c r="AA22" s="60">
        <v>1</v>
      </c>
      <c r="AB22" s="60"/>
      <c r="AC22" s="60"/>
      <c r="AD22" s="60"/>
      <c r="AE22" s="60"/>
      <c r="AF22" s="60"/>
      <c r="AG22" s="60"/>
      <c r="AH22" s="60"/>
      <c r="AI22" s="60"/>
      <c r="AJ22" s="60"/>
      <c r="AK22" s="64">
        <f t="shared" si="3"/>
        <v>2745.8100000000004</v>
      </c>
    </row>
    <row r="23" spans="1:37" hidden="1" x14ac:dyDescent="0.25">
      <c r="A23" s="59"/>
      <c r="B23" s="59" t="str">
        <f t="shared" ca="1" si="0"/>
        <v>VENCIDO</v>
      </c>
      <c r="C23" s="60" t="s">
        <v>869</v>
      </c>
      <c r="D23" s="61" t="s">
        <v>2025</v>
      </c>
      <c r="E23" s="86" t="s">
        <v>1159</v>
      </c>
      <c r="F23" s="60" t="s">
        <v>246</v>
      </c>
      <c r="G23" s="60" t="s">
        <v>228</v>
      </c>
      <c r="H23" s="63">
        <v>45505</v>
      </c>
      <c r="I23" s="63">
        <f>H23-180</f>
        <v>45325</v>
      </c>
      <c r="J23" s="60">
        <f t="shared" si="1"/>
        <v>15</v>
      </c>
      <c r="K23" s="60">
        <f t="shared" si="2"/>
        <v>0</v>
      </c>
      <c r="L23" s="60"/>
      <c r="M23" s="60"/>
      <c r="N23" s="60">
        <v>2</v>
      </c>
      <c r="O23" s="60">
        <v>6</v>
      </c>
      <c r="P23" s="60"/>
      <c r="Q23" s="60"/>
      <c r="R23" s="60"/>
      <c r="S23" s="60"/>
      <c r="T23" s="60">
        <v>2</v>
      </c>
      <c r="U23" s="60"/>
      <c r="V23" s="60"/>
      <c r="W23" s="60"/>
      <c r="X23" s="60"/>
      <c r="Y23" s="60"/>
      <c r="Z23" s="60"/>
      <c r="AA23" s="60">
        <v>5</v>
      </c>
      <c r="AB23" s="60"/>
      <c r="AC23" s="60"/>
      <c r="AD23" s="60"/>
      <c r="AE23" s="60"/>
      <c r="AF23" s="60"/>
      <c r="AG23" s="60"/>
      <c r="AH23" s="60"/>
      <c r="AI23" s="60"/>
      <c r="AJ23" s="60"/>
      <c r="AK23" s="64">
        <f t="shared" si="3"/>
        <v>3614.3199999999997</v>
      </c>
    </row>
    <row r="24" spans="1:37" hidden="1" x14ac:dyDescent="0.25">
      <c r="A24" s="59" t="s">
        <v>770</v>
      </c>
      <c r="B24" s="59" t="str">
        <f t="shared" ca="1" si="0"/>
        <v>VENCIDO</v>
      </c>
      <c r="C24" s="60" t="s">
        <v>869</v>
      </c>
      <c r="D24" s="61" t="s">
        <v>2026</v>
      </c>
      <c r="E24" s="86" t="s">
        <v>1159</v>
      </c>
      <c r="F24" s="60" t="s">
        <v>246</v>
      </c>
      <c r="G24" s="60" t="s">
        <v>228</v>
      </c>
      <c r="H24" s="63">
        <v>45383</v>
      </c>
      <c r="I24" s="63">
        <v>45383</v>
      </c>
      <c r="J24" s="60">
        <f t="shared" si="1"/>
        <v>28</v>
      </c>
      <c r="K24" s="60">
        <f t="shared" si="2"/>
        <v>0</v>
      </c>
      <c r="L24" s="60"/>
      <c r="M24" s="60"/>
      <c r="N24" s="60"/>
      <c r="O24" s="60"/>
      <c r="P24" s="60"/>
      <c r="Q24" s="60">
        <v>2</v>
      </c>
      <c r="R24" s="60">
        <v>1</v>
      </c>
      <c r="S24" s="60"/>
      <c r="T24" s="60">
        <v>1</v>
      </c>
      <c r="U24" s="60"/>
      <c r="V24" s="60">
        <v>11</v>
      </c>
      <c r="W24" s="60"/>
      <c r="X24" s="60"/>
      <c r="Y24" s="60"/>
      <c r="Z24" s="60"/>
      <c r="AA24" s="60">
        <v>13</v>
      </c>
      <c r="AB24" s="60"/>
      <c r="AC24" s="60"/>
      <c r="AD24" s="60"/>
      <c r="AE24" s="60"/>
      <c r="AF24" s="60"/>
      <c r="AG24" s="60"/>
      <c r="AH24" s="60"/>
      <c r="AI24" s="60"/>
      <c r="AJ24" s="60"/>
      <c r="AK24" s="64">
        <f t="shared" si="3"/>
        <v>7013.630000000001</v>
      </c>
    </row>
    <row r="25" spans="1:37" hidden="1" x14ac:dyDescent="0.25">
      <c r="A25" s="59" t="s">
        <v>770</v>
      </c>
      <c r="B25" s="59" t="str">
        <f t="shared" ca="1" si="0"/>
        <v>VENCIDO</v>
      </c>
      <c r="C25" s="60" t="s">
        <v>869</v>
      </c>
      <c r="D25" s="61" t="s">
        <v>2027</v>
      </c>
      <c r="E25" s="86" t="s">
        <v>1159</v>
      </c>
      <c r="F25" s="60" t="s">
        <v>246</v>
      </c>
      <c r="G25" s="60" t="s">
        <v>228</v>
      </c>
      <c r="H25" s="63">
        <v>45505</v>
      </c>
      <c r="I25" s="63">
        <f t="shared" ref="I25:I34" si="4">H25-180</f>
        <v>45325</v>
      </c>
      <c r="J25" s="60">
        <f t="shared" si="1"/>
        <v>14</v>
      </c>
      <c r="K25" s="60">
        <f t="shared" si="2"/>
        <v>0</v>
      </c>
      <c r="L25" s="60"/>
      <c r="M25" s="60"/>
      <c r="N25" s="60">
        <v>2</v>
      </c>
      <c r="O25" s="60">
        <v>5</v>
      </c>
      <c r="P25" s="60"/>
      <c r="Q25" s="60"/>
      <c r="R25" s="60"/>
      <c r="S25" s="60"/>
      <c r="T25" s="60">
        <v>2</v>
      </c>
      <c r="U25" s="60"/>
      <c r="V25" s="60"/>
      <c r="W25" s="60"/>
      <c r="X25" s="60"/>
      <c r="Y25" s="60"/>
      <c r="Z25" s="60"/>
      <c r="AA25" s="60">
        <v>5</v>
      </c>
      <c r="AB25" s="60"/>
      <c r="AC25" s="60"/>
      <c r="AD25" s="60"/>
      <c r="AE25" s="60"/>
      <c r="AF25" s="60"/>
      <c r="AG25" s="60"/>
      <c r="AH25" s="60"/>
      <c r="AI25" s="60"/>
      <c r="AJ25" s="60"/>
      <c r="AK25" s="64">
        <f t="shared" si="3"/>
        <v>3416.5</v>
      </c>
    </row>
    <row r="26" spans="1:37" hidden="1" x14ac:dyDescent="0.25">
      <c r="A26" s="59" t="s">
        <v>770</v>
      </c>
      <c r="B26" s="59" t="str">
        <f t="shared" ca="1" si="0"/>
        <v>VENCIDO</v>
      </c>
      <c r="C26" s="60" t="s">
        <v>869</v>
      </c>
      <c r="D26" s="61" t="s">
        <v>2028</v>
      </c>
      <c r="E26" s="86" t="s">
        <v>1159</v>
      </c>
      <c r="F26" s="60" t="s">
        <v>246</v>
      </c>
      <c r="G26" s="60" t="s">
        <v>228</v>
      </c>
      <c r="H26" s="63">
        <v>45536</v>
      </c>
      <c r="I26" s="63">
        <f t="shared" si="4"/>
        <v>45356</v>
      </c>
      <c r="J26" s="60">
        <f t="shared" si="1"/>
        <v>11</v>
      </c>
      <c r="K26" s="60">
        <f t="shared" si="2"/>
        <v>0</v>
      </c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>
        <v>4</v>
      </c>
      <c r="Z26" s="60"/>
      <c r="AA26" s="60">
        <v>7</v>
      </c>
      <c r="AB26" s="60"/>
      <c r="AC26" s="60"/>
      <c r="AD26" s="60"/>
      <c r="AE26" s="60"/>
      <c r="AF26" s="60"/>
      <c r="AG26" s="60"/>
      <c r="AH26" s="60"/>
      <c r="AI26" s="60"/>
      <c r="AJ26" s="60"/>
      <c r="AK26" s="64">
        <f t="shared" si="3"/>
        <v>1384.88</v>
      </c>
    </row>
    <row r="27" spans="1:37" hidden="1" x14ac:dyDescent="0.25">
      <c r="A27" s="59" t="s">
        <v>770</v>
      </c>
      <c r="B27" s="59" t="str">
        <f t="shared" ca="1" si="0"/>
        <v>VENCIDO</v>
      </c>
      <c r="C27" s="60" t="s">
        <v>1999</v>
      </c>
      <c r="D27" s="61" t="s">
        <v>2029</v>
      </c>
      <c r="E27" s="75" t="s">
        <v>2010</v>
      </c>
      <c r="F27" s="60" t="s">
        <v>229</v>
      </c>
      <c r="G27" s="60" t="s">
        <v>228</v>
      </c>
      <c r="H27" s="63">
        <v>44707</v>
      </c>
      <c r="I27" s="63">
        <f t="shared" si="4"/>
        <v>44527</v>
      </c>
      <c r="J27" s="60">
        <f t="shared" si="1"/>
        <v>2</v>
      </c>
      <c r="K27" s="60">
        <f t="shared" si="2"/>
        <v>0</v>
      </c>
      <c r="L27" s="60"/>
      <c r="M27" s="60"/>
      <c r="N27" s="60">
        <v>2</v>
      </c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4">
        <f t="shared" si="3"/>
        <v>303.26</v>
      </c>
    </row>
    <row r="28" spans="1:37" hidden="1" x14ac:dyDescent="0.25">
      <c r="A28" s="59" t="s">
        <v>770</v>
      </c>
      <c r="B28" s="59" t="str">
        <f t="shared" ca="1" si="0"/>
        <v>VENCIDO</v>
      </c>
      <c r="C28" s="60" t="s">
        <v>1999</v>
      </c>
      <c r="D28" s="61" t="s">
        <v>2030</v>
      </c>
      <c r="E28" s="75" t="s">
        <v>2010</v>
      </c>
      <c r="F28" s="60" t="s">
        <v>229</v>
      </c>
      <c r="G28" s="60" t="s">
        <v>228</v>
      </c>
      <c r="H28" s="63">
        <v>44707</v>
      </c>
      <c r="I28" s="63">
        <f t="shared" si="4"/>
        <v>44527</v>
      </c>
      <c r="J28" s="60">
        <f t="shared" si="1"/>
        <v>7</v>
      </c>
      <c r="K28" s="60">
        <f t="shared" si="2"/>
        <v>0</v>
      </c>
      <c r="L28" s="60"/>
      <c r="M28" s="60"/>
      <c r="N28" s="60"/>
      <c r="O28" s="60">
        <v>7</v>
      </c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4">
        <f t="shared" si="3"/>
        <v>1384.74</v>
      </c>
    </row>
    <row r="29" spans="1:37" hidden="1" x14ac:dyDescent="0.25">
      <c r="A29" s="59" t="s">
        <v>770</v>
      </c>
      <c r="B29" s="59" t="str">
        <f t="shared" ca="1" si="0"/>
        <v>VENCIDO</v>
      </c>
      <c r="C29" s="60" t="s">
        <v>1999</v>
      </c>
      <c r="D29" s="61" t="s">
        <v>2031</v>
      </c>
      <c r="E29" s="75"/>
      <c r="F29" s="60" t="s">
        <v>229</v>
      </c>
      <c r="G29" s="60" t="s">
        <v>228</v>
      </c>
      <c r="H29" s="63">
        <v>44373</v>
      </c>
      <c r="I29" s="63">
        <f t="shared" si="4"/>
        <v>44193</v>
      </c>
      <c r="J29" s="60">
        <f t="shared" si="1"/>
        <v>30</v>
      </c>
      <c r="K29" s="60">
        <f t="shared" si="2"/>
        <v>0</v>
      </c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>
        <v>30</v>
      </c>
      <c r="AB29" s="60"/>
      <c r="AC29" s="60"/>
      <c r="AD29" s="60"/>
      <c r="AE29" s="60"/>
      <c r="AF29" s="60"/>
      <c r="AG29" s="60"/>
      <c r="AH29" s="60"/>
      <c r="AI29" s="60"/>
      <c r="AJ29" s="60"/>
      <c r="AK29" s="64">
        <f t="shared" si="3"/>
        <v>5935.2</v>
      </c>
    </row>
    <row r="30" spans="1:37" hidden="1" x14ac:dyDescent="0.25">
      <c r="A30" s="59" t="s">
        <v>770</v>
      </c>
      <c r="B30" s="59" t="str">
        <f t="shared" ca="1" si="0"/>
        <v>VENCIDO</v>
      </c>
      <c r="C30" s="60" t="s">
        <v>1999</v>
      </c>
      <c r="D30" s="61" t="s">
        <v>2032</v>
      </c>
      <c r="E30" s="75"/>
      <c r="F30" s="60" t="s">
        <v>229</v>
      </c>
      <c r="G30" s="60" t="s">
        <v>228</v>
      </c>
      <c r="H30" s="63">
        <v>44373</v>
      </c>
      <c r="I30" s="63">
        <f t="shared" si="4"/>
        <v>44193</v>
      </c>
      <c r="J30" s="60">
        <f t="shared" si="1"/>
        <v>24</v>
      </c>
      <c r="K30" s="60">
        <f t="shared" si="2"/>
        <v>0</v>
      </c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>
        <v>24</v>
      </c>
      <c r="AB30" s="60"/>
      <c r="AC30" s="60"/>
      <c r="AD30" s="60"/>
      <c r="AE30" s="60"/>
      <c r="AF30" s="60"/>
      <c r="AG30" s="60"/>
      <c r="AH30" s="60"/>
      <c r="AI30" s="60"/>
      <c r="AJ30" s="60"/>
      <c r="AK30" s="64">
        <f t="shared" si="3"/>
        <v>4748.16</v>
      </c>
    </row>
    <row r="31" spans="1:37" hidden="1" x14ac:dyDescent="0.25">
      <c r="A31" s="59"/>
      <c r="B31" s="59" t="str">
        <f t="shared" ca="1" si="0"/>
        <v>VENCIDO</v>
      </c>
      <c r="C31" s="60" t="s">
        <v>1999</v>
      </c>
      <c r="D31" s="61" t="s">
        <v>2033</v>
      </c>
      <c r="E31" s="75"/>
      <c r="F31" s="60" t="s">
        <v>229</v>
      </c>
      <c r="G31" s="60" t="s">
        <v>228</v>
      </c>
      <c r="H31" s="63">
        <v>44616</v>
      </c>
      <c r="I31" s="63">
        <f t="shared" si="4"/>
        <v>44436</v>
      </c>
      <c r="J31" s="60">
        <f t="shared" si="1"/>
        <v>1</v>
      </c>
      <c r="K31" s="60">
        <f t="shared" si="2"/>
        <v>0</v>
      </c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>
        <v>1</v>
      </c>
      <c r="AB31" s="60"/>
      <c r="AC31" s="60"/>
      <c r="AD31" s="60"/>
      <c r="AE31" s="60"/>
      <c r="AF31" s="60"/>
      <c r="AG31" s="60"/>
      <c r="AH31" s="60"/>
      <c r="AI31" s="60"/>
      <c r="AJ31" s="60"/>
      <c r="AK31" s="64">
        <f t="shared" si="3"/>
        <v>197.84</v>
      </c>
    </row>
    <row r="32" spans="1:37" hidden="1" x14ac:dyDescent="0.25">
      <c r="A32" s="59"/>
      <c r="B32" s="59" t="str">
        <f t="shared" ca="1" si="0"/>
        <v>VENCIDO</v>
      </c>
      <c r="C32" s="60" t="s">
        <v>1999</v>
      </c>
      <c r="D32" s="61" t="s">
        <v>2034</v>
      </c>
      <c r="E32" s="75"/>
      <c r="F32" s="60" t="s">
        <v>229</v>
      </c>
      <c r="G32" s="60" t="s">
        <v>228</v>
      </c>
      <c r="H32" s="63">
        <v>44616</v>
      </c>
      <c r="I32" s="63">
        <f t="shared" si="4"/>
        <v>44436</v>
      </c>
      <c r="J32" s="60">
        <f t="shared" si="1"/>
        <v>6</v>
      </c>
      <c r="K32" s="60">
        <f t="shared" si="2"/>
        <v>0</v>
      </c>
      <c r="L32" s="60"/>
      <c r="M32" s="60"/>
      <c r="N32" s="60"/>
      <c r="O32" s="60">
        <v>4</v>
      </c>
      <c r="P32" s="60"/>
      <c r="Q32" s="60"/>
      <c r="R32" s="60"/>
      <c r="S32" s="60"/>
      <c r="T32" s="60">
        <v>2</v>
      </c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4">
        <f t="shared" si="3"/>
        <v>1926.22</v>
      </c>
    </row>
    <row r="33" spans="1:37" hidden="1" x14ac:dyDescent="0.25">
      <c r="A33" s="59"/>
      <c r="B33" s="59" t="str">
        <f t="shared" ca="1" si="0"/>
        <v>VENCIDO</v>
      </c>
      <c r="C33" s="60" t="s">
        <v>1999</v>
      </c>
      <c r="D33" s="61" t="s">
        <v>2035</v>
      </c>
      <c r="E33" s="75"/>
      <c r="F33" s="60" t="s">
        <v>229</v>
      </c>
      <c r="G33" s="60" t="s">
        <v>228</v>
      </c>
      <c r="H33" s="63">
        <v>44616</v>
      </c>
      <c r="I33" s="63">
        <f t="shared" si="4"/>
        <v>44436</v>
      </c>
      <c r="J33" s="60">
        <f t="shared" si="1"/>
        <v>14</v>
      </c>
      <c r="K33" s="60">
        <f t="shared" si="2"/>
        <v>0</v>
      </c>
      <c r="L33" s="60"/>
      <c r="M33" s="60"/>
      <c r="N33" s="60"/>
      <c r="O33" s="60">
        <v>8</v>
      </c>
      <c r="P33" s="60"/>
      <c r="Q33" s="60"/>
      <c r="R33" s="60"/>
      <c r="S33" s="60"/>
      <c r="T33" s="60">
        <v>2</v>
      </c>
      <c r="U33" s="60"/>
      <c r="V33" s="60"/>
      <c r="W33" s="60"/>
      <c r="X33" s="60"/>
      <c r="Y33" s="60"/>
      <c r="Z33" s="60"/>
      <c r="AA33" s="60">
        <v>4</v>
      </c>
      <c r="AB33" s="60"/>
      <c r="AC33" s="60"/>
      <c r="AD33" s="60"/>
      <c r="AE33" s="60"/>
      <c r="AF33" s="60"/>
      <c r="AG33" s="60"/>
      <c r="AH33" s="60"/>
      <c r="AI33" s="60"/>
      <c r="AJ33" s="60"/>
      <c r="AK33" s="64">
        <f t="shared" si="3"/>
        <v>3508.86</v>
      </c>
    </row>
    <row r="34" spans="1:37" hidden="1" x14ac:dyDescent="0.25">
      <c r="A34" s="59"/>
      <c r="B34" s="59" t="str">
        <f t="shared" ca="1" si="0"/>
        <v>VENCIDO</v>
      </c>
      <c r="C34" s="60" t="s">
        <v>1999</v>
      </c>
      <c r="D34" s="61" t="s">
        <v>2036</v>
      </c>
      <c r="E34" s="75"/>
      <c r="F34" s="60" t="s">
        <v>229</v>
      </c>
      <c r="G34" s="60" t="s">
        <v>228</v>
      </c>
      <c r="H34" s="63">
        <v>44616</v>
      </c>
      <c r="I34" s="63">
        <f t="shared" si="4"/>
        <v>44436</v>
      </c>
      <c r="J34" s="60">
        <f t="shared" si="1"/>
        <v>15</v>
      </c>
      <c r="K34" s="60">
        <f t="shared" si="2"/>
        <v>0</v>
      </c>
      <c r="L34" s="60"/>
      <c r="M34" s="60"/>
      <c r="N34" s="60"/>
      <c r="O34" s="60">
        <v>9</v>
      </c>
      <c r="P34" s="60"/>
      <c r="Q34" s="60"/>
      <c r="R34" s="60"/>
      <c r="S34" s="60"/>
      <c r="T34" s="60">
        <v>4</v>
      </c>
      <c r="U34" s="60"/>
      <c r="V34" s="60"/>
      <c r="W34" s="60"/>
      <c r="X34" s="60"/>
      <c r="Y34" s="60"/>
      <c r="Z34" s="60"/>
      <c r="AA34" s="60">
        <v>2</v>
      </c>
      <c r="AB34" s="60"/>
      <c r="AC34" s="60"/>
      <c r="AD34" s="60"/>
      <c r="AE34" s="60"/>
      <c r="AF34" s="60"/>
      <c r="AG34" s="60"/>
      <c r="AH34" s="60"/>
      <c r="AI34" s="60"/>
      <c r="AJ34" s="60"/>
      <c r="AK34" s="64">
        <f t="shared" si="3"/>
        <v>4445.9400000000005</v>
      </c>
    </row>
    <row r="35" spans="1:37" x14ac:dyDescent="0.25">
      <c r="A35" s="61"/>
      <c r="B35" s="61"/>
      <c r="C35" s="60"/>
      <c r="D35" s="61"/>
      <c r="E35" s="75"/>
      <c r="F35" s="60"/>
      <c r="G35" s="60"/>
      <c r="H35" s="63"/>
      <c r="I35" s="63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</row>
    <row r="36" spans="1:37" ht="15.75" customHeight="1" x14ac:dyDescent="0.25">
      <c r="A36" s="61"/>
      <c r="B36" s="61"/>
      <c r="C36" s="61"/>
      <c r="D36" s="61"/>
      <c r="E36" s="61"/>
      <c r="F36" s="61"/>
      <c r="G36" s="61"/>
      <c r="H36" s="63"/>
      <c r="I36" s="78" t="s">
        <v>757</v>
      </c>
      <c r="J36" s="79">
        <f t="shared" ref="J36:R36" si="5">SUBTOTAL(109,J3:J34)</f>
        <v>55</v>
      </c>
      <c r="K36" s="79">
        <f t="shared" si="5"/>
        <v>0</v>
      </c>
      <c r="L36" s="79">
        <f t="shared" si="5"/>
        <v>1</v>
      </c>
      <c r="M36" s="79">
        <f t="shared" si="5"/>
        <v>0</v>
      </c>
      <c r="N36" s="79">
        <f t="shared" si="5"/>
        <v>0</v>
      </c>
      <c r="O36" s="79">
        <f t="shared" si="5"/>
        <v>0</v>
      </c>
      <c r="P36" s="79">
        <f t="shared" si="5"/>
        <v>0</v>
      </c>
      <c r="Q36" s="79">
        <f t="shared" si="5"/>
        <v>17</v>
      </c>
      <c r="R36" s="79">
        <f t="shared" si="5"/>
        <v>2</v>
      </c>
      <c r="S36" s="79"/>
      <c r="T36" s="79">
        <f t="shared" ref="T36:AI36" si="6">SUBTOTAL(109,T3:T34)</f>
        <v>10</v>
      </c>
      <c r="U36" s="79">
        <f t="shared" si="6"/>
        <v>13</v>
      </c>
      <c r="V36" s="79">
        <f t="shared" si="6"/>
        <v>6</v>
      </c>
      <c r="W36" s="79">
        <f t="shared" si="6"/>
        <v>0</v>
      </c>
      <c r="X36" s="79">
        <f t="shared" si="6"/>
        <v>0</v>
      </c>
      <c r="Y36" s="79">
        <f t="shared" si="6"/>
        <v>0</v>
      </c>
      <c r="Z36" s="79">
        <f t="shared" si="6"/>
        <v>0</v>
      </c>
      <c r="AA36" s="79">
        <f t="shared" si="6"/>
        <v>6</v>
      </c>
      <c r="AB36" s="79">
        <f t="shared" si="6"/>
        <v>0</v>
      </c>
      <c r="AC36" s="79">
        <f t="shared" si="6"/>
        <v>0</v>
      </c>
      <c r="AD36" s="79">
        <f t="shared" si="6"/>
        <v>0</v>
      </c>
      <c r="AE36" s="79">
        <f t="shared" si="6"/>
        <v>0</v>
      </c>
      <c r="AF36" s="79">
        <f t="shared" si="6"/>
        <v>0</v>
      </c>
      <c r="AG36" s="79">
        <f t="shared" si="6"/>
        <v>0</v>
      </c>
      <c r="AH36" s="79">
        <f t="shared" si="6"/>
        <v>0</v>
      </c>
      <c r="AI36" s="79">
        <f t="shared" si="6"/>
        <v>0</v>
      </c>
      <c r="AJ36" s="79"/>
      <c r="AK36" s="80">
        <f>SUBTOTAL(109,AK3:AK34)</f>
        <v>17605.96</v>
      </c>
    </row>
  </sheetData>
  <autoFilter ref="A2:AK34" xr:uid="{00000000-0009-0000-0000-000005000000}">
    <filterColumn colId="6">
      <filters>
        <filter val="FEIRA DE SANTANA"/>
      </filters>
    </filterColumn>
  </autoFilter>
  <mergeCells count="7">
    <mergeCell ref="AD1:AE1"/>
    <mergeCell ref="AF1:AK1"/>
    <mergeCell ref="J1:K1"/>
    <mergeCell ref="L1:M1"/>
    <mergeCell ref="N1:T1"/>
    <mergeCell ref="U1:Y1"/>
    <mergeCell ref="Z1:AC1"/>
  </mergeCells>
  <conditionalFormatting sqref="A1:A36">
    <cfRule type="cellIs" dxfId="47" priority="5" operator="equal">
      <formula>"SIM"</formula>
    </cfRule>
  </conditionalFormatting>
  <conditionalFormatting sqref="A3:A26 A27:B34">
    <cfRule type="containsText" dxfId="46" priority="6" operator="containsText" text="NA VALIDADE">
      <formula>NOT(ISERROR(SEARCH("NA VALIDADE",A3)))</formula>
    </cfRule>
    <cfRule type="containsText" dxfId="45" priority="7" operator="containsText" text="VENCIDO">
      <formula>NOT(ISERROR(SEARCH("VENCIDO",A3)))</formula>
    </cfRule>
  </conditionalFormatting>
  <conditionalFormatting sqref="A2:B2">
    <cfRule type="containsText" dxfId="44" priority="8" operator="containsText" text="ENVIADO">
      <formula>NOT(ISERROR(SEARCH("ENVIADO",A2)))</formula>
    </cfRule>
    <cfRule type="cellIs" dxfId="43" priority="9" operator="equal">
      <formula>#REF!</formula>
    </cfRule>
    <cfRule type="cellIs" dxfId="42" priority="10" operator="equal">
      <formula>#REF!</formula>
    </cfRule>
    <cfRule type="cellIs" dxfId="41" priority="11" operator="equal">
      <formula>#REF!</formula>
    </cfRule>
    <cfRule type="cellIs" dxfId="40" priority="12" operator="equal">
      <formula>#REF!</formula>
    </cfRule>
  </conditionalFormatting>
  <conditionalFormatting sqref="B3:B26">
    <cfRule type="containsText" dxfId="39" priority="3" operator="containsText" text="NA VALIDADE">
      <formula>NOT(ISERROR(SEARCH("NA VALIDADE",B3)))</formula>
    </cfRule>
    <cfRule type="containsText" dxfId="38" priority="4" operator="containsText" text="VENCIDO">
      <formula>NOT(ISERROR(SEARCH("VENCIDO",B3)))</formula>
    </cfRule>
  </conditionalFormatting>
  <conditionalFormatting sqref="J3:AK35">
    <cfRule type="cellIs" dxfId="37" priority="2" operator="greaterThan">
      <formula>0</formula>
    </cfRule>
  </conditionalFormatting>
  <conditionalFormatting sqref="J36:AK36">
    <cfRule type="cellIs" dxfId="36" priority="13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0" fitToHeight="0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55A11"/>
    <pageSetUpPr fitToPage="1"/>
  </sheetPr>
  <dimension ref="A1:AK7"/>
  <sheetViews>
    <sheetView view="pageBreakPreview" zoomScale="80" zoomScaleNormal="100" zoomScalePageLayoutView="80" workbookViewId="0">
      <selection activeCell="AG15" sqref="AG15"/>
    </sheetView>
  </sheetViews>
  <sheetFormatPr defaultColWidth="8.7109375" defaultRowHeight="15" x14ac:dyDescent="0.25"/>
  <cols>
    <col min="1" max="1" width="12.42578125" customWidth="1"/>
    <col min="2" max="2" width="11.5703125" customWidth="1"/>
    <col min="3" max="3" width="10.85546875" customWidth="1"/>
    <col min="4" max="4" width="25.42578125" customWidth="1"/>
    <col min="5" max="5" width="8" customWidth="1"/>
    <col min="6" max="6" width="3.85546875" customWidth="1"/>
    <col min="7" max="7" width="28.5703125" customWidth="1"/>
    <col min="8" max="8" width="13.42578125" customWidth="1"/>
    <col min="9" max="9" width="13.5703125" customWidth="1"/>
    <col min="36" max="36" width="11.85546875" customWidth="1"/>
    <col min="37" max="37" width="14.42578125" hidden="1" customWidth="1"/>
  </cols>
  <sheetData>
    <row r="1" spans="1:37" ht="50.25" customHeight="1" x14ac:dyDescent="0.25">
      <c r="A1" s="72">
        <f ca="1">TODAY()</f>
        <v>46308</v>
      </c>
      <c r="B1" s="72">
        <f ca="1">TODAY()</f>
        <v>46308</v>
      </c>
      <c r="C1" s="48"/>
      <c r="D1" s="49">
        <f>SUBTOTAL(3,D3:D517)</f>
        <v>3</v>
      </c>
      <c r="E1" s="51" t="s">
        <v>1531</v>
      </c>
      <c r="F1" s="48"/>
      <c r="G1" s="48"/>
      <c r="H1" s="88" t="s">
        <v>756</v>
      </c>
      <c r="I1" s="53"/>
      <c r="J1" s="5" t="s">
        <v>757</v>
      </c>
      <c r="K1" s="5"/>
      <c r="L1" s="4" t="s">
        <v>758</v>
      </c>
      <c r="M1" s="4"/>
      <c r="N1" s="3" t="s">
        <v>759</v>
      </c>
      <c r="O1" s="3"/>
      <c r="P1" s="3"/>
      <c r="Q1" s="3"/>
      <c r="R1" s="3"/>
      <c r="S1" s="3"/>
      <c r="T1" s="3"/>
      <c r="U1" s="2" t="s">
        <v>760</v>
      </c>
      <c r="V1" s="2"/>
      <c r="W1" s="2"/>
      <c r="X1" s="2"/>
      <c r="Y1" s="2"/>
      <c r="Z1" s="1" t="s">
        <v>761</v>
      </c>
      <c r="AA1" s="1"/>
      <c r="AB1" s="1"/>
      <c r="AC1" s="1"/>
      <c r="AD1" s="98" t="s">
        <v>762</v>
      </c>
      <c r="AE1" s="98"/>
      <c r="AF1" s="99" t="s">
        <v>739</v>
      </c>
      <c r="AG1" s="99"/>
      <c r="AH1" s="99"/>
      <c r="AI1" s="99"/>
      <c r="AJ1" s="99"/>
      <c r="AK1" s="99"/>
    </row>
    <row r="2" spans="1:37" ht="45" customHeight="1" x14ac:dyDescent="0.25">
      <c r="A2" s="54" t="s">
        <v>763</v>
      </c>
      <c r="B2" s="54" t="s">
        <v>62</v>
      </c>
      <c r="C2" s="54" t="s">
        <v>764</v>
      </c>
      <c r="D2" s="54" t="s">
        <v>30</v>
      </c>
      <c r="E2" s="54" t="s">
        <v>32</v>
      </c>
      <c r="F2" s="54" t="s">
        <v>33</v>
      </c>
      <c r="G2" s="54" t="s">
        <v>765</v>
      </c>
      <c r="H2" s="54" t="s">
        <v>34</v>
      </c>
      <c r="I2" s="54" t="s">
        <v>766</v>
      </c>
      <c r="J2" s="55" t="s">
        <v>63</v>
      </c>
      <c r="K2" s="55" t="s">
        <v>64</v>
      </c>
      <c r="L2" s="56" t="s">
        <v>35</v>
      </c>
      <c r="M2" s="56" t="s">
        <v>36</v>
      </c>
      <c r="N2" s="56" t="s">
        <v>37</v>
      </c>
      <c r="O2" s="56" t="s">
        <v>38</v>
      </c>
      <c r="P2" s="56" t="s">
        <v>39</v>
      </c>
      <c r="Q2" s="56" t="s">
        <v>40</v>
      </c>
      <c r="R2" s="56" t="s">
        <v>41</v>
      </c>
      <c r="S2" s="56" t="s">
        <v>42</v>
      </c>
      <c r="T2" s="56" t="s">
        <v>43</v>
      </c>
      <c r="U2" s="56" t="s">
        <v>37</v>
      </c>
      <c r="V2" s="56" t="s">
        <v>38</v>
      </c>
      <c r="W2" s="56" t="s">
        <v>39</v>
      </c>
      <c r="X2" s="56" t="s">
        <v>44</v>
      </c>
      <c r="Y2" s="56" t="s">
        <v>768</v>
      </c>
      <c r="Z2" s="56" t="s">
        <v>37</v>
      </c>
      <c r="AA2" s="56" t="s">
        <v>38</v>
      </c>
      <c r="AB2" s="56" t="s">
        <v>47</v>
      </c>
      <c r="AC2" s="56" t="s">
        <v>48</v>
      </c>
      <c r="AD2" s="56" t="s">
        <v>49</v>
      </c>
      <c r="AE2" s="56" t="s">
        <v>50</v>
      </c>
      <c r="AF2" s="57" t="s">
        <v>51</v>
      </c>
      <c r="AG2" s="57" t="s">
        <v>52</v>
      </c>
      <c r="AH2" s="57" t="s">
        <v>53</v>
      </c>
      <c r="AI2" s="57" t="s">
        <v>54</v>
      </c>
      <c r="AJ2" s="57" t="s">
        <v>55</v>
      </c>
      <c r="AK2" s="57" t="s">
        <v>769</v>
      </c>
    </row>
    <row r="3" spans="1:37" x14ac:dyDescent="0.25">
      <c r="A3" s="59" t="s">
        <v>770</v>
      </c>
      <c r="B3" s="59" t="str">
        <f ca="1">IF(H3&lt;$B$1,"VENCIDO","NA VALIDADE")</f>
        <v>VENCIDO</v>
      </c>
      <c r="C3" s="60" t="s">
        <v>2037</v>
      </c>
      <c r="D3" s="61" t="s">
        <v>2038</v>
      </c>
      <c r="E3" s="75" t="s">
        <v>260</v>
      </c>
      <c r="F3" s="60" t="s">
        <v>261</v>
      </c>
      <c r="G3" s="75" t="s">
        <v>408</v>
      </c>
      <c r="H3" s="63">
        <v>45413</v>
      </c>
      <c r="I3" s="63">
        <f>H3-180</f>
        <v>45233</v>
      </c>
      <c r="J3" s="60">
        <f>SUM(L3:AE3)</f>
        <v>45</v>
      </c>
      <c r="K3" s="60">
        <f>SUM(AF3:AJ3)</f>
        <v>29</v>
      </c>
      <c r="L3" s="60">
        <v>10</v>
      </c>
      <c r="M3" s="60"/>
      <c r="N3" s="60"/>
      <c r="O3" s="60">
        <v>1</v>
      </c>
      <c r="P3" s="60"/>
      <c r="Q3" s="60">
        <v>14</v>
      </c>
      <c r="R3" s="60"/>
      <c r="S3" s="60"/>
      <c r="T3" s="60">
        <v>5</v>
      </c>
      <c r="U3" s="60"/>
      <c r="V3" s="60"/>
      <c r="W3" s="60"/>
      <c r="X3" s="60"/>
      <c r="Y3" s="60"/>
      <c r="Z3" s="60"/>
      <c r="AA3" s="60">
        <v>15</v>
      </c>
      <c r="AB3" s="60"/>
      <c r="AC3" s="60"/>
      <c r="AD3" s="60"/>
      <c r="AE3" s="60"/>
      <c r="AF3" s="60"/>
      <c r="AG3" s="60"/>
      <c r="AH3" s="60">
        <v>29</v>
      </c>
      <c r="AI3" s="60"/>
      <c r="AJ3" s="60"/>
      <c r="AK3" s="64">
        <f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11322.070000000002</v>
      </c>
    </row>
    <row r="4" spans="1:37" x14ac:dyDescent="0.25">
      <c r="A4" s="59" t="s">
        <v>770</v>
      </c>
      <c r="B4" s="59" t="str">
        <f ca="1">IF(H4&lt;$B$1,"VENCIDO","NA VALIDADE")</f>
        <v>VENCIDO</v>
      </c>
      <c r="C4" s="60" t="s">
        <v>2037</v>
      </c>
      <c r="D4" s="61" t="s">
        <v>851</v>
      </c>
      <c r="E4" s="75" t="s">
        <v>851</v>
      </c>
      <c r="F4" s="60" t="s">
        <v>213</v>
      </c>
      <c r="G4" s="75" t="s">
        <v>1504</v>
      </c>
      <c r="H4" s="63">
        <v>45292</v>
      </c>
      <c r="I4" s="63">
        <v>45292</v>
      </c>
      <c r="J4" s="60">
        <f>SUM(L4:AE4)</f>
        <v>152</v>
      </c>
      <c r="K4" s="60">
        <f>SUM(AF4:AJ4)</f>
        <v>38</v>
      </c>
      <c r="L4" s="60">
        <v>6</v>
      </c>
      <c r="M4" s="60"/>
      <c r="N4" s="60">
        <v>2</v>
      </c>
      <c r="O4" s="60">
        <v>33</v>
      </c>
      <c r="P4" s="60">
        <v>4</v>
      </c>
      <c r="Q4" s="60">
        <v>27</v>
      </c>
      <c r="R4" s="60"/>
      <c r="S4" s="60"/>
      <c r="T4" s="60">
        <v>4</v>
      </c>
      <c r="U4" s="60"/>
      <c r="V4" s="60">
        <v>20</v>
      </c>
      <c r="W4" s="60"/>
      <c r="X4" s="60"/>
      <c r="Y4" s="60"/>
      <c r="Z4" s="60"/>
      <c r="AA4" s="60">
        <v>56</v>
      </c>
      <c r="AB4" s="60"/>
      <c r="AC4" s="60"/>
      <c r="AD4" s="60"/>
      <c r="AE4" s="60"/>
      <c r="AF4" s="60">
        <v>22</v>
      </c>
      <c r="AG4" s="60"/>
      <c r="AH4" s="60">
        <v>16</v>
      </c>
      <c r="AI4" s="60"/>
      <c r="AJ4" s="60"/>
      <c r="AK4" s="64">
        <f>IF(L4&gt;0,L4*(82.29+8.15),0)+IF(M4&gt;0,M4*(8.15+339.97),0)+IF(N4&gt;0,N4*151.63,0)+IF(O4&gt;0,O4*197.82,0)+IF(P4&gt;0,P4*244.09,0)+IF(Q4&gt;0,Q4*315.35,0)+IF(R4&gt;0,R4*1067.3,0)+IF(T4&gt;0,T4*567.47,0)+IF(U4&gt;0,U4*151.63,0)+IF(V4&gt;0,V4*197.84,0)+IF(W4&gt;0,W4*470.51,0)+IF(X4&gt;0,X4*701.69,0)+IF(Z4&gt;0,Z4*151.63,0)+IF(AA4&gt;0,AA4*197.84)+IF(AB4&gt;0,AB4*308.4,0)+IF(AC4&gt;0,AC4*496.16,0)</f>
        <v>34170.490000000005</v>
      </c>
    </row>
    <row r="5" spans="1:37" x14ac:dyDescent="0.25">
      <c r="A5" s="59" t="s">
        <v>770</v>
      </c>
      <c r="B5" s="59" t="str">
        <f ca="1">IF(H5&lt;$B$1,"VENCIDO","NA VALIDADE")</f>
        <v>VENCIDO</v>
      </c>
      <c r="C5" s="60" t="s">
        <v>2037</v>
      </c>
      <c r="D5" s="61" t="s">
        <v>2039</v>
      </c>
      <c r="E5" s="75" t="s">
        <v>260</v>
      </c>
      <c r="F5" s="60" t="s">
        <v>261</v>
      </c>
      <c r="G5" s="75" t="s">
        <v>408</v>
      </c>
      <c r="H5" s="63">
        <v>45292</v>
      </c>
      <c r="I5" s="63">
        <v>45293</v>
      </c>
      <c r="J5" s="60">
        <f>SUM(L5:AE5)</f>
        <v>110</v>
      </c>
      <c r="K5" s="60">
        <f>SUM(AF5:AJ5)</f>
        <v>189</v>
      </c>
      <c r="L5" s="60">
        <v>8</v>
      </c>
      <c r="M5" s="60"/>
      <c r="N5" s="60"/>
      <c r="O5" s="60">
        <v>1</v>
      </c>
      <c r="P5" s="60">
        <v>10</v>
      </c>
      <c r="Q5" s="60">
        <v>28</v>
      </c>
      <c r="R5" s="60"/>
      <c r="S5" s="60"/>
      <c r="T5" s="60">
        <v>8</v>
      </c>
      <c r="U5" s="60"/>
      <c r="V5" s="60"/>
      <c r="W5" s="60"/>
      <c r="X5" s="60">
        <v>3</v>
      </c>
      <c r="Y5" s="60"/>
      <c r="Z5" s="60"/>
      <c r="AA5" s="60">
        <v>52</v>
      </c>
      <c r="AB5" s="60"/>
      <c r="AC5" s="60"/>
      <c r="AD5" s="60"/>
      <c r="AE5" s="60"/>
      <c r="AF5" s="60"/>
      <c r="AG5" s="60"/>
      <c r="AH5" s="60">
        <v>189</v>
      </c>
      <c r="AI5" s="60"/>
      <c r="AJ5" s="60"/>
      <c r="AK5" s="64">
        <f>IF(L5&gt;0,L5*(82.29+8.15),0)+IF(M5&gt;0,M5*(8.15+339.97),0)+IF(N5&gt;0,N5*151.63,0)+IF(O5&gt;0,O5*197.82,0)+IF(P5&gt;0,P5*244.09,0)+IF(Q5&gt;0,Q5*315.35,0)+IF(R5&gt;0,R5*1067.3,0)+IF(T5&gt;0,T5*567.47,0)+IF(U5&gt;0,U5*151.63,0)+IF(V5&gt;0,V5*197.84,0)+IF(W5&gt;0,W5*470.51,0)+IF(X5&gt;0,X5*701.69,0)+IF(Z5&gt;0,Z5*151.63,0)+IF(AA5&gt;0,AA5*197.84)+IF(AB5&gt;0,AB5*308.4,0)+IF(AC5&gt;0,AC5*496.16,0)</f>
        <v>29124.550000000003</v>
      </c>
    </row>
    <row r="6" spans="1:37" x14ac:dyDescent="0.25">
      <c r="A6" s="89"/>
      <c r="B6" s="89"/>
      <c r="C6" s="90"/>
      <c r="D6" s="91"/>
      <c r="E6" s="90"/>
      <c r="F6" s="90"/>
      <c r="G6" s="90"/>
      <c r="H6" s="92"/>
      <c r="I6" s="92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</row>
    <row r="7" spans="1:37" ht="15.75" customHeight="1" x14ac:dyDescent="0.25">
      <c r="A7" s="61"/>
      <c r="B7" s="61"/>
      <c r="C7" s="61"/>
      <c r="D7" s="61"/>
      <c r="E7" s="61"/>
      <c r="F7" s="61"/>
      <c r="G7" s="61"/>
      <c r="H7" s="63"/>
      <c r="I7" s="78" t="s">
        <v>757</v>
      </c>
      <c r="J7" s="79">
        <f t="shared" ref="J7:R7" si="0">SUBTOTAL(109,J3:J5)</f>
        <v>307</v>
      </c>
      <c r="K7" s="79">
        <f t="shared" si="0"/>
        <v>256</v>
      </c>
      <c r="L7" s="79">
        <f t="shared" si="0"/>
        <v>24</v>
      </c>
      <c r="M7" s="79">
        <f t="shared" si="0"/>
        <v>0</v>
      </c>
      <c r="N7" s="79">
        <f t="shared" si="0"/>
        <v>2</v>
      </c>
      <c r="O7" s="79">
        <f t="shared" si="0"/>
        <v>35</v>
      </c>
      <c r="P7" s="79">
        <f t="shared" si="0"/>
        <v>14</v>
      </c>
      <c r="Q7" s="79">
        <f t="shared" si="0"/>
        <v>69</v>
      </c>
      <c r="R7" s="79">
        <f t="shared" si="0"/>
        <v>0</v>
      </c>
      <c r="S7" s="79"/>
      <c r="T7" s="79">
        <f t="shared" ref="T7:AI7" si="1">SUBTOTAL(109,T3:T5)</f>
        <v>17</v>
      </c>
      <c r="U7" s="79">
        <f t="shared" si="1"/>
        <v>0</v>
      </c>
      <c r="V7" s="79">
        <f t="shared" si="1"/>
        <v>20</v>
      </c>
      <c r="W7" s="79">
        <f t="shared" si="1"/>
        <v>0</v>
      </c>
      <c r="X7" s="79">
        <f t="shared" si="1"/>
        <v>3</v>
      </c>
      <c r="Y7" s="79">
        <f t="shared" si="1"/>
        <v>0</v>
      </c>
      <c r="Z7" s="79">
        <f t="shared" si="1"/>
        <v>0</v>
      </c>
      <c r="AA7" s="79">
        <f t="shared" si="1"/>
        <v>123</v>
      </c>
      <c r="AB7" s="79">
        <f t="shared" si="1"/>
        <v>0</v>
      </c>
      <c r="AC7" s="79">
        <f t="shared" si="1"/>
        <v>0</v>
      </c>
      <c r="AD7" s="79">
        <f t="shared" si="1"/>
        <v>0</v>
      </c>
      <c r="AE7" s="79">
        <f t="shared" si="1"/>
        <v>0</v>
      </c>
      <c r="AF7" s="79">
        <f t="shared" si="1"/>
        <v>22</v>
      </c>
      <c r="AG7" s="79">
        <f t="shared" si="1"/>
        <v>0</v>
      </c>
      <c r="AH7" s="79">
        <f t="shared" si="1"/>
        <v>234</v>
      </c>
      <c r="AI7" s="79">
        <f t="shared" si="1"/>
        <v>0</v>
      </c>
      <c r="AJ7" s="79"/>
      <c r="AK7" s="79">
        <f>SUBTOTAL(109,AK3:AK5)</f>
        <v>74617.110000000015</v>
      </c>
    </row>
  </sheetData>
  <autoFilter ref="A2:AK5" xr:uid="{00000000-0009-0000-0000-000006000000}"/>
  <mergeCells count="7">
    <mergeCell ref="AD1:AE1"/>
    <mergeCell ref="AF1:AK1"/>
    <mergeCell ref="J1:K1"/>
    <mergeCell ref="L1:M1"/>
    <mergeCell ref="N1:T1"/>
    <mergeCell ref="U1:Y1"/>
    <mergeCell ref="Z1:AC1"/>
  </mergeCells>
  <conditionalFormatting sqref="A1:A7">
    <cfRule type="cellIs" dxfId="35" priority="5" operator="equal">
      <formula>"SIM"</formula>
    </cfRule>
  </conditionalFormatting>
  <conditionalFormatting sqref="A3:A5">
    <cfRule type="containsText" dxfId="34" priority="6" operator="containsText" text="NA VALIDADE">
      <formula>NOT(ISERROR(SEARCH("NA VALIDADE",A3)))</formula>
    </cfRule>
    <cfRule type="containsText" dxfId="33" priority="7" operator="containsText" text="VENCIDO">
      <formula>NOT(ISERROR(SEARCH("VENCIDO",A3)))</formula>
    </cfRule>
  </conditionalFormatting>
  <conditionalFormatting sqref="A2:B2">
    <cfRule type="containsText" dxfId="32" priority="8" operator="containsText" text="ENVIADO">
      <formula>NOT(ISERROR(SEARCH("ENVIADO",A2)))</formula>
    </cfRule>
    <cfRule type="cellIs" dxfId="31" priority="9" operator="equal">
      <formula>#REF!</formula>
    </cfRule>
    <cfRule type="cellIs" dxfId="30" priority="10" operator="equal">
      <formula>#REF!</formula>
    </cfRule>
    <cfRule type="cellIs" dxfId="29" priority="11" operator="equal">
      <formula>#REF!</formula>
    </cfRule>
    <cfRule type="cellIs" dxfId="28" priority="12" operator="equal">
      <formula>#REF!</formula>
    </cfRule>
  </conditionalFormatting>
  <conditionalFormatting sqref="B3:B5">
    <cfRule type="containsText" dxfId="27" priority="3" operator="containsText" text="NA VALIDADE">
      <formula>NOT(ISERROR(SEARCH("NA VALIDADE",B3)))</formula>
    </cfRule>
    <cfRule type="containsText" dxfId="26" priority="4" operator="containsText" text="VENCIDO">
      <formula>NOT(ISERROR(SEARCH("VENCIDO",B3)))</formula>
    </cfRule>
  </conditionalFormatting>
  <conditionalFormatting sqref="J3:AK6">
    <cfRule type="cellIs" dxfId="25" priority="2" operator="greaterThan">
      <formula>0</formula>
    </cfRule>
  </conditionalFormatting>
  <conditionalFormatting sqref="J7:AK7">
    <cfRule type="cellIs" dxfId="24" priority="13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5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 filterMode="1">
    <tabColor rgb="FFC55A11"/>
    <pageSetUpPr fitToPage="1"/>
  </sheetPr>
  <dimension ref="A1:AK12"/>
  <sheetViews>
    <sheetView view="pageBreakPreview" zoomScale="80" zoomScaleNormal="110" zoomScalePageLayoutView="80" workbookViewId="0">
      <selection activeCell="AG15" sqref="AG15"/>
    </sheetView>
  </sheetViews>
  <sheetFormatPr defaultColWidth="8.7109375" defaultRowHeight="15" x14ac:dyDescent="0.25"/>
  <cols>
    <col min="1" max="1" width="12.42578125" customWidth="1"/>
    <col min="2" max="2" width="11.5703125" customWidth="1"/>
    <col min="3" max="3" width="13.140625" customWidth="1"/>
    <col min="4" max="4" width="40.42578125" customWidth="1"/>
    <col min="5" max="5" width="29.42578125" customWidth="1"/>
    <col min="6" max="6" width="3.85546875" customWidth="1"/>
    <col min="7" max="7" width="28.5703125" customWidth="1"/>
    <col min="8" max="8" width="13.5703125" customWidth="1"/>
    <col min="9" max="9" width="12.85546875" customWidth="1"/>
    <col min="36" max="36" width="11.85546875" customWidth="1"/>
    <col min="37" max="37" width="15.5703125" hidden="1" customWidth="1"/>
  </cols>
  <sheetData>
    <row r="1" spans="1:37" ht="48.75" customHeight="1" x14ac:dyDescent="0.25">
      <c r="A1" s="72">
        <f ca="1">TODAY()</f>
        <v>46308</v>
      </c>
      <c r="B1" s="72">
        <f ca="1">TODAY()</f>
        <v>46308</v>
      </c>
      <c r="C1" s="48"/>
      <c r="D1" s="49">
        <f>SUBTOTAL(3,D3:D515)</f>
        <v>3</v>
      </c>
      <c r="E1" s="51" t="s">
        <v>1531</v>
      </c>
      <c r="F1" s="48"/>
      <c r="G1" s="48"/>
      <c r="H1" s="88" t="s">
        <v>756</v>
      </c>
      <c r="I1" s="53"/>
      <c r="J1" s="5" t="s">
        <v>757</v>
      </c>
      <c r="K1" s="5"/>
      <c r="L1" s="4" t="s">
        <v>758</v>
      </c>
      <c r="M1" s="4"/>
      <c r="N1" s="3" t="s">
        <v>759</v>
      </c>
      <c r="O1" s="3"/>
      <c r="P1" s="3"/>
      <c r="Q1" s="3"/>
      <c r="R1" s="3"/>
      <c r="S1" s="3"/>
      <c r="T1" s="3"/>
      <c r="U1" s="2" t="s">
        <v>760</v>
      </c>
      <c r="V1" s="2"/>
      <c r="W1" s="2"/>
      <c r="X1" s="2"/>
      <c r="Y1" s="2"/>
      <c r="Z1" s="1" t="s">
        <v>761</v>
      </c>
      <c r="AA1" s="1"/>
      <c r="AB1" s="1"/>
      <c r="AC1" s="1"/>
      <c r="AD1" s="98" t="s">
        <v>762</v>
      </c>
      <c r="AE1" s="98"/>
      <c r="AF1" s="99" t="s">
        <v>739</v>
      </c>
      <c r="AG1" s="99"/>
      <c r="AH1" s="99"/>
      <c r="AI1" s="99"/>
      <c r="AJ1" s="99"/>
      <c r="AK1" s="99"/>
    </row>
    <row r="2" spans="1:37" ht="45" customHeight="1" x14ac:dyDescent="0.25">
      <c r="A2" s="54" t="s">
        <v>763</v>
      </c>
      <c r="B2" s="54" t="s">
        <v>62</v>
      </c>
      <c r="C2" s="54" t="s">
        <v>764</v>
      </c>
      <c r="D2" s="54" t="s">
        <v>30</v>
      </c>
      <c r="E2" s="54" t="s">
        <v>32</v>
      </c>
      <c r="F2" s="54" t="s">
        <v>33</v>
      </c>
      <c r="G2" s="54" t="s">
        <v>765</v>
      </c>
      <c r="H2" s="54" t="s">
        <v>34</v>
      </c>
      <c r="I2" s="54" t="s">
        <v>766</v>
      </c>
      <c r="J2" s="55" t="s">
        <v>63</v>
      </c>
      <c r="K2" s="55" t="s">
        <v>64</v>
      </c>
      <c r="L2" s="56" t="s">
        <v>35</v>
      </c>
      <c r="M2" s="56" t="s">
        <v>36</v>
      </c>
      <c r="N2" s="56" t="s">
        <v>37</v>
      </c>
      <c r="O2" s="56" t="s">
        <v>38</v>
      </c>
      <c r="P2" s="56" t="s">
        <v>39</v>
      </c>
      <c r="Q2" s="56" t="s">
        <v>40</v>
      </c>
      <c r="R2" s="56" t="s">
        <v>41</v>
      </c>
      <c r="S2" s="56" t="s">
        <v>42</v>
      </c>
      <c r="T2" s="56" t="s">
        <v>43</v>
      </c>
      <c r="U2" s="56" t="s">
        <v>37</v>
      </c>
      <c r="V2" s="56" t="s">
        <v>38</v>
      </c>
      <c r="W2" s="56" t="s">
        <v>39</v>
      </c>
      <c r="X2" s="56" t="s">
        <v>44</v>
      </c>
      <c r="Y2" s="56" t="s">
        <v>768</v>
      </c>
      <c r="Z2" s="56" t="s">
        <v>37</v>
      </c>
      <c r="AA2" s="56" t="s">
        <v>38</v>
      </c>
      <c r="AB2" s="56" t="s">
        <v>47</v>
      </c>
      <c r="AC2" s="56" t="s">
        <v>48</v>
      </c>
      <c r="AD2" s="56" t="s">
        <v>49</v>
      </c>
      <c r="AE2" s="56" t="s">
        <v>50</v>
      </c>
      <c r="AF2" s="57" t="s">
        <v>51</v>
      </c>
      <c r="AG2" s="57" t="s">
        <v>52</v>
      </c>
      <c r="AH2" s="57" t="s">
        <v>53</v>
      </c>
      <c r="AI2" s="57" t="s">
        <v>54</v>
      </c>
      <c r="AJ2" s="57" t="s">
        <v>55</v>
      </c>
      <c r="AK2" s="57" t="s">
        <v>769</v>
      </c>
    </row>
    <row r="3" spans="1:37" hidden="1" x14ac:dyDescent="0.25">
      <c r="A3" s="59" t="s">
        <v>770</v>
      </c>
      <c r="B3" s="59" t="s">
        <v>771</v>
      </c>
      <c r="C3" s="60" t="s">
        <v>869</v>
      </c>
      <c r="D3" s="61" t="s">
        <v>2040</v>
      </c>
      <c r="E3" s="93" t="s">
        <v>782</v>
      </c>
      <c r="F3" s="60" t="s">
        <v>213</v>
      </c>
      <c r="G3" s="75" t="s">
        <v>778</v>
      </c>
      <c r="H3" s="63">
        <v>45597</v>
      </c>
      <c r="I3" s="63">
        <v>45417</v>
      </c>
      <c r="J3" s="60">
        <v>17</v>
      </c>
      <c r="K3" s="60">
        <v>0</v>
      </c>
      <c r="L3" s="60"/>
      <c r="M3" s="60"/>
      <c r="N3" s="60"/>
      <c r="O3" s="60">
        <v>2</v>
      </c>
      <c r="P3" s="60"/>
      <c r="Q3" s="60">
        <v>6</v>
      </c>
      <c r="R3" s="60">
        <v>1</v>
      </c>
      <c r="S3" s="60"/>
      <c r="T3" s="60">
        <v>2</v>
      </c>
      <c r="U3" s="60"/>
      <c r="V3" s="60"/>
      <c r="W3" s="60"/>
      <c r="X3" s="60"/>
      <c r="Y3" s="60"/>
      <c r="Z3" s="60"/>
      <c r="AA3" s="60">
        <v>4</v>
      </c>
      <c r="AB3" s="60">
        <v>2</v>
      </c>
      <c r="AC3" s="60"/>
      <c r="AD3" s="60"/>
      <c r="AE3" s="60"/>
      <c r="AF3" s="60"/>
      <c r="AG3" s="60"/>
      <c r="AH3" s="60"/>
      <c r="AI3" s="60"/>
      <c r="AJ3" s="60"/>
      <c r="AK3" s="64">
        <f t="shared" ref="AK3:AK11" si="0"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5898.1399999999994</v>
      </c>
    </row>
    <row r="4" spans="1:37" hidden="1" x14ac:dyDescent="0.25">
      <c r="A4" s="59"/>
      <c r="B4" s="59" t="s">
        <v>771</v>
      </c>
      <c r="C4" s="60" t="s">
        <v>869</v>
      </c>
      <c r="D4" s="61" t="s">
        <v>2041</v>
      </c>
      <c r="E4" s="93" t="s">
        <v>2042</v>
      </c>
      <c r="F4" s="60" t="s">
        <v>213</v>
      </c>
      <c r="G4" s="75" t="s">
        <v>793</v>
      </c>
      <c r="H4" s="63">
        <v>45536</v>
      </c>
      <c r="I4" s="63">
        <v>45356</v>
      </c>
      <c r="J4" s="60">
        <v>9</v>
      </c>
      <c r="K4" s="60">
        <v>0</v>
      </c>
      <c r="L4" s="60"/>
      <c r="M4" s="60"/>
      <c r="N4" s="60"/>
      <c r="O4" s="60"/>
      <c r="P4" s="60"/>
      <c r="Q4" s="60"/>
      <c r="R4" s="60"/>
      <c r="S4" s="60"/>
      <c r="T4" s="60"/>
      <c r="U4" s="60"/>
      <c r="V4" s="60">
        <v>3</v>
      </c>
      <c r="W4" s="60"/>
      <c r="X4" s="60"/>
      <c r="Y4" s="60"/>
      <c r="Z4" s="60"/>
      <c r="AA4" s="60">
        <v>2</v>
      </c>
      <c r="AB4" s="60"/>
      <c r="AC4" s="60">
        <v>4</v>
      </c>
      <c r="AD4" s="60"/>
      <c r="AE4" s="60"/>
      <c r="AF4" s="60"/>
      <c r="AG4" s="60"/>
      <c r="AH4" s="60"/>
      <c r="AI4" s="60"/>
      <c r="AJ4" s="60"/>
      <c r="AK4" s="64">
        <f t="shared" si="0"/>
        <v>2973.84</v>
      </c>
    </row>
    <row r="5" spans="1:37" x14ac:dyDescent="0.25">
      <c r="A5" s="59"/>
      <c r="B5" s="59" t="s">
        <v>771</v>
      </c>
      <c r="C5" s="60" t="s">
        <v>869</v>
      </c>
      <c r="D5" s="61" t="s">
        <v>2043</v>
      </c>
      <c r="E5" s="93" t="s">
        <v>212</v>
      </c>
      <c r="F5" s="60" t="s">
        <v>213</v>
      </c>
      <c r="G5" s="75" t="s">
        <v>775</v>
      </c>
      <c r="H5" s="63">
        <v>45413</v>
      </c>
      <c r="I5" s="63">
        <v>45413</v>
      </c>
      <c r="J5" s="60">
        <v>18</v>
      </c>
      <c r="K5" s="60">
        <v>0</v>
      </c>
      <c r="L5" s="60"/>
      <c r="M5" s="60"/>
      <c r="N5" s="60"/>
      <c r="O5" s="60">
        <v>3</v>
      </c>
      <c r="P5" s="60"/>
      <c r="Q5" s="60">
        <v>3</v>
      </c>
      <c r="R5" s="60"/>
      <c r="S5" s="60"/>
      <c r="T5" s="60"/>
      <c r="U5" s="60"/>
      <c r="V5" s="60">
        <v>2</v>
      </c>
      <c r="W5" s="60"/>
      <c r="X5" s="60"/>
      <c r="Y5" s="60"/>
      <c r="Z5" s="60"/>
      <c r="AA5" s="60">
        <v>10</v>
      </c>
      <c r="AB5" s="60"/>
      <c r="AC5" s="60"/>
      <c r="AD5" s="60"/>
      <c r="AE5" s="60"/>
      <c r="AF5" s="60"/>
      <c r="AG5" s="60"/>
      <c r="AH5" s="60"/>
      <c r="AI5" s="60"/>
      <c r="AJ5" s="60"/>
      <c r="AK5" s="64">
        <f t="shared" si="0"/>
        <v>3913.59</v>
      </c>
    </row>
    <row r="6" spans="1:37" x14ac:dyDescent="0.25">
      <c r="A6" s="59"/>
      <c r="B6" s="59" t="s">
        <v>771</v>
      </c>
      <c r="C6" s="60" t="s">
        <v>869</v>
      </c>
      <c r="D6" s="61" t="s">
        <v>2044</v>
      </c>
      <c r="E6" s="93" t="s">
        <v>212</v>
      </c>
      <c r="F6" s="60" t="s">
        <v>213</v>
      </c>
      <c r="G6" s="75" t="s">
        <v>775</v>
      </c>
      <c r="H6" s="63">
        <v>45352</v>
      </c>
      <c r="I6" s="63">
        <v>45352</v>
      </c>
      <c r="J6" s="60">
        <v>2</v>
      </c>
      <c r="K6" s="60">
        <v>0</v>
      </c>
      <c r="L6" s="60"/>
      <c r="M6" s="60"/>
      <c r="N6" s="60"/>
      <c r="O6" s="60"/>
      <c r="P6" s="60"/>
      <c r="Q6" s="60">
        <v>1</v>
      </c>
      <c r="R6" s="60"/>
      <c r="S6" s="60"/>
      <c r="T6" s="60"/>
      <c r="U6" s="60"/>
      <c r="V6" s="60"/>
      <c r="W6" s="60"/>
      <c r="X6" s="60"/>
      <c r="Y6" s="60"/>
      <c r="Z6" s="60"/>
      <c r="AA6" s="60">
        <v>1</v>
      </c>
      <c r="AB6" s="60"/>
      <c r="AC6" s="60"/>
      <c r="AD6" s="60"/>
      <c r="AE6" s="60"/>
      <c r="AF6" s="60"/>
      <c r="AG6" s="60"/>
      <c r="AH6" s="60"/>
      <c r="AI6" s="60"/>
      <c r="AJ6" s="60"/>
      <c r="AK6" s="64">
        <f t="shared" si="0"/>
        <v>513.19000000000005</v>
      </c>
    </row>
    <row r="7" spans="1:37" hidden="1" x14ac:dyDescent="0.25">
      <c r="A7" s="59" t="s">
        <v>770</v>
      </c>
      <c r="B7" s="59" t="s">
        <v>771</v>
      </c>
      <c r="C7" s="60" t="s">
        <v>869</v>
      </c>
      <c r="D7" s="61" t="s">
        <v>2045</v>
      </c>
      <c r="E7" s="93" t="s">
        <v>1552</v>
      </c>
      <c r="F7" s="60" t="s">
        <v>229</v>
      </c>
      <c r="G7" s="75" t="s">
        <v>228</v>
      </c>
      <c r="H7" s="63">
        <v>45323</v>
      </c>
      <c r="I7" s="63">
        <v>45323</v>
      </c>
      <c r="J7" s="60">
        <v>11</v>
      </c>
      <c r="K7" s="60">
        <v>0</v>
      </c>
      <c r="L7" s="60">
        <v>1</v>
      </c>
      <c r="M7" s="60"/>
      <c r="N7" s="60">
        <v>1</v>
      </c>
      <c r="O7" s="60">
        <v>1</v>
      </c>
      <c r="P7" s="60"/>
      <c r="Q7" s="60"/>
      <c r="R7" s="60"/>
      <c r="S7" s="60"/>
      <c r="T7" s="60">
        <v>4</v>
      </c>
      <c r="U7" s="60"/>
      <c r="V7" s="60">
        <v>3</v>
      </c>
      <c r="W7" s="60"/>
      <c r="X7" s="60"/>
      <c r="Y7" s="60"/>
      <c r="Z7" s="60"/>
      <c r="AA7" s="60">
        <v>1</v>
      </c>
      <c r="AB7" s="60"/>
      <c r="AC7" s="60"/>
      <c r="AD7" s="60"/>
      <c r="AE7" s="60"/>
      <c r="AF7" s="60"/>
      <c r="AG7" s="60"/>
      <c r="AH7" s="60"/>
      <c r="AI7" s="60"/>
      <c r="AJ7" s="60"/>
      <c r="AK7" s="64">
        <f t="shared" si="0"/>
        <v>3501.13</v>
      </c>
    </row>
    <row r="8" spans="1:37" x14ac:dyDescent="0.25">
      <c r="A8" s="59"/>
      <c r="B8" s="59" t="s">
        <v>771</v>
      </c>
      <c r="C8" s="60" t="s">
        <v>869</v>
      </c>
      <c r="D8" s="61" t="s">
        <v>2046</v>
      </c>
      <c r="E8" s="93" t="s">
        <v>223</v>
      </c>
      <c r="F8" s="60" t="s">
        <v>213</v>
      </c>
      <c r="G8" s="75" t="s">
        <v>775</v>
      </c>
      <c r="H8" s="63">
        <v>45323</v>
      </c>
      <c r="I8" s="63">
        <v>45323</v>
      </c>
      <c r="J8" s="60">
        <v>12</v>
      </c>
      <c r="K8" s="60">
        <v>0</v>
      </c>
      <c r="L8" s="60"/>
      <c r="M8" s="60"/>
      <c r="N8" s="60"/>
      <c r="O8" s="60"/>
      <c r="P8" s="60">
        <v>1</v>
      </c>
      <c r="Q8" s="60">
        <v>3</v>
      </c>
      <c r="R8" s="60"/>
      <c r="S8" s="60"/>
      <c r="T8" s="60">
        <v>2</v>
      </c>
      <c r="U8" s="60"/>
      <c r="V8" s="60"/>
      <c r="W8" s="60"/>
      <c r="X8" s="60"/>
      <c r="Y8" s="60"/>
      <c r="Z8" s="60">
        <v>4</v>
      </c>
      <c r="AA8" s="60">
        <v>2</v>
      </c>
      <c r="AB8" s="60"/>
      <c r="AC8" s="60"/>
      <c r="AD8" s="60"/>
      <c r="AE8" s="60"/>
      <c r="AF8" s="60"/>
      <c r="AG8" s="60"/>
      <c r="AH8" s="60"/>
      <c r="AI8" s="60"/>
      <c r="AJ8" s="60"/>
      <c r="AK8" s="64">
        <f t="shared" si="0"/>
        <v>3327.2799999999997</v>
      </c>
    </row>
    <row r="9" spans="1:37" hidden="1" x14ac:dyDescent="0.25">
      <c r="A9" s="59"/>
      <c r="B9" s="59" t="s">
        <v>2047</v>
      </c>
      <c r="C9" s="60" t="s">
        <v>869</v>
      </c>
      <c r="D9" s="61" t="s">
        <v>2048</v>
      </c>
      <c r="E9" s="93" t="s">
        <v>245</v>
      </c>
      <c r="F9" s="60" t="s">
        <v>246</v>
      </c>
      <c r="G9" s="75" t="s">
        <v>408</v>
      </c>
      <c r="H9" s="63">
        <v>45292</v>
      </c>
      <c r="I9" s="63">
        <v>45292</v>
      </c>
      <c r="J9" s="60">
        <v>11</v>
      </c>
      <c r="K9" s="60">
        <v>0</v>
      </c>
      <c r="L9" s="60"/>
      <c r="M9" s="60"/>
      <c r="N9" s="60"/>
      <c r="O9" s="60"/>
      <c r="P9" s="60"/>
      <c r="Q9" s="60">
        <v>3</v>
      </c>
      <c r="R9" s="60"/>
      <c r="S9" s="60"/>
      <c r="T9" s="60">
        <v>3</v>
      </c>
      <c r="U9" s="60"/>
      <c r="V9" s="60">
        <v>1</v>
      </c>
      <c r="W9" s="60"/>
      <c r="X9" s="60"/>
      <c r="Y9" s="60"/>
      <c r="Z9" s="60"/>
      <c r="AA9" s="60">
        <v>4</v>
      </c>
      <c r="AB9" s="60"/>
      <c r="AC9" s="60"/>
      <c r="AD9" s="60"/>
      <c r="AE9" s="60"/>
      <c r="AF9" s="60"/>
      <c r="AG9" s="60"/>
      <c r="AH9" s="60"/>
      <c r="AI9" s="60"/>
      <c r="AJ9" s="60"/>
      <c r="AK9" s="64">
        <f t="shared" si="0"/>
        <v>3637.6600000000003</v>
      </c>
    </row>
    <row r="10" spans="1:37" hidden="1" x14ac:dyDescent="0.25">
      <c r="A10" s="59"/>
      <c r="B10" s="59" t="s">
        <v>771</v>
      </c>
      <c r="C10" s="60" t="s">
        <v>869</v>
      </c>
      <c r="D10" s="61" t="s">
        <v>2049</v>
      </c>
      <c r="E10" s="93" t="s">
        <v>1552</v>
      </c>
      <c r="F10" s="60" t="s">
        <v>229</v>
      </c>
      <c r="G10" s="75" t="s">
        <v>228</v>
      </c>
      <c r="H10" s="63">
        <v>45383</v>
      </c>
      <c r="I10" s="63">
        <v>45383</v>
      </c>
      <c r="J10" s="60">
        <v>7</v>
      </c>
      <c r="K10" s="60">
        <v>0</v>
      </c>
      <c r="L10" s="60"/>
      <c r="M10" s="60"/>
      <c r="N10" s="60"/>
      <c r="O10" s="60"/>
      <c r="P10" s="60"/>
      <c r="Q10" s="60"/>
      <c r="R10" s="60"/>
      <c r="S10" s="60"/>
      <c r="T10" s="60">
        <v>4</v>
      </c>
      <c r="U10" s="60"/>
      <c r="V10" s="60"/>
      <c r="W10" s="60"/>
      <c r="X10" s="60"/>
      <c r="Y10" s="60"/>
      <c r="Z10" s="60"/>
      <c r="AA10" s="60">
        <v>3</v>
      </c>
      <c r="AB10" s="60"/>
      <c r="AC10" s="60"/>
      <c r="AD10" s="60"/>
      <c r="AE10" s="60"/>
      <c r="AF10" s="60"/>
      <c r="AG10" s="60"/>
      <c r="AH10" s="60"/>
      <c r="AI10" s="60"/>
      <c r="AJ10" s="60"/>
      <c r="AK10" s="64">
        <f t="shared" si="0"/>
        <v>2863.4</v>
      </c>
    </row>
    <row r="11" spans="1:37" hidden="1" x14ac:dyDescent="0.25">
      <c r="A11" s="59"/>
      <c r="B11" s="59" t="s">
        <v>2047</v>
      </c>
      <c r="C11" s="60" t="s">
        <v>869</v>
      </c>
      <c r="D11" s="61" t="s">
        <v>2050</v>
      </c>
      <c r="E11" s="93" t="s">
        <v>351</v>
      </c>
      <c r="F11" s="60" t="s">
        <v>207</v>
      </c>
      <c r="G11" s="75" t="s">
        <v>228</v>
      </c>
      <c r="H11" s="63">
        <v>45292</v>
      </c>
      <c r="I11" s="63">
        <v>45292</v>
      </c>
      <c r="J11" s="60">
        <v>16</v>
      </c>
      <c r="K11" s="60">
        <v>0</v>
      </c>
      <c r="L11" s="60"/>
      <c r="M11" s="60"/>
      <c r="N11" s="60"/>
      <c r="O11" s="60">
        <v>10</v>
      </c>
      <c r="P11" s="60"/>
      <c r="Q11" s="60"/>
      <c r="R11" s="60"/>
      <c r="S11" s="60"/>
      <c r="T11" s="60">
        <v>3</v>
      </c>
      <c r="U11" s="60"/>
      <c r="V11" s="60"/>
      <c r="W11" s="60"/>
      <c r="X11" s="60"/>
      <c r="Y11" s="60"/>
      <c r="Z11" s="60"/>
      <c r="AA11" s="60">
        <v>3</v>
      </c>
      <c r="AB11" s="60"/>
      <c r="AC11" s="60"/>
      <c r="AD11" s="60"/>
      <c r="AE11" s="60"/>
      <c r="AF11" s="60"/>
      <c r="AG11" s="60"/>
      <c r="AH11" s="60"/>
      <c r="AI11" s="60"/>
      <c r="AJ11" s="60"/>
      <c r="AK11" s="64">
        <f t="shared" si="0"/>
        <v>4274.1299999999992</v>
      </c>
    </row>
    <row r="12" spans="1:37" ht="15.75" customHeight="1" x14ac:dyDescent="0.25">
      <c r="A12" s="61"/>
      <c r="B12" s="61"/>
      <c r="C12" s="61"/>
      <c r="D12" s="61"/>
      <c r="E12" s="61"/>
      <c r="F12" s="61"/>
      <c r="G12" s="61"/>
      <c r="H12" s="63"/>
      <c r="I12" s="78" t="s">
        <v>757</v>
      </c>
      <c r="J12" s="79">
        <f t="shared" ref="J12:R12" si="1">SUBTOTAL(109,J3:J11)</f>
        <v>32</v>
      </c>
      <c r="K12" s="79">
        <f t="shared" si="1"/>
        <v>0</v>
      </c>
      <c r="L12" s="79">
        <f t="shared" si="1"/>
        <v>0</v>
      </c>
      <c r="M12" s="79">
        <f t="shared" si="1"/>
        <v>0</v>
      </c>
      <c r="N12" s="79">
        <f t="shared" si="1"/>
        <v>0</v>
      </c>
      <c r="O12" s="79">
        <f t="shared" si="1"/>
        <v>3</v>
      </c>
      <c r="P12" s="79">
        <f t="shared" si="1"/>
        <v>1</v>
      </c>
      <c r="Q12" s="79">
        <f t="shared" si="1"/>
        <v>7</v>
      </c>
      <c r="R12" s="79">
        <f t="shared" si="1"/>
        <v>0</v>
      </c>
      <c r="S12" s="79"/>
      <c r="T12" s="79">
        <f t="shared" ref="T12:AI12" si="2">SUBTOTAL(109,T3:T11)</f>
        <v>2</v>
      </c>
      <c r="U12" s="79">
        <f t="shared" si="2"/>
        <v>0</v>
      </c>
      <c r="V12" s="79">
        <f t="shared" si="2"/>
        <v>2</v>
      </c>
      <c r="W12" s="79">
        <f t="shared" si="2"/>
        <v>0</v>
      </c>
      <c r="X12" s="79">
        <f t="shared" si="2"/>
        <v>0</v>
      </c>
      <c r="Y12" s="79">
        <f t="shared" si="2"/>
        <v>0</v>
      </c>
      <c r="Z12" s="79">
        <f t="shared" si="2"/>
        <v>4</v>
      </c>
      <c r="AA12" s="79">
        <f t="shared" si="2"/>
        <v>13</v>
      </c>
      <c r="AB12" s="79">
        <f t="shared" si="2"/>
        <v>0</v>
      </c>
      <c r="AC12" s="79">
        <f t="shared" si="2"/>
        <v>0</v>
      </c>
      <c r="AD12" s="79">
        <f t="shared" si="2"/>
        <v>0</v>
      </c>
      <c r="AE12" s="79">
        <f t="shared" si="2"/>
        <v>0</v>
      </c>
      <c r="AF12" s="79">
        <f t="shared" si="2"/>
        <v>0</v>
      </c>
      <c r="AG12" s="79">
        <f t="shared" si="2"/>
        <v>0</v>
      </c>
      <c r="AH12" s="79">
        <f t="shared" si="2"/>
        <v>0</v>
      </c>
      <c r="AI12" s="79">
        <f t="shared" si="2"/>
        <v>0</v>
      </c>
      <c r="AJ12" s="79"/>
      <c r="AK12" s="80">
        <f>SUBTOTAL(109,AK3:AK11)</f>
        <v>7754.06</v>
      </c>
    </row>
  </sheetData>
  <autoFilter ref="A2:AK11" xr:uid="{00000000-0009-0000-0000-000007000000}">
    <filterColumn colId="6">
      <filters>
        <filter val="FEIRA DE  SANTANA"/>
      </filters>
    </filterColumn>
  </autoFilter>
  <mergeCells count="7">
    <mergeCell ref="AD1:AE1"/>
    <mergeCell ref="AF1:AK1"/>
    <mergeCell ref="J1:K1"/>
    <mergeCell ref="L1:M1"/>
    <mergeCell ref="N1:T1"/>
    <mergeCell ref="U1:Y1"/>
    <mergeCell ref="Z1:AC1"/>
  </mergeCells>
  <conditionalFormatting sqref="A1:A12">
    <cfRule type="cellIs" dxfId="23" priority="6" operator="equal">
      <formula>"SIM"</formula>
    </cfRule>
  </conditionalFormatting>
  <conditionalFormatting sqref="A3:A11">
    <cfRule type="containsText" dxfId="22" priority="7" operator="containsText" text="NA VALIDADE">
      <formula>NOT(ISERROR(SEARCH("NA VALIDADE",A3)))</formula>
    </cfRule>
    <cfRule type="containsText" dxfId="21" priority="8" operator="containsText" text="VENCIDO">
      <formula>NOT(ISERROR(SEARCH("VENCIDO",A3)))</formula>
    </cfRule>
  </conditionalFormatting>
  <conditionalFormatting sqref="A2:B2">
    <cfRule type="containsText" dxfId="20" priority="9" operator="containsText" text="ENVIADO">
      <formula>NOT(ISERROR(SEARCH("ENVIADO",A2)))</formula>
    </cfRule>
    <cfRule type="cellIs" dxfId="19" priority="10" operator="equal">
      <formula>#REF!</formula>
    </cfRule>
    <cfRule type="cellIs" dxfId="18" priority="11" operator="equal">
      <formula>#REF!</formula>
    </cfRule>
    <cfRule type="cellIs" dxfId="17" priority="12" operator="equal">
      <formula>#REF!</formula>
    </cfRule>
    <cfRule type="cellIs" dxfId="16" priority="13" operator="equal">
      <formula>#REF!</formula>
    </cfRule>
  </conditionalFormatting>
  <conditionalFormatting sqref="B3:B11">
    <cfRule type="containsText" dxfId="15" priority="4" operator="containsText" text="NA VALIDADE">
      <formula>NOT(ISERROR(SEARCH("NA VALIDADE",B3)))</formula>
    </cfRule>
    <cfRule type="containsText" dxfId="14" priority="5" operator="containsText" text="VENCIDO">
      <formula>NOT(ISERROR(SEARCH("VENCIDO",B3)))</formula>
    </cfRule>
  </conditionalFormatting>
  <conditionalFormatting sqref="J3:AK11">
    <cfRule type="cellIs" dxfId="13" priority="2" operator="greaterThan">
      <formula>0</formula>
    </cfRule>
  </conditionalFormatting>
  <conditionalFormatting sqref="J12:AK12">
    <cfRule type="cellIs" dxfId="12" priority="3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2" fitToHeight="0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55A11"/>
    <pageSetUpPr fitToPage="1"/>
  </sheetPr>
  <dimension ref="A1:AK5"/>
  <sheetViews>
    <sheetView view="pageBreakPreview" zoomScale="80" zoomScaleNormal="100" zoomScalePageLayoutView="80" workbookViewId="0">
      <selection activeCell="AG15" sqref="AG15"/>
    </sheetView>
  </sheetViews>
  <sheetFormatPr defaultColWidth="8.7109375" defaultRowHeight="15" x14ac:dyDescent="0.25"/>
  <cols>
    <col min="1" max="1" width="12.42578125" customWidth="1"/>
    <col min="2" max="2" width="11.5703125" customWidth="1"/>
    <col min="3" max="3" width="10.85546875" customWidth="1"/>
    <col min="4" max="4" width="24.42578125" customWidth="1"/>
    <col min="5" max="5" width="16.42578125" customWidth="1"/>
    <col min="6" max="6" width="3.5703125" customWidth="1"/>
    <col min="7" max="7" width="23.5703125" customWidth="1"/>
    <col min="8" max="8" width="13.42578125" customWidth="1"/>
    <col min="9" max="9" width="13.5703125" customWidth="1"/>
    <col min="36" max="36" width="11.85546875" customWidth="1"/>
    <col min="37" max="37" width="15.5703125" hidden="1" customWidth="1"/>
  </cols>
  <sheetData>
    <row r="1" spans="1:37" ht="48.75" customHeight="1" x14ac:dyDescent="0.25">
      <c r="A1" s="72">
        <f ca="1">TODAY()</f>
        <v>46308</v>
      </c>
      <c r="B1" s="72">
        <f ca="1">TODAY()</f>
        <v>46308</v>
      </c>
      <c r="C1" s="48"/>
      <c r="D1" s="49">
        <f>SUBTOTAL(3,D3:D517)</f>
        <v>1</v>
      </c>
      <c r="E1" s="51" t="s">
        <v>1531</v>
      </c>
      <c r="F1" s="48"/>
      <c r="G1" s="48"/>
      <c r="H1" s="88" t="s">
        <v>756</v>
      </c>
      <c r="I1" s="53"/>
      <c r="J1" s="5" t="s">
        <v>757</v>
      </c>
      <c r="K1" s="5"/>
      <c r="L1" s="4" t="s">
        <v>758</v>
      </c>
      <c r="M1" s="4"/>
      <c r="N1" s="3" t="s">
        <v>759</v>
      </c>
      <c r="O1" s="3"/>
      <c r="P1" s="3"/>
      <c r="Q1" s="3"/>
      <c r="R1" s="3"/>
      <c r="S1" s="3"/>
      <c r="T1" s="3"/>
      <c r="U1" s="2" t="s">
        <v>760</v>
      </c>
      <c r="V1" s="2"/>
      <c r="W1" s="2"/>
      <c r="X1" s="2"/>
      <c r="Y1" s="2"/>
      <c r="Z1" s="1" t="s">
        <v>761</v>
      </c>
      <c r="AA1" s="1"/>
      <c r="AB1" s="1"/>
      <c r="AC1" s="1"/>
      <c r="AD1" s="98" t="s">
        <v>762</v>
      </c>
      <c r="AE1" s="98"/>
      <c r="AF1" s="99" t="s">
        <v>739</v>
      </c>
      <c r="AG1" s="99"/>
      <c r="AH1" s="99"/>
      <c r="AI1" s="99"/>
      <c r="AJ1" s="99"/>
      <c r="AK1" s="99"/>
    </row>
    <row r="2" spans="1:37" ht="45" customHeight="1" x14ac:dyDescent="0.25">
      <c r="A2" s="54" t="s">
        <v>763</v>
      </c>
      <c r="B2" s="54" t="s">
        <v>62</v>
      </c>
      <c r="C2" s="54" t="s">
        <v>764</v>
      </c>
      <c r="D2" s="54" t="s">
        <v>30</v>
      </c>
      <c r="E2" s="54" t="s">
        <v>32</v>
      </c>
      <c r="F2" s="54" t="s">
        <v>33</v>
      </c>
      <c r="G2" s="54" t="s">
        <v>765</v>
      </c>
      <c r="H2" s="54" t="s">
        <v>34</v>
      </c>
      <c r="I2" s="54" t="s">
        <v>766</v>
      </c>
      <c r="J2" s="55" t="s">
        <v>63</v>
      </c>
      <c r="K2" s="55" t="s">
        <v>64</v>
      </c>
      <c r="L2" s="56" t="s">
        <v>35</v>
      </c>
      <c r="M2" s="56" t="s">
        <v>36</v>
      </c>
      <c r="N2" s="56" t="s">
        <v>37</v>
      </c>
      <c r="O2" s="56" t="s">
        <v>38</v>
      </c>
      <c r="P2" s="56" t="s">
        <v>39</v>
      </c>
      <c r="Q2" s="56" t="s">
        <v>40</v>
      </c>
      <c r="R2" s="56" t="s">
        <v>41</v>
      </c>
      <c r="S2" s="56" t="s">
        <v>42</v>
      </c>
      <c r="T2" s="56" t="s">
        <v>43</v>
      </c>
      <c r="U2" s="56" t="s">
        <v>37</v>
      </c>
      <c r="V2" s="56" t="s">
        <v>38</v>
      </c>
      <c r="W2" s="56" t="s">
        <v>39</v>
      </c>
      <c r="X2" s="56" t="s">
        <v>44</v>
      </c>
      <c r="Y2" s="56" t="s">
        <v>768</v>
      </c>
      <c r="Z2" s="56" t="s">
        <v>37</v>
      </c>
      <c r="AA2" s="56" t="s">
        <v>38</v>
      </c>
      <c r="AB2" s="56" t="s">
        <v>47</v>
      </c>
      <c r="AC2" s="56" t="s">
        <v>48</v>
      </c>
      <c r="AD2" s="56" t="s">
        <v>49</v>
      </c>
      <c r="AE2" s="56" t="s">
        <v>50</v>
      </c>
      <c r="AF2" s="57" t="s">
        <v>51</v>
      </c>
      <c r="AG2" s="57" t="s">
        <v>52</v>
      </c>
      <c r="AH2" s="57" t="s">
        <v>53</v>
      </c>
      <c r="AI2" s="57" t="s">
        <v>54</v>
      </c>
      <c r="AJ2" s="57" t="s">
        <v>55</v>
      </c>
      <c r="AK2" s="57" t="s">
        <v>2051</v>
      </c>
    </row>
    <row r="3" spans="1:37" x14ac:dyDescent="0.25">
      <c r="A3" s="59" t="s">
        <v>770</v>
      </c>
      <c r="B3" s="59" t="str">
        <f ca="1">IF(H3&lt;$B$1,"VENCIDO","NA VALIDADE")</f>
        <v>VENCIDO</v>
      </c>
      <c r="C3" s="60" t="s">
        <v>1033</v>
      </c>
      <c r="D3" s="61" t="s">
        <v>2052</v>
      </c>
      <c r="E3" s="75" t="s">
        <v>119</v>
      </c>
      <c r="F3" s="60" t="s">
        <v>120</v>
      </c>
      <c r="G3" s="94" t="s">
        <v>2053</v>
      </c>
      <c r="H3" s="63">
        <v>45352</v>
      </c>
      <c r="I3" s="63">
        <v>45352</v>
      </c>
      <c r="J3" s="60">
        <f>SUM(L3:AE3)</f>
        <v>115</v>
      </c>
      <c r="K3" s="60">
        <f>SUM(AF3:AJ3)</f>
        <v>39</v>
      </c>
      <c r="L3" s="60">
        <v>45</v>
      </c>
      <c r="M3" s="60"/>
      <c r="N3" s="60"/>
      <c r="O3" s="60">
        <v>23</v>
      </c>
      <c r="P3" s="60"/>
      <c r="Q3" s="60"/>
      <c r="R3" s="60"/>
      <c r="S3" s="60"/>
      <c r="T3" s="60"/>
      <c r="U3" s="60"/>
      <c r="V3" s="60">
        <v>3</v>
      </c>
      <c r="W3" s="60"/>
      <c r="X3" s="60"/>
      <c r="Y3" s="60"/>
      <c r="Z3" s="60"/>
      <c r="AA3" s="60">
        <v>44</v>
      </c>
      <c r="AB3" s="60"/>
      <c r="AC3" s="60"/>
      <c r="AD3" s="60"/>
      <c r="AE3" s="60"/>
      <c r="AF3" s="60">
        <v>39</v>
      </c>
      <c r="AG3" s="60"/>
      <c r="AH3" s="60"/>
      <c r="AI3" s="60"/>
      <c r="AJ3" s="60"/>
      <c r="AK3" s="64">
        <f>IF(L3&gt;0,L3*(82.29+8.15),0)+IF(M3&gt;0,M3*(8.15+339.97),0)+IF(N3&gt;0,N3*151.63,0)+IF(O3&gt;0,O3*197.82,0)+IF(P3&gt;0,P3*244.09,0)+IF(Q3&gt;0,Q3*315.35,0)+IF(R3&gt;0,R3*1067.3,0)+IF(T3&gt;0,T3*567.47,0)+IF(U3&gt;0,U3*151.63,0)+IF(V3&gt;0,V3*197.84,0)+IF(W3&gt;0,W3*470.51,0)+IF(X3&gt;0,X3*701.69,0)+IF(Z3&gt;0,Z3*151.63,0)+IF(AA3&gt;0,AA3*197.84)+IF(AB3&gt;0,AB3*308.4,0)+IF(AC3&gt;0,AC3*496.16,0)</f>
        <v>17918.14</v>
      </c>
    </row>
    <row r="4" spans="1:37" x14ac:dyDescent="0.25">
      <c r="A4" s="61"/>
      <c r="B4" s="61"/>
      <c r="C4" s="60"/>
      <c r="D4" s="61"/>
      <c r="E4" s="75"/>
      <c r="F4" s="60"/>
      <c r="G4" s="60"/>
      <c r="H4" s="63"/>
      <c r="I4" s="63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</row>
    <row r="5" spans="1:37" ht="15.75" customHeight="1" x14ac:dyDescent="0.25">
      <c r="A5" s="61"/>
      <c r="B5" s="61"/>
      <c r="C5" s="61"/>
      <c r="D5" s="61"/>
      <c r="E5" s="61"/>
      <c r="F5" s="61"/>
      <c r="G5" s="61"/>
      <c r="H5" s="63"/>
      <c r="I5" s="78" t="s">
        <v>757</v>
      </c>
      <c r="J5" s="79">
        <f t="shared" ref="J5:R5" si="0">SUBTOTAL(109,J3)</f>
        <v>115</v>
      </c>
      <c r="K5" s="79">
        <f t="shared" si="0"/>
        <v>39</v>
      </c>
      <c r="L5" s="79">
        <f t="shared" si="0"/>
        <v>45</v>
      </c>
      <c r="M5" s="79">
        <f t="shared" si="0"/>
        <v>0</v>
      </c>
      <c r="N5" s="79">
        <f t="shared" si="0"/>
        <v>0</v>
      </c>
      <c r="O5" s="79">
        <f t="shared" si="0"/>
        <v>23</v>
      </c>
      <c r="P5" s="79">
        <f t="shared" si="0"/>
        <v>0</v>
      </c>
      <c r="Q5" s="79">
        <f t="shared" si="0"/>
        <v>0</v>
      </c>
      <c r="R5" s="79">
        <f t="shared" si="0"/>
        <v>0</v>
      </c>
      <c r="S5" s="79"/>
      <c r="T5" s="79">
        <f t="shared" ref="T5:AI5" si="1">SUBTOTAL(109,T3)</f>
        <v>0</v>
      </c>
      <c r="U5" s="79">
        <f t="shared" si="1"/>
        <v>0</v>
      </c>
      <c r="V5" s="79">
        <f t="shared" si="1"/>
        <v>3</v>
      </c>
      <c r="W5" s="79">
        <f t="shared" si="1"/>
        <v>0</v>
      </c>
      <c r="X5" s="79">
        <f t="shared" si="1"/>
        <v>0</v>
      </c>
      <c r="Y5" s="79">
        <f t="shared" si="1"/>
        <v>0</v>
      </c>
      <c r="Z5" s="79">
        <f t="shared" si="1"/>
        <v>0</v>
      </c>
      <c r="AA5" s="79">
        <f t="shared" si="1"/>
        <v>44</v>
      </c>
      <c r="AB5" s="79">
        <f t="shared" si="1"/>
        <v>0</v>
      </c>
      <c r="AC5" s="79">
        <f t="shared" si="1"/>
        <v>0</v>
      </c>
      <c r="AD5" s="79">
        <f t="shared" si="1"/>
        <v>0</v>
      </c>
      <c r="AE5" s="79">
        <f t="shared" si="1"/>
        <v>0</v>
      </c>
      <c r="AF5" s="79">
        <f t="shared" si="1"/>
        <v>39</v>
      </c>
      <c r="AG5" s="79">
        <f t="shared" si="1"/>
        <v>0</v>
      </c>
      <c r="AH5" s="79">
        <f t="shared" si="1"/>
        <v>0</v>
      </c>
      <c r="AI5" s="79">
        <f t="shared" si="1"/>
        <v>0</v>
      </c>
      <c r="AJ5" s="79"/>
      <c r="AK5" s="80">
        <f>SUBTOTAL(109,AK3)</f>
        <v>17918.14</v>
      </c>
    </row>
  </sheetData>
  <mergeCells count="7">
    <mergeCell ref="AD1:AE1"/>
    <mergeCell ref="AF1:AK1"/>
    <mergeCell ref="J1:K1"/>
    <mergeCell ref="L1:M1"/>
    <mergeCell ref="N1:T1"/>
    <mergeCell ref="U1:Y1"/>
    <mergeCell ref="Z1:AC1"/>
  </mergeCells>
  <conditionalFormatting sqref="A1:A5">
    <cfRule type="cellIs" dxfId="11" priority="5" operator="equal">
      <formula>"SIM"</formula>
    </cfRule>
  </conditionalFormatting>
  <conditionalFormatting sqref="A3">
    <cfRule type="containsText" dxfId="10" priority="6" operator="containsText" text="NA VALIDADE">
      <formula>NOT(ISERROR(SEARCH("NA VALIDADE",A3)))</formula>
    </cfRule>
    <cfRule type="containsText" dxfId="9" priority="7" operator="containsText" text="VENCIDO">
      <formula>NOT(ISERROR(SEARCH("VENCIDO",A3)))</formula>
    </cfRule>
  </conditionalFormatting>
  <conditionalFormatting sqref="A2:B2">
    <cfRule type="containsText" dxfId="8" priority="8" operator="containsText" text="ENVIADO">
      <formula>NOT(ISERROR(SEARCH("ENVIADO",A2)))</formula>
    </cfRule>
    <cfRule type="cellIs" dxfId="7" priority="9" operator="equal">
      <formula>#REF!</formula>
    </cfRule>
    <cfRule type="cellIs" dxfId="6" priority="10" operator="equal">
      <formula>#REF!</formula>
    </cfRule>
    <cfRule type="cellIs" dxfId="5" priority="11" operator="equal">
      <formula>#REF!</formula>
    </cfRule>
    <cfRule type="cellIs" dxfId="4" priority="12" operator="equal">
      <formula>#REF!</formula>
    </cfRule>
  </conditionalFormatting>
  <conditionalFormatting sqref="B3">
    <cfRule type="containsText" dxfId="3" priority="3" operator="containsText" text="NA VALIDADE">
      <formula>NOT(ISERROR(SEARCH("NA VALIDADE",B3)))</formula>
    </cfRule>
    <cfRule type="containsText" dxfId="2" priority="4" operator="containsText" text="VENCIDO">
      <formula>NOT(ISERROR(SEARCH("VENCIDO",B3)))</formula>
    </cfRule>
  </conditionalFormatting>
  <conditionalFormatting sqref="J3:AK4">
    <cfRule type="cellIs" dxfId="1" priority="2" operator="greaterThan">
      <formula>0</formula>
    </cfRule>
  </conditionalFormatting>
  <conditionalFormatting sqref="J5:AK5">
    <cfRule type="cellIs" dxfId="0" priority="13" operator="greaterThan">
      <formula>0</formula>
    </cfRule>
  </conditionalFormatting>
  <pageMargins left="0.51180555555555596" right="0.51180555555555596" top="0.78749999999999998" bottom="0.78749999999999998" header="0.511811023622047" footer="0.511811023622047"/>
  <pageSetup paperSize="9" scale="24" fitToHeight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BASE TROCA</vt:lpstr>
      <vt:lpstr>PRODUTOS</vt:lpstr>
      <vt:lpstr>COELBA</vt:lpstr>
      <vt:lpstr>COSERN</vt:lpstr>
      <vt:lpstr>CELPE</vt:lpstr>
      <vt:lpstr>PQ EOLICO</vt:lpstr>
      <vt:lpstr>USINAS</vt:lpstr>
      <vt:lpstr>TRANSMISSÃO</vt:lpstr>
      <vt:lpstr>HOLDING</vt:lpstr>
      <vt:lpstr>'BASE TROCA'!Print_Area</vt:lpstr>
      <vt:lpstr>CELPE!Print_Area</vt:lpstr>
      <vt:lpstr>COELBA!Print_Area</vt:lpstr>
      <vt:lpstr>COSERN!Print_Area</vt:lpstr>
      <vt:lpstr>'PQ EOLICO'!Print_Area</vt:lpstr>
      <vt:lpstr>PRODUTOS!Print_Area</vt:lpstr>
      <vt:lpstr>TRANSMISSÃO!Print_Area</vt:lpstr>
      <vt:lpstr>USINAS!Print_Area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Alves De Assis</dc:creator>
  <dc:description/>
  <cp:lastModifiedBy>Yuri Henrique Ludwig Fagundes</cp:lastModifiedBy>
  <cp:revision>1</cp:revision>
  <dcterms:created xsi:type="dcterms:W3CDTF">2023-06-14T16:52:50Z</dcterms:created>
  <dcterms:modified xsi:type="dcterms:W3CDTF">2026-10-13T14:20:42Z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0x0101002F12499512027248B46A22702F9A2703</vt:lpwstr>
  </property>
</Properties>
</file>